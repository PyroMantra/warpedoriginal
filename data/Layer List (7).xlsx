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9" yWindow="0" windowWidth="20957" windowHeight="14974" tabRatio="947" firstSheet="6" activeTab="9"/>
  </bookViews>
  <sheets>
    <sheet name="Factions" sheetId="26" r:id="rId1"/>
    <sheet name="The Informatorium" sheetId="1" r:id="rId2"/>
    <sheet name="Scaling and Dual Wield" sheetId="2" r:id="rId3"/>
    <sheet name="Roll Information" sheetId="3" r:id="rId4"/>
    <sheet name="Races" sheetId="4" r:id="rId5"/>
    <sheet name="Enemies 6.0 Creatures " sheetId="5" r:id="rId6"/>
    <sheet name="Skills" sheetId="6" r:id="rId7"/>
    <sheet name="Gear" sheetId="25" r:id="rId8"/>
    <sheet name="Items" sheetId="8" r:id="rId9"/>
    <sheet name="Gear+Items" sheetId="9" r:id="rId10"/>
    <sheet name="Zones" sheetId="10" r:id="rId11"/>
    <sheet name="Gear Set" sheetId="11" r:id="rId12"/>
    <sheet name="Crafting" sheetId="12" r:id="rId13"/>
    <sheet name="RESONANCE" sheetId="13" r:id="rId14"/>
    <sheet name="MASTERY" sheetId="14" r:id="rId15"/>
    <sheet name="LEGACY" sheetId="15" r:id="rId16"/>
    <sheet name="Legends" sheetId="16" r:id="rId17"/>
    <sheet name="Clarifications &amp; Mechanics" sheetId="17" r:id="rId18"/>
    <sheet name="Quests" sheetId="18" r:id="rId19"/>
    <sheet name="NEW SENTIENTS FRAMEWORK" sheetId="19" r:id="rId20"/>
    <sheet name="events" sheetId="20" r:id="rId21"/>
    <sheet name="Bestiary" sheetId="21" r:id="rId22"/>
    <sheet name="Bandits" sheetId="22" r:id="rId23"/>
    <sheet name="Legion" sheetId="23" r:id="rId24"/>
    <sheet name="Conclave" sheetId="24" r:id="rId25"/>
  </sheets>
  <definedNames>
    <definedName name="_xlnm._FilterDatabase" localSheetId="21" hidden="1">Bestiary!$A$1:$AF$235</definedName>
    <definedName name="_xlnm._FilterDatabase" localSheetId="7" hidden="1">Gear!$A$1:$AU$1347</definedName>
    <definedName name="_xlnm._FilterDatabase" localSheetId="9" hidden="1">'Gear+Items'!$A$1:$E$2258</definedName>
    <definedName name="_xlnm._FilterDatabase" localSheetId="1" hidden="1">'The Informatorium'!$A$97:$B$110</definedName>
  </definedNames>
  <calcPr calcId="144525"/>
</workbook>
</file>

<file path=xl/calcChain.xml><?xml version="1.0" encoding="utf-8"?>
<calcChain xmlns="http://schemas.openxmlformats.org/spreadsheetml/2006/main">
  <c r="N9" i="19" l="1"/>
  <c r="D502" i="5"/>
  <c r="O369" i="5"/>
  <c r="AA52" i="5"/>
  <c r="Z52" i="5"/>
  <c r="Y52" i="5"/>
  <c r="X52" i="5"/>
  <c r="W52" i="5"/>
  <c r="V52" i="5"/>
  <c r="U52" i="5"/>
  <c r="T52" i="5"/>
  <c r="S52" i="5"/>
  <c r="R52" i="5"/>
  <c r="AA51" i="5"/>
  <c r="Z51" i="5"/>
  <c r="Y51" i="5"/>
  <c r="X51" i="5"/>
  <c r="W51" i="5"/>
  <c r="V51" i="5"/>
  <c r="U51" i="5"/>
  <c r="T51" i="5"/>
  <c r="S51" i="5"/>
  <c r="R51" i="5"/>
  <c r="AA50" i="5"/>
  <c r="Z50" i="5"/>
  <c r="Y50" i="5"/>
  <c r="X50" i="5"/>
  <c r="W50" i="5"/>
  <c r="V50" i="5"/>
  <c r="U50" i="5"/>
  <c r="T50" i="5"/>
  <c r="S50" i="5"/>
  <c r="R50" i="5"/>
  <c r="AA49" i="5"/>
  <c r="Z49" i="5"/>
  <c r="Y49" i="5"/>
  <c r="X49" i="5"/>
  <c r="W49" i="5"/>
  <c r="V49" i="5"/>
  <c r="U49" i="5"/>
  <c r="T49" i="5"/>
  <c r="S49" i="5"/>
  <c r="R49" i="5"/>
  <c r="AA48" i="5"/>
  <c r="Z48" i="5"/>
  <c r="Y48" i="5"/>
  <c r="X48" i="5"/>
  <c r="W48" i="5"/>
  <c r="V48" i="5"/>
  <c r="U48" i="5"/>
  <c r="T48" i="5"/>
  <c r="S48" i="5"/>
  <c r="R48" i="5"/>
  <c r="AA47" i="5"/>
  <c r="Z47" i="5"/>
  <c r="Y47" i="5"/>
  <c r="X47" i="5"/>
  <c r="W47" i="5"/>
  <c r="V47" i="5"/>
  <c r="U47" i="5"/>
  <c r="T47" i="5"/>
  <c r="S47" i="5"/>
  <c r="R47" i="5"/>
  <c r="AA46" i="5"/>
  <c r="Z46" i="5"/>
  <c r="Y46" i="5"/>
  <c r="X46" i="5"/>
  <c r="W46" i="5"/>
  <c r="V46" i="5"/>
  <c r="U46" i="5"/>
  <c r="T46" i="5"/>
  <c r="S46" i="5"/>
  <c r="R46" i="5"/>
  <c r="AA45" i="5"/>
  <c r="Z45" i="5"/>
  <c r="Y45" i="5"/>
  <c r="X45" i="5"/>
  <c r="W45" i="5"/>
  <c r="V45" i="5"/>
  <c r="U45" i="5"/>
  <c r="T45" i="5"/>
  <c r="S45" i="5"/>
  <c r="R45" i="5"/>
  <c r="AA44" i="5"/>
  <c r="Z44" i="5"/>
  <c r="Y44" i="5"/>
  <c r="X44" i="5"/>
  <c r="W44" i="5"/>
  <c r="V44" i="5"/>
  <c r="U44" i="5"/>
  <c r="T44" i="5"/>
  <c r="S44" i="5"/>
  <c r="R44" i="5"/>
  <c r="AA43" i="5"/>
  <c r="Z43" i="5"/>
  <c r="Y43" i="5"/>
  <c r="X43" i="5"/>
  <c r="W43" i="5"/>
  <c r="V43" i="5"/>
  <c r="U43" i="5"/>
  <c r="T43" i="5"/>
  <c r="S43" i="5"/>
  <c r="R43" i="5"/>
  <c r="AA42" i="5"/>
  <c r="Z42" i="5"/>
  <c r="Y42" i="5"/>
  <c r="X42" i="5"/>
  <c r="W42" i="5"/>
  <c r="V42" i="5"/>
  <c r="U42" i="5"/>
  <c r="T42" i="5"/>
  <c r="S42" i="5"/>
  <c r="R42" i="5"/>
  <c r="AA41" i="5"/>
  <c r="Z41" i="5"/>
  <c r="Y41" i="5"/>
  <c r="X41" i="5"/>
  <c r="W41" i="5"/>
  <c r="V41" i="5"/>
  <c r="U41" i="5"/>
  <c r="T41" i="5"/>
  <c r="S41" i="5"/>
  <c r="R41" i="5"/>
  <c r="AA40" i="5"/>
  <c r="Z40" i="5"/>
  <c r="Y40" i="5"/>
  <c r="X40" i="5"/>
  <c r="W40" i="5"/>
  <c r="V40" i="5"/>
  <c r="U40" i="5"/>
  <c r="T40" i="5"/>
  <c r="S40" i="5"/>
  <c r="R40" i="5"/>
  <c r="AA39" i="5"/>
  <c r="Z39" i="5"/>
  <c r="Y39" i="5"/>
  <c r="X39" i="5"/>
  <c r="W39" i="5"/>
  <c r="V39" i="5"/>
  <c r="U39" i="5"/>
  <c r="T39" i="5"/>
  <c r="S39" i="5"/>
  <c r="R39" i="5"/>
  <c r="AA38" i="5"/>
  <c r="Z38" i="5"/>
  <c r="Y38" i="5"/>
  <c r="X38" i="5"/>
  <c r="W38" i="5"/>
  <c r="V38" i="5"/>
  <c r="U38" i="5"/>
  <c r="T38" i="5"/>
  <c r="S38" i="5"/>
  <c r="R38" i="5"/>
  <c r="AA37" i="5"/>
  <c r="Z37" i="5"/>
  <c r="Y37" i="5"/>
  <c r="X37" i="5"/>
  <c r="W37" i="5"/>
  <c r="V37" i="5"/>
  <c r="U37" i="5"/>
  <c r="T37" i="5"/>
  <c r="S37" i="5"/>
  <c r="R37" i="5"/>
  <c r="AA36" i="5"/>
  <c r="Z36" i="5"/>
  <c r="Y36" i="5"/>
  <c r="X36" i="5"/>
  <c r="W36" i="5"/>
  <c r="V36" i="5"/>
  <c r="U36" i="5"/>
  <c r="T36" i="5"/>
  <c r="S36" i="5"/>
  <c r="R36" i="5"/>
  <c r="AA35" i="5"/>
  <c r="Z35" i="5"/>
  <c r="Y35" i="5"/>
  <c r="X35" i="5"/>
  <c r="W35" i="5"/>
  <c r="V35" i="5"/>
  <c r="U35" i="5"/>
  <c r="T35" i="5"/>
  <c r="S35" i="5"/>
  <c r="R35" i="5"/>
  <c r="AA34" i="5"/>
  <c r="Z34" i="5"/>
  <c r="Y34" i="5"/>
  <c r="X34" i="5"/>
  <c r="W34" i="5"/>
  <c r="V34" i="5"/>
  <c r="U34" i="5"/>
  <c r="T34" i="5"/>
  <c r="S34" i="5"/>
  <c r="R34" i="5"/>
  <c r="AA33" i="5"/>
  <c r="Z33" i="5"/>
  <c r="Y33" i="5"/>
  <c r="X33" i="5"/>
  <c r="W33" i="5"/>
  <c r="V33" i="5"/>
  <c r="U33" i="5"/>
  <c r="T33" i="5"/>
  <c r="S33" i="5"/>
  <c r="R33" i="5"/>
  <c r="AA32" i="5"/>
  <c r="Z32" i="5"/>
  <c r="Y32" i="5"/>
  <c r="X32" i="5"/>
  <c r="W32" i="5"/>
  <c r="V32" i="5"/>
  <c r="U32" i="5"/>
  <c r="T32" i="5"/>
  <c r="S32" i="5"/>
  <c r="R32" i="5"/>
  <c r="AA31" i="5"/>
  <c r="Z31" i="5"/>
  <c r="Y31" i="5"/>
  <c r="X31" i="5"/>
  <c r="W31" i="5"/>
  <c r="V31" i="5"/>
  <c r="U31" i="5"/>
  <c r="T31" i="5"/>
  <c r="S31" i="5"/>
  <c r="R31" i="5"/>
  <c r="AA30" i="5"/>
  <c r="Z30" i="5"/>
  <c r="Y30" i="5"/>
  <c r="X30" i="5"/>
  <c r="W30" i="5"/>
  <c r="V30" i="5"/>
  <c r="U30" i="5"/>
  <c r="T30" i="5"/>
  <c r="S30" i="5"/>
  <c r="R30" i="5"/>
  <c r="AA29" i="5"/>
  <c r="Z29" i="5"/>
  <c r="Y29" i="5"/>
  <c r="X29" i="5"/>
  <c r="W29" i="5"/>
  <c r="V29" i="5"/>
  <c r="U29" i="5"/>
  <c r="T29" i="5"/>
  <c r="S29" i="5"/>
  <c r="R29" i="5"/>
  <c r="AA28" i="5"/>
  <c r="Z28" i="5"/>
  <c r="Y28" i="5"/>
  <c r="X28" i="5"/>
  <c r="W28" i="5"/>
  <c r="V28" i="5"/>
  <c r="U28" i="5"/>
  <c r="T28" i="5"/>
  <c r="S28" i="5"/>
  <c r="R28" i="5"/>
  <c r="AA27" i="5"/>
  <c r="Z27" i="5"/>
  <c r="Y27" i="5"/>
  <c r="X27" i="5"/>
  <c r="W27" i="5"/>
  <c r="V27" i="5"/>
  <c r="U27" i="5"/>
  <c r="T27" i="5"/>
  <c r="S27" i="5"/>
  <c r="R27" i="5"/>
  <c r="G39" i="2"/>
  <c r="X27" i="2"/>
  <c r="X21" i="2"/>
  <c r="G38" i="2" s="1"/>
</calcChain>
</file>

<file path=xl/comments1.xml><?xml version="1.0" encoding="utf-8"?>
<comments xmlns="http://schemas.openxmlformats.org/spreadsheetml/2006/main">
  <authors>
    <author>Author</author>
    <author>tc={000A0021-007D-46AA-AE84-002F007C0069}</author>
    <author>tc={00C200C0-00E2-4AC6-BB49-00A800310054}</author>
    <author>tc={00DA002F-0096-420A-A0B3-00CC00B800F6}</author>
    <author>tc={0047000C-002F-43FD-8172-00DD00B500F7}</author>
    <author>tc={00930058-001E-4546-AA35-000C00000007}</author>
    <author>tc={00140005-00C7-4AB4-96CA-001C0064007B}</author>
    <author>tc={007600C3-0085-4F84-A0C6-006A00E90028}</author>
    <author>tc={00EA0081-004F-443E-8BC3-00910042003E}</author>
    <author>tc={00D00036-0059-4AA3-9A38-00F1001F0091}</author>
    <author>tc={00F200E6-0060-4ED2-B45E-0019008000CC}</author>
    <author>tc={008600F8-00E0-41C2-ADA3-00A7004500D6}</author>
    <author>tc={00F3002E-00CC-4C57-A85E-008B000A00AB}</author>
    <author>tc={0046002E-0035-4983-9450-00C800C600ED}</author>
    <author>tc={002600BE-0083-43CD-88A4-00A4006300A5}</author>
    <author>tc={003B00A7-001F-49BD-A081-006800C800DB}</author>
    <author>tc={002E00B0-006F-4DDC-BB0F-005B00DD0095}</author>
    <author>tc={00A700A3-00DC-46B1-BB75-00C7008A00DD}</author>
    <author>tc={004D0047-00CF-4EC5-88DB-00F200B700BA}</author>
    <author>tc={00C90063-00AE-449E-8E6A-0025004C0035}</author>
    <author>tc={00E10026-00D4-47C5-82A1-00C3004F0021}</author>
    <author>tc={00CE005C-00EB-4621-9B9A-00BE008C00A4}</author>
    <author>tc={0030002C-008E-4464-815C-00E000D100E4}</author>
    <author>tc={00B0005C-0027-4515-B30D-0073000700E9}</author>
    <author>tc={00270064-0006-411C-9B70-00CC002300F6}</author>
    <author>tc={002F00F7-004E-4E4E-8647-0038008B0050}</author>
    <author>tc={00070035-0038-4D48-9B94-00DA00410061}</author>
    <author>tc={00E50022-0072-4EA3-A943-00F8009A00F8}</author>
    <author>tc={002400AD-009D-403E-A282-00A100770035}</author>
    <author>tc={00E10052-00B7-4D9A-9916-00B300DB00A9}</author>
    <author>tc={006200BC-0053-41A6-B344-00F700450069}</author>
    <author>tc={000700EF-00E6-4AEA-9BEA-009D0019001F}</author>
    <author>tc={00DB00BA-0000-4F08-BEE0-00E700A20074}</author>
    <author>tc={008B0096-004B-4F93-9AE0-001F00FC00EB}</author>
    <author>tc={0040007A-00D8-4738-B945-003B00DE00FB}</author>
    <author>tc={007B00D5-0015-4514-9C65-00FF006600EF}</author>
    <author>tc={007F00F3-009D-4E52-A3E6-003F00E600F6}</author>
    <author>tc={00520053-00C6-4757-9A25-005B00BE00C6}</author>
    <author>tc={004500B2-00DD-4B04-A7AE-0097006B0085}</author>
    <author>tc={00FC0015-004E-4059-B132-001A00AF0082}</author>
    <author>tc={00020070-0002-4E8F-8D78-0048000900A5}</author>
    <author>tc={00B00063-0086-4F00-98CA-003E00940082}</author>
    <author>tc={00CC00CD-0092-4B5E-86A5-00F6009000A9}</author>
    <author>tc={00BC0075-006A-4D91-A508-008400340073}</author>
    <author>tc={008200FE-00F9-4806-8100-000B004D00FE}</author>
    <author>tc={0088000C-00B6-4ADB-AD5C-000B004300B0}</author>
    <author>tc={00D9006B-0098-482C-9771-001F009700F5}</author>
    <author>tc={00A800E4-006A-473D-9CDC-009D00700073}</author>
    <author>tc={00990041-009F-4EF3-8496-009B002400C3}</author>
    <author>tc={00F4004D-00A9-4ECE-98CB-007C004F001B}</author>
    <author>tc={001900F2-007F-47AE-819E-003A0071006F}</author>
    <author>tc={00C80085-00C2-4CF1-93EA-000E007800B6}</author>
    <author>tc={006F0098-006A-4662-998B-00EB00EF0015}</author>
    <author>tc={00360023-0077-4458-BDD8-005600CA004D}</author>
    <author>tc={00D20019-0041-4BE1-9B1E-00B400200017}</author>
    <author>tc={009B00D7-00E6-4A5E-B6F2-00E00008005C}</author>
    <author>tc={002000D6-001F-48B8-9084-001100740000}</author>
    <author>tc={00350001-0080-462C-8C3B-00D100D100BB}</author>
    <author>tc={009600B6-0035-4F82-A442-00DF008E00CA}</author>
    <author>tc={009D0012-00B0-49C3-B06D-005800D5007E}</author>
    <author>tc={007C00E2-001A-47E4-B6B0-001A00050057}</author>
    <author>tc={004100F6-00F7-4FA4-A016-001500FD0096}</author>
    <author>tc={00750090-007D-49BA-84EB-005B00370020}</author>
    <author>tc={00AE00DA-00FE-444E-B617-007400F600E5}</author>
    <author>tc={004F005A-0041-424B-9D49-00E100A8009B}</author>
    <author>tc={00F30081-00EA-4173-AA81-008D00930088}</author>
    <author>tc={00690069-008A-426F-B946-00FB00090003}</author>
    <author>tc={000000F7-00FE-49BC-B53F-00DB001F00A2}</author>
    <author>tc={005100ED-000A-4F8B-9EFA-003900A1004F}</author>
    <author>tc={004F0005-0096-4F55-B290-0095004500AD}</author>
    <author>tc={007C004C-009B-42BC-9811-00FA001000E2}</author>
    <author>tc={00D2006D-00FB-4686-95C7-005C00730031}</author>
    <author>tc={001100F3-0071-4470-A0F3-003300D100E9}</author>
    <author>tc={00E50041-00CF-44EF-865A-006E00F30004}</author>
    <author>tc={00E900DB-0005-423B-ACF8-000B00C000CE}</author>
    <author>tc={007200FB-009A-408D-8F14-001900DE00E3}</author>
    <author>tc={00AE0031-008B-4BE6-B614-008200260052}</author>
    <author>tc={00FC0066-0035-4628-891C-008300A500D3}</author>
    <author>tc={007A0090-0018-4328-ACBB-0043005A0053}</author>
    <author>tc={00380051-0066-436C-8F4B-00DB00730087}</author>
    <author>tc={00DA0057-0026-4EDE-B7FA-00860051007C}</author>
    <author>tc={00250015-003B-4E90-9256-005F00E100A0}</author>
    <author>tc={001600E5-00CF-4433-87BB-007B006E0023}</author>
    <author>tc={00D2007F-000C-4324-BB3F-00DE00810052}</author>
    <author>tc={00540033-0022-479D-A7C1-003300BA00DC}</author>
    <author>tc={00A00045-002A-4A24-8610-00B500AF009C}</author>
    <author>tc={002200A5-00CD-4ABB-8BC4-0090006D00DA}</author>
    <author>tc={00E9009F-0074-4022-B060-00BA008700B6}</author>
    <author>tc={00280015-003B-441E-AE12-0026000E00A5}</author>
    <author>tc={004D009C-0024-4711-8FBC-00E300FE0070}</author>
    <author>tc={008F000B-0019-476F-8F52-00F300D4007C}</author>
    <author>tc={0008008E-007C-4357-8703-0081004600E8}</author>
    <author>tc={00320096-009D-484F-954C-005F006200E7}</author>
    <author>tc={00F7001C-001F-40A2-B1A3-0080008A009E}</author>
    <author>tc={003C00BA-0059-4BF8-940D-002F002600B1}</author>
    <author>tc={008A0014-00B1-4DA5-882B-00F900C60076}</author>
    <author>tc={00C0007C-00E5-4385-A512-007200F900C7}</author>
    <author>tc={006F0026-0028-4446-A333-009A00A10036}</author>
    <author>tc={0039000E-00F7-4C94-AD4D-003A00970039}</author>
    <author>tc={00510070-0016-4D9F-8D50-000C0052005E}</author>
    <author>tc={00EB0048-00F5-42C7-BE2A-004B001D004F}</author>
    <author>tc={00BA008A-006B-4847-A6B9-00CF005200D7}</author>
    <author>tc={00AC0088-0060-4FEB-A824-004C00AC00F0}</author>
    <author>tc={0072004D-0046-4766-A0FF-0049006B009C}</author>
    <author>tc={00BE000D-0005-47A7-B293-0097003500C6}</author>
  </authors>
  <commentList>
    <comment ref="A2" authorId="0">
      <text/>
    </comment>
    <comment ref="B2" authorId="0">
      <text>
        <r>
          <rPr>
            <sz val="11"/>
            <color theme="1"/>
            <rFont val="Arial"/>
          </rPr>
          <t xml:space="preserve">Gabor Daniel:
ORIGIN: Old-Worlders
One of the first Races to arrive from the "Old World" into the Planes, they stand as the most numerous amongst all races. They stand at the basis of most wars as well as most creations.
</t>
        </r>
      </text>
    </comment>
    <comment ref="C2" authorId="1">
      <text>
        <r>
          <rPr>
            <sz val="11"/>
            <color theme="1"/>
            <rFont val="Arial"/>
          </rPr>
          <t xml:space="preserve">Gabor Daniel:
The Dunians settled eastward in the Sundunian Region on the Main Planic and formed the Domos Republic. Their skin has grown darker over generations due to the need to adapt to the radical climate. Their incredible Adaptiveness has transcended landscape, they are quick learners.
</t>
        </r>
      </text>
    </comment>
    <comment ref="Y2" authorId="1">
      <text>
        <r>
          <rPr>
            <sz val="11"/>
            <color theme="1"/>
            <rFont val="Arial"/>
          </rPr>
          <t xml:space="preserve">Gabor Daniel:
The Dunians settled eastward in the Sundunian Region on the Main Planic and formed the Domos Republic. Their skin has grown darker over generations due to the need to adapt to the radical climate. Their incredible Adaptiveness has transcended landscape, they are quick learners.
</t>
        </r>
      </text>
    </comment>
    <comment ref="A3" authorId="0">
      <text/>
    </comment>
    <comment ref="B3" authorId="0">
      <text>
        <r>
          <rPr>
            <sz val="11"/>
            <color theme="1"/>
            <rFont val="Arial"/>
          </rPr>
          <t xml:space="preserve">Gabor Daniel:
ORIGIN: Old-Worlders
One of the first Races to arrive from the "Old World" into the Planes, they stand as the most numerous amongst all races. They stand at the basis of most wars as well as most creations.
</t>
        </r>
      </text>
    </comment>
    <comment ref="C3" authorId="2">
      <text>
        <r>
          <rPr>
            <sz val="11"/>
            <color theme="1"/>
            <rFont val="Arial"/>
          </rPr>
          <t xml:space="preserve">Gabor Daniel:
Some Altreidians settled South in the Midlands whilst most settled where they arrived, right next to the portal that brought them there. Despite its closure, they founded Rasonia around this monument in hopes that one day their way home will be rebirthed. Their Ambition to has lead to many wars, as well as the "New" leading trading capital of the Plains.
</t>
        </r>
      </text>
    </comment>
    <comment ref="Y3" authorId="2">
      <text>
        <r>
          <rPr>
            <sz val="11"/>
            <color theme="1"/>
            <rFont val="Arial"/>
          </rPr>
          <t xml:space="preserve">Gabor Daniel:
Some Altreidians settled South in the Midlands whilst most settled where they arrived, right next to the portal that brought them there. Despite its closure, they founded Rasonia around this monument in hopes that one day their way home will be rebirthed. Their Ambition to has lead to many wars, as well as the "New" leading trading capital of the Plains.
</t>
        </r>
      </text>
    </comment>
    <comment ref="A4" authorId="0">
      <text/>
    </comment>
    <comment ref="B4" authorId="0">
      <text>
        <r>
          <rPr>
            <sz val="11"/>
            <color theme="1"/>
            <rFont val="Arial"/>
          </rPr>
          <t xml:space="preserve">Gabor Daniel:
ORIGIN: Old-Worlders
One of the first Races to arrive from the "Old World" into the Planes, they stand as the most numerous amongst all races. They stand at the basis of most wars as well as most creations.
</t>
        </r>
      </text>
    </comment>
    <comment ref="C4" authorId="3">
      <text>
        <r>
          <rPr>
            <sz val="11"/>
            <color theme="1"/>
            <rFont val="Arial"/>
          </rPr>
          <t xml:space="preserve">Gabor Daniel:
The Western settlers founded 2 large cities, Uyser and Serevin, which later grew into Provinces. Their Disciplined nature was forced by their environment and enemies. After driving out the Divine from Prazos they took the region as their own and formed the Trialance, a single State combining the 3 to benefit all Sentients.
</t>
        </r>
      </text>
    </comment>
    <comment ref="Y4" authorId="3">
      <text>
        <r>
          <rPr>
            <sz val="11"/>
            <color theme="1"/>
            <rFont val="Arial"/>
          </rPr>
          <t xml:space="preserve">Gabor Daniel:
The Western settlers founded 2 large cities, Uyser and Serevin, which later grew into Provinces. Their Disciplined nature was forced by their environment and enemies. After driving out the Divine from Prazos they took the region as their own and formed the Trialance, a single State combining the 3 to benefit all Sentients.
</t>
        </r>
      </text>
    </comment>
    <comment ref="A5" authorId="0">
      <text/>
    </comment>
    <comment ref="B5" authorId="0">
      <text>
        <r>
          <rPr>
            <sz val="11"/>
            <color theme="1"/>
            <rFont val="Arial"/>
          </rPr>
          <t xml:space="preserve">Gabor Daniel:
ORIGIN: Planian
Planic born beings, they were mere tribal creatures when the Portal of the old world first opened, however, in more recent times they've adapted themselves to using weapons, armor and learnt the common tongue.
</t>
        </r>
      </text>
    </comment>
    <comment ref="C5" authorId="4">
      <text>
        <r>
          <rPr>
            <sz val="11"/>
            <color theme="1"/>
            <rFont val="Arial"/>
          </rPr>
          <t xml:space="preserve">Gabor Daniel:
The Lurkers are a solidary Reptilion strain. It is believed they were thrown into the depts of the Planes after the Troglodytes banished them. They don't often resurface, but when they do, it's a bad omen.
</t>
        </r>
      </text>
    </comment>
    <comment ref="Y5" authorId="4">
      <text>
        <r>
          <rPr>
            <sz val="11"/>
            <color theme="1"/>
            <rFont val="Arial"/>
          </rPr>
          <t xml:space="preserve">Gabor Daniel:
The Lurkers are a solidary Reptilion strain. It is believed they were thrown into the depts of the Planes after the Troglodytes banished them. They don't often resurface, but when they do, it's a bad omen.
</t>
        </r>
      </text>
    </comment>
    <comment ref="A6" authorId="0">
      <text/>
    </comment>
    <comment ref="B6" authorId="0">
      <text>
        <r>
          <rPr>
            <sz val="11"/>
            <color theme="1"/>
            <rFont val="Arial"/>
          </rPr>
          <t xml:space="preserve">Gabor Daniel:
ORIGIN: Planian
Planic born beings, they were mere tribal creatures when the Portal of the old world first opened, however, in more recent times they've adapted themselves to using weapons, armor and learnt the common tongue.
</t>
        </r>
      </text>
    </comment>
    <comment ref="C6" authorId="5">
      <text>
        <r>
          <rPr>
            <sz val="11"/>
            <color theme="1"/>
            <rFont val="Arial"/>
          </rPr>
          <t xml:space="preserve">Gabor Daniel:
The Kobolds, originaly from the Volcanic regions of the main Planic, joined the other races and were fully accepted in their communities due to their quick mastery of magic and language. Their resistance to fire forged them renoun among the Dwarven Population.
</t>
        </r>
      </text>
    </comment>
    <comment ref="Y6" authorId="5">
      <text>
        <r>
          <rPr>
            <sz val="11"/>
            <color theme="1"/>
            <rFont val="Arial"/>
          </rPr>
          <t xml:space="preserve">Gabor Daniel:
The Kobolds, originaly from the Volcanic regions of the main Planic, joined the other races and were fully accepted in their communities due to their quick mastery of magic and language. Their resistance to fire forged them renoun among the Dwarven Population.
</t>
        </r>
      </text>
    </comment>
    <comment ref="A7" authorId="0">
      <text/>
    </comment>
    <comment ref="B7" authorId="0">
      <text>
        <r>
          <rPr>
            <sz val="11"/>
            <color theme="1"/>
            <rFont val="Arial"/>
          </rPr>
          <t xml:space="preserve">Gabor Daniel:
ORIGIN: Planian
Planic born beings, they were mere tribal creatures when the Portal of the old world first opened, however, in more recent times they've adapted themselves to using weapons, armor and learnt the common tongue.
</t>
        </r>
      </text>
    </comment>
    <comment ref="C7" authorId="6">
      <text>
        <r>
          <rPr>
            <sz val="11"/>
            <color theme="1"/>
            <rFont val="Arial"/>
          </rPr>
          <t xml:space="preserve">Gabor Daniel:
Reptilion cavedwellers found in the Midlands. Unexpectedly fierce, the Troglodytes live in tribes and outcast themselves from the general populus of the Planes.
</t>
        </r>
      </text>
    </comment>
    <comment ref="Y7" authorId="6">
      <text>
        <r>
          <rPr>
            <sz val="11"/>
            <color theme="1"/>
            <rFont val="Arial"/>
          </rPr>
          <t xml:space="preserve">Gabor Daniel:
Reptilion cavedwellers found in the Midlands. Unexpectedly fierce, the Troglodytes live in tribes and outcast themselves from the general populus of the Planes.
</t>
        </r>
      </text>
    </comment>
    <comment ref="A8" authorId="0">
      <text/>
    </comment>
    <comment ref="B8" authorId="0">
      <text>
        <r>
          <rPr>
            <sz val="11"/>
            <color theme="1"/>
            <rFont val="Arial"/>
          </rPr>
          <t xml:space="preserve">Gabor Daniel:
ORIGIN: Created
The 'Nari were created by a group of corrupted Soulmancers and Druids which merged the bodies and souls of Humans with various species from the Old-World. Their cult was stopped, but the many specimens were allowed to live in the sacred grove. Their population quickly rose and are now found in many States across the Planes.
</t>
        </r>
      </text>
    </comment>
    <comment ref="C8" authorId="7">
      <text>
        <r>
          <rPr>
            <sz val="11"/>
            <color theme="1"/>
            <rFont val="Arial"/>
          </rPr>
          <t xml:space="preserve">Gabor Daniel:
The result of the interspecies merging between the Felines and Humans. They are masters at hunting their prey.
</t>
        </r>
      </text>
    </comment>
    <comment ref="Y8" authorId="7">
      <text>
        <r>
          <rPr>
            <sz val="11"/>
            <color theme="1"/>
            <rFont val="Arial"/>
          </rPr>
          <t xml:space="preserve">Gabor Daniel:
The result of the interspecies merging between the Felines and Humans. They are masters at hunting their prey.
</t>
        </r>
      </text>
    </comment>
    <comment ref="A9" authorId="0">
      <text/>
    </comment>
    <comment ref="B9" authorId="0">
      <text>
        <r>
          <rPr>
            <sz val="11"/>
            <color theme="1"/>
            <rFont val="Arial"/>
          </rPr>
          <t xml:space="preserve">Gabor Daniel:
ORIGIN: Created
The 'Nari were created by a group of corrupted Soulmancers and Druids which merged the bodies and souls of Humans with various species from the Old-World. Their cult was stopped, but the many specimens were allowed to live in the sacred grove. Their population quickly rose and are now found in many States across the Planes.
</t>
        </r>
      </text>
    </comment>
    <comment ref="C9" authorId="8">
      <text>
        <r>
          <rPr>
            <sz val="11"/>
            <color theme="1"/>
            <rFont val="Arial"/>
          </rPr>
          <t xml:space="preserve">Gabor Daniel:
The result of the interspecies merging between the Foxes and Humans. They master the art of mana sensing and are able to easily find their tracks in forests.
</t>
        </r>
      </text>
    </comment>
    <comment ref="Y9" authorId="8">
      <text>
        <r>
          <rPr>
            <sz val="11"/>
            <color theme="1"/>
            <rFont val="Arial"/>
          </rPr>
          <t xml:space="preserve">Gabor Daniel:
The result of the interspecies merging between the Foxes and Humans. They master the art of mana sensing and are able to easily find their tracks in forests.
</t>
        </r>
      </text>
    </comment>
    <comment ref="A10" authorId="0">
      <text/>
    </comment>
    <comment ref="B10" authorId="0">
      <text>
        <r>
          <rPr>
            <sz val="11"/>
            <color theme="1"/>
            <rFont val="Arial"/>
          </rPr>
          <t xml:space="preserve">Gabor Daniel:
ORIGIN: Created
The 'Nari were created by a group of corrupted Soulmancers and Druids which merged the bodies and souls of Humans with various species from the Old-World. Their cult was stopped, but the many specimens were allowed to live in the sacred grove. Their population quickly rose and are now found in many States across the Planes.
</t>
        </r>
      </text>
    </comment>
    <comment ref="C10" authorId="9">
      <text>
        <r>
          <rPr>
            <sz val="11"/>
            <color theme="1"/>
            <rFont val="Arial"/>
          </rPr>
          <t xml:space="preserve">Gabor Daniel:
The result of the interspecies merging between the Wolves and Humans. They are deadly warriors engulfed in layers of thick fur and even deadlier teeth.
</t>
        </r>
      </text>
    </comment>
    <comment ref="Y10" authorId="9">
      <text>
        <r>
          <rPr>
            <sz val="11"/>
            <color theme="1"/>
            <rFont val="Arial"/>
          </rPr>
          <t xml:space="preserve">Gabor Daniel:
The result of the interspecies merging between the Wolves and Humans. They are deadly warriors engulfed in layers of thick fur and even deadlier teeth.
</t>
        </r>
      </text>
    </comment>
    <comment ref="A11" authorId="0">
      <text/>
    </comment>
    <comment ref="B11" authorId="0">
      <text>
        <r>
          <rPr>
            <sz val="11"/>
            <color theme="1"/>
            <rFont val="Arial"/>
          </rPr>
          <t xml:space="preserve">Gabor Daniel:
ORIGIN: Planian
Avians were the leaders of the skies, dominating all the mountain ranges. They were the first to meet the Old-Worlders in combat and almost got completey wiped out because of it. They were not prepared for the advanced users of arcane that invaded their lands. After the Trialance was established they made peace with most Old-Worlders.
LIBRARIAN NOTE: "We have attempted to force the Harpy incubation with eggs of all species. Lots of new Avian types have been created in this process and afterwards exterminated, however Harpy's do not hatch naturally eggs other than those of owls and ravens." 
</t>
        </r>
      </text>
    </comment>
    <comment ref="C11" authorId="10">
      <text>
        <r>
          <rPr>
            <sz val="11"/>
            <color theme="1"/>
            <rFont val="Arial"/>
          </rPr>
          <t xml:space="preserve">Gabor Daniel:
The Harpy is a Fierce Winged Sentient. They live in packs and hunt together using their numbers to their advantage. They are known to steal other bird eggs and incubate them in order to hatch other Avians. This may happen due to a Tribes necessity at specific skills. They are the most common Avians.
</t>
        </r>
      </text>
    </comment>
    <comment ref="Y11" authorId="10">
      <text>
        <r>
          <rPr>
            <sz val="11"/>
            <color theme="1"/>
            <rFont val="Arial"/>
          </rPr>
          <t xml:space="preserve">Gabor Daniel:
The Harpy is a Fierce Winged Sentient. They live in packs and hunt together using their numbers to their advantage. They are known to steal other bird eggs and incubate them in order to hatch other Avians. This may happen due to a Tribes necessity at specific skills. They are the most common Avians.
</t>
        </r>
      </text>
    </comment>
    <comment ref="A12" authorId="0">
      <text/>
    </comment>
    <comment ref="B12" authorId="0">
      <text>
        <r>
          <rPr>
            <sz val="11"/>
            <color theme="1"/>
            <rFont val="Arial"/>
          </rPr>
          <t xml:space="preserve">Gabor Daniel:
ORIGIN: Planian
Avians were the leaders of the skies, dominating all the mountain ranges. They were the first to meet the Old-Worlders in combat and almost got completey wiped out because of it. They were not prepared for the advanced users of arcane that invaded their lands. After the Trialance was established they made peace with most Old-Worlders.
LIBRARIAN NOTE: "We have attempted to force the Harpy incubation with eggs of all species. Lots of new Avian types have been created in this process and afterwards exterminated, however Harpy's do not hatch naturally eggs other than those of owls and ravens." 
</t>
        </r>
      </text>
    </comment>
    <comment ref="C12" authorId="11">
      <text>
        <r>
          <rPr>
            <sz val="11"/>
            <color theme="1"/>
            <rFont val="Arial"/>
          </rPr>
          <t xml:space="preserve">Gabor Daniel:
The Strix is an Owl-type Avian which hatches only from an Owls Egg which is incubated by a Harpy.
Their eyes allow them to see what most can not, additionaly they have a higher affinity to magic. 
</t>
        </r>
      </text>
    </comment>
    <comment ref="Y12" authorId="11">
      <text>
        <r>
          <rPr>
            <sz val="11"/>
            <color theme="1"/>
            <rFont val="Arial"/>
          </rPr>
          <t xml:space="preserve">Gabor Daniel:
The Strix is an Owl-type Avian which hatches only from an Owls Egg which is incubated by a Harpy.
Their eyes allow them to see what most can not, additionaly they have a higher affinity to magic. 
</t>
        </r>
      </text>
    </comment>
    <comment ref="A13" authorId="0">
      <text/>
    </comment>
    <comment ref="B13" authorId="0">
      <text>
        <r>
          <rPr>
            <sz val="11"/>
            <color theme="1"/>
            <rFont val="Arial"/>
          </rPr>
          <t xml:space="preserve">Gabor Daniel:
ORIGIN: Planian
Avians were the leaders of the skies, dominating all the mountain ranges. They were the first to meet the Old-Worlders in combat and almost got completey wiped out because of it. They were not prepared for the advanced users of arcane that invaded their lands. After the Trialance was established they made peace with most Old-Worlders.
LIBRARIAN NOTE: "We have attempted to force the Harpy incubation with eggs of all species. Lots of new Avian types have been created in this process and afterwards exterminated, however Harpy's do not hatch naturally eggs other than those of owls and ravens." 
</t>
        </r>
      </text>
    </comment>
    <comment ref="C13" authorId="12">
      <text>
        <r>
          <rPr>
            <sz val="11"/>
            <color theme="1"/>
            <rFont val="Arial"/>
          </rPr>
          <t xml:space="preserve">Gabor Daniel:
The Ravian is a Raven-type Avian which hatches only from a Ravens Egg which is incubated by a Harpy. They are fearless hunters with incredible reflexes. 
</t>
        </r>
      </text>
    </comment>
    <comment ref="Y13" authorId="12">
      <text>
        <r>
          <rPr>
            <sz val="11"/>
            <color theme="1"/>
            <rFont val="Arial"/>
          </rPr>
          <t xml:space="preserve">Gabor Daniel:
The Ravian is a Raven-type Avian which hatches only from a Ravens Egg which is incubated by a Harpy. They are fearless hunters with incredible reflexes. 
</t>
        </r>
      </text>
    </comment>
    <comment ref="A14" authorId="0">
      <text/>
    </comment>
    <comment ref="B14" authorId="0">
      <text>
        <r>
          <rPr>
            <sz val="11"/>
            <color theme="1"/>
            <rFont val="Arial"/>
          </rPr>
          <t xml:space="preserve">Gabor Daniel:
ORIGIN:Old-Worlder/Created
Brazen were Half-orcs that got immediately cursed by the Planic Gods once they stepped through the portal.
The curse caused some to get the upper body of a bull, some the lower body of a bull and others were completely unaffected, those were called the Forgotten.
</t>
        </r>
      </text>
    </comment>
    <comment ref="C14" authorId="13">
      <text>
        <r>
          <rPr>
            <sz val="11"/>
            <color theme="1"/>
            <rFont val="Arial"/>
          </rPr>
          <t xml:space="preserve">Gabor Daniel:
Horns of fury, thichk fur and raging eyes. This absolute unit not short of a monster will tear through the toughest enemies without much care.
</t>
        </r>
      </text>
    </comment>
    <comment ref="Y14" authorId="13">
      <text>
        <r>
          <rPr>
            <sz val="11"/>
            <color theme="1"/>
            <rFont val="Arial"/>
          </rPr>
          <t xml:space="preserve">Gabor Daniel:
Horns of fury, thichk fur and raging eyes. This absolute unit not short of a monster will tear through the toughest enemies without much care.
</t>
        </r>
      </text>
    </comment>
    <comment ref="A15" authorId="0">
      <text/>
    </comment>
    <comment ref="B15" authorId="0">
      <text>
        <r>
          <rPr>
            <sz val="11"/>
            <color theme="1"/>
            <rFont val="Arial"/>
          </rPr>
          <t xml:space="preserve">Gabor Daniel:
ORIGIN:Old-Worlder/Created
Brazen were Half-orcs that got immediately cursed by the Planic Gods once they stepped through the portal.
The curse caused some to get the upper body of a bull, some the lower body of a bull and others were completely unaffected, those were called the Forgotten.
</t>
        </r>
      </text>
    </comment>
    <comment ref="C15" authorId="14">
      <text>
        <r>
          <rPr>
            <sz val="11"/>
            <color theme="1"/>
            <rFont val="Arial"/>
          </rPr>
          <t xml:space="preserve">Gabor Daniel:
The true Half-orcs that originally came from the Old-World were bread with Humans, trolls and even Dwarves. If there is something that they all have in common it is their Solid build.
</t>
        </r>
      </text>
    </comment>
    <comment ref="Y15" authorId="14">
      <text>
        <r>
          <rPr>
            <sz val="11"/>
            <color theme="1"/>
            <rFont val="Arial"/>
          </rPr>
          <t xml:space="preserve">Gabor Daniel:
The true Half-orcs that originally came from the Old-World were bread with Humans, trolls and even Dwarves. If there is something that they all have in common it is their Solid build.
</t>
        </r>
      </text>
    </comment>
    <comment ref="A16" authorId="0">
      <text/>
    </comment>
    <comment ref="B16" authorId="0">
      <text>
        <r>
          <rPr>
            <sz val="11"/>
            <color theme="1"/>
            <rFont val="Arial"/>
          </rPr>
          <t xml:space="preserve">Gabor Daniel:
ORIGIN:Old-Worlder/Created
Brazen were Half-orcs that got immediately cursed by the Planic Gods once they stepped through the portal.
The curse caused some to get the upper body of a bull, some the lower body of a bull and others were completely unaffected, those were called the Forgotten.
</t>
        </r>
      </text>
    </comment>
    <comment ref="C16" authorId="15">
      <text>
        <r>
          <rPr>
            <sz val="11"/>
            <color theme="1"/>
            <rFont val="Arial"/>
          </rPr>
          <t xml:space="preserve">Gabor Daniel:
Even though it looks like the Satyrs drew the short end of the stick, their upper strength never changed and their improved hoves allowed them for higher agility. They are cunning and never let their guard down, they know very well which fights to take and which not to.
</t>
        </r>
      </text>
    </comment>
    <comment ref="Y16" authorId="15">
      <text>
        <r>
          <rPr>
            <sz val="11"/>
            <color theme="1"/>
            <rFont val="Arial"/>
          </rPr>
          <t xml:space="preserve">Gabor Daniel:
Even though it looks like the Satyrs drew the short end of the stick, their upper strength never changed and their improved hoves allowed them for higher agility. They are cunning and never let their guard down, they know very well which fights to take and which not to.
</t>
        </r>
      </text>
    </comment>
    <comment ref="A17" authorId="0">
      <text/>
    </comment>
    <comment ref="B17" authorId="0">
      <text>
        <r>
          <rPr>
            <sz val="11"/>
            <color theme="1"/>
            <rFont val="Arial"/>
          </rPr>
          <t xml:space="preserve">Gabor Daniel:
ORIGIN: Old-Worlder
</t>
        </r>
      </text>
    </comment>
    <comment ref="C17" authorId="16">
      <text/>
    </comment>
    <comment ref="A18" authorId="0">
      <text/>
    </comment>
    <comment ref="B18" authorId="0">
      <text>
        <r>
          <rPr>
            <sz val="11"/>
            <color theme="1"/>
            <rFont val="Arial"/>
          </rPr>
          <t xml:space="preserve">Gabor Daniel:
ORIGIN: Old-Worlder
</t>
        </r>
      </text>
    </comment>
    <comment ref="C18" authorId="17">
      <text/>
    </comment>
    <comment ref="A19" authorId="0">
      <text/>
    </comment>
    <comment ref="B19" authorId="0">
      <text>
        <r>
          <rPr>
            <sz val="11"/>
            <color theme="1"/>
            <rFont val="Arial"/>
          </rPr>
          <t xml:space="preserve">Gabor Daniel:
ORIGIN: Old-Worlder
</t>
        </r>
      </text>
    </comment>
    <comment ref="C19" authorId="18">
      <text/>
    </comment>
    <comment ref="A20" authorId="0">
      <text/>
    </comment>
    <comment ref="B20" authorId="0">
      <text>
        <r>
          <rPr>
            <sz val="11"/>
            <color theme="1"/>
            <rFont val="Arial"/>
          </rPr>
          <t xml:space="preserve">Gabor Daniel:
ORIGIN: Old-Worlder
</t>
        </r>
      </text>
    </comment>
    <comment ref="C20" authorId="19">
      <text/>
    </comment>
    <comment ref="A21" authorId="0">
      <text/>
    </comment>
    <comment ref="B21" authorId="0">
      <text>
        <r>
          <rPr>
            <sz val="11"/>
            <color theme="1"/>
            <rFont val="Arial"/>
          </rPr>
          <t xml:space="preserve">Gabor Daniel:
ORIGIN: Old-Worlder
</t>
        </r>
      </text>
    </comment>
    <comment ref="C21" authorId="20">
      <text/>
    </comment>
    <comment ref="A22" authorId="0">
      <text/>
    </comment>
    <comment ref="B22" authorId="0">
      <text>
        <r>
          <rPr>
            <sz val="11"/>
            <color theme="1"/>
            <rFont val="Arial"/>
          </rPr>
          <t xml:space="preserve">Gabor Daniel:
ORIGIN: Old-Worlder
</t>
        </r>
      </text>
    </comment>
    <comment ref="C22" authorId="21">
      <text/>
    </comment>
    <comment ref="A23" authorId="0">
      <text/>
    </comment>
    <comment ref="B23" authorId="0">
      <text>
        <r>
          <rPr>
            <sz val="11"/>
            <color theme="1"/>
            <rFont val="Arial"/>
          </rPr>
          <t xml:space="preserve">Gabor Daniel:
ORIGIN: Old-Worlder
</t>
        </r>
      </text>
    </comment>
    <comment ref="C23" authorId="22">
      <text/>
    </comment>
    <comment ref="A24" authorId="0">
      <text/>
    </comment>
    <comment ref="B24" authorId="0">
      <text>
        <r>
          <rPr>
            <sz val="11"/>
            <color theme="1"/>
            <rFont val="Arial"/>
          </rPr>
          <t xml:space="preserve">Gabor Daniel:
ORIGIN: Old-Worlder
</t>
        </r>
      </text>
    </comment>
    <comment ref="C24" authorId="23">
      <text/>
    </comment>
    <comment ref="A25" authorId="0">
      <text/>
    </comment>
    <comment ref="B25" authorId="0">
      <text>
        <r>
          <rPr>
            <sz val="11"/>
            <color theme="1"/>
            <rFont val="Arial"/>
          </rPr>
          <t xml:space="preserve">Gabor Daniel:
ORIGIN: Old-Worlder
</t>
        </r>
      </text>
    </comment>
    <comment ref="C25" authorId="24">
      <text/>
    </comment>
    <comment ref="A26" authorId="0">
      <text/>
    </comment>
    <comment ref="B26" authorId="0">
      <text>
        <r>
          <rPr>
            <sz val="11"/>
            <color theme="1"/>
            <rFont val="Arial"/>
          </rPr>
          <t xml:space="preserve">Gabor Daniel:
ORIGIN: Planian
</t>
        </r>
      </text>
    </comment>
    <comment ref="C26" authorId="25">
      <text/>
    </comment>
    <comment ref="A27" authorId="0">
      <text/>
    </comment>
    <comment ref="B27" authorId="0">
      <text>
        <r>
          <rPr>
            <sz val="11"/>
            <color theme="1"/>
            <rFont val="Arial"/>
          </rPr>
          <t xml:space="preserve">Gabor Daniel:
ORIGIN: Planian
</t>
        </r>
      </text>
    </comment>
    <comment ref="C27" authorId="26">
      <text/>
    </comment>
    <comment ref="A28" authorId="0">
      <text/>
    </comment>
    <comment ref="B28" authorId="0">
      <text>
        <r>
          <rPr>
            <sz val="11"/>
            <color theme="1"/>
            <rFont val="Arial"/>
          </rPr>
          <t xml:space="preserve">Gabor Daniel:
ORIGIN: Planian
</t>
        </r>
      </text>
    </comment>
    <comment ref="C28" authorId="27">
      <text/>
    </comment>
    <comment ref="A29" authorId="0">
      <text/>
    </comment>
    <comment ref="B29" authorId="0">
      <text>
        <r>
          <rPr>
            <sz val="11"/>
            <color theme="1"/>
            <rFont val="Arial"/>
          </rPr>
          <t xml:space="preserve">Gabor Daniel:
ORIGIN: Planian
</t>
        </r>
      </text>
    </comment>
    <comment ref="C29" authorId="28">
      <text/>
    </comment>
    <comment ref="A30" authorId="0">
      <text/>
    </comment>
    <comment ref="B30" authorId="0">
      <text>
        <r>
          <rPr>
            <sz val="11"/>
            <color theme="1"/>
            <rFont val="Arial"/>
          </rPr>
          <t xml:space="preserve">Gabor Daniel:
ORIGIN: Planian
</t>
        </r>
      </text>
    </comment>
    <comment ref="C30" authorId="29">
      <text/>
    </comment>
    <comment ref="A31" authorId="0">
      <text/>
    </comment>
    <comment ref="B31" authorId="0">
      <text>
        <r>
          <rPr>
            <sz val="11"/>
            <color theme="1"/>
            <rFont val="Arial"/>
          </rPr>
          <t xml:space="preserve">Gabor Daniel:
ORIGIN: Planian
</t>
        </r>
      </text>
    </comment>
    <comment ref="C31" authorId="30">
      <text/>
    </comment>
    <comment ref="A32" authorId="0">
      <text/>
    </comment>
    <comment ref="B32" authorId="0">
      <text>
        <r>
          <rPr>
            <sz val="11"/>
            <color theme="1"/>
            <rFont val="Arial"/>
          </rPr>
          <t xml:space="preserve">Gabor Daniel:
ORIGIN: Planian
</t>
        </r>
      </text>
    </comment>
    <comment ref="C32" authorId="31">
      <text/>
    </comment>
    <comment ref="A33" authorId="0">
      <text/>
    </comment>
    <comment ref="B33" authorId="0">
      <text>
        <r>
          <rPr>
            <sz val="11"/>
            <color theme="1"/>
            <rFont val="Arial"/>
          </rPr>
          <t xml:space="preserve">Gabor Daniel:
ORIGIN: Planian
</t>
        </r>
      </text>
    </comment>
    <comment ref="C33" authorId="32">
      <text/>
    </comment>
    <comment ref="A34" authorId="0">
      <text/>
    </comment>
    <comment ref="B34" authorId="0">
      <text>
        <r>
          <rPr>
            <sz val="11"/>
            <color theme="1"/>
            <rFont val="Arial"/>
          </rPr>
          <t xml:space="preserve">Gabor Daniel:
ORIGIN: Planian
</t>
        </r>
      </text>
    </comment>
    <comment ref="C34" authorId="33">
      <text/>
    </comment>
    <comment ref="A35" authorId="0">
      <text/>
    </comment>
    <comment ref="B35" authorId="0">
      <text>
        <r>
          <rPr>
            <sz val="11"/>
            <color theme="1"/>
            <rFont val="Arial"/>
          </rPr>
          <t xml:space="preserve">Gabor Daniel:
ORIGIN: Old-Worlder
</t>
        </r>
      </text>
    </comment>
    <comment ref="C35" authorId="34">
      <text/>
    </comment>
    <comment ref="A36" authorId="0">
      <text/>
    </comment>
    <comment ref="B36" authorId="0">
      <text>
        <r>
          <rPr>
            <sz val="11"/>
            <color theme="1"/>
            <rFont val="Arial"/>
          </rPr>
          <t xml:space="preserve">Gabor Daniel:
ORIGIN: Old-Worlder
</t>
        </r>
      </text>
    </comment>
    <comment ref="C36" authorId="35">
      <text/>
    </comment>
    <comment ref="A37" authorId="0">
      <text/>
    </comment>
    <comment ref="B37" authorId="0">
      <text>
        <r>
          <rPr>
            <sz val="11"/>
            <color theme="1"/>
            <rFont val="Arial"/>
          </rPr>
          <t xml:space="preserve">Gabor Daniel:
ORIGIN: Old-Worlder
</t>
        </r>
      </text>
    </comment>
    <comment ref="C37" authorId="36">
      <text/>
    </comment>
    <comment ref="B38" authorId="0">
      <text>
        <r>
          <rPr>
            <sz val="11"/>
            <color theme="1"/>
            <rFont val="Arial"/>
          </rPr>
          <t xml:space="preserve">Gabor Daniel:
ORIGIN: Arkafaerian
</t>
        </r>
      </text>
    </comment>
    <comment ref="C38" authorId="37">
      <text/>
    </comment>
    <comment ref="B39" authorId="0">
      <text>
        <r>
          <rPr>
            <sz val="11"/>
            <color theme="1"/>
            <rFont val="Arial"/>
          </rPr>
          <t xml:space="preserve">Gabor Daniel:
ORIGIN: Arkafaerian
</t>
        </r>
      </text>
    </comment>
    <comment ref="C39" authorId="38">
      <text/>
    </comment>
    <comment ref="B40" authorId="0">
      <text>
        <r>
          <rPr>
            <sz val="11"/>
            <color theme="1"/>
            <rFont val="Arial"/>
          </rPr>
          <t xml:space="preserve">Gabor Daniel:
ORIGIN: Arkafaerian
</t>
        </r>
      </text>
    </comment>
    <comment ref="C40" authorId="39">
      <text/>
    </comment>
    <comment ref="B41" authorId="0">
      <text>
        <r>
          <rPr>
            <sz val="11"/>
            <color theme="1"/>
            <rFont val="Arial"/>
          </rPr>
          <t xml:space="preserve">Gabor Daniel:
ORIGIN: Arkafaerian
</t>
        </r>
      </text>
    </comment>
    <comment ref="C41" authorId="40">
      <text/>
    </comment>
    <comment ref="B42" authorId="0">
      <text>
        <r>
          <rPr>
            <sz val="11"/>
            <color theme="1"/>
            <rFont val="Arial"/>
          </rPr>
          <t xml:space="preserve">Gabor Daniel:
ORIGIN: Arkafaerian
</t>
        </r>
      </text>
    </comment>
    <comment ref="C42" authorId="41">
      <text/>
    </comment>
    <comment ref="B43" authorId="0">
      <text>
        <r>
          <rPr>
            <sz val="11"/>
            <color theme="1"/>
            <rFont val="Arial"/>
          </rPr>
          <t xml:space="preserve">Gabor Daniel:
ORIGIN: Arkafaerian
</t>
        </r>
      </text>
    </comment>
    <comment ref="C43" authorId="42">
      <text/>
    </comment>
    <comment ref="B44" authorId="0">
      <text>
        <r>
          <rPr>
            <sz val="11"/>
            <color theme="1"/>
            <rFont val="Arial"/>
          </rPr>
          <t xml:space="preserve">Gabor Daniel:
ORIGIN: Arkafaerian
</t>
        </r>
      </text>
    </comment>
    <comment ref="C44" authorId="43">
      <text/>
    </comment>
    <comment ref="B45" authorId="0">
      <text>
        <r>
          <rPr>
            <sz val="11"/>
            <color theme="1"/>
            <rFont val="Arial"/>
          </rPr>
          <t xml:space="preserve">Gabor Daniel:
ORIGIN: Arkafaerian
</t>
        </r>
      </text>
    </comment>
    <comment ref="C45" authorId="44">
      <text/>
    </comment>
    <comment ref="B46" authorId="0">
      <text>
        <r>
          <rPr>
            <sz val="11"/>
            <color theme="1"/>
            <rFont val="Arial"/>
          </rPr>
          <t xml:space="preserve">Gabor Daniel:
ORIGIN: Arkafaerian
</t>
        </r>
      </text>
    </comment>
    <comment ref="C46" authorId="45">
      <text/>
    </comment>
    <comment ref="B47" authorId="0">
      <text>
        <r>
          <rPr>
            <sz val="11"/>
            <color theme="1"/>
            <rFont val="Arial"/>
          </rPr>
          <t xml:space="preserve">Gabor Daniel:
ORIGIN: Arkafaerian
</t>
        </r>
      </text>
    </comment>
    <comment ref="C47" authorId="46">
      <text/>
    </comment>
    <comment ref="B48" authorId="0">
      <text>
        <r>
          <rPr>
            <sz val="11"/>
            <color theme="1"/>
            <rFont val="Arial"/>
          </rPr>
          <t xml:space="preserve">Gabor Daniel:
ORIGIN: Arkafaerian
</t>
        </r>
      </text>
    </comment>
    <comment ref="C48" authorId="47">
      <text/>
    </comment>
    <comment ref="B49" authorId="0">
      <text>
        <r>
          <rPr>
            <sz val="11"/>
            <color theme="1"/>
            <rFont val="Arial"/>
          </rPr>
          <t xml:space="preserve">Gabor Daniel:
ORIGIN: Arkafaerian
</t>
        </r>
      </text>
    </comment>
    <comment ref="C49" authorId="48">
      <text/>
    </comment>
    <comment ref="A50" authorId="0">
      <text/>
    </comment>
    <comment ref="B50" authorId="0">
      <text>
        <r>
          <rPr>
            <sz val="11"/>
            <color theme="1"/>
            <rFont val="Arial"/>
          </rPr>
          <t xml:space="preserve">Gabor Daniel:
ORIGIN: Created
</t>
        </r>
      </text>
    </comment>
    <comment ref="C50" authorId="49">
      <text/>
    </comment>
    <comment ref="A51" authorId="0">
      <text/>
    </comment>
    <comment ref="B51" authorId="0">
      <text>
        <r>
          <rPr>
            <sz val="11"/>
            <color theme="1"/>
            <rFont val="Arial"/>
          </rPr>
          <t xml:space="preserve">Gabor Daniel:
ORIGIN: Created
</t>
        </r>
      </text>
    </comment>
    <comment ref="C51" authorId="50">
      <text/>
    </comment>
    <comment ref="A52" authorId="0">
      <text/>
    </comment>
    <comment ref="B52" authorId="0">
      <text>
        <r>
          <rPr>
            <sz val="11"/>
            <color theme="1"/>
            <rFont val="Arial"/>
          </rPr>
          <t xml:space="preserve">Gabor Daniel:
ORIGIN: Created
</t>
        </r>
      </text>
    </comment>
    <comment ref="C52" authorId="51">
      <text/>
    </comment>
    <comment ref="A53" authorId="0">
      <text/>
    </comment>
    <comment ref="B53" authorId="0">
      <text>
        <r>
          <rPr>
            <sz val="11"/>
            <color theme="1"/>
            <rFont val="Arial"/>
          </rPr>
          <t xml:space="preserve">Gabor Daniel:
ORIGIN: Created
</t>
        </r>
      </text>
    </comment>
    <comment ref="C53" authorId="52">
      <text/>
    </comment>
    <comment ref="A54" authorId="0">
      <text/>
    </comment>
    <comment ref="B54" authorId="0">
      <text>
        <r>
          <rPr>
            <sz val="11"/>
            <color theme="1"/>
            <rFont val="Arial"/>
          </rPr>
          <t xml:space="preserve">Gabor Daniel:
ORIGIN: Created
</t>
        </r>
      </text>
    </comment>
    <comment ref="C54" authorId="53">
      <text/>
    </comment>
    <comment ref="A55" authorId="0">
      <text/>
    </comment>
    <comment ref="B55" authorId="0">
      <text>
        <r>
          <rPr>
            <sz val="11"/>
            <color theme="1"/>
            <rFont val="Arial"/>
          </rPr>
          <t xml:space="preserve">Gabor Daniel:
ORIGIN: Created
</t>
        </r>
      </text>
    </comment>
    <comment ref="C55" authorId="54">
      <text/>
    </comment>
    <comment ref="A56" authorId="0">
      <text/>
    </comment>
    <comment ref="B56" authorId="0">
      <text>
        <r>
          <rPr>
            <sz val="11"/>
            <color theme="1"/>
            <rFont val="Arial"/>
          </rPr>
          <t xml:space="preserve">Gabor Daniel:
ORIGIN: Planian
</t>
        </r>
      </text>
    </comment>
    <comment ref="C56" authorId="55">
      <text/>
    </comment>
    <comment ref="A57" authorId="0">
      <text/>
    </comment>
    <comment ref="B57" authorId="0">
      <text>
        <r>
          <rPr>
            <sz val="11"/>
            <color theme="1"/>
            <rFont val="Arial"/>
          </rPr>
          <t xml:space="preserve">Gabor Daniel:
ORIGIN: Planian
</t>
        </r>
      </text>
    </comment>
    <comment ref="C57" authorId="56">
      <text/>
    </comment>
    <comment ref="A58" authorId="0">
      <text/>
    </comment>
    <comment ref="B58" authorId="0">
      <text>
        <r>
          <rPr>
            <sz val="11"/>
            <color theme="1"/>
            <rFont val="Arial"/>
          </rPr>
          <t xml:space="preserve">Gabor Daniel:
ORIGIN: Planian
</t>
        </r>
      </text>
    </comment>
    <comment ref="C58" authorId="57">
      <text/>
    </comment>
    <comment ref="A59" authorId="0">
      <text/>
    </comment>
    <comment ref="B59" authorId="0">
      <text>
        <r>
          <rPr>
            <sz val="11"/>
            <color theme="1"/>
            <rFont val="Arial"/>
          </rPr>
          <t xml:space="preserve">Gabor Daniel:
ORIGIN: Created/Planian
</t>
        </r>
      </text>
    </comment>
    <comment ref="C59" authorId="58">
      <text/>
    </comment>
    <comment ref="A60" authorId="0">
      <text/>
    </comment>
    <comment ref="B60" authorId="0">
      <text>
        <r>
          <rPr>
            <sz val="11"/>
            <color theme="1"/>
            <rFont val="Arial"/>
          </rPr>
          <t xml:space="preserve">Gabor Daniel:
ORIGIN: Created/Planian
</t>
        </r>
      </text>
    </comment>
    <comment ref="C60" authorId="59">
      <text/>
    </comment>
    <comment ref="A61" authorId="0">
      <text/>
    </comment>
    <comment ref="B61" authorId="0">
      <text>
        <r>
          <rPr>
            <sz val="11"/>
            <color theme="1"/>
            <rFont val="Arial"/>
          </rPr>
          <t xml:space="preserve">Gabor Daniel:
ORIGIN: Created/Planian
</t>
        </r>
      </text>
    </comment>
    <comment ref="C61" authorId="60">
      <text/>
    </comment>
    <comment ref="A62" authorId="0">
      <text/>
    </comment>
    <comment ref="B62" authorId="0">
      <text>
        <r>
          <rPr>
            <sz val="11"/>
            <color theme="1"/>
            <rFont val="Arial"/>
          </rPr>
          <t xml:space="preserve">Gabor Daniel:
ORIGIN: Created
</t>
        </r>
      </text>
    </comment>
    <comment ref="C62" authorId="61">
      <text/>
    </comment>
    <comment ref="A63" authorId="0">
      <text/>
    </comment>
    <comment ref="B63" authorId="0">
      <text>
        <r>
          <rPr>
            <sz val="11"/>
            <color theme="1"/>
            <rFont val="Arial"/>
          </rPr>
          <t xml:space="preserve">Gabor Daniel:
ORIGIN: Created
</t>
        </r>
      </text>
    </comment>
    <comment ref="C63" authorId="62">
      <text/>
    </comment>
    <comment ref="A64" authorId="0">
      <text/>
    </comment>
    <comment ref="B64" authorId="0">
      <text>
        <r>
          <rPr>
            <sz val="11"/>
            <color theme="1"/>
            <rFont val="Arial"/>
          </rPr>
          <t xml:space="preserve">Gabor Daniel:
ORIGIN: Created
</t>
        </r>
      </text>
    </comment>
    <comment ref="C64" authorId="63">
      <text/>
    </comment>
    <comment ref="A65" authorId="0">
      <text/>
    </comment>
    <comment ref="B65" authorId="0">
      <text>
        <r>
          <rPr>
            <sz val="11"/>
            <color theme="1"/>
            <rFont val="Arial"/>
          </rPr>
          <t xml:space="preserve">Gabor Daniel:
ORIGIN: Planian
</t>
        </r>
      </text>
    </comment>
    <comment ref="C65" authorId="64">
      <text/>
    </comment>
    <comment ref="A66" authorId="0">
      <text/>
    </comment>
    <comment ref="B66" authorId="0">
      <text>
        <r>
          <rPr>
            <sz val="11"/>
            <color theme="1"/>
            <rFont val="Arial"/>
          </rPr>
          <t xml:space="preserve">Gabor Daniel:
ORIGIN: Planian
</t>
        </r>
      </text>
    </comment>
    <comment ref="C66" authorId="65">
      <text/>
    </comment>
    <comment ref="A67" authorId="0">
      <text/>
    </comment>
    <comment ref="B67" authorId="0">
      <text>
        <r>
          <rPr>
            <sz val="11"/>
            <color theme="1"/>
            <rFont val="Arial"/>
          </rPr>
          <t xml:space="preserve">Gabor Daniel:
ORIGIN: Planian
</t>
        </r>
      </text>
    </comment>
    <comment ref="C67" authorId="66">
      <text/>
    </comment>
    <comment ref="A68" authorId="0">
      <text/>
    </comment>
    <comment ref="B68" authorId="0">
      <text>
        <r>
          <rPr>
            <sz val="11"/>
            <color theme="1"/>
            <rFont val="Arial"/>
          </rPr>
          <t xml:space="preserve">Gabor Daniel:
ORIGIN: Planian
</t>
        </r>
      </text>
    </comment>
    <comment ref="C68" authorId="67">
      <text/>
    </comment>
    <comment ref="A69" authorId="0">
      <text/>
    </comment>
    <comment ref="B69" authorId="0">
      <text>
        <r>
          <rPr>
            <sz val="11"/>
            <color theme="1"/>
            <rFont val="Arial"/>
          </rPr>
          <t xml:space="preserve">Gabor Daniel:
ORIGIN: Planian
</t>
        </r>
      </text>
    </comment>
    <comment ref="C69" authorId="68">
      <text/>
    </comment>
    <comment ref="A70" authorId="0">
      <text/>
    </comment>
    <comment ref="B70" authorId="0">
      <text>
        <r>
          <rPr>
            <sz val="11"/>
            <color theme="1"/>
            <rFont val="Arial"/>
          </rPr>
          <t xml:space="preserve">Gabor Daniel:
ORIGIN: Planian
</t>
        </r>
      </text>
    </comment>
    <comment ref="C70" authorId="69">
      <text/>
    </comment>
    <comment ref="A71" authorId="0">
      <text/>
    </comment>
    <comment ref="B71" authorId="0">
      <text>
        <r>
          <rPr>
            <sz val="11"/>
            <color theme="1"/>
            <rFont val="Arial"/>
          </rPr>
          <t xml:space="preserve">Gabor Daniel:
ORIGIN: Created
</t>
        </r>
      </text>
    </comment>
    <comment ref="C71" authorId="70">
      <text/>
    </comment>
    <comment ref="A72" authorId="0">
      <text/>
    </comment>
    <comment ref="B72" authorId="0">
      <text>
        <r>
          <rPr>
            <sz val="11"/>
            <color theme="1"/>
            <rFont val="Arial"/>
          </rPr>
          <t xml:space="preserve">Gabor Daniel:
ORIGIN: Created
</t>
        </r>
      </text>
    </comment>
    <comment ref="C72" authorId="71">
      <text/>
    </comment>
    <comment ref="A73" authorId="0">
      <text/>
    </comment>
    <comment ref="B73" authorId="0">
      <text>
        <r>
          <rPr>
            <sz val="11"/>
            <color theme="1"/>
            <rFont val="Arial"/>
          </rPr>
          <t xml:space="preserve">Gabor Daniel:
ORIGIN: Created
</t>
        </r>
      </text>
    </comment>
    <comment ref="C73" authorId="72">
      <text/>
    </comment>
    <comment ref="A74" authorId="0">
      <text/>
    </comment>
    <comment ref="B74" authorId="0">
      <text>
        <r>
          <rPr>
            <sz val="11"/>
            <color theme="1"/>
            <rFont val="Arial"/>
          </rPr>
          <t xml:space="preserve">Gabor Daniel:
ORIGIN: Old-Worlder
</t>
        </r>
      </text>
    </comment>
    <comment ref="C74" authorId="73">
      <text/>
    </comment>
    <comment ref="A75" authorId="0">
      <text/>
    </comment>
    <comment ref="B75" authorId="0">
      <text>
        <r>
          <rPr>
            <sz val="11"/>
            <color theme="1"/>
            <rFont val="Arial"/>
          </rPr>
          <t xml:space="preserve">Gabor Daniel:
ORIGIN: Old-Worlder
</t>
        </r>
      </text>
    </comment>
    <comment ref="C75" authorId="74">
      <text/>
    </comment>
    <comment ref="A76" authorId="0">
      <text/>
    </comment>
    <comment ref="B76" authorId="0">
      <text>
        <r>
          <rPr>
            <sz val="11"/>
            <color theme="1"/>
            <rFont val="Arial"/>
          </rPr>
          <t xml:space="preserve">Gabor Daniel:
ORIGIN: Old-Worlder
</t>
        </r>
      </text>
    </comment>
    <comment ref="C76" authorId="75">
      <text/>
    </comment>
    <comment ref="A77" authorId="0">
      <text/>
    </comment>
    <comment ref="B77" authorId="0">
      <text>
        <r>
          <rPr>
            <sz val="11"/>
            <color theme="1"/>
            <rFont val="Arial"/>
          </rPr>
          <t xml:space="preserve">Gabor Daniel:
ORIGIN: Hellgate
</t>
        </r>
      </text>
    </comment>
    <comment ref="C77" authorId="76">
      <text/>
    </comment>
    <comment ref="A78" authorId="0">
      <text/>
    </comment>
    <comment ref="B78" authorId="0">
      <text>
        <r>
          <rPr>
            <sz val="11"/>
            <color theme="1"/>
            <rFont val="Arial"/>
          </rPr>
          <t xml:space="preserve">Gabor Daniel:
ORIGIN: Hellgate
</t>
        </r>
      </text>
    </comment>
    <comment ref="C78" authorId="77">
      <text/>
    </comment>
    <comment ref="A79" authorId="0">
      <text/>
    </comment>
    <comment ref="B79" authorId="0">
      <text>
        <r>
          <rPr>
            <sz val="11"/>
            <color theme="1"/>
            <rFont val="Arial"/>
          </rPr>
          <t xml:space="preserve">Gabor Daniel:
ORIGIN: Hellgate
</t>
        </r>
      </text>
    </comment>
    <comment ref="C79" authorId="78">
      <text/>
    </comment>
    <comment ref="A80" authorId="0">
      <text/>
    </comment>
    <comment ref="B80" authorId="0">
      <text>
        <r>
          <rPr>
            <sz val="11"/>
            <color theme="1"/>
            <rFont val="Arial"/>
          </rPr>
          <t xml:space="preserve">Gabor Daniel:
ORIGIN: Created
</t>
        </r>
      </text>
    </comment>
    <comment ref="C80" authorId="79">
      <text/>
    </comment>
    <comment ref="A81" authorId="0">
      <text/>
    </comment>
    <comment ref="B81" authorId="0">
      <text>
        <r>
          <rPr>
            <sz val="11"/>
            <color theme="1"/>
            <rFont val="Arial"/>
          </rPr>
          <t xml:space="preserve">Gabor Daniel:
ORIGIN: Created
</t>
        </r>
      </text>
    </comment>
    <comment ref="C81" authorId="80">
      <text/>
    </comment>
    <comment ref="A82" authorId="0">
      <text/>
    </comment>
    <comment ref="B82" authorId="0">
      <text>
        <r>
          <rPr>
            <sz val="11"/>
            <color theme="1"/>
            <rFont val="Arial"/>
          </rPr>
          <t xml:space="preserve">Gabor Daniel:
ORIGIN: Created
</t>
        </r>
      </text>
    </comment>
    <comment ref="C82" authorId="81">
      <text/>
    </comment>
    <comment ref="A83" authorId="0">
      <text/>
    </comment>
    <comment ref="B83" authorId="0">
      <text>
        <r>
          <rPr>
            <sz val="11"/>
            <color theme="1"/>
            <rFont val="Arial"/>
          </rPr>
          <t xml:space="preserve">Gabor Daniel:
ORIGIN: Hellgate
</t>
        </r>
      </text>
    </comment>
    <comment ref="C83" authorId="82">
      <text/>
    </comment>
    <comment ref="A84" authorId="0">
      <text/>
    </comment>
    <comment ref="B84" authorId="0">
      <text>
        <r>
          <rPr>
            <sz val="11"/>
            <color theme="1"/>
            <rFont val="Arial"/>
          </rPr>
          <t xml:space="preserve">Gabor Daniel:
ORIGIN: Hellgate
</t>
        </r>
      </text>
    </comment>
    <comment ref="C84" authorId="83">
      <text/>
    </comment>
    <comment ref="A85" authorId="0">
      <text/>
    </comment>
    <comment ref="B85" authorId="0">
      <text>
        <r>
          <rPr>
            <sz val="11"/>
            <color theme="1"/>
            <rFont val="Arial"/>
          </rPr>
          <t xml:space="preserve">Gabor Daniel:
ORIGIN: Hellgate
</t>
        </r>
      </text>
    </comment>
    <comment ref="C85" authorId="84">
      <text/>
    </comment>
    <comment ref="A86" authorId="0">
      <text/>
    </comment>
    <comment ref="B86" authorId="0">
      <text>
        <r>
          <rPr>
            <sz val="11"/>
            <color theme="1"/>
            <rFont val="Arial"/>
          </rPr>
          <t xml:space="preserve">Gabor Daniel:
ORIGIN: Old-Worlder
</t>
        </r>
      </text>
    </comment>
    <comment ref="C86" authorId="85">
      <text/>
    </comment>
    <comment ref="A87" authorId="0">
      <text/>
    </comment>
    <comment ref="B87" authorId="0">
      <text>
        <r>
          <rPr>
            <sz val="11"/>
            <color theme="1"/>
            <rFont val="Arial"/>
          </rPr>
          <t xml:space="preserve">Gabor Daniel:
ORIGIN: Old-Worlder
</t>
        </r>
      </text>
    </comment>
    <comment ref="C87" authorId="86">
      <text/>
    </comment>
    <comment ref="A88" authorId="0">
      <text/>
    </comment>
    <comment ref="B88" authorId="0">
      <text>
        <r>
          <rPr>
            <sz val="11"/>
            <color theme="1"/>
            <rFont val="Arial"/>
          </rPr>
          <t xml:space="preserve">Gabor Daniel:
ORIGIN: Old-Worlder
</t>
        </r>
      </text>
    </comment>
    <comment ref="C88" authorId="87">
      <text/>
    </comment>
    <comment ref="A89" authorId="0">
      <text/>
    </comment>
    <comment ref="B89" authorId="0">
      <text>
        <r>
          <rPr>
            <sz val="11"/>
            <color theme="1"/>
            <rFont val="Arial"/>
          </rPr>
          <t xml:space="preserve">Gabor Daniel:
ORIGIN: Created
</t>
        </r>
      </text>
    </comment>
    <comment ref="C89" authorId="88">
      <text/>
    </comment>
    <comment ref="A90" authorId="0">
      <text/>
    </comment>
    <comment ref="B90" authorId="0">
      <text>
        <r>
          <rPr>
            <sz val="11"/>
            <color theme="1"/>
            <rFont val="Arial"/>
          </rPr>
          <t xml:space="preserve">Gabor Daniel:
ORIGIN: Created
</t>
        </r>
      </text>
    </comment>
    <comment ref="C90" authorId="89">
      <text/>
    </comment>
    <comment ref="A91" authorId="0">
      <text/>
    </comment>
    <comment ref="B91" authorId="0">
      <text>
        <r>
          <rPr>
            <sz val="11"/>
            <color theme="1"/>
            <rFont val="Arial"/>
          </rPr>
          <t xml:space="preserve">Gabor Daniel:
ORIGIN: Created
</t>
        </r>
      </text>
    </comment>
    <comment ref="C91" authorId="90">
      <text/>
    </comment>
    <comment ref="A92" authorId="0">
      <text/>
    </comment>
    <comment ref="B92" authorId="0">
      <text>
        <r>
          <rPr>
            <sz val="11"/>
            <color theme="1"/>
            <rFont val="Arial"/>
          </rPr>
          <t xml:space="preserve">Gabor Daniel:
ORIGIN: Created
</t>
        </r>
      </text>
    </comment>
    <comment ref="C92" authorId="91">
      <text/>
    </comment>
    <comment ref="A93" authorId="0">
      <text/>
    </comment>
    <comment ref="B93" authorId="0">
      <text>
        <r>
          <rPr>
            <sz val="11"/>
            <color theme="1"/>
            <rFont val="Arial"/>
          </rPr>
          <t xml:space="preserve">Gabor Daniel:
ORIGIN: Created
</t>
        </r>
      </text>
    </comment>
    <comment ref="C93" authorId="92">
      <text/>
    </comment>
    <comment ref="A94" authorId="0">
      <text/>
    </comment>
    <comment ref="B94" authorId="0">
      <text>
        <r>
          <rPr>
            <sz val="11"/>
            <color theme="1"/>
            <rFont val="Arial"/>
          </rPr>
          <t xml:space="preserve">Gabor Daniel:
ORIGIN: Created
</t>
        </r>
      </text>
    </comment>
    <comment ref="C94" authorId="93">
      <text/>
    </comment>
    <comment ref="A95" authorId="0">
      <text/>
    </comment>
    <comment ref="B95" authorId="0">
      <text>
        <r>
          <rPr>
            <sz val="11"/>
            <color theme="1"/>
            <rFont val="Arial"/>
          </rPr>
          <t xml:space="preserve">Gabor Daniel:
ORIGIN: Created
</t>
        </r>
      </text>
    </comment>
    <comment ref="C95" authorId="94">
      <text/>
    </comment>
    <comment ref="A96" authorId="0">
      <text/>
    </comment>
    <comment ref="B96" authorId="0">
      <text>
        <r>
          <rPr>
            <sz val="11"/>
            <color theme="1"/>
            <rFont val="Arial"/>
          </rPr>
          <t xml:space="preserve">Gabor Daniel:
ORIGIN: Created
</t>
        </r>
      </text>
    </comment>
    <comment ref="C96" authorId="95">
      <text/>
    </comment>
    <comment ref="A97" authorId="0">
      <text/>
    </comment>
    <comment ref="B97" authorId="0">
      <text>
        <r>
          <rPr>
            <sz val="11"/>
            <color theme="1"/>
            <rFont val="Arial"/>
          </rPr>
          <t xml:space="preserve">Gabor Daniel:
ORIGIN: Created
</t>
        </r>
      </text>
    </comment>
    <comment ref="C97" authorId="96">
      <text/>
    </comment>
    <comment ref="B98" authorId="97">
      <text/>
    </comment>
    <comment ref="C98" authorId="98">
      <text/>
    </comment>
    <comment ref="B99" authorId="97">
      <text/>
    </comment>
    <comment ref="B100" authorId="97">
      <text/>
    </comment>
    <comment ref="B101" authorId="99">
      <text/>
    </comment>
    <comment ref="C101" authorId="100">
      <text/>
    </comment>
    <comment ref="B102" authorId="99">
      <text/>
    </comment>
    <comment ref="B103" authorId="99">
      <text/>
    </comment>
    <comment ref="B104" authorId="101">
      <text/>
    </comment>
    <comment ref="C104" authorId="102">
      <text/>
    </comment>
    <comment ref="B105" authorId="101">
      <text/>
    </comment>
    <comment ref="B106" authorId="101">
      <text/>
    </comment>
    <comment ref="B107" authorId="103">
      <text/>
    </comment>
    <comment ref="C107" authorId="104">
      <text/>
    </comment>
    <comment ref="B108" authorId="103">
      <text/>
    </comment>
    <comment ref="B109" authorId="103">
      <text/>
    </comment>
  </commentList>
</comments>
</file>

<file path=xl/comments2.xml><?xml version="1.0" encoding="utf-8"?>
<comments xmlns="http://schemas.openxmlformats.org/spreadsheetml/2006/main">
  <authors>
    <author>tc={00D000A3-002D-4E5F-9031-00E1009D0095}</author>
    <author>tc={00CB00AF-0026-402A-B48E-005300F10034}</author>
    <author>tc={00DF0057-0009-4C47-88B6-006E00A200BB}</author>
    <author>tc={00530099-0017-4228-8B11-00B5003D0059}</author>
    <author>tc={00550058-0051-44FA-B8FE-002A00C70071}</author>
    <author>tc={00D3000C-00A0-45C0-A77F-003E00B90085}</author>
    <author>tc={00480049-0022-4CC5-A8EE-00C9007B0091}</author>
    <author>tc={00B600DD-00C3-4DAE-8DC1-001400EA0069}</author>
    <author>tc={002200B8-00DD-4875-81F2-00B300A6005B}</author>
    <author>tc={00B6005F-0008-46D5-AAE6-003E00D80046}</author>
    <author>tc={00DB0040-00EE-42BF-B895-00F700CA00D8}</author>
    <author>tc={009B0024-00DD-45A2-AD61-006300960019}</author>
    <author>tc={0026001D-008B-4405-9B37-009F00D6004B}</author>
    <author>tc={000600D1-0025-490A-A7BF-00A7000800C5}</author>
    <author>tc={007700B9-00A9-408A-A0DC-005C0046005D}</author>
    <author>tc={0001000E-00A7-4373-9E87-003300790032}</author>
    <author>tc={00D400BA-000F-4DB8-AD08-0056006100F6}</author>
    <author>tc={00C20065-003C-435C-AB86-00E100CC003C}</author>
    <author>tc={00FD00FC-00ED-42B9-B135-00F100AE00DD}</author>
    <author>tc={00C5002A-0046-4778-A4C7-0024000A00EF}</author>
    <author>tc={007E00AF-0004-41C0-AA57-00AE00E5003F}</author>
    <author>tc={004300DB-0017-4712-93A0-004A0011001F}</author>
    <author>tc={00F9003C-00D1-4B0B-8B0F-006400AC00DF}</author>
    <author>tc={00440021-0077-4692-B695-007C002A00B3}</author>
    <author>tc={004200EF-00A7-4BBE-800E-001800DF00C6}</author>
    <author>tc={004200CF-00BC-4EB4-A912-00FA00D70008}</author>
    <author>tc={00950038-005F-4DBB-935F-009B00C600F3}</author>
    <author>tc={00DA0013-000C-4493-BA59-009600BC00B3}</author>
    <author>tc={00A1002F-000E-4981-8073-00780086005A}</author>
    <author>tc={00860065-006D-4D82-B6AF-0097009500CD}</author>
    <author>tc={004B0007-0087-4618-9C01-00EC00D30053}</author>
    <author>tc={0050006D-00A6-46E9-899D-002600AA003D}</author>
    <author>tc={009D0067-0093-41E8-B691-002000F600C4}</author>
    <author>tc={003E00D4-0080-4230-A2A9-006A004200ED}</author>
    <author>tc={008A0007-001D-4234-A5B2-00D600A400BC}</author>
    <author>tc={00E3008C-0081-4BE2-B1DE-0089007D006D}</author>
    <author>tc={004E0026-000F-4E1D-9B8A-00D700A700F2}</author>
    <author>tc={006900A1-0056-4144-9A77-0043005300F4}</author>
    <author>tc={001F00AC-0049-4CAF-91EA-0015005700AF}</author>
    <author>tc={00EF001A-002F-40FB-98E4-0002001D00AD}</author>
    <author>tc={00060040-0094-4750-B05A-00B900FA00DB}</author>
    <author>tc={00140074-00D3-4A84-A2CD-0058007500F7}</author>
    <author>tc={0009008A-00B7-4B69-A261-00EA00D8005E}</author>
    <author>tc={00900080-0021-4FEB-8871-007C003D0060}</author>
    <author>tc={00C00012-0090-4111-895A-009500E70033}</author>
    <author>tc={00CE0057-00E0-4B1B-A63B-000C001B00D8}</author>
    <author>tc={006A0054-0050-4D50-8F1A-006300D6000A}</author>
    <author>tc={009B005C-00C6-432B-BA51-005200EA00D4}</author>
    <author>tc={00140077-000A-46ED-889D-00170089000E}</author>
    <author>tc={009A00BD-00A2-4EC7-B841-00F500B8001D}</author>
    <author>tc={00480001-00A8-49AD-B87D-00A500D8003B}</author>
    <author>tc={00C00055-002A-476A-BFB8-00DB00E700D6}</author>
    <author>tc={00B800F8-0022-4316-9AE3-0048006F00D2}</author>
    <author>tc={00110080-00E8-4575-AE2A-008E002A00B1}</author>
    <author>tc={0007005E-0047-4E64-B9E4-00B000F000A9}</author>
    <author>tc={000E0088-001C-476D-BF62-001400E7007A}</author>
    <author>tc={0056001A-0079-4B3B-ABEA-00DB00E10068}</author>
    <author>tc={00BD0013-008F-49BC-89E7-009500650017}</author>
    <author>tc={00ED00F0-00AF-4563-992E-000D0071002D}</author>
    <author>tc={002800CB-0008-4CC8-A844-003A00ED0072}</author>
    <author>tc={00250094-0075-40B1-BF3A-005200090087}</author>
    <author>tc={00BC0057-0053-4D23-A27F-00DE00DD0095}</author>
    <author>tc={009F008A-0099-471A-A2E1-00730061001E}</author>
    <author>tc={0002004B-0054-4D5D-BF91-00CB00E70074}</author>
    <author>tc={00A10070-008D-4908-9527-007F00FB0028}</author>
    <author>tc={009600E6-00DC-447F-866C-003600DD0019}</author>
    <author>tc={007900CE-00C5-46A0-B79F-003B001C001A}</author>
    <author>tc={007F00CE-00B6-4BF1-BE95-00460007006D}</author>
    <author>tc={001600A6-0024-4C65-87F4-0096008000E9}</author>
    <author>tc={00BF007E-002B-4D64-84BC-00BD00A500CC}</author>
    <author>tc={00A100C5-0063-4B7E-A440-006F0083006B}</author>
    <author>tc={002700CC-00B3-4101-A4D1-00B9005000B0}</author>
    <author>tc={00DD00FC-008D-48EB-AE2C-00A900B4007D}</author>
    <author>tc={00CC00A5-00E5-40F2-A33A-00BC006D00E3}</author>
    <author>tc={005E0032-0077-40D7-9B59-00390088006E}</author>
    <author>tc={00C50069-0055-4AA0-B78E-00B700590038}</author>
    <author>tc={002C000E-00E9-48AB-AF4D-004600480025}</author>
    <author>tc={00170049-00B6-442A-9361-00550083007D}</author>
    <author>tc={004F0039-00AD-49CE-B190-00F8003C008C}</author>
    <author>tc={003B00D8-00D3-4C87-9E83-00B300870061}</author>
    <author>tc={0039006A-009D-4FFE-BA2B-007D00A70027}</author>
    <author>tc={006C00F3-0066-4F05-991E-00E8006F00C1}</author>
    <author>tc={0008008B-0053-4AD6-824F-006A00210011}</author>
    <author>tc={00870080-003E-4DD7-B65E-00A7003E0093}</author>
    <author>tc={00FF00B4-001C-4D68-ABF3-009700F100F3}</author>
    <author>tc={00FA0059-00DA-4590-A15F-00E6006900A8}</author>
    <author>tc={000D00FC-0096-4CBA-895A-00D80049005C}</author>
    <author>tc={00930009-009B-4CEE-AAFE-00F300960025}</author>
    <author>tc={00F100F4-003B-4E22-B765-000B00A500B5}</author>
    <author>tc={002300CA-00D1-4ED1-9BD3-002F0056002D}</author>
    <author>tc={009700EE-00C8-4F61-BD3A-00F6001B0077}</author>
    <author>tc={00BE0047-00DE-4281-BACD-001F00F00001}</author>
    <author>tc={00E1008E-002B-42FF-83F1-005D000A00F7}</author>
    <author>tc={006C0028-008A-4467-8E75-00EB00AB008A}</author>
    <author>tc={00CB00E0-00A1-47FC-AE58-006F00F30076}</author>
    <author>tc={00360016-009C-44EC-A155-00B900D000B0}</author>
    <author>tc={001A00D1-00F8-461A-B71D-0075009F0074}</author>
    <author>tc={00D700DE-0013-4522-A887-00F500CD0064}</author>
    <author>tc={005000C9-0005-4475-9D09-0015006200D3}</author>
    <author>tc={0035001F-00A4-4B2C-A754-00A500EC00E7}</author>
    <author>tc={00200015-0083-488B-B243-007B008A0058}</author>
    <author>tc={003F00E7-001E-41FE-8749-00B100560010}</author>
    <author>tc={0015002F-0001-4C50-AE78-009600380019}</author>
    <author>tc={00CF00C6-00B2-44F4-A705-0018006F0011}</author>
    <author>tc={007C00AA-00EB-4B99-8CCA-0082002E00F7}</author>
    <author>tc={006D00BC-0019-455B-895F-009700BA0009}</author>
    <author>tc={001100C6-00F2-4711-B915-0018002600FA}</author>
    <author>tc={001700D7-004A-458D-B7AB-005F00100048}</author>
    <author>tc={0077001A-003D-489C-8E05-00A100930014}</author>
    <author>tc={002E0011-00CB-4ABF-BED1-0024006C00F5}</author>
    <author>tc={00BE0012-0057-4DA9-84FB-00C4007D0074}</author>
    <author>tc={00A900C6-0028-4EC2-A237-006E004C0090}</author>
    <author>tc={00FA00A9-00EB-4BA6-BD7A-00A80082003B}</author>
    <author>tc={00BC008D-0030-46A7-9181-0007006C00DC}</author>
    <author>tc={00800017-00E9-4B47-AB48-00B7007D00CB}</author>
    <author>tc={00E600D5-007B-487B-A66B-009B008C00C4}</author>
    <author>tc={00BC00F8-00B0-4E9B-8F96-008800A200C6}</author>
    <author>tc={0000009D-0010-4273-BB26-003B000D0007}</author>
    <author>tc={0055000D-0002-410C-AAEC-004200720027}</author>
    <author>tc={00E30066-0053-4BA1-BA00-00C1009B00B6}</author>
    <author>tc={00D90019-00B3-4C23-8B3B-00EF00F600BB}</author>
    <author>tc={00E5006B-0034-49B6-87BC-009600140031}</author>
    <author>tc={00BE00F5-00CE-4D32-AD68-0097002C0085}</author>
    <author>tc={00B900B9-00A1-4CC8-9A97-0083005000C4}</author>
    <author>tc={00D8004A-00BD-4B97-A834-0011007C0050}</author>
    <author>tc={00BE00C0-00B8-4EB8-B82E-003D00E000FA}</author>
    <author>tc={00B300D7-0080-4B06-B9B8-00C9006400F6}</author>
    <author>tc={000400A0-00E2-4211-97D1-008D009800E8}</author>
    <author>tc={00810002-0013-469F-B7B4-00F4002C006C}</author>
    <author>tc={00FF0035-002A-4126-8766-007D0076008F}</author>
    <author>tc={00D60046-00A3-4453-9C2B-003B00EF0054}</author>
    <author>tc={00630096-00DE-4187-A110-005500B60030}</author>
    <author>tc={0087005B-009E-4D54-9563-0087000C008E}</author>
    <author>tc={00AA003A-00B0-4E13-95E2-0001001E003B}</author>
    <author>tc={007D0063-00FD-44B0-987F-0023009200A2}</author>
    <author>tc={0093001D-00C6-4640-A46D-0012000400BC}</author>
    <author>tc={00DE0040-0043-4ADB-B7CD-00EB00E80037}</author>
    <author>tc={00D7007B-000E-48CD-AC06-006200D900B3}</author>
    <author>tc={00FC00CE-00A8-4917-A446-003F00150049}</author>
    <author>tc={004C000F-00F4-4BEB-8BF7-00DC00FC0000}</author>
    <author>tc={00CD0066-00BA-4D33-A54C-00A800950059}</author>
    <author>tc={008500A1-0045-4041-AE8A-00F00025002A}</author>
    <author>tc={005B00FA-008E-4CDC-B729-002E00DC0062}</author>
    <author>tc={009B0057-0057-4692-AFDF-002000C300BB}</author>
    <author>tc={00DF0004-005D-4751-9634-001900940078}</author>
    <author>tc={00C300A2-003E-4FB8-A574-008000AB004F}</author>
    <author>tc={006700A6-00FE-4B9B-952B-0050008C00E9}</author>
    <author>tc={00F100DA-0084-4682-A7AC-0099005B0065}</author>
    <author>tc={000900DB-001E-402A-888F-00FD006300D5}</author>
    <author>tc={005B009A-00F9-4103-BB2C-0035009000BF}</author>
    <author>tc={001900DB-00AA-4EB0-9925-008A00F4009D}</author>
    <author>tc={002D001F-00D0-441D-93F5-009E005E00E2}</author>
    <author>tc={00F80050-00E0-41AA-A5DC-005800BA0082}</author>
    <author>tc={00190061-00FC-40A4-BA41-002400FD0086}</author>
    <author>tc={00D400BA-002C-4C33-B396-00B1006A00AD}</author>
    <author>tc={00F20098-00DB-47B3-918F-0043006D00A9}</author>
    <author>tc={0040008E-0059-4335-9FAA-0030001300A1}</author>
    <author>tc={000E00FF-005A-4FFD-B3A6-0065008D00AD}</author>
    <author>tc={00B000A6-0076-4503-BC01-00DF00B1005D}</author>
    <author>tc={00DB001A-00CE-4B2D-A6C0-000700820023}</author>
    <author>tc={00A0007F-002E-4F46-847B-0096008D0019}</author>
    <author>tc={00B50044-00EF-4A84-9A49-003000020073}</author>
    <author>tc={00010049-009C-43E6-9C04-00B700680083}</author>
    <author>tc={007200BD-00A6-431A-BD44-002300EE0010}</author>
    <author>tc={007800A7-00DF-4504-AFE8-00FF00E600D2}</author>
    <author>tc={0089005E-00FF-403E-B292-00EA004400F9}</author>
    <author>tc={009B0010-0023-4992-AF2C-0017002400A6}</author>
    <author>tc={00AD003F-0049-4882-A95D-00CD00410070}</author>
    <author>tc={003E0040-00D5-4BC1-BD16-00E8007E00E1}</author>
    <author>tc={0077002D-00A2-4901-8129-009B009300A3}</author>
    <author>tc={00330068-001F-4CEF-B536-004D0062004C}</author>
    <author>tc={009A0011-0078-4204-B72B-0099003F004D}</author>
    <author>tc={003F0022-0085-4E7A-B5CE-00BC00400073}</author>
    <author>tc={003C0066-0083-4ABB-BF23-008B009F0080}</author>
    <author>tc={00AD0000-0090-45E8-AEF4-00EB003900AB}</author>
    <author>tc={003200E4-0030-4A56-AD52-00590010001E}</author>
    <author>tc={0071005B-00CB-420C-BD0F-006400C90077}</author>
    <author>tc={00920084-002C-4B46-9A40-002E002F0047}</author>
    <author>tc={00C200CE-0004-4CF6-A8C3-00EF00AE0096}</author>
    <author>tc={00B1007F-0065-4B3E-B2B2-007200D8005D}</author>
    <author>tc={00130030-0047-4BF7-B6F4-009500E4000A}</author>
    <author>tc={0023004F-0007-4B2C-87AC-00CD002A0000}</author>
    <author>tc={001B009B-00E3-4F9F-B8C7-00A000A90014}</author>
    <author>tc={00BD00AB-007F-4F44-9E73-002A00810011}</author>
    <author>tc={00CD0068-0063-43C2-9BA1-009900790034}</author>
    <author>tc={0094008E-007A-4EF5-808B-00B0007A00B1}</author>
    <author>tc={005F002F-0095-4F6E-B92A-00480012002D}</author>
    <author>tc={00FE0030-00E6-44F0-8BBB-00CA00F20042}</author>
    <author>tc={004600CA-0086-44F5-A743-00B6007000FE}</author>
    <author>tc={0090000B-00EF-4F27-8207-001F00060064}</author>
    <author>tc={00370052-0082-41E8-8813-002D00D100E9}</author>
    <author>tc={001E00D6-0002-4ECB-99B5-0099001300F8}</author>
    <author>tc={00270020-0017-4F18-99FF-003500B1006F}</author>
    <author>tc={00BD008C-00CD-484C-8D48-006200B60020}</author>
    <author>tc={004B00CC-0012-4097-87AA-009700CE0051}</author>
    <author>tc={00170030-0080-45B4-B7FC-005E00250090}</author>
    <author>tc={00C300DA-007C-4AEB-A774-00C0007200EE}</author>
    <author>tc={00420064-00AE-4902-9E19-00D000F2006C}</author>
    <author>tc={009400A4-00FA-4D2B-A858-00E800050015}</author>
    <author>tc={00BF00C3-0028-4050-8965-007800B20067}</author>
    <author>tc={004B00BD-0064-4B8D-99B6-0083002200D5}</author>
    <author>tc={00C500E4-00BC-4CB1-B586-001F00230043}</author>
    <author>tc={003C005C-00A5-4AC1-BB53-00F800A6008C}</author>
    <author>tc={00C700A0-0077-4A75-9A60-00CD004100FF}</author>
    <author>tc={007B0012-00A6-412D-BC19-00CB004A00DC}</author>
    <author>tc={00620055-00A6-4EA5-939E-0057009700A8}</author>
    <author>tc={00D60091-00D5-43AA-BB17-00A300BB005D}</author>
    <author>tc={00800061-007F-4CF7-BF17-005300FE000E}</author>
    <author>tc={000D00B6-00D2-4FFD-A3FD-001D00500041}</author>
    <author>tc={00AD0057-0063-4F5F-A463-004D00C00071}</author>
    <author>tc={0094005C-00AA-4F77-BFB0-00430006008B}</author>
    <author>tc={007D00B2-0082-4ACF-9887-00F000FB0071}</author>
    <author>tc={0022009A-00AA-46A9-A354-005D001B007A}</author>
    <author>tc={00AB00CA-005E-4564-8053-00F5000C0090}</author>
    <author>tc={009B00B8-005E-40CA-96AB-0012008B000D}</author>
    <author>tc={00630085-0094-46BA-B44C-00D30095008D}</author>
    <author>tc={00530095-00B6-4577-8FF4-0022005B002B}</author>
    <author>tc={00C000A3-0059-40FA-9927-000000B30074}</author>
    <author>tc={0083003B-007B-476F-96AB-00FF009700EA}</author>
    <author>tc={0077003E-00FA-45B7-9509-00C600A50084}</author>
    <author>tc={00FF0062-001B-4BE4-A512-0091009D002C}</author>
    <author>tc={00DC0003-0041-4B47-B9B0-000000080011}</author>
    <author>tc={0008008E-0043-4D28-87B6-008000320066}</author>
    <author>tc={00700057-00DC-4148-A749-00B700B600FA}</author>
    <author>tc={008A00B5-00C5-4B3F-980B-0045008900FA}</author>
    <author>tc={004F00D7-0019-4CD9-A4E1-005D00C40089}</author>
    <author>tc={00BB003D-00D7-4A95-9279-00470026003C}</author>
    <author>tc={004F003D-0063-402A-9DBF-00DD0090009E}</author>
    <author>tc={008F007F-0005-44FD-8A68-000E008700AD}</author>
    <author>tc={00840080-0069-40AD-8167-005E00B5005A}</author>
    <author>tc={003A0013-001E-4F87-BF7B-00640068000D}</author>
    <author>tc={003300D3-002D-4A84-AD98-005100C7005E}</author>
    <author>tc={002200C7-009A-4F4B-BC6A-004B00C2008D}</author>
    <author>tc={002D00D8-0080-4186-9CE3-001F00E000E1}</author>
    <author>tc={00F500FB-0060-4888-9810-004800230085}</author>
    <author>tc={001E007A-00A3-4B5C-B1C3-005600300017}</author>
    <author>tc={00D20072-0015-453C-8711-006B00D20029}</author>
    <author>tc={003B0053-0065-4A18-BCDA-00BF007600C1}</author>
    <author>tc={000C0063-00A6-4B15-BE37-001D00AD00D9}</author>
    <author>tc={003B0049-0041-4307-9686-000700CF0036}</author>
    <author>tc={000D004D-0035-46C7-B587-008E001200B3}</author>
    <author>tc={003100DC-0051-4940-9D41-001200960022}</author>
    <author>tc={006C00E0-001D-411B-B1A6-00C4002300BF}</author>
    <author>tc={00060016-0085-4D34-A3EF-006700A000BD}</author>
    <author>tc={004B008E-0058-491A-A112-00D2009C00C2}</author>
    <author>tc={000C002E-00C9-4192-9053-006F00C80068}</author>
    <author>tc={001E0030-00F1-4914-A1B0-00BF007B00BD}</author>
    <author>tc={00DA009F-004B-4C4B-AC73-00D3002D00C4}</author>
    <author>tc={009C00DE-0036-4699-9DA5-00D400FC00F3}</author>
    <author>tc={00B800F2-00B4-427C-9B56-009B009D00E4}</author>
    <author>tc={006000AD-00FA-4CD5-B13D-0093005E0056}</author>
    <author>tc={00A80005-0037-48CD-8D66-00DC001A0050}</author>
    <author>tc={0082007D-00C1-4EC8-B330-008100A4000C}</author>
    <author>tc={00E100EF-00CE-40DD-A2BD-00A000710039}</author>
    <author>tc={003F0008-00F9-4F5A-B772-00EE001B0078}</author>
    <author>tc={001800CA-00C4-4D3D-967E-003100DE00E0}</author>
    <author>tc={006D0009-0010-44BC-AD4B-00C5001E007A}</author>
    <author>tc={00200078-00B2-4860-883E-002E004C0034}</author>
    <author>tc={009400F6-0043-4572-A313-001D003100AB}</author>
    <author>tc={00AE008E-00CD-46F7-900F-009100800006}</author>
    <author>tc={008300BA-00A7-4EA8-BF72-004900D00092}</author>
    <author>tc={00AB00C5-008C-4071-B0C4-009900D90091}</author>
    <author>tc={00C30051-001E-46F2-A151-00E600F900BA}</author>
    <author>tc={00EC00D4-005E-4800-8AA4-002D00B200B7}</author>
    <author>tc={004B0017-0036-4922-B112-007C002A00A5}</author>
    <author>tc={008700B6-00EF-4414-8231-007800AA0098}</author>
    <author>tc={004E00A3-00BB-4B47-835B-00D500200014}</author>
    <author>tc={005D0015-0043-43D2-91A8-001200A7004F}</author>
    <author>tc={00DC00B4-0084-4FF8-BF5D-0032008C00C1}</author>
    <author>tc={000200C3-00A0-449D-97DF-00F5002700A8}</author>
    <author>tc={001100AA-00A1-46E6-BF9E-000800BD00C2}</author>
    <author>tc={00D400A8-00F1-4431-B856-00B100B900C0}</author>
    <author>tc={0016004C-00DF-468E-8F7D-0045002700CA}</author>
    <author>tc={002900FB-0021-4941-9CD4-00B0003900F9}</author>
    <author>tc={00600070-004D-4D41-90DE-00F100C600DB}</author>
    <author>tc={00A40032-0036-4490-B1E4-005500D70036}</author>
    <author>tc={00ED0015-0017-4ED3-9E3B-005B00BC008F}</author>
    <author>tc={00D600E9-0028-414C-BCF6-00FB00D9005C}</author>
    <author>tc={0047008C-00F6-4CF8-83EE-001900B700EE}</author>
    <author>tc={002D002F-00F0-4386-A8B9-00AC0086000D}</author>
    <author>tc={00F800D7-00EA-4BDB-9F3A-003E00960072}</author>
    <author>tc={001C00DD-009B-468F-A812-007000DD004C}</author>
    <author>tc={0093006E-001E-426F-AF27-0073007500BB}</author>
    <author>tc={0059000B-0075-40F9-BA25-0090001B0058}</author>
    <author>tc={00EF000A-0001-4AE2-A6FA-00A100B100AB}</author>
    <author>tc={002100A4-0040-42A8-BE36-00F100E70062}</author>
    <author>tc={00D2008E-002D-4E70-B051-004A007E001E}</author>
    <author>tc={007D0076-00C6-4A6F-80A2-00CC00F30041}</author>
    <author>tc={00B70054-00E4-46DF-9FF2-00B6005D0099}</author>
    <author>tc={009800F7-00C2-462B-9E42-00DB00F400E9}</author>
    <author>tc={003D007F-0080-4173-9961-002200970067}</author>
    <author>tc={004800E2-00A0-4D0B-BB5B-00060046003C}</author>
    <author>tc={005B0068-008C-4CFC-8905-001700A80007}</author>
    <author>tc={004500A8-00D6-438A-8781-005F004E003B}</author>
    <author>tc={00F80017-00F7-493D-AA4D-0099009100A5}</author>
    <author>tc={006F0017-006A-4A70-A9BB-000300850004}</author>
    <author>tc={00E30014-008A-4D31-99F0-0011008400BC}</author>
    <author>tc={009000CF-0097-423E-90D8-004B008B00A3}</author>
    <author>tc={003600DE-0034-498D-A4A0-00CB00BC0083}</author>
    <author>tc={009B0029-00E8-46C5-BA3B-00C000DC0099}</author>
    <author>tc={0007006D-00A0-45C3-A3E2-00EE00D50018}</author>
    <author>tc={00C600BD-002B-4F16-8F8C-002C003600A6}</author>
    <author>tc={00AA00FD-00BD-4C83-857B-00E500AE00DE}</author>
    <author>tc={00B40004-00B7-4BBF-9B6F-005700630075}</author>
    <author>tc={0090003A-00FA-4F9B-A1C7-004B0037004D}</author>
    <author>tc={00FB003C-00FB-44A8-AC06-002E005100BE}</author>
    <author>tc={00D90094-0060-4E30-9F3B-00D0009800A8}</author>
    <author>tc={0093009F-0036-4BAE-81C1-0094001500DB}</author>
    <author>tc={0096000E-006D-4D53-A9B2-00F00076009F}</author>
    <author>tc={00D10065-0056-4883-BB69-00F0008C002C}</author>
    <author>tc={003B007E-002B-4C56-B80D-00B300CD0032}</author>
    <author>tc={007F0000-00EA-45C8-8D71-006300DB00A4}</author>
    <author>tc={00D6003E-0037-429D-9ACE-00710047002F}</author>
    <author>tc={005500EB-0035-4F7C-8946-0088001D0074}</author>
    <author>tc={00850004-0011-4F83-B354-00A9008500E3}</author>
    <author>tc={00F300D9-00DA-4A82-B730-00EB004F0064}</author>
    <author>tc={00B00091-0004-417C-B55A-00FB006A00D0}</author>
    <author>tc={00CF00A3-00E6-432B-9F14-0096006E0075}</author>
    <author>tc={00E9005E-003C-4079-94E5-001100130096}</author>
    <author>tc={009C0061-00A6-4108-9517-00D100B800E8}</author>
    <author>tc={00070024-0027-47AA-BA38-00D400DE0016}</author>
    <author>tc={001E00DC-0070-4581-91DA-006D00660071}</author>
    <author>tc={001F0060-00B4-42E1-994A-005E00000037}</author>
    <author>tc={008400BF-0006-4BAF-9C8E-004400890009}</author>
    <author>tc={00800013-00DD-4E41-9D07-008000B700D5}</author>
    <author>tc={00CD0047-0015-4F24-BF5B-00040064007E}</author>
    <author>tc={0027009E-006E-4D98-B9F6-00D7000D0059}</author>
    <author>tc={00CE002C-000B-4811-9385-0095005400B1}</author>
    <author>tc={0008005B-00F3-40B8-B17C-00EC007F0044}</author>
    <author>tc={005A00E2-003B-42B2-B13E-008700C90057}</author>
    <author>tc={008E0032-009C-4B5A-9A43-000D00270017}</author>
    <author>tc={0090000E-0050-49D8-A324-00B200E80092}</author>
    <author>tc={00370004-0053-4658-94A3-00070005004B}</author>
    <author>tc={006000F6-0082-47B9-BD4E-00B5001A0038}</author>
    <author>tc={006C0098-0023-4811-AFF3-00F600EB0042}</author>
    <author>tc={00BF00F4-005D-4928-9226-001900DC00C8}</author>
    <author>tc={004200E6-00BB-48F9-BABB-00020077001C}</author>
    <author>tc={00E200A0-00AD-4635-A04D-00A800EA0004}</author>
    <author>tc={000F0027-0007-44BF-97BB-00960086003A}</author>
    <author>tc={006700D4-0034-4A55-8DFD-00590036003E}</author>
    <author>tc={008800A9-0023-4BAC-A061-00A9002000C3}</author>
    <author>tc={002000A7-00B0-4BEB-98C4-003600E20008}</author>
    <author>tc={00B40077-0022-4C79-BCDA-00EE00010009}</author>
    <author>tc={004E0098-0027-4EF3-B796-0054002800B9}</author>
    <author>tc={00F900D9-004C-49A8-87B6-000000A4007E}</author>
    <author>tc={004600E0-0086-4C1D-BE36-001D00E600B3}</author>
    <author>tc={00CA00A6-00AC-438A-8CDC-00EA00030025}</author>
    <author>tc={009E00F8-00FA-4F5B-A4AA-003B00370096}</author>
    <author>tc={00DE00F7-0090-45B0-A470-00F5005E003D}</author>
    <author>tc={002A0099-00F1-47DE-9739-009500790043}</author>
    <author>tc={00280027-0084-46EB-82D8-00A9002F0047}</author>
    <author>tc={000000BD-0017-4816-8664-0055004A00DC}</author>
    <author>tc={00DE00CD-0057-494D-88B9-00D000360006}</author>
    <author>tc={0074009C-0059-45B4-B6F3-00E4008500C1}</author>
    <author>tc={007500C2-0014-4A25-92F7-0072006D007A}</author>
    <author>tc={001B00AF-00E4-49AB-91EA-00EB00480093}</author>
    <author>tc={00A20021-0009-4205-8AB7-00D8001400E3}</author>
    <author>tc={005A0041-00C3-44BF-B55F-008C00A500C3}</author>
    <author>tc={00980095-00CB-48A2-8064-0045001B00C3}</author>
    <author>tc={00D100BC-000E-4163-8495-005600E000DB}</author>
    <author>tc={00D7009B-00C0-45C5-AB32-002A00A500A4}</author>
    <author>tc={007E006A-00F8-4241-A63D-004000BF002C}</author>
    <author>tc={001E0038-0032-4D84-8EFC-00AB00AA0075}</author>
    <author>tc={00140066-00CE-4CEC-947A-0092008200F6}</author>
    <author>tc={00410027-008F-490F-BA05-00B100880019}</author>
    <author>tc={00560061-0083-44D7-BED7-006500DD00B1}</author>
    <author>tc={001300E6-00B2-4E2A-9C8D-00D400E2003D}</author>
    <author>tc={00B1001D-00FC-408F-8432-00300084009C}</author>
    <author>tc={002500DE-0099-481F-B7EC-0096003A007B}</author>
    <author>tc={00E700D6-0025-4F26-951E-00BA009C007D}</author>
    <author>tc={00750006-0020-42A4-82F6-006400E800B7}</author>
    <author>tc={00CE0043-006D-46CD-B0DF-00EE00800034}</author>
    <author>tc={00F800B8-00D4-4B8A-A50F-00C7006A0072}</author>
    <author>tc={007B0060-0080-40F6-9AFC-00F400CF00E3}</author>
    <author>tc={00410063-004B-4A52-AB36-0034006500EA}</author>
    <author>tc={00AA005C-0036-47FD-B945-00B3001D00A8}</author>
    <author>tc={00B700C6-00FC-42D1-9D95-0059005E00EA}</author>
    <author>tc={00040041-003E-4F6D-976C-008D00870065}</author>
    <author>tc={00B10043-00FF-4DA5-A25C-004A001900C5}</author>
    <author>tc={00E40094-0027-4D01-84B6-00A000390025}</author>
    <author>tc={004500D2-0001-413E-AE13-00320031009A}</author>
    <author>tc={008100ED-00BD-46CC-A5C9-00B600EF00A9}</author>
    <author>tc={00C700AC-00EF-474E-897B-0078008500CD}</author>
    <author>tc={00CD004A-00F7-4CC6-A19C-00C6003100FC}</author>
    <author>tc={00010058-0068-4F87-931E-004D009E0041}</author>
    <author>tc={002B0065-0085-41D6-97BB-00060091000A}</author>
    <author>tc={008F00DB-0056-42DA-95E9-00A000500016}</author>
    <author>tc={00F600F7-0046-49EF-915C-005F00440017}</author>
    <author>tc={002D0049-00A6-4B27-998F-0099007B0033}</author>
    <author>tc={00840038-0028-4BC4-8843-003B00260085}</author>
    <author>tc={0050007B-0064-46BF-8FF9-0042001B0099}</author>
    <author>tc={00AD008A-00DE-4F33-B748-00E4006D0089}</author>
    <author>tc={007B00EB-003F-47A0-9A3D-0060002A0045}</author>
    <author>tc={003800CE-00A1-4954-A9E5-000700EF0084}</author>
    <author>tc={00CE000F-0090-4F4A-9E18-00BB00470099}</author>
    <author>tc={002800E1-007A-4533-AE70-0074005E004B}</author>
    <author>tc={00B70047-0034-4BF3-90CE-00BD00870052}</author>
    <author>tc={00F0009B-0076-4E21-87D2-003500B600DE}</author>
    <author>tc={00CC000B-005A-448B-8164-000F00060010}</author>
    <author>tc={00460017-00E1-4AAF-852F-00930035007F}</author>
    <author>tc={00E10014-006E-4343-B320-009A002300B5}</author>
    <author>tc={000B005B-001D-458E-AD84-0087007A0061}</author>
    <author>tc={00B000F4-007B-4130-85AA-008700DA002F}</author>
    <author>tc={00A0001A-0055-4C1B-8C59-003F00E80075}</author>
    <author>tc={006E00C7-0083-4085-B454-00EF00BA0000}</author>
    <author>tc={003400C8-0042-4ADB-8FA3-006B00890092}</author>
    <author>tc={000E003F-00B0-4E3D-BE0D-009800340062}</author>
    <author>tc={009D0020-0051-4900-ABA4-00F300BC009A}</author>
    <author>tc={008500B5-008D-492B-9F3B-000B00C700D8}</author>
    <author>tc={000700C2-00E8-4B5F-807F-0010002D0021}</author>
    <author>tc={007F00F0-00CA-407C-A428-00000089002D}</author>
    <author>tc={000B003E-00CD-4A2A-86C2-00B00066003F}</author>
    <author>tc={00E30019-004E-4875-BE73-0095001D00B9}</author>
    <author>tc={00440043-008B-461D-A327-003500AC0073}</author>
    <author>tc={00EF0050-0028-4D16-8D0C-00AC00360034}</author>
    <author>tc={00A90029-00AD-4B09-A314-0028007F003D}</author>
    <author>tc={00B9008D-0006-45D1-B977-006C007100BF}</author>
    <author>tc={006D008B-0001-4FFF-802F-0051009A0060}</author>
    <author>tc={00950009-00D3-4D57-817A-004000AB00BA}</author>
    <author>tc={0018003D-00BE-4198-8718-00CF000100C6}</author>
    <author>tc={00290062-00B2-4E8D-B5BB-00AA00DD00F0}</author>
    <author>tc={001800E3-0034-43C5-A097-000300D000C4}</author>
    <author>tc={00CB0049-00EA-4E88-AEBA-00AC00BF0020}</author>
    <author>tc={00A900F2-00E0-4851-A87C-000600B500D6}</author>
    <author>tc={0020008F-0007-4B50-A5F7-0088005E002C}</author>
    <author>tc={002100A5-00B1-46EA-8D8D-003F008D005C}</author>
    <author>tc={009F000D-0016-4438-A25C-004900B60015}</author>
    <author>tc={00FB00DC-0066-43CF-B70B-00350005001B}</author>
    <author>tc={00570019-00B3-414E-AF82-003A00CA0089}</author>
    <author>tc={002B0054-0082-4FE8-9369-00D700C800C0}</author>
    <author>tc={0000008B-00FF-4CB9-BF32-000F00290032}</author>
    <author>tc={0062000F-0038-4992-931C-00F800BB00C5}</author>
    <author>tc={00630005-00A3-4177-B1A2-003E006F0054}</author>
    <author>tc={001600E6-0095-4D20-8E07-00A000DB002B}</author>
    <author>tc={001500FF-00CC-4779-8AD5-007100B9008E}</author>
    <author>tc={00FC00F1-00E6-4222-A852-001800660033}</author>
    <author>tc={00EC0032-00E7-49EF-8311-0091006400C3}</author>
    <author>tc={00FC0097-00A2-474B-96DB-00C7000D0014}</author>
    <author>tc={0072004A-00D6-4706-A8D8-00DE00EF006C}</author>
    <author>tc={009B0068-00E9-413E-96F8-007B009100E1}</author>
    <author>tc={00AC000A-0050-4E4A-A49F-00FE00A8005F}</author>
    <author>tc={005D001C-00E9-4CB8-B86F-0058000D00CB}</author>
    <author>tc={006B00E2-0072-45C6-8AD6-0092003F0078}</author>
    <author>tc={0018006E-000F-41EA-A481-004600DE00B3}</author>
    <author>tc={00A6002C-00C8-4D4C-ACE6-002400310038}</author>
    <author>tc={000A000E-00C3-4A7D-A6D3-003800340043}</author>
    <author>tc={00A000B9-0088-43F5-975E-00A3005D00F1}</author>
    <author>tc={002B000D-006A-4E80-A4DB-004F00B200EC}</author>
    <author>tc={008900EE-004A-4AFC-9FD2-00E300D0002B}</author>
    <author>tc={0019000E-006C-4D7F-9D14-009B00790098}</author>
    <author>tc={00410078-00F6-41D0-8432-00C500130090}</author>
    <author>tc={00E90009-0074-4FEB-AE05-004400260067}</author>
    <author>tc={00FD00F2-0057-4081-9323-001100E200E1}</author>
    <author>tc={00EE0037-0071-4176-8A6F-00B5009700BA}</author>
    <author>tc={00320033-007B-4A62-9789-00D0003B001F}</author>
    <author>tc={00950055-00AF-4E03-A88A-004C005A008B}</author>
    <author>tc={00310051-003C-40EC-B609-00CF007400B2}</author>
    <author>tc={001A00B0-0080-4535-B98B-000D00BC00A5}</author>
    <author>tc={005800EF-0024-4679-A004-008A00DC0058}</author>
    <author>tc={00F800DE-00BA-4509-AA2F-00DD001F0030}</author>
    <author>tc={008A0024-0034-4A68-AB0E-003000FA0087}</author>
    <author>tc={00A200B8-006B-4DD0-965E-00C40080002B}</author>
    <author>tc={005A0069-009A-48AB-9F2A-006B00EC00DF}</author>
    <author>tc={009F0077-00C1-4073-B8A1-0022000F0041}</author>
    <author>tc={00720013-00A5-43BB-9E2C-003D006E00B8}</author>
    <author>tc={006E0048-0058-4430-B7F5-007F000100CF}</author>
    <author>tc={00C10086-0089-49C1-AED7-00200035008B}</author>
    <author>tc={001B0014-004B-4994-B1ED-00EB009D00E9}</author>
    <author>tc={00310089-0097-4A7F-851D-00BF006E0054}</author>
    <author>tc={003B0054-00C8-498F-9F8D-000F00020030}</author>
    <author>tc={00770035-001D-4E84-9A27-006300550052}</author>
    <author>tc={00A400C1-003A-4053-AE1A-00D4008B0085}</author>
    <author>tc={008700E2-00A8-49A3-8359-009300680007}</author>
    <author>tc={0098002A-0004-4AEB-8257-001B00630034}</author>
    <author>tc={00E20047-00F7-4338-8851-002500C10020}</author>
    <author>tc={001E00E5-003F-4CAF-9507-0002004400DA}</author>
    <author>tc={00A20012-005A-47FC-83C3-00C300670066}</author>
    <author>tc={00CD002E-00A6-447F-858E-00910048003A}</author>
    <author>tc={007F006E-00E8-44CC-9FB7-0026002700BF}</author>
    <author>tc={008C0054-004D-461A-BEB0-0077009C004B}</author>
    <author>tc={00BE0008-006C-44C6-85F3-000D00EA006B}</author>
    <author>tc={002000FD-0076-4B96-9775-001F00A5006C}</author>
    <author>tc={00A9000D-00A4-40A0-B75B-00CB004300FE}</author>
    <author>tc={00D000E3-0091-4832-850B-00C6005D00C2}</author>
    <author>tc={00120082-00BC-494A-A9AE-00D6003200CF}</author>
    <author>tc={006F00BE-0009-421E-96B5-00570023002E}</author>
    <author>tc={00EE00C0-0041-4C96-9451-00B70035005E}</author>
    <author>tc={00150087-008E-42CC-9FFA-00FA009200D2}</author>
    <author>tc={00710062-00FF-4393-9AE9-00360008006E}</author>
    <author>tc={0012003F-0005-4293-9D59-005C00A900FF}</author>
    <author>tc={00030007-00AC-4E71-9CA4-005900230083}</author>
    <author>tc={00850071-009E-4927-87C9-007300550051}</author>
    <author>tc={00B700F1-00DF-4C8A-9C56-00A700BF0012}</author>
    <author>tc={00BE0051-0058-4221-A29C-0004008800E6}</author>
    <author>tc={0043002D-0053-47A8-8C35-002C00F900DD}</author>
    <author>tc={00F30077-00FF-4390-A278-00D600FF007F}</author>
    <author>tc={00FF00F4-00F2-497D-8507-004F00AD0044}</author>
    <author>tc={007D00BF-00EB-4EFA-83D0-00BA00FA00E9}</author>
    <author>tc={0066003C-008C-4056-A11E-00A700F00000}</author>
    <author>tc={00940048-00AA-484F-B9D9-0057003C00AC}</author>
    <author>tc={004D004C-004B-400E-B671-0077002300AB}</author>
    <author>tc={00580086-00DC-48EE-9CA1-004D000F00AE}</author>
    <author>tc={00840087-00AC-40FF-BDE2-002E000E00DD}</author>
    <author>tc={001F00B4-006E-4787-B5F2-000600520051}</author>
    <author>tc={008000C6-00BB-417C-B954-00D400AF0098}</author>
    <author>tc={007D004A-008E-4E0C-B3CF-002B00210034}</author>
    <author>tc={00F50021-00C6-4B15-B6EE-00B30043001D}</author>
    <author>tc={00DA00F3-005A-429B-A111-0052004600EC}</author>
    <author>tc={009400D3-0069-4ADC-AA81-009D00160084}</author>
    <author>tc={006200D3-0044-4820-8E66-007D007600C8}</author>
    <author>tc={00B600F7-00BF-454A-84A0-007C00B70072}</author>
    <author>tc={0004009A-0091-46F3-91D1-003B00CF00B0}</author>
    <author>tc={004400E8-00D6-4FE7-A5DF-00EB00D800A5}</author>
    <author>tc={00730063-008D-45A6-8A77-00D5008F00E7}</author>
    <author>tc={0012005E-001B-44E5-A185-00D300D500FF}</author>
    <author>tc={00A50085-00C6-460A-B3BC-00D5003200EC}</author>
    <author>tc={00350053-003B-41B4-8F12-005D004D009F}</author>
    <author>tc={00CF0099-0009-4531-B545-000300750080}</author>
    <author>tc={000300FE-0024-4706-9A51-00F2001C00E9}</author>
    <author>tc={0066007A-0062-4B6A-B2F9-0069005700A6}</author>
    <author>tc={001000DA-0001-48CB-9342-003B005F007B}</author>
    <author>tc={001F003F-0020-4C48-9CFA-004F0012009E}</author>
    <author>tc={0032009F-0042-4E35-BE2E-002000730038}</author>
    <author>tc={00EF0042-00CE-469B-BFB0-003E002600E8}</author>
    <author>tc={007D0046-0091-41B5-A396-00CC00F50040}</author>
    <author>tc={000A001B-003A-4474-93BD-0000004D0046}</author>
    <author>tc={00460008-00DD-40FB-A043-00A700C100F4}</author>
    <author>tc={00E700A5-0071-4B23-8E0A-009E008700B9}</author>
    <author>tc={0023005E-0051-4CF9-B538-005900F600F6}</author>
    <author>tc={003900F7-00BF-4B3B-AFB9-0060000E0082}</author>
    <author>tc={00E80002-005D-49DF-97BA-00CD00F00026}</author>
    <author>tc={00F6006A-00B2-408C-962F-00CF00620022}</author>
    <author>tc={00AB00EC-00AB-4F1F-814D-002A004C00A6}</author>
    <author>tc={00C5005B-00FB-425E-9446-001A009F0029}</author>
    <author>tc={00BC00B6-0006-40B0-84FF-008700DE0057}</author>
    <author>tc={000100C9-00AA-4EC0-83F0-004800C300D4}</author>
    <author>tc={007500C9-00AC-4C22-B767-0018008E000A}</author>
    <author>tc={00FC003E-00B3-401F-8877-00C7002600D9}</author>
    <author>tc={00FF0086-00CA-4E33-8175-00B800940011}</author>
    <author>tc={00EB0051-00E1-4A8D-BC7E-0061008600F9}</author>
    <author>tc={00B00025-004B-4E91-A1F0-00CE00CD00CC}</author>
    <author>tc={004300DC-0041-4D59-B6EC-001E00DF0037}</author>
    <author>tc={001C0022-005E-4830-BBD8-0004005600DC}</author>
    <author>tc={00180033-0070-493F-A677-0043008C0023}</author>
    <author>tc={004000FD-000F-4193-A7CA-006700B2004D}</author>
    <author>tc={00BA0052-002C-432F-BD50-00B5000C00C1}</author>
    <author>tc={00110085-00D6-49E3-8945-004400660067}</author>
    <author>tc={005600B9-0081-4AB3-B029-00C100B30018}</author>
    <author>tc={009E0068-0084-4856-A73C-00E900880022}</author>
    <author>tc={008100E0-009B-47B9-9305-0011009E00C7}</author>
    <author>tc={009D00C1-0066-447D-B5CF-009E005400BE}</author>
    <author>tc={000300E7-0008-4129-8567-00ED004700BE}</author>
    <author>tc={001B0092-0013-4255-8E1D-006100F400F7}</author>
    <author>tc={00050074-0038-4C6B-92A7-009F001F00E1}</author>
    <author>tc={00F20050-000B-400D-93A3-00F200D900F8}</author>
    <author>tc={00180040-0003-4F94-9675-00BB00D9002A}</author>
    <author>tc={002D0032-00FC-438C-83C3-00EC00F70057}</author>
    <author>tc={00F00065-00B6-4F35-95F6-008C00B100D8}</author>
    <author>tc={00A100F1-0054-4504-97BE-003700A900F5}</author>
    <author>tc={0084003C-00DD-4B1F-B28E-009B0024006D}</author>
    <author>tc={00620086-00BF-4FE5-8D1C-00FC008D00F2}</author>
    <author>tc={00C5002A-002A-42E0-B5A2-00A3008000AF}</author>
    <author>tc={00EF00A3-00FF-4F53-B5DA-00D50012008F}</author>
    <author>tc={005F0057-00C2-4FE8-8754-00D7009F00CD}</author>
    <author>tc={00F20025-0052-4F7F-BC97-005200C6005E}</author>
    <author>tc={000600C4-00F4-4C2C-AC76-00800048002E}</author>
    <author>tc={0003003D-00CF-4BB7-8081-00B0008A0099}</author>
    <author>tc={00CF006C-006E-401D-938E-00C6001600F2}</author>
    <author>tc={00580084-0041-4C0E-A039-00B9001A00FF}</author>
    <author>tc={006500D2-00B6-43D4-B6A8-007500730092}</author>
    <author>tc={0058008F-002B-410D-96F6-001100D80068}</author>
    <author>tc={00E10040-007B-4199-AAF2-002E00D30092}</author>
    <author>tc={0082003B-0009-4F2D-B58F-00A80047009C}</author>
    <author>tc={00C00029-001D-4F30-807D-006D00B70082}</author>
    <author>tc={00A20086-0062-473F-BAB1-000000CF0037}</author>
    <author>tc={00360024-0068-41A9-A6EA-00F900DB0021}</author>
    <author>tc={000D00A8-0023-41F3-9A25-0083004E009B}</author>
    <author>tc={00BA000B-006A-4955-8A22-00DD003D0071}</author>
    <author>tc={00FF00F7-0070-41C5-A248-0062001900B3}</author>
    <author>tc={00550096-00D2-4248-BC4B-00EF00E6007F}</author>
    <author>tc={00FB0040-0007-41CB-83C2-001000ED0068}</author>
    <author>tc={001C0013-00DA-498A-9BC8-00E900F80001}</author>
    <author>tc={00E30080-00FB-4B76-AF36-00B100750051}</author>
    <author>tc={000200CC-007E-46B3-AF29-003200F60050}</author>
    <author>tc={002C0090-005A-4C18-A186-004D00AF006E}</author>
    <author>tc={009B0039-00EB-42B3-BF71-007300FB000D}</author>
    <author>tc={008B0088-0071-4C43-A3D8-002D00D70002}</author>
    <author>tc={00F500C3-00CD-4FC6-9B92-00DB006B008C}</author>
    <author>tc={007C0054-0016-4B3E-9010-00C100D20091}</author>
    <author>tc={009F00D7-003A-45B4-9A5A-001F002700CE}</author>
    <author>tc={002E0033-006D-49EB-A7B0-0060001D00DC}</author>
    <author>tc={00FD00A0-00C6-485D-AE12-0003000900C9}</author>
    <author>tc={0066002B-00C2-4BB4-8ACC-001B00650097}</author>
    <author>tc={00C60035-00BE-4D51-B0E3-00CF004D00BD}</author>
    <author>tc={00FC00F4-0080-49C9-A7A8-00DB000500A5}</author>
    <author>tc={00020087-0056-409C-B0CA-00C9009C0026}</author>
    <author>tc={00A8006A-0066-4CA3-8999-0085003200D8}</author>
    <author>tc={00CF001E-0031-4FDD-ACF8-004E0005007C}</author>
    <author>tc={006C007B-00EF-4A62-A10A-0041008C00C0}</author>
    <author>tc={00F80030-003C-4A7E-8737-0012005F0047}</author>
    <author>tc={00EE003D-0098-4131-8AA6-008900BC0026}</author>
    <author>tc={00510078-00E6-46AF-9EC9-000000050068}</author>
    <author>tc={00230009-00EE-4EE1-8DD3-00E60040008B}</author>
    <author>tc={00EF00EE-00DB-4DE2-9738-004000960001}</author>
    <author>tc={00400078-00BD-4C83-9E33-002200D400AF}</author>
    <author>tc={00BA0062-0014-4E69-ABAD-004600760095}</author>
    <author>tc={00900089-009B-4351-ADF5-00990029005C}</author>
    <author>tc={004500E1-003E-4422-B265-009A0063007C}</author>
    <author>tc={00FC00DF-0000-44AF-B88F-004400A500A0}</author>
    <author>tc={00D8004D-00C9-4881-8AC2-00A7001700E6}</author>
    <author>tc={008200C8-00E4-4753-9C97-006600000060}</author>
    <author>tc={00A60041-0081-4195-B967-0037004F0094}</author>
    <author>tc={0076007C-0035-44EC-82D1-0066001600FC}</author>
    <author>tc={006D0074-001E-4A6E-B844-00EE00030016}</author>
    <author>tc={000B005F-00F0-4264-A95F-004200820000}</author>
    <author>tc={003D006A-000E-4808-BE36-00E80026008E}</author>
    <author>tc={004B00FD-0080-4E81-A13C-008F0036007F}</author>
    <author>tc={00FB0055-00B1-412C-9A28-007B001B0085}</author>
    <author>tc={001A0005-00F2-4818-BC75-000200E200C6}</author>
    <author>tc={00FA0070-00F5-4C8A-A5E1-001100BE005D}</author>
    <author>tc={00EF0051-0052-4D7A-8CEF-00A6008400D6}</author>
    <author>tc={00D20033-0006-4414-9F68-0053002E00B5}</author>
    <author>tc={007E00F9-00EE-4838-B0D2-00C1005900F0}</author>
    <author>tc={009A00D6-0083-4FAE-A92B-00BF002500AF}</author>
    <author>tc={00DD0004-004E-4C4C-889D-00C500CE0085}</author>
    <author>tc={00F500E8-0089-47E1-BAB3-007B002700D2}</author>
    <author>tc={005700D9-00EC-4104-8610-0080002800C3}</author>
    <author>tc={00FC0006-0091-4483-9C9C-000700E9007A}</author>
    <author>tc={00E000EE-0079-41DD-89FF-00580028008E}</author>
    <author>tc={008300E9-0007-4FC6-B22A-004C00C80089}</author>
    <author>tc={006B009D-0083-40A6-9FCD-00D4004D0068}</author>
    <author>tc={002E007F-00D7-4A72-BF20-00C000510012}</author>
    <author>tc={00A60022-0032-4B31-AA88-00E50090009C}</author>
    <author>tc={009E006D-0082-4790-9BDB-00220033008D}</author>
    <author>tc={002D002B-0001-4FFB-A923-004B007400A4}</author>
    <author>tc={0070007F-00D0-4B93-B626-004500300019}</author>
    <author>tc={0007005D-0072-4CAA-B2F6-008D00690016}</author>
    <author>tc={0098000F-004F-454A-AA65-00B200C40038}</author>
    <author>tc={004B00B1-0032-4BAF-A089-00D6000C0013}</author>
    <author>tc={004D00B5-00CC-4EC8-813C-003100AD00AC}</author>
    <author>tc={004E0060-002F-4ABA-9E9E-008E003A00FC}</author>
    <author>tc={00A300E4-0095-4ABD-BE3C-005D00100073}</author>
    <author>tc={006E00EA-0033-419A-B688-00CA00B000D1}</author>
    <author>tc={002200F4-00D1-4FE8-84A7-002E00EB0058}</author>
    <author>tc={008400EB-00F7-4750-9388-00B700840046}</author>
    <author>tc={00DD008B-0091-41AD-BB63-0028006700CD}</author>
    <author>tc={007A00E6-006D-4590-B034-005A00210092}</author>
    <author>tc={002B00E1-00C0-4ABD-8036-00B600630031}</author>
    <author>tc={00C500B5-00A2-4EAB-A270-00BC008400B8}</author>
    <author>tc={001A0071-00E2-4033-8C64-002700E800F7}</author>
    <author>tc={001200EF-0065-4DC0-B079-006E008C0090}</author>
    <author>tc={006E0073-00BC-42F7-AC74-002300CD00D1}</author>
    <author>tc={00950059-00F3-4D55-8CB0-00AA00B3008C}</author>
    <author>tc={00F60053-00FB-4B09-AD44-007A00EE0007}</author>
    <author>tc={007F00E6-0026-4F79-B893-009D004D007C}</author>
    <author>tc={002600EB-00AD-47BB-B5BA-003400480099}</author>
    <author>tc={0064000F-002A-4F1C-A725-00F000770001}</author>
    <author>tc={00B50053-001E-439C-B8FB-009A001900CA}</author>
    <author>tc={0019008D-006C-4A70-BFAC-008C008E00FD}</author>
    <author>tc={00B4005A-009A-42E6-ADAE-009B002F0090}</author>
    <author>tc={00FF003B-00B4-4B74-99B1-00D100520048}</author>
    <author>tc={008900AD-00A0-4D2E-B0EF-00840037001B}</author>
    <author>tc={0066002B-00B3-44CC-AAAE-007300750058}</author>
    <author>tc={002E0001-00AB-4139-AD75-00F100C30040}</author>
    <author>tc={007E00D1-0026-4817-BD8C-00650082008A}</author>
    <author>tc={0076000E-0028-4A3A-BB83-00CB003100DF}</author>
    <author>tc={003D0084-0099-4828-B2AD-003100F6005E}</author>
    <author>tc={00D700DE-00DA-430F-96B6-009F008F0097}</author>
    <author>tc={00890078-006E-481C-928E-00A900620050}</author>
    <author>tc={00C300B7-00F6-421E-B28D-00B9004A0034}</author>
    <author>tc={003D0087-0050-43A0-A157-00C000200024}</author>
    <author>tc={00B50029-003A-49E4-9B57-00C700630077}</author>
    <author>tc={006A00B3-00D8-415D-AD3B-006800B30077}</author>
    <author>tc={00A1008D-0033-4A33-8278-0053005700E1}</author>
    <author>tc={002400F5-00B4-4CC3-83C2-00CA00B80068}</author>
    <author>tc={00BE007C-00AD-4E1C-8596-002500E40033}</author>
    <author>tc={00C00086-00D0-4484-86B1-004F000C005A}</author>
    <author>tc={00D400E0-0059-4A90-BC0B-009F00CD00EE}</author>
    <author>tc={009A009D-009A-4541-939B-000000FC00D2}</author>
    <author>tc={003400BB-00BD-4419-9E16-00A500560003}</author>
    <author>tc={00040042-00E8-46DF-870D-00DC004000E1}</author>
    <author>tc={00F50010-00A8-498F-AB59-0088004500BC}</author>
    <author>tc={00F20055-006B-48DA-8790-00A20092005C}</author>
    <author>tc={006D0018-0007-46A4-B694-00B30077007A}</author>
    <author>tc={00D900B0-0031-4E85-8008-005B00EC0044}</author>
    <author>tc={0030004C-0007-4A49-B6D1-00CD000A00DC}</author>
    <author>tc={006E006C-0087-4670-A79B-0051008D00DA}</author>
    <author>tc={00140066-0015-46AE-9754-00C1005900C5}</author>
    <author>tc={00A600E2-00FA-4A6C-91AE-000C00F2009E}</author>
    <author>tc={002D005D-00DF-4145-879F-00B600020056}</author>
    <author>tc={00B500AA-0056-4F8A-BDE4-005600D70053}</author>
    <author>tc={00D0006C-0051-42BE-8B7B-001600E200EE}</author>
    <author>tc={0012009E-00A9-461B-A826-0037003A00F8}</author>
    <author>tc={0093000C-0099-470B-8AEB-008B00170030}</author>
    <author>tc={007000D7-0040-49B0-9895-00F9005700CF}</author>
    <author>tc={004A00F4-0022-4D5D-A233-00FC00FC00FD}</author>
    <author>tc={00C500AD-00A8-411A-B398-002400AC0059}</author>
    <author>tc={000A001F-009B-4824-B1D9-009300300074}</author>
    <author>tc={004600BA-00AD-4E6B-89D4-008100F50056}</author>
    <author>tc={002900C4-00F0-4D12-AEA3-00B9008E00F8}</author>
    <author>tc={006800D7-005D-4EF2-A82D-001A003000C9}</author>
    <author>tc={003C005E-004F-4517-B195-00170034002A}</author>
    <author>tc={00E0001C-0005-4B41-A7C8-0038009900F1}</author>
    <author>tc={00A300E3-0032-472A-BE0D-006300AE0050}</author>
    <author>tc={00CE0093-001C-426C-8346-005F000D0058}</author>
    <author>tc={00E500C5-00B0-41BC-8C9D-0064002B00A7}</author>
    <author>tc={00B9005F-0024-49DE-894F-00DB00BA00D7}</author>
    <author>tc={001D009B-008D-454A-B15E-0045000E00F7}</author>
    <author>tc={006B0084-0069-48AC-A412-00B300A20008}</author>
    <author>tc={00FE007D-0016-4764-9677-004E00930081}</author>
    <author>tc={00B900BA-0059-4806-91D9-00D0002300CB}</author>
    <author>tc={007F00C5-00D8-48DB-824C-0009003800C5}</author>
    <author>tc={00B900FA-00A0-445E-9525-005B00DB0041}</author>
    <author>tc={0070002A-007A-4564-B4FA-00F6001400C3}</author>
    <author>tc={006000BD-0028-460A-9BA2-009E00A0000C}</author>
    <author>tc={000B0039-00B4-4A58-A5E0-007B008600BD}</author>
    <author>tc={00720072-0003-4481-891E-00E9002700E2}</author>
    <author>tc={00990092-00DB-426D-9194-0056008B00F7}</author>
    <author>tc={00090095-0069-4239-80B6-00C600D90070}</author>
    <author>tc={004F00CD-00BC-46B4-BBBE-004F00E00031}</author>
    <author>tc={007B0060-0047-4BE3-8A2B-009D00920015}</author>
    <author>tc={005C004A-00CB-4171-9185-0019006E0075}</author>
    <author>tc={00460091-001E-405D-9741-000000B100E8}</author>
    <author>tc={0081000E-0061-4614-B708-002100CC006E}</author>
    <author>tc={0032008A-007A-4020-BD28-008B00E50027}</author>
    <author>tc={000000A3-00B6-403D-9F38-00E000470023}</author>
    <author>tc={0099004A-0044-40DA-AA95-00D700DF00EA}</author>
    <author>tc={002D0044-00B7-499C-82DD-00BD00BE00F4}</author>
    <author>tc={00F100AA-0088-43DA-B071-00F0009A0031}</author>
    <author>tc={009E006A-0092-4F22-BEF8-0062004D0083}</author>
    <author>tc={00EF00C3-0094-45B3-ABDF-001C0053003F}</author>
    <author>tc={008800EE-00F5-4E35-9645-00E600890093}</author>
    <author>tc={00DD0065-00C7-42AA-89ED-00E90066009C}</author>
    <author>tc={00F100C3-0078-4071-9548-001700F600F0}</author>
    <author>tc={0016006D-00BB-4ACD-9811-005C006B00A8}</author>
    <author>tc={009F001B-0029-4AB8-8ACC-00B700990055}</author>
    <author>tc={0066005D-00BD-435C-9D3E-00BB007B0076}</author>
    <author>tc={00470011-0057-469B-A4F5-001000AF0003}</author>
    <author>tc={00A200EE-0039-4987-9BBF-00EF00F500E6}</author>
    <author>tc={00E00019-00DC-4DC0-9A15-00210075001A}</author>
    <author>tc={00980076-0098-41B9-9D14-004E00650083}</author>
    <author>tc={00740018-0094-43B8-B307-00BA00D80072}</author>
    <author>tc={00EB0058-0087-4C56-A490-000600C10015}</author>
    <author>tc={00F40063-008D-425F-A598-0063003A008F}</author>
    <author>tc={008C00BA-00A5-4F53-83C8-001A00020075}</author>
    <author>tc={003400B3-0034-43E7-A50E-000500FA0052}</author>
    <author>tc={007000F6-0080-4C82-961E-001400A70024}</author>
    <author>tc={004A0001-0036-45C0-A8EE-00C900B400DD}</author>
    <author>tc={008A0087-0081-489C-BCFE-001800450090}</author>
    <author>tc={0015009F-00E1-44F6-AEFF-001C005000B3}</author>
    <author>tc={008900BC-0041-406C-9143-009B00C9000D}</author>
    <author>tc={000000FE-00C0-4C1D-8993-007C008E00D4}</author>
    <author>tc={001C005B-00E3-4460-8A00-003A009F0034}</author>
    <author>tc={0082001B-0010-453A-9F5B-006500A300C9}</author>
    <author>tc={0059005C-0014-4EE9-8FBB-002000630026}</author>
    <author>tc={00D0008F-009E-4A5D-88FB-00A1004D0051}</author>
    <author>tc={009500F8-00C2-4DB9-9F39-00B500F20044}</author>
    <author>tc={006400A9-0019-41C1-9980-00A100690030}</author>
    <author>tc={00E2001E-00E7-4939-B799-007500920061}</author>
    <author>tc={009B0027-0086-4F32-93D4-00CF002500CA}</author>
    <author>tc={005200AC-007C-4F54-9B21-00DE00E700AA}</author>
    <author>tc={004F006B-00B6-4D7B-A7B9-006600C30034}</author>
    <author>tc={00E10074-0003-4A39-AF95-003E0045000C}</author>
    <author>tc={00D600AE-0097-4750-82F6-00D1002000CD}</author>
    <author>tc={00050050-0089-4C39-9ADD-009D00A80086}</author>
    <author>tc={00730059-005B-42E5-8F1A-0045004E005A}</author>
    <author>tc={00F00055-005D-489D-8BC9-000300CB0056}</author>
    <author>tc={002000E7-0005-470F-9AB1-00BE00B40009}</author>
    <author>tc={006C006C-005D-45B7-8A2A-00DC00130047}</author>
    <author>tc={00400095-0055-4CC6-B84C-00D200950054}</author>
    <author>tc={008E00E6-0041-49A0-9174-00AC000E006C}</author>
    <author>tc={004A0039-0058-435C-9EC9-008900F1003C}</author>
    <author>tc={00EC003C-0036-4F48-A4B1-001C00D90066}</author>
    <author>tc={00F100EF-005A-4563-9153-002D00030001}</author>
    <author>tc={005B0027-00A9-44E1-BB22-001500D10017}</author>
    <author>tc={00EE00A1-0047-4BDC-904C-00C10093009F}</author>
    <author>tc={002E0030-00D3-4E44-845B-009D007E006A}</author>
    <author>tc={00FC00E2-00FE-48E9-B3F6-008700FC005F}</author>
    <author>tc={006D002E-0022-4281-9863-003C00A100CE}</author>
    <author>tc={001A0063-00FA-43FA-9A24-0011002900F9}</author>
    <author>tc={009E0020-0026-4CF2-BF89-006B00EF0095}</author>
    <author>tc={001C00DD-00A9-483F-AB1C-00480077004D}</author>
    <author>tc={00B60061-006A-4068-AA32-00B400E5003F}</author>
    <author>tc={00EA0087-00BD-4AF4-B505-00E0003F008C}</author>
    <author>tc={006100E1-0010-496B-93B9-00A0002A00E8}</author>
    <author>tc={00AF006E-0029-45E7-B8E5-00F600FA007F}</author>
    <author>tc={008E001C-00E4-4CF4-912B-00D400890031}</author>
    <author>tc={00BA002D-00FE-45D2-9AF7-004200540057}</author>
    <author>tc={007300B5-009D-46F6-A4F9-00D900FD0039}</author>
    <author>tc={00FF001E-00C8-4A87-9CA1-004A00CA0095}</author>
    <author>tc={002600A4-00EA-42E1-ACA9-00D80024001F}</author>
    <author>tc={00B400DA-0053-4F15-AB88-00D9001800FC}</author>
    <author>tc={00FB0023-00B7-4F67-9A00-003A00D90046}</author>
    <author>tc={008800A9-0031-4E78-8303-00A7003A004F}</author>
    <author>tc={00830055-0023-4C44-A4E0-00EF00720085}</author>
    <author>tc={00A100F1-00C5-4546-B1F7-000A00A40019}</author>
    <author>tc={00460087-0041-4346-97DC-004700370069}</author>
    <author>tc={005B00F3-0021-4C41-B562-008A00B400C7}</author>
    <author>tc={00CD0067-00D5-46E7-8927-00CA004900F9}</author>
    <author>tc={000C00E8-0031-4F1C-B008-0092004800BA}</author>
    <author>tc={008D00CF-00EC-4A77-B3A8-008100A50036}</author>
    <author>tc={00E500D0-0062-476F-9B59-001A00AB002F}</author>
    <author>tc={00CB00DB-0017-46E8-AD1F-00EC006D00FB}</author>
    <author>tc={00F70075-009D-448B-86CE-00AC007600B5}</author>
    <author>tc={00740070-0084-4EAB-AF20-00F2001300C4}</author>
    <author>tc={00D30071-00C0-4CCA-BF13-00E900B70082}</author>
    <author>tc={00A90071-0028-4421-B069-00D0007700BE}</author>
    <author>tc={000F003D-00F8-4C1C-BC2B-007B008C0039}</author>
    <author>tc={002100F6-0050-42DB-8922-00CF00D5002A}</author>
    <author>tc={007F0092-00B3-41B2-AA5C-0049005200BB}</author>
    <author>tc={00CF005A-0089-41AA-ADAE-007700AB0089}</author>
    <author>tc={00E90034-009F-429F-BEB2-009200B5009C}</author>
    <author>tc={009000FD-00A3-4CB1-B05F-0080006600E0}</author>
    <author>tc={00E4005E-00A0-430C-9914-002800F10063}</author>
    <author>tc={001C00C4-00F2-40BB-B5FA-00FB00AE0086}</author>
    <author>tc={007500F0-00D9-4B80-A5F9-0082009B0020}</author>
    <author>tc={00AF0078-00F8-484E-A841-00D700DA00FB}</author>
    <author>tc={00910044-00D7-4FCE-AAC5-002A00310055}</author>
    <author>tc={00610012-0061-42DB-A8BC-003D0088005F}</author>
    <author>tc={008400CC-001A-4312-AD2E-009600960013}</author>
    <author>tc={007D00D6-0095-4378-9EE9-00C600530065}</author>
    <author>tc={00AF001E-0051-4EE4-8F9A-008B001F00B9}</author>
    <author>tc={00770005-00AF-42B7-B64C-000C00190084}</author>
    <author>tc={00B600C1-0072-4F83-9E49-000500820031}</author>
    <author>tc={005000DA-0041-4D92-B5A8-0044003F009D}</author>
    <author>tc={00AF00AE-002A-4160-ABBE-002D005A009C}</author>
    <author>tc={003E00ED-001A-401C-9FA6-003600810073}</author>
    <author>tc={00EE001E-0066-442B-9EBF-006C0086005C}</author>
    <author>tc={00B40019-0045-41A5-B32A-00EC00DD0005}</author>
    <author>tc={00680075-0010-44BE-BB57-00AE00900095}</author>
    <author>tc={00D300AD-005F-4B92-95B3-0012008A009C}</author>
    <author>tc={004F005B-0008-4738-9F95-0005001600A4}</author>
    <author>tc={0063007D-0036-4FCF-9C73-008C005C001E}</author>
    <author>tc={009E0063-00FA-4225-B387-00BB002C00F2}</author>
    <author>tc={000E0034-00C6-443E-AE52-0040007600F9}</author>
    <author>tc={00C90067-00F2-49D4-8714-00D900D00082}</author>
    <author>tc={0068004B-003A-48D2-8755-00D900F300CE}</author>
    <author>tc={0046007C-0001-40B9-97C1-003E0032007C}</author>
    <author>tc={00CB0007-006B-4900-B9CC-00AE00F400A7}</author>
    <author>tc={00BE00BF-00C7-4267-941A-009A00CF0026}</author>
    <author>tc={00CC0094-0046-415E-B603-00B800AF007F}</author>
    <author>tc={0024004D-007A-478B-8527-005400A6002C}</author>
    <author>tc={00FD0001-00DB-4844-8BE8-00CD006B001C}</author>
    <author>tc={000E009F-0045-4D16-97EC-001600D60030}</author>
    <author>tc={00140067-0078-4A42-A8A0-0037006500BE}</author>
    <author>tc={0050006E-0097-433A-ADAF-00CA00BB0012}</author>
    <author>tc={0006001E-00AA-4F28-958E-007E001B00E8}</author>
    <author>tc={000800C0-003E-4A09-885A-006C004A0059}</author>
    <author>tc={007100A9-00C2-4250-8C80-00E700570034}</author>
    <author>tc={008F0026-0040-4935-B2E7-000900EE0013}</author>
    <author>tc={003A00C6-00B5-4BE4-AD57-006300090077}</author>
    <author>tc={004F0069-00FF-463D-935A-009E00450057}</author>
    <author>tc={002F00C4-0062-4755-A0BF-00F40063009C}</author>
    <author>tc={003F00E1-0006-45F2-8419-00B500CB00A6}</author>
    <author>tc={0066009D-0076-4513-BD3E-00C3000400C5}</author>
    <author>tc={00920028-0022-4865-8BCA-0016003D00C0}</author>
    <author>tc={00340088-00DE-48CF-AD99-003900C80052}</author>
    <author>tc={00BF0017-0062-48E8-AD50-00CB009900A8}</author>
    <author>tc={002C0000-00C8-497B-80D4-00FF00CC00E4}</author>
    <author>tc={007900C6-0011-4E0A-B7CF-001D001C009D}</author>
    <author>tc={002500BD-00A0-4148-BA34-00FE006C005C}</author>
    <author>tc={00B6008F-00BD-499D-96AF-009300420021}</author>
    <author>tc={003400B8-0014-4DA6-A13D-005F004700DC}</author>
    <author>tc={00AB000B-0033-48B3-A195-00F900C900F5}</author>
    <author>tc={00AD002B-000F-4F47-91B6-008B003900C4}</author>
    <author>tc={00CD0012-0080-439B-AC62-005500AD0019}</author>
    <author>tc={0025008E-00C0-4A1C-8BA3-002B005F00B6}</author>
    <author>tc={00D100BE-00F0-4DE8-973F-00F2002C00D0}</author>
    <author>tc={00720099-0093-4555-8349-002700160092}</author>
    <author>tc={00AC0068-0011-466A-9E90-005900C20099}</author>
    <author>tc={00A80047-0036-4B63-B12D-00AA00FB0079}</author>
    <author>tc={009200A9-00B0-4732-AAFA-0052002D0036}</author>
    <author>tc={001C00D1-0094-49F9-A214-001C00EA00CC}</author>
    <author>tc={006400AE-00DC-4205-8703-00250002002D}</author>
    <author>tc={00970092-00DB-4217-B2E9-005F00B40030}</author>
    <author>tc={00540099-007A-47BB-8540-00B0009F007C}</author>
    <author>tc={005F00AD-0041-4897-ACFA-0046008A004F}</author>
    <author>tc={0002008A-001C-428A-864E-00E4005E00DA}</author>
    <author>tc={00880042-00D9-4021-8938-006300A900C5}</author>
    <author>tc={00C200BA-00AE-4D23-87F5-002C001C00A9}</author>
    <author>tc={0085002B-00B0-4B07-BD88-00BF000D0095}</author>
    <author>tc={002900A2-005D-4578-AC36-002F00F60089}</author>
    <author>tc={000C0081-0013-46D8-8C0E-00A400F400FE}</author>
    <author>tc={0011009C-008E-4C66-932F-009A00DA0082}</author>
    <author>tc={008200BF-0006-4759-B9E4-004E00B20042}</author>
    <author>tc={00CB0016-00EF-4FC3-9D91-006B007D00E1}</author>
    <author>tc={00DD0026-009B-4D07-AC97-00FB000E009C}</author>
    <author>tc={00AE00C8-0043-403E-B219-001F00DA001E}</author>
    <author>tc={00B400A9-0081-48B4-B47C-0088007A000B}</author>
    <author>tc={006E00CB-00D6-486A-A3EC-00FF002D0079}</author>
    <author>tc={00DC0002-0025-4892-98D7-00DE00530071}</author>
    <author>tc={000F007C-0087-416E-A047-008900C600E6}</author>
    <author>tc={00430003-00C4-4F9B-B7A3-00AB00B4006F}</author>
    <author>tc={004B00C0-006F-4293-88DB-003E003D00F5}</author>
    <author>tc={00C800A7-000F-40AC-B800-00BF006300A2}</author>
    <author>tc={005E0002-0009-4FED-83E5-00BD00CB0016}</author>
    <author>tc={003600ED-0029-4A92-A49E-005A004000E2}</author>
    <author>tc={007D00DB-0020-438C-BA05-00CE002E000B}</author>
    <author>tc={00E2000F-0000-4AFF-8A3D-00E40028008D}</author>
    <author>tc={001C0023-00C1-42C3-9024-007A006200D5}</author>
    <author>tc={00620084-00C0-42E4-99E3-000500380046}</author>
    <author>tc={008A0007-00D6-4672-B8D8-00A800CD00ED}</author>
    <author>tc={00F200A6-0019-417A-BD2E-000A0073002C}</author>
    <author>tc={00700090-00EF-4D18-909F-00F4008300A3}</author>
    <author>tc={005200D4-0029-43DC-9B24-003F008A00FA}</author>
    <author>tc={00680058-00F9-418A-9EFE-0054003900CA}</author>
    <author>tc={00870055-0077-479A-872B-00B300E70021}</author>
    <author>tc={000700D8-0020-41B7-85F7-006F000B0002}</author>
    <author>tc={00460043-0052-4A43-836A-00B000C500E3}</author>
    <author>tc={008400F6-0045-44A9-AE44-00BE00A400BF}</author>
    <author>tc={00D00025-00BA-4D48-BB14-00BE00B7006A}</author>
    <author>tc={00750008-001E-4ADD-925E-00A6003F0076}</author>
    <author>tc={00640024-00C7-44CE-9280-0083000B001D}</author>
    <author>tc={00900052-00EA-4C31-B69D-00730093000B}</author>
    <author>tc={0073003F-0025-4053-B51C-0028006F00E4}</author>
    <author>tc={008900ED-00F6-4335-AE28-006B00DE00BD}</author>
    <author>tc={00D20030-0041-4E09-AA2E-0096004000A2}</author>
    <author>tc={00540031-00CE-45B9-A863-0019009C000F}</author>
    <author>tc={002700B8-0040-44D0-80F1-0046008B00C0}</author>
    <author>tc={001600B4-00A8-490B-8E05-00B200DD00C4}</author>
    <author>tc={0077005B-0059-4CCA-8FBA-00F900A800D2}</author>
    <author>tc={00E400FA-000D-42F9-A095-007100A4002B}</author>
    <author>tc={00F90032-0065-4538-B8E0-007E002F0086}</author>
    <author>tc={00D70079-0065-485B-AD2E-001D00CB008C}</author>
    <author>tc={00A20097-00F3-40EB-BCCC-005C009D005C}</author>
    <author>tc={0004002A-005B-47A3-B053-00DE00F00008}</author>
    <author>tc={00A70023-00CE-4DF4-881F-005C00B00017}</author>
    <author>tc={007D00AE-0004-45A4-83C1-0088006500B6}</author>
    <author>tc={009C0047-001B-4DE7-819E-008800E80017}</author>
    <author>tc={00D90053-00E2-4C8C-A4D4-002800F8007B}</author>
    <author>tc={007300E5-007D-4206-AE0D-00020035002B}</author>
    <author>tc={00AF0069-00F4-427D-BCBF-00C600E600E7}</author>
    <author>tc={00570019-00B3-4A4E-AD9F-00B60074005F}</author>
    <author>tc={00360089-0008-4288-8927-002A00ED00BA}</author>
    <author>tc={009D001D-00A9-4571-8217-000C00820013}</author>
    <author>tc={00DA0068-008C-455F-917C-00AF007D00E8}</author>
    <author>tc={0066008F-00AA-4571-B342-00A9007900DD}</author>
    <author>tc={00E400B5-00C9-4F4A-B610-008700C000C0}</author>
    <author>tc={00BA00E5-0012-46B1-B97D-009700B700EF}</author>
    <author>tc={00D000FC-000E-4BA3-8E5D-00BC00E900BB}</author>
    <author>tc={0012002B-002F-4ECF-A54A-00EF008300EC}</author>
    <author>tc={00F20076-0047-461A-8D23-00B900D5003A}</author>
    <author>tc={00E30038-000F-411B-818C-00BA00D700D6}</author>
    <author>tc={00DF009D-00A1-4DA0-896A-002500A200DF}</author>
    <author>tc={00E20026-00FF-4C28-A569-004200F200ED}</author>
    <author>tc={0003004D-008B-49C6-8445-000F005100B4}</author>
    <author>tc={00AF0012-00AE-4FE0-ABCD-0032008E005C}</author>
    <author>tc={007D0047-0082-4F06-BDC5-00EB00B000EA}</author>
    <author>tc={00FD0093-00FA-48BC-8532-0064002900B7}</author>
    <author>tc={00C300ED-00EF-4C39-ADD1-00DE000D0091}</author>
    <author>tc={00E90024-009B-4AEB-A2AA-002B0097003B}</author>
    <author>tc={008C0058-0020-4CF0-BC8B-003100A400EA}</author>
    <author>tc={004B007E-00FF-459E-807D-006E003600C9}</author>
    <author>tc={0035009B-00D2-4B47-9F2E-005700A40083}</author>
    <author>tc={00B6001F-0041-4F6F-B3DD-005E00B600F6}</author>
    <author>tc={00FE00B3-0001-4197-9382-004F00BC00C9}</author>
    <author>tc={00C200EE-000B-4098-BA00-000900EB006A}</author>
    <author>tc={003A003F-00B9-417E-967E-00FF009C003C}</author>
    <author>tc={00A40066-004D-440A-B9E5-00B900CE0015}</author>
    <author>tc={00BF00F8-0068-472E-9567-005000A200BE}</author>
    <author>tc={005100DF-0093-4D94-88F3-00F500DD0076}</author>
    <author>tc={00A100D7-00BA-4218-81C2-006B0069006F}</author>
    <author>tc={00FD00F3-00AC-4C49-A8CD-008900D4004F}</author>
    <author>tc={001F007A-00A3-4A78-975A-007C00B100A1}</author>
    <author>tc={0011002D-003C-459B-9E23-00E300F20023}</author>
    <author>tc={006A008E-00C6-4DB4-9EBD-001700B000AC}</author>
    <author>tc={000A00D5-0005-4D57-9672-00D2002D00A8}</author>
    <author>tc={00D50088-00A2-46CD-A55B-00E4004F00F3}</author>
    <author>tc={00330007-00A7-4891-ACC9-00AF001F0060}</author>
    <author>tc={00930001-0003-41D4-BDD9-00AB004B0035}</author>
    <author>tc={00E300FC-000C-46F9-97EA-00E200A300AC}</author>
    <author>tc={00AF002E-0062-4B81-B2DB-001600D8002E}</author>
    <author>tc={001F0013-00CC-4630-AC4D-008C008B00F1}</author>
    <author>tc={006B0055-0017-4C5A-8CE1-0033001900C7}</author>
    <author>tc={0097001D-000C-4FE7-94CB-0079008A002D}</author>
    <author>tc={002C006A-00D7-42F4-B982-006100050096}</author>
    <author>tc={00B7008B-0087-4C50-943F-0004005900E9}</author>
    <author>tc={004700A6-0090-4C00-A082-000B007800FE}</author>
    <author>tc={00F30034-0048-4FBD-8A8B-003600F60025}</author>
    <author>tc={00520082-006D-4771-8DE4-00D9008E009F}</author>
    <author>tc={00020032-009E-49BD-A3D7-0059009E0023}</author>
    <author>tc={00CB0040-008C-4580-812C-00C3005B0052}</author>
    <author>tc={00A900D0-0077-47FE-8D3F-00D4004000A9}</author>
    <author>tc={00A20053-0068-4841-A45B-0073008C00E5}</author>
    <author>tc={00EB00E2-00D5-43A1-82E4-00FE00F500F3}</author>
    <author>tc={003C006A-009C-4DA9-A881-006A005500B5}</author>
    <author>tc={0053002D-007C-449B-869C-00BD00290083}</author>
    <author>tc={006F003E-0097-45EA-BEE4-0092001200A4}</author>
    <author>tc={00D60009-00F7-42BF-B1CC-0099005800D9}</author>
    <author>tc={00A90010-0013-411D-8A19-005C003F00B7}</author>
    <author>tc={00320043-00D4-4FFA-8CB6-005A002100A1}</author>
    <author>tc={0041001B-00DF-4E06-9166-000E00DC001E}</author>
    <author>tc={00AD0025-0030-426B-BBEF-000B006B00B1}</author>
    <author>tc={00520042-00A6-430B-95DC-00F8006C004F}</author>
    <author>tc={00930028-0086-48F9-8CFA-0011009F00E3}</author>
    <author>tc={00D300E0-00F6-44FD-81DB-00A4006B00CB}</author>
    <author>tc={00FB0046-0083-4414-A659-009500590059}</author>
    <author>tc={00F7008C-009C-43ED-AC0C-00DB00960052}</author>
    <author>tc={003900B6-0014-476D-82D5-000000760072}</author>
    <author>tc={00E300F3-0067-49F6-816F-00FB001200D2}</author>
    <author>tc={004000B4-005D-414C-92D4-004B00A700C9}</author>
    <author>tc={00CD00B5-00E8-45E0-B571-006F008C0057}</author>
    <author>tc={000E00A2-0052-481C-A9F5-00570046007A}</author>
    <author>tc={000C00F6-0045-489B-B65B-008500800024}</author>
    <author>tc={00D40082-0051-4CAE-945B-0091008600BB}</author>
    <author>tc={00F600ED-0069-42D9-AFF4-00A600CB0099}</author>
    <author>tc={0007002F-0066-4754-B5EB-00030063008D}</author>
    <author>tc={005C00C0-00E0-4B9E-BEC9-00F5001B0030}</author>
    <author>tc={005D0026-00FF-40E1-8189-00EC00190040}</author>
    <author>tc={00C8008F-004A-485C-BB59-00F0002A0026}</author>
    <author>tc={00C40019-008B-464C-A64F-002400170074}</author>
    <author>tc={007F0034-0072-47A1-A444-00BE004E0031}</author>
    <author>tc={00AA0027-0012-467F-BD57-008B00600055}</author>
    <author>tc={00F8008A-0064-4EBD-AE6B-006800830050}</author>
    <author>tc={00A200C9-00C3-4268-87A7-00C900110083}</author>
    <author>tc={00E600A7-006F-4E41-9AF6-0036000700C4}</author>
    <author>tc={008400B9-000A-4E3B-BA86-00C9008700DF}</author>
    <author>tc={006200EF-0095-4167-8F75-00B2005F008A}</author>
    <author>tc={003900E2-003F-4105-BD07-00A3002E00F4}</author>
    <author>tc={009300A4-0050-469D-943C-00EF007600E6}</author>
    <author>tc={00470070-00DF-4DA7-8218-0014008B0070}</author>
    <author>tc={00AC0051-0068-4BCF-BAE0-002700E90093}</author>
    <author>tc={001F00AA-004A-4575-A89E-004E00AB00C6}</author>
    <author>tc={008000B0-004A-422E-A9A3-004400150073}</author>
    <author>tc={00B500EB-000E-4141-9F01-00D9000B0077}</author>
    <author>tc={002600B9-00A3-4E2A-8B0E-0070009700A5}</author>
    <author>tc={004000CA-00F8-451A-BFE5-007F00660044}</author>
    <author>tc={00F300A4-0061-4775-9DE3-0012004C008C}</author>
    <author>tc={00340021-0015-4053-A22D-004800BC002D}</author>
    <author>tc={007B00ED-00B0-48FF-8529-00D4005100C9}</author>
    <author>tc={00450008-00B2-4D7B-A900-007E00480075}</author>
    <author>tc={0093004A-00FD-40FA-9823-009F0003003C}</author>
    <author>tc={006A00DA-005B-4265-93C4-00A90087009B}</author>
    <author>tc={005100B5-00F6-40D7-B259-009C00FF0006}</author>
    <author>tc={00D6002E-00DE-4021-8E1C-009200370061}</author>
    <author>tc={00090068-0087-4D46-838C-003500220088}</author>
    <author>tc={00FF00DD-0048-42FF-BFEE-0043005400C8}</author>
    <author>tc={005100DB-00DD-4E39-9FC4-001100890064}</author>
    <author>tc={009A0002-00E6-4292-9D5E-0004001C0011}</author>
    <author>tc={00FC00C7-0065-4EE0-8F46-001A0091007A}</author>
    <author>tc={009C00F4-0044-41AA-B6D1-005F000C00BD}</author>
    <author>tc={00220025-00CD-4DAD-9E96-007800D700EB}</author>
    <author>tc={003A004D-0030-4E58-88ED-001C00E0008C}</author>
    <author>tc={00E900E5-00B7-41ED-8C98-004500950080}</author>
    <author>tc={006C005D-002E-4FBB-83F2-001C00D100A4}</author>
    <author>tc={005D00D6-0026-40FB-86F5-0022006900DA}</author>
    <author>tc={00FC0068-00C2-401F-984A-00F300FF006D}</author>
    <author>tc={008D0079-0009-4B51-9969-003D00D9001B}</author>
    <author>tc={00D90049-0068-48EC-A904-004400600096}</author>
    <author>tc={00AC0067-002E-4C01-919A-005E00A10004}</author>
    <author>tc={00580039-000F-48D4-87E6-007700CF007F}</author>
    <author>tc={00310078-00A2-495D-B96C-008F00BF0095}</author>
    <author>tc={000F00B2-00E3-41C7-AAF3-0037006A00C9}</author>
    <author>tc={00D2006B-0052-48F7-BC72-006C008E0056}</author>
  </authors>
  <commentList>
    <comment ref="A4" authorId="0">
      <text>
        <r>
          <rPr>
            <sz val="11"/>
            <color theme="1"/>
            <rFont val="Arial"/>
          </rPr>
          <t xml:space="preserve">Gabor Daniel:
Nothing here yet...perhaps at a different time?
</t>
        </r>
      </text>
    </comment>
    <comment ref="A5" authorId="1">
      <text>
        <r>
          <rPr>
            <sz val="11"/>
            <color theme="1"/>
            <rFont val="Arial"/>
          </rPr>
          <t xml:space="preserve">Gabor Daniel:
Nothing here yet...perhaps at a different time?
</t>
        </r>
      </text>
    </comment>
    <comment ref="A6" authorId="2">
      <text>
        <r>
          <rPr>
            <sz val="11"/>
            <color theme="1"/>
            <rFont val="Arial"/>
          </rPr>
          <t xml:space="preserve">Gabor Daniel:
Nothing here yet...perhaps at a different time?
</t>
        </r>
      </text>
    </comment>
    <comment ref="A7" authorId="3">
      <text>
        <r>
          <rPr>
            <sz val="11"/>
            <color theme="1"/>
            <rFont val="Arial"/>
          </rPr>
          <t xml:space="preserve">Gabor Daniel:
Nothing here yet...perhaps at a different time?
</t>
        </r>
      </text>
    </comment>
    <comment ref="A8" authorId="4">
      <text>
        <r>
          <rPr>
            <sz val="11"/>
            <color theme="1"/>
            <rFont val="Arial"/>
          </rPr>
          <t xml:space="preserve">Gabor Daniel:
Nothing here yet...perhaps at a different time?
</t>
        </r>
      </text>
    </comment>
    <comment ref="A9" authorId="5">
      <text>
        <r>
          <rPr>
            <sz val="11"/>
            <color theme="1"/>
            <rFont val="Arial"/>
          </rPr>
          <t xml:space="preserve">Gabor Daniel:
Nothing here yet...perhaps at a different time?
</t>
        </r>
      </text>
    </comment>
    <comment ref="A10" authorId="6">
      <text>
        <r>
          <rPr>
            <sz val="11"/>
            <color theme="1"/>
            <rFont val="Arial"/>
          </rPr>
          <t xml:space="preserve">Gabor Daniel:
Nothing here yet...perhaps at a different time?
</t>
        </r>
      </text>
    </comment>
    <comment ref="A11" authorId="7">
      <text>
        <r>
          <rPr>
            <sz val="11"/>
            <color theme="1"/>
            <rFont val="Arial"/>
          </rPr>
          <t xml:space="preserve">Gabor Daniel:
Nothing here yet...perhaps at a different time?
</t>
        </r>
      </text>
    </comment>
    <comment ref="A12" authorId="8">
      <text>
        <r>
          <rPr>
            <sz val="11"/>
            <color theme="1"/>
            <rFont val="Arial"/>
          </rPr>
          <t xml:space="preserve">Gabor Daniel:
Nothing here yet...perhaps at a different time?
</t>
        </r>
      </text>
    </comment>
    <comment ref="A13" authorId="9">
      <text>
        <r>
          <rPr>
            <sz val="11"/>
            <color theme="1"/>
            <rFont val="Arial"/>
          </rPr>
          <t xml:space="preserve">Gabor Daniel:
Nothing here yet...perhaps at a different time?
</t>
        </r>
      </text>
    </comment>
    <comment ref="A14" authorId="10">
      <text>
        <r>
          <rPr>
            <sz val="11"/>
            <color theme="1"/>
            <rFont val="Arial"/>
          </rPr>
          <t xml:space="preserve">Gabor Daniel:
Nothing here yet...perhaps at a different time?
</t>
        </r>
      </text>
    </comment>
    <comment ref="A15" authorId="11">
      <text>
        <r>
          <rPr>
            <sz val="11"/>
            <color theme="1"/>
            <rFont val="Arial"/>
          </rPr>
          <t xml:space="preserve">Gabor Daniel:
Nothing here yet...perhaps at a different time?
</t>
        </r>
      </text>
    </comment>
    <comment ref="A16" authorId="12">
      <text>
        <r>
          <rPr>
            <sz val="11"/>
            <color theme="1"/>
            <rFont val="Arial"/>
          </rPr>
          <t xml:space="preserve">Gabor Daniel:
Nothing here yet...perhaps at a different time?
</t>
        </r>
      </text>
    </comment>
    <comment ref="A17" authorId="13">
      <text>
        <r>
          <rPr>
            <sz val="11"/>
            <color theme="1"/>
            <rFont val="Arial"/>
          </rPr>
          <t xml:space="preserve">Gabor Daniel:
Nothing here yet...perhaps at a different time?
</t>
        </r>
      </text>
    </comment>
    <comment ref="A18" authorId="14">
      <text>
        <r>
          <rPr>
            <sz val="11"/>
            <color theme="1"/>
            <rFont val="Arial"/>
          </rPr>
          <t xml:space="preserve">Gabor Daniel:
Nothing here yet...perhaps at a different time?
</t>
        </r>
      </text>
    </comment>
    <comment ref="A19" authorId="15">
      <text>
        <r>
          <rPr>
            <sz val="11"/>
            <color theme="1"/>
            <rFont val="Arial"/>
          </rPr>
          <t xml:space="preserve">Gabor Daniel:
Nothing here yet...perhaps at a different time?
</t>
        </r>
      </text>
    </comment>
    <comment ref="A20" authorId="16">
      <text>
        <r>
          <rPr>
            <sz val="11"/>
            <color theme="1"/>
            <rFont val="Arial"/>
          </rPr>
          <t xml:space="preserve">Gabor Daniel:
Nothing here yet...perhaps at a different time?
</t>
        </r>
      </text>
    </comment>
    <comment ref="A23" authorId="17">
      <text>
        <r>
          <rPr>
            <sz val="11"/>
            <color theme="1"/>
            <rFont val="Arial"/>
          </rPr>
          <t xml:space="preserve">Gabor Daniel:
Nothing here yet...perhaps at a different time?
</t>
        </r>
      </text>
    </comment>
    <comment ref="A24" authorId="18">
      <text>
        <r>
          <rPr>
            <sz val="11"/>
            <color theme="1"/>
            <rFont val="Arial"/>
          </rPr>
          <t xml:space="preserve">Gabor Daniel:
Nothing here yet...perhaps at a different time?
</t>
        </r>
      </text>
    </comment>
    <comment ref="A25" authorId="19">
      <text>
        <r>
          <rPr>
            <sz val="11"/>
            <color theme="1"/>
            <rFont val="Arial"/>
          </rPr>
          <t xml:space="preserve">Gabor Daniel:
Nothing here yet...perhaps at a different time?
</t>
        </r>
      </text>
    </comment>
    <comment ref="A26" authorId="20">
      <text>
        <r>
          <rPr>
            <sz val="11"/>
            <color theme="1"/>
            <rFont val="Arial"/>
          </rPr>
          <t xml:space="preserve">Gabor Daniel:
Nothing here yet...perhaps at a different time?
</t>
        </r>
      </text>
    </comment>
    <comment ref="A27" authorId="21">
      <text>
        <r>
          <rPr>
            <sz val="11"/>
            <color theme="1"/>
            <rFont val="Arial"/>
          </rPr>
          <t xml:space="preserve">Gabor Daniel:
Nothing here yet...perhaps at a different time?
</t>
        </r>
      </text>
    </comment>
    <comment ref="A28" authorId="22">
      <text>
        <r>
          <rPr>
            <sz val="11"/>
            <color theme="1"/>
            <rFont val="Arial"/>
          </rPr>
          <t xml:space="preserve">Gabor Daniel:
Nothing here yet...perhaps at a different time?
</t>
        </r>
      </text>
    </comment>
    <comment ref="A29" authorId="23">
      <text>
        <r>
          <rPr>
            <sz val="11"/>
            <color theme="1"/>
            <rFont val="Arial"/>
          </rPr>
          <t xml:space="preserve">Gabor Daniel:
Nothing here yet...perhaps at a different time?
</t>
        </r>
      </text>
    </comment>
    <comment ref="A30" authorId="24">
      <text>
        <r>
          <rPr>
            <sz val="11"/>
            <color theme="1"/>
            <rFont val="Arial"/>
          </rPr>
          <t xml:space="preserve">Gabor Daniel:
Nothing here yet...perhaps at a different time?
</t>
        </r>
      </text>
    </comment>
    <comment ref="A31" authorId="25">
      <text>
        <r>
          <rPr>
            <sz val="11"/>
            <color theme="1"/>
            <rFont val="Arial"/>
          </rPr>
          <t xml:space="preserve">Gabor Daniel:
Nothing here yet...perhaps at a different time?
</t>
        </r>
      </text>
    </comment>
    <comment ref="A32" authorId="26">
      <text>
        <r>
          <rPr>
            <sz val="11"/>
            <color theme="1"/>
            <rFont val="Arial"/>
          </rPr>
          <t xml:space="preserve">Gabor Daniel:
Nothing here yet...perhaps at a different time?
</t>
        </r>
      </text>
    </comment>
    <comment ref="A33" authorId="27">
      <text>
        <r>
          <rPr>
            <sz val="11"/>
            <color theme="1"/>
            <rFont val="Arial"/>
          </rPr>
          <t xml:space="preserve">Gabor Daniel:
Nothing here yet...perhaps at a different time?
</t>
        </r>
      </text>
    </comment>
    <comment ref="A34" authorId="28">
      <text>
        <r>
          <rPr>
            <sz val="11"/>
            <color theme="1"/>
            <rFont val="Arial"/>
          </rPr>
          <t xml:space="preserve">Gabor Daniel:
Nothing here yet...perhaps at a different time?
</t>
        </r>
      </text>
    </comment>
    <comment ref="A35" authorId="29">
      <text>
        <r>
          <rPr>
            <sz val="11"/>
            <color theme="1"/>
            <rFont val="Arial"/>
          </rPr>
          <t xml:space="preserve">Gabor Daniel:
Nothing here yet...perhaps at a different time?
</t>
        </r>
      </text>
    </comment>
    <comment ref="A36" authorId="30">
      <text>
        <r>
          <rPr>
            <sz val="11"/>
            <color theme="1"/>
            <rFont val="Arial"/>
          </rPr>
          <t xml:space="preserve">Gabor Daniel:
Nothing here yet...perhaps at a different time?
</t>
        </r>
      </text>
    </comment>
    <comment ref="A37" authorId="31">
      <text>
        <r>
          <rPr>
            <sz val="11"/>
            <color theme="1"/>
            <rFont val="Arial"/>
          </rPr>
          <t xml:space="preserve">Gabor Daniel:
Nothing here yet...perhaps at a different time?
</t>
        </r>
      </text>
    </comment>
    <comment ref="A38" authorId="32">
      <text>
        <r>
          <rPr>
            <sz val="11"/>
            <color theme="1"/>
            <rFont val="Arial"/>
          </rPr>
          <t xml:space="preserve">Gabor Daniel:
Nothing here yet...perhaps at a different time?
</t>
        </r>
      </text>
    </comment>
    <comment ref="A39" authorId="33">
      <text>
        <r>
          <rPr>
            <sz val="11"/>
            <color theme="1"/>
            <rFont val="Arial"/>
          </rPr>
          <t xml:space="preserve">Gabor Daniel:
Nothing here yet...perhaps at a different time?
</t>
        </r>
      </text>
    </comment>
    <comment ref="A42" authorId="34">
      <text>
        <r>
          <rPr>
            <sz val="11"/>
            <color theme="1"/>
            <rFont val="Arial"/>
          </rPr>
          <t xml:space="preserve">Gabor Daniel:
Nothing here yet...perhaps at a different time?
</t>
        </r>
      </text>
    </comment>
    <comment ref="A43" authorId="35">
      <text>
        <r>
          <rPr>
            <sz val="11"/>
            <color theme="1"/>
            <rFont val="Arial"/>
          </rPr>
          <t xml:space="preserve">Gabor Daniel:
Nothing here yet...perhaps at a different time?
</t>
        </r>
      </text>
    </comment>
    <comment ref="A44" authorId="36">
      <text>
        <r>
          <rPr>
            <sz val="11"/>
            <color theme="1"/>
            <rFont val="Arial"/>
          </rPr>
          <t xml:space="preserve">Gabor Daniel:
Nothing here yet...perhaps at a different time?
</t>
        </r>
      </text>
    </comment>
    <comment ref="A45" authorId="37">
      <text>
        <r>
          <rPr>
            <sz val="11"/>
            <color theme="1"/>
            <rFont val="Arial"/>
          </rPr>
          <t xml:space="preserve">Gabor Daniel:
Nothing here yet...perhaps at a different time?
</t>
        </r>
      </text>
    </comment>
    <comment ref="A46" authorId="38">
      <text>
        <r>
          <rPr>
            <sz val="11"/>
            <color theme="1"/>
            <rFont val="Arial"/>
          </rPr>
          <t xml:space="preserve">Gabor Daniel:
Nothing here yet...perhaps at a different time?
</t>
        </r>
      </text>
    </comment>
    <comment ref="A47" authorId="39">
      <text>
        <r>
          <rPr>
            <sz val="11"/>
            <color theme="1"/>
            <rFont val="Arial"/>
          </rPr>
          <t xml:space="preserve">Gabor Daniel:
Nothing here yet...perhaps at a different time?
</t>
        </r>
      </text>
    </comment>
    <comment ref="A48" authorId="40">
      <text>
        <r>
          <rPr>
            <sz val="11"/>
            <color theme="1"/>
            <rFont val="Arial"/>
          </rPr>
          <t xml:space="preserve">Gabor Daniel:
Nothing here yet...perhaps at a different time?
</t>
        </r>
      </text>
    </comment>
    <comment ref="A49" authorId="41">
      <text>
        <r>
          <rPr>
            <sz val="11"/>
            <color theme="1"/>
            <rFont val="Arial"/>
          </rPr>
          <t xml:space="preserve">Gabor Daniel:
Nothing here yet...perhaps at a different time?
</t>
        </r>
      </text>
    </comment>
    <comment ref="A50" authorId="42">
      <text>
        <r>
          <rPr>
            <sz val="11"/>
            <color theme="1"/>
            <rFont val="Arial"/>
          </rPr>
          <t xml:space="preserve">Gabor Daniel:
Nothing here yet...perhaps at a different time?
</t>
        </r>
      </text>
    </comment>
    <comment ref="A51" authorId="43">
      <text>
        <r>
          <rPr>
            <sz val="11"/>
            <color theme="1"/>
            <rFont val="Arial"/>
          </rPr>
          <t xml:space="preserve">Gabor Daniel:
Nothing here yet...perhaps at a different time?
</t>
        </r>
      </text>
    </comment>
    <comment ref="A52" authorId="44">
      <text>
        <r>
          <rPr>
            <sz val="11"/>
            <color theme="1"/>
            <rFont val="Arial"/>
          </rPr>
          <t xml:space="preserve">Gabor Daniel:
Nothing here yet...perhaps at a different time?
</t>
        </r>
      </text>
    </comment>
    <comment ref="A53" authorId="45">
      <text>
        <r>
          <rPr>
            <sz val="11"/>
            <color theme="1"/>
            <rFont val="Arial"/>
          </rPr>
          <t xml:space="preserve">Gabor Daniel:
Nothing here yet...perhaps at a different time?
</t>
        </r>
      </text>
    </comment>
    <comment ref="A54" authorId="46">
      <text>
        <r>
          <rPr>
            <sz val="11"/>
            <color theme="1"/>
            <rFont val="Arial"/>
          </rPr>
          <t xml:space="preserve">Gabor Daniel:
Nothing here yet...perhaps at a different time?
</t>
        </r>
      </text>
    </comment>
    <comment ref="A55" authorId="47">
      <text>
        <r>
          <rPr>
            <sz val="11"/>
            <color theme="1"/>
            <rFont val="Arial"/>
          </rPr>
          <t xml:space="preserve">Gabor Daniel:
Nothing here yet...perhaps at a different time?
</t>
        </r>
      </text>
    </comment>
    <comment ref="A56" authorId="48">
      <text>
        <r>
          <rPr>
            <sz val="11"/>
            <color theme="1"/>
            <rFont val="Arial"/>
          </rPr>
          <t xml:space="preserve">Gabor Daniel:
Nothing here yet...perhaps at a different time?
</t>
        </r>
      </text>
    </comment>
    <comment ref="A57" authorId="49">
      <text>
        <r>
          <rPr>
            <sz val="11"/>
            <color theme="1"/>
            <rFont val="Arial"/>
          </rPr>
          <t xml:space="preserve">Gabor Daniel:
Nothing here yet...perhaps at a different time?
</t>
        </r>
      </text>
    </comment>
    <comment ref="A58" authorId="50">
      <text>
        <r>
          <rPr>
            <sz val="11"/>
            <color theme="1"/>
            <rFont val="Arial"/>
          </rPr>
          <t xml:space="preserve">Gabor Daniel:
Nothing here yet...perhaps at a different time?
</t>
        </r>
      </text>
    </comment>
    <comment ref="A61" authorId="51">
      <text>
        <r>
          <rPr>
            <sz val="11"/>
            <color theme="1"/>
            <rFont val="Arial"/>
          </rPr>
          <t xml:space="preserve">Gabor Daniel:
Nothing here yet...perhaps at a different time?
</t>
        </r>
      </text>
    </comment>
    <comment ref="A62" authorId="52">
      <text>
        <r>
          <rPr>
            <sz val="11"/>
            <color theme="1"/>
            <rFont val="Arial"/>
          </rPr>
          <t xml:space="preserve">Gabor Daniel:
Nothing here yet...perhaps at a different time?
</t>
        </r>
      </text>
    </comment>
    <comment ref="A63" authorId="53">
      <text>
        <r>
          <rPr>
            <sz val="11"/>
            <color theme="1"/>
            <rFont val="Arial"/>
          </rPr>
          <t xml:space="preserve">Gabor Daniel:
Nothing here yet...perhaps at a different time?
</t>
        </r>
      </text>
    </comment>
    <comment ref="A64" authorId="54">
      <text>
        <r>
          <rPr>
            <sz val="11"/>
            <color theme="1"/>
            <rFont val="Arial"/>
          </rPr>
          <t xml:space="preserve">Gabor Daniel:
Nothing here yet...perhaps at a different time?
</t>
        </r>
      </text>
    </comment>
    <comment ref="A65" authorId="55">
      <text>
        <r>
          <rPr>
            <sz val="11"/>
            <color theme="1"/>
            <rFont val="Arial"/>
          </rPr>
          <t xml:space="preserve">Gabor Daniel:
Nothing here yet...perhaps at a different time?
</t>
        </r>
      </text>
    </comment>
    <comment ref="A66" authorId="56">
      <text>
        <r>
          <rPr>
            <sz val="11"/>
            <color theme="1"/>
            <rFont val="Arial"/>
          </rPr>
          <t xml:space="preserve">Gabor Daniel:
Nothing here yet...perhaps at a different time?
</t>
        </r>
      </text>
    </comment>
    <comment ref="A67" authorId="57">
      <text>
        <r>
          <rPr>
            <sz val="11"/>
            <color theme="1"/>
            <rFont val="Arial"/>
          </rPr>
          <t xml:space="preserve">Gabor Daniel:
Nothing here yet...perhaps at a different time?
</t>
        </r>
      </text>
    </comment>
    <comment ref="A68" authorId="58">
      <text>
        <r>
          <rPr>
            <sz val="11"/>
            <color theme="1"/>
            <rFont val="Arial"/>
          </rPr>
          <t xml:space="preserve">Gabor Daniel:
Nothing here yet...perhaps at a different time?
</t>
        </r>
      </text>
    </comment>
    <comment ref="A69" authorId="59">
      <text>
        <r>
          <rPr>
            <sz val="11"/>
            <color theme="1"/>
            <rFont val="Arial"/>
          </rPr>
          <t xml:space="preserve">Gabor Daniel:
Nothing here yet...perhaps at a different time?
</t>
        </r>
      </text>
    </comment>
    <comment ref="A70" authorId="60">
      <text>
        <r>
          <rPr>
            <sz val="11"/>
            <color theme="1"/>
            <rFont val="Arial"/>
          </rPr>
          <t xml:space="preserve">Gabor Daniel:
Nothing here yet...perhaps at a different time?
</t>
        </r>
      </text>
    </comment>
    <comment ref="A71" authorId="61">
      <text>
        <r>
          <rPr>
            <sz val="11"/>
            <color theme="1"/>
            <rFont val="Arial"/>
          </rPr>
          <t xml:space="preserve">Gabor Daniel:
Nothing here yet...perhaps at a different time?
</t>
        </r>
      </text>
    </comment>
    <comment ref="A72" authorId="62">
      <text>
        <r>
          <rPr>
            <sz val="11"/>
            <color theme="1"/>
            <rFont val="Arial"/>
          </rPr>
          <t xml:space="preserve">Gabor Daniel:
Nothing here yet...perhaps at a different time?
</t>
        </r>
      </text>
    </comment>
    <comment ref="A73" authorId="63">
      <text>
        <r>
          <rPr>
            <sz val="11"/>
            <color theme="1"/>
            <rFont val="Arial"/>
          </rPr>
          <t xml:space="preserve">Gabor Daniel:
Nothing here yet...perhaps at a different time?
</t>
        </r>
      </text>
    </comment>
    <comment ref="A74" authorId="64">
      <text>
        <r>
          <rPr>
            <sz val="11"/>
            <color theme="1"/>
            <rFont val="Arial"/>
          </rPr>
          <t xml:space="preserve">Gabor Daniel:
Nothing here yet...perhaps at a different time?
</t>
        </r>
      </text>
    </comment>
    <comment ref="A75" authorId="65">
      <text>
        <r>
          <rPr>
            <sz val="11"/>
            <color theme="1"/>
            <rFont val="Arial"/>
          </rPr>
          <t xml:space="preserve">Gabor Daniel:
Nothing here yet...perhaps at a different time?
</t>
        </r>
      </text>
    </comment>
    <comment ref="A76" authorId="66">
      <text>
        <r>
          <rPr>
            <sz val="11"/>
            <color theme="1"/>
            <rFont val="Arial"/>
          </rPr>
          <t xml:space="preserve">Gabor Daniel:
Nothing here yet...perhaps at a different time?
</t>
        </r>
      </text>
    </comment>
    <comment ref="A77" authorId="67">
      <text>
        <r>
          <rPr>
            <sz val="11"/>
            <color theme="1"/>
            <rFont val="Arial"/>
          </rPr>
          <t xml:space="preserve">Gabor Daniel:
Nothing here yet...perhaps at a different time?
</t>
        </r>
      </text>
    </comment>
    <comment ref="A80" authorId="68">
      <text>
        <r>
          <rPr>
            <sz val="11"/>
            <color theme="1"/>
            <rFont val="Arial"/>
          </rPr>
          <t xml:space="preserve">Gabor Daniel:
Nothing here yet...perhaps at a different time?
</t>
        </r>
      </text>
    </comment>
    <comment ref="A81" authorId="69">
      <text>
        <r>
          <rPr>
            <sz val="11"/>
            <color theme="1"/>
            <rFont val="Arial"/>
          </rPr>
          <t xml:space="preserve">Gabor Daniel:
Nothing here yet...perhaps at a different time?
</t>
        </r>
      </text>
    </comment>
    <comment ref="A82" authorId="70">
      <text>
        <r>
          <rPr>
            <sz val="11"/>
            <color theme="1"/>
            <rFont val="Arial"/>
          </rPr>
          <t xml:space="preserve">Gabor Daniel:
Nothing here yet...perhaps at a different time?
</t>
        </r>
      </text>
    </comment>
    <comment ref="A83" authorId="71">
      <text>
        <r>
          <rPr>
            <sz val="11"/>
            <color theme="1"/>
            <rFont val="Arial"/>
          </rPr>
          <t xml:space="preserve">Gabor Daniel:
Nothing here yet...perhaps at a different time?
</t>
        </r>
      </text>
    </comment>
    <comment ref="A84" authorId="72">
      <text>
        <r>
          <rPr>
            <sz val="11"/>
            <color theme="1"/>
            <rFont val="Arial"/>
          </rPr>
          <t xml:space="preserve">Gabor Daniel:
Nothing here yet...perhaps at a different time?
</t>
        </r>
      </text>
    </comment>
    <comment ref="A85" authorId="73">
      <text>
        <r>
          <rPr>
            <sz val="11"/>
            <color theme="1"/>
            <rFont val="Arial"/>
          </rPr>
          <t xml:space="preserve">Gabor Daniel:
Nothing here yet...perhaps at a different time?
</t>
        </r>
      </text>
    </comment>
    <comment ref="A86" authorId="74">
      <text>
        <r>
          <rPr>
            <sz val="11"/>
            <color theme="1"/>
            <rFont val="Arial"/>
          </rPr>
          <t xml:space="preserve">Gabor Daniel:
Nothing here yet...perhaps at a different time?
</t>
        </r>
      </text>
    </comment>
    <comment ref="A87" authorId="75">
      <text>
        <r>
          <rPr>
            <sz val="11"/>
            <color theme="1"/>
            <rFont val="Arial"/>
          </rPr>
          <t xml:space="preserve">Gabor Daniel:
Nothing here yet...perhaps at a different time?
</t>
        </r>
      </text>
    </comment>
    <comment ref="A88" authorId="76">
      <text>
        <r>
          <rPr>
            <sz val="11"/>
            <color theme="1"/>
            <rFont val="Arial"/>
          </rPr>
          <t xml:space="preserve">Gabor Daniel:
Nothing here yet...perhaps at a different time?
</t>
        </r>
      </text>
    </comment>
    <comment ref="A89" authorId="77">
      <text>
        <r>
          <rPr>
            <sz val="11"/>
            <color theme="1"/>
            <rFont val="Arial"/>
          </rPr>
          <t xml:space="preserve">Gabor Daniel:
Nothing here yet...perhaps at a different time?
</t>
        </r>
      </text>
    </comment>
    <comment ref="A90" authorId="78">
      <text>
        <r>
          <rPr>
            <sz val="11"/>
            <color theme="1"/>
            <rFont val="Arial"/>
          </rPr>
          <t xml:space="preserve">Gabor Daniel:
Nothing here yet...perhaps at a different time?
</t>
        </r>
      </text>
    </comment>
    <comment ref="A91" authorId="79">
      <text>
        <r>
          <rPr>
            <sz val="11"/>
            <color theme="1"/>
            <rFont val="Arial"/>
          </rPr>
          <t xml:space="preserve">Gabor Daniel:
Nothing here yet...perhaps at a different time?
</t>
        </r>
      </text>
    </comment>
    <comment ref="A92" authorId="80">
      <text>
        <r>
          <rPr>
            <sz val="11"/>
            <color theme="1"/>
            <rFont val="Arial"/>
          </rPr>
          <t xml:space="preserve">Gabor Daniel:
Nothing here yet...perhaps at a different time?
</t>
        </r>
      </text>
    </comment>
    <comment ref="A93" authorId="81">
      <text>
        <r>
          <rPr>
            <sz val="11"/>
            <color theme="1"/>
            <rFont val="Arial"/>
          </rPr>
          <t xml:space="preserve">Gabor Daniel:
Nothing here yet...perhaps at a different time?
</t>
        </r>
      </text>
    </comment>
    <comment ref="A94" authorId="82">
      <text>
        <r>
          <rPr>
            <sz val="11"/>
            <color theme="1"/>
            <rFont val="Arial"/>
          </rPr>
          <t xml:space="preserve">Gabor Daniel:
Nothing here yet...perhaps at a different time?
</t>
        </r>
      </text>
    </comment>
    <comment ref="A95" authorId="83">
      <text>
        <r>
          <rPr>
            <sz val="11"/>
            <color theme="1"/>
            <rFont val="Arial"/>
          </rPr>
          <t xml:space="preserve">Gabor Daniel:
Nothing here yet...perhaps at a different time?
</t>
        </r>
      </text>
    </comment>
    <comment ref="A96" authorId="84">
      <text>
        <r>
          <rPr>
            <sz val="11"/>
            <color theme="1"/>
            <rFont val="Arial"/>
          </rPr>
          <t xml:space="preserve">Gabor Daniel:
Nothing here yet...perhaps at a different time?
</t>
        </r>
      </text>
    </comment>
    <comment ref="A99" authorId="85">
      <text>
        <r>
          <rPr>
            <sz val="11"/>
            <color theme="1"/>
            <rFont val="Arial"/>
          </rPr>
          <t xml:space="preserve">Gabor Daniel:
Nothing here yet...perhaps at a different time?
</t>
        </r>
      </text>
    </comment>
    <comment ref="A100" authorId="86">
      <text>
        <r>
          <rPr>
            <sz val="11"/>
            <color theme="1"/>
            <rFont val="Arial"/>
          </rPr>
          <t xml:space="preserve">Gabor Daniel:
Nothing here yet...perhaps at a different time?
</t>
        </r>
      </text>
    </comment>
    <comment ref="A101" authorId="87">
      <text>
        <r>
          <rPr>
            <sz val="11"/>
            <color theme="1"/>
            <rFont val="Arial"/>
          </rPr>
          <t xml:space="preserve">Gabor Daniel:
Nothing here yet...perhaps at a different time?
</t>
        </r>
      </text>
    </comment>
    <comment ref="A102" authorId="88">
      <text>
        <r>
          <rPr>
            <sz val="11"/>
            <color theme="1"/>
            <rFont val="Arial"/>
          </rPr>
          <t xml:space="preserve">Gabor Daniel:
Nothing here yet...perhaps at a different time?
</t>
        </r>
      </text>
    </comment>
    <comment ref="A103" authorId="89">
      <text>
        <r>
          <rPr>
            <sz val="11"/>
            <color theme="1"/>
            <rFont val="Arial"/>
          </rPr>
          <t xml:space="preserve">Gabor Daniel:
Nothing here yet...perhaps at a different time?
</t>
        </r>
      </text>
    </comment>
    <comment ref="A104" authorId="90">
      <text>
        <r>
          <rPr>
            <sz val="11"/>
            <color theme="1"/>
            <rFont val="Arial"/>
          </rPr>
          <t xml:space="preserve">Gabor Daniel:
Nothing here yet...perhaps at a different time?
</t>
        </r>
      </text>
    </comment>
    <comment ref="A105" authorId="91">
      <text>
        <r>
          <rPr>
            <sz val="11"/>
            <color theme="1"/>
            <rFont val="Arial"/>
          </rPr>
          <t xml:space="preserve">Gabor Daniel:
Nothing here yet...perhaps at a different time?
</t>
        </r>
      </text>
    </comment>
    <comment ref="A106" authorId="92">
      <text>
        <r>
          <rPr>
            <sz val="11"/>
            <color theme="1"/>
            <rFont val="Arial"/>
          </rPr>
          <t xml:space="preserve">Gabor Daniel:
Nothing here yet...perhaps at a different time?
</t>
        </r>
      </text>
    </comment>
    <comment ref="A107" authorId="93">
      <text>
        <r>
          <rPr>
            <sz val="11"/>
            <color theme="1"/>
            <rFont val="Arial"/>
          </rPr>
          <t xml:space="preserve">Gabor Daniel:
Nothing here yet...perhaps at a different time?
</t>
        </r>
      </text>
    </comment>
    <comment ref="A108" authorId="94">
      <text>
        <r>
          <rPr>
            <sz val="11"/>
            <color theme="1"/>
            <rFont val="Arial"/>
          </rPr>
          <t xml:space="preserve">Gabor Daniel:
Nothing here yet...perhaps at a different time?
</t>
        </r>
      </text>
    </comment>
    <comment ref="A109" authorId="95">
      <text>
        <r>
          <rPr>
            <sz val="11"/>
            <color theme="1"/>
            <rFont val="Arial"/>
          </rPr>
          <t xml:space="preserve">Gabor Daniel:
Nothing here yet...perhaps at a different time?
</t>
        </r>
      </text>
    </comment>
    <comment ref="A110" authorId="96">
      <text>
        <r>
          <rPr>
            <sz val="11"/>
            <color theme="1"/>
            <rFont val="Arial"/>
          </rPr>
          <t xml:space="preserve">Gabor Daniel:
Nothing here yet...perhaps at a different time?
</t>
        </r>
      </text>
    </comment>
    <comment ref="A111" authorId="97">
      <text>
        <r>
          <rPr>
            <sz val="11"/>
            <color theme="1"/>
            <rFont val="Arial"/>
          </rPr>
          <t xml:space="preserve">Gabor Daniel:
Nothing here yet...perhaps at a different time?
</t>
        </r>
      </text>
    </comment>
    <comment ref="A112" authorId="98">
      <text>
        <r>
          <rPr>
            <sz val="11"/>
            <color theme="1"/>
            <rFont val="Arial"/>
          </rPr>
          <t xml:space="preserve">Gabor Daniel:
Nothing here yet...perhaps at a different time?
</t>
        </r>
      </text>
    </comment>
    <comment ref="A113" authorId="99">
      <text>
        <r>
          <rPr>
            <sz val="11"/>
            <color theme="1"/>
            <rFont val="Arial"/>
          </rPr>
          <t xml:space="preserve">Gabor Daniel:
Nothing here yet...perhaps at a different time?
</t>
        </r>
      </text>
    </comment>
    <comment ref="A114" authorId="100">
      <text>
        <r>
          <rPr>
            <sz val="11"/>
            <color theme="1"/>
            <rFont val="Arial"/>
          </rPr>
          <t xml:space="preserve">Gabor Daniel:
Nothing here yet...perhaps at a different time?
</t>
        </r>
      </text>
    </comment>
    <comment ref="A115" authorId="101">
      <text>
        <r>
          <rPr>
            <sz val="11"/>
            <color theme="1"/>
            <rFont val="Arial"/>
          </rPr>
          <t xml:space="preserve">Gabor Daniel:
Nothing here yet...perhaps at a different time?
</t>
        </r>
      </text>
    </comment>
    <comment ref="A118" authorId="102">
      <text>
        <r>
          <rPr>
            <sz val="11"/>
            <color theme="1"/>
            <rFont val="Arial"/>
          </rPr>
          <t xml:space="preserve">Gabor Daniel:
Nothing here yet...perhaps at a different time?
</t>
        </r>
      </text>
    </comment>
    <comment ref="A119" authorId="103">
      <text>
        <r>
          <rPr>
            <sz val="11"/>
            <color theme="1"/>
            <rFont val="Arial"/>
          </rPr>
          <t xml:space="preserve">Gabor Daniel:
Nothing here yet...perhaps at a different time?
</t>
        </r>
      </text>
    </comment>
    <comment ref="A120" authorId="104">
      <text>
        <r>
          <rPr>
            <sz val="11"/>
            <color theme="1"/>
            <rFont val="Arial"/>
          </rPr>
          <t xml:space="preserve">Gabor Daniel:
Nothing here yet...perhaps at a different time?
</t>
        </r>
      </text>
    </comment>
    <comment ref="A121" authorId="105">
      <text>
        <r>
          <rPr>
            <sz val="11"/>
            <color theme="1"/>
            <rFont val="Arial"/>
          </rPr>
          <t xml:space="preserve">Gabor Daniel:
Nothing here yet...perhaps at a different time?
</t>
        </r>
      </text>
    </comment>
    <comment ref="A122" authorId="106">
      <text>
        <r>
          <rPr>
            <sz val="11"/>
            <color theme="1"/>
            <rFont val="Arial"/>
          </rPr>
          <t xml:space="preserve">Gabor Daniel:
Nothing here yet...perhaps at a different time?
</t>
        </r>
      </text>
    </comment>
    <comment ref="A123" authorId="107">
      <text>
        <r>
          <rPr>
            <sz val="11"/>
            <color theme="1"/>
            <rFont val="Arial"/>
          </rPr>
          <t xml:space="preserve">Gabor Daniel:
Nothing here yet...perhaps at a different time?
</t>
        </r>
      </text>
    </comment>
    <comment ref="A124" authorId="108">
      <text>
        <r>
          <rPr>
            <sz val="11"/>
            <color theme="1"/>
            <rFont val="Arial"/>
          </rPr>
          <t xml:space="preserve">Gabor Daniel:
Nothing here yet...perhaps at a different time?
</t>
        </r>
      </text>
    </comment>
    <comment ref="A125" authorId="109">
      <text>
        <r>
          <rPr>
            <sz val="11"/>
            <color theme="1"/>
            <rFont val="Arial"/>
          </rPr>
          <t xml:space="preserve">Gabor Daniel:
Nothing here yet...perhaps at a different time?
</t>
        </r>
      </text>
    </comment>
    <comment ref="A126" authorId="110">
      <text>
        <r>
          <rPr>
            <sz val="11"/>
            <color theme="1"/>
            <rFont val="Arial"/>
          </rPr>
          <t xml:space="preserve">Gabor Daniel:
Nothing here yet...perhaps at a different time?
</t>
        </r>
      </text>
    </comment>
    <comment ref="A127" authorId="111">
      <text>
        <r>
          <rPr>
            <sz val="11"/>
            <color theme="1"/>
            <rFont val="Arial"/>
          </rPr>
          <t xml:space="preserve">Gabor Daniel:
Nothing here yet...perhaps at a different time?
</t>
        </r>
      </text>
    </comment>
    <comment ref="A128" authorId="112">
      <text>
        <r>
          <rPr>
            <sz val="11"/>
            <color theme="1"/>
            <rFont val="Arial"/>
          </rPr>
          <t xml:space="preserve">Gabor Daniel:
Nothing here yet...perhaps at a different time?
</t>
        </r>
      </text>
    </comment>
    <comment ref="A129" authorId="113">
      <text>
        <r>
          <rPr>
            <sz val="11"/>
            <color theme="1"/>
            <rFont val="Arial"/>
          </rPr>
          <t xml:space="preserve">Gabor Daniel:
Nothing here yet...perhaps at a different time?
</t>
        </r>
      </text>
    </comment>
    <comment ref="A130" authorId="114">
      <text>
        <r>
          <rPr>
            <sz val="11"/>
            <color theme="1"/>
            <rFont val="Arial"/>
          </rPr>
          <t xml:space="preserve">Gabor Daniel:
Nothing here yet...perhaps at a different time?
</t>
        </r>
      </text>
    </comment>
    <comment ref="A131" authorId="115">
      <text>
        <r>
          <rPr>
            <sz val="11"/>
            <color theme="1"/>
            <rFont val="Arial"/>
          </rPr>
          <t xml:space="preserve">Gabor Daniel:
Nothing here yet...perhaps at a different time?
</t>
        </r>
      </text>
    </comment>
    <comment ref="A132" authorId="116">
      <text>
        <r>
          <rPr>
            <sz val="11"/>
            <color theme="1"/>
            <rFont val="Arial"/>
          </rPr>
          <t xml:space="preserve">Gabor Daniel:
Nothing here yet...perhaps at a different time?
</t>
        </r>
      </text>
    </comment>
    <comment ref="A133" authorId="117">
      <text>
        <r>
          <rPr>
            <sz val="11"/>
            <color theme="1"/>
            <rFont val="Arial"/>
          </rPr>
          <t xml:space="preserve">Gabor Daniel:
Nothing here yet...perhaps at a different time?
</t>
        </r>
      </text>
    </comment>
    <comment ref="A134" authorId="118">
      <text>
        <r>
          <rPr>
            <sz val="11"/>
            <color theme="1"/>
            <rFont val="Arial"/>
          </rPr>
          <t xml:space="preserve">Gabor Daniel:
Nothing here yet...perhaps at a different time?
</t>
        </r>
      </text>
    </comment>
    <comment ref="A137" authorId="119">
      <text>
        <r>
          <rPr>
            <sz val="11"/>
            <color theme="1"/>
            <rFont val="Arial"/>
          </rPr>
          <t xml:space="preserve">Gabor Daniel:
Nothing here yet...perhaps at a different time?
</t>
        </r>
      </text>
    </comment>
    <comment ref="A138" authorId="120">
      <text>
        <r>
          <rPr>
            <sz val="11"/>
            <color theme="1"/>
            <rFont val="Arial"/>
          </rPr>
          <t xml:space="preserve">Gabor Daniel:
Nothing here yet...perhaps at a different time?
</t>
        </r>
      </text>
    </comment>
    <comment ref="A139" authorId="121">
      <text>
        <r>
          <rPr>
            <sz val="11"/>
            <color theme="1"/>
            <rFont val="Arial"/>
          </rPr>
          <t xml:space="preserve">Gabor Daniel:
Nothing here yet...perhaps at a different time?
</t>
        </r>
      </text>
    </comment>
    <comment ref="A140" authorId="122">
      <text>
        <r>
          <rPr>
            <sz val="11"/>
            <color theme="1"/>
            <rFont val="Arial"/>
          </rPr>
          <t xml:space="preserve">Gabor Daniel:
Nothing here yet...perhaps at a different time?
</t>
        </r>
      </text>
    </comment>
    <comment ref="A141" authorId="123">
      <text>
        <r>
          <rPr>
            <sz val="11"/>
            <color theme="1"/>
            <rFont val="Arial"/>
          </rPr>
          <t xml:space="preserve">Gabor Daniel:
Nothing here yet...perhaps at a different time?
</t>
        </r>
      </text>
    </comment>
    <comment ref="A142" authorId="124">
      <text>
        <r>
          <rPr>
            <sz val="11"/>
            <color theme="1"/>
            <rFont val="Arial"/>
          </rPr>
          <t xml:space="preserve">Gabor Daniel:
Nothing here yet...perhaps at a different time?
</t>
        </r>
      </text>
    </comment>
    <comment ref="A143" authorId="125">
      <text>
        <r>
          <rPr>
            <sz val="11"/>
            <color theme="1"/>
            <rFont val="Arial"/>
          </rPr>
          <t xml:space="preserve">Gabor Daniel:
Nothing here yet...perhaps at a different time?
</t>
        </r>
      </text>
    </comment>
    <comment ref="A144" authorId="126">
      <text>
        <r>
          <rPr>
            <sz val="11"/>
            <color theme="1"/>
            <rFont val="Arial"/>
          </rPr>
          <t xml:space="preserve">Gabor Daniel:
Nothing here yet...perhaps at a different time?
</t>
        </r>
      </text>
    </comment>
    <comment ref="A145" authorId="127">
      <text>
        <r>
          <rPr>
            <sz val="11"/>
            <color theme="1"/>
            <rFont val="Arial"/>
          </rPr>
          <t xml:space="preserve">Gabor Daniel:
Nothing here yet...perhaps at a different time?
</t>
        </r>
      </text>
    </comment>
    <comment ref="A146" authorId="128">
      <text>
        <r>
          <rPr>
            <sz val="11"/>
            <color theme="1"/>
            <rFont val="Arial"/>
          </rPr>
          <t xml:space="preserve">Gabor Daniel:
Nothing here yet...perhaps at a different time?
</t>
        </r>
      </text>
    </comment>
    <comment ref="A147" authorId="129">
      <text>
        <r>
          <rPr>
            <sz val="11"/>
            <color theme="1"/>
            <rFont val="Arial"/>
          </rPr>
          <t xml:space="preserve">Gabor Daniel:
Nothing here yet...perhaps at a different time?
</t>
        </r>
      </text>
    </comment>
    <comment ref="A148" authorId="130">
      <text>
        <r>
          <rPr>
            <sz val="11"/>
            <color theme="1"/>
            <rFont val="Arial"/>
          </rPr>
          <t xml:space="preserve">Gabor Daniel:
Nothing here yet...perhaps at a different time?
</t>
        </r>
      </text>
    </comment>
    <comment ref="A149" authorId="131">
      <text>
        <r>
          <rPr>
            <sz val="11"/>
            <color theme="1"/>
            <rFont val="Arial"/>
          </rPr>
          <t xml:space="preserve">Gabor Daniel:
Nothing here yet...perhaps at a different time?
</t>
        </r>
      </text>
    </comment>
    <comment ref="A150" authorId="132">
      <text>
        <r>
          <rPr>
            <sz val="11"/>
            <color theme="1"/>
            <rFont val="Arial"/>
          </rPr>
          <t xml:space="preserve">Gabor Daniel:
Nothing here yet...perhaps at a different time?
</t>
        </r>
      </text>
    </comment>
    <comment ref="A151" authorId="133">
      <text>
        <r>
          <rPr>
            <sz val="11"/>
            <color theme="1"/>
            <rFont val="Arial"/>
          </rPr>
          <t xml:space="preserve">Gabor Daniel:
Nothing here yet...perhaps at a different time?
</t>
        </r>
      </text>
    </comment>
    <comment ref="A152" authorId="134">
      <text>
        <r>
          <rPr>
            <sz val="11"/>
            <color theme="1"/>
            <rFont val="Arial"/>
          </rPr>
          <t xml:space="preserve">Gabor Daniel:
Nothing here yet...perhaps at a different time?
</t>
        </r>
      </text>
    </comment>
    <comment ref="A153" authorId="135">
      <text>
        <r>
          <rPr>
            <sz val="11"/>
            <color theme="1"/>
            <rFont val="Arial"/>
          </rPr>
          <t xml:space="preserve">Gabor Daniel:
Nothing here yet...perhaps at a different time?
</t>
        </r>
      </text>
    </comment>
    <comment ref="A156" authorId="136">
      <text>
        <r>
          <rPr>
            <sz val="11"/>
            <color theme="1"/>
            <rFont val="Arial"/>
          </rPr>
          <t xml:space="preserve">Gabor Daniel:
Nothing here yet...perhaps at a different time?
</t>
        </r>
      </text>
    </comment>
    <comment ref="A157" authorId="137">
      <text>
        <r>
          <rPr>
            <sz val="11"/>
            <color theme="1"/>
            <rFont val="Arial"/>
          </rPr>
          <t xml:space="preserve">Gabor Daniel:
Nothing here yet...perhaps at a different time?
</t>
        </r>
      </text>
    </comment>
    <comment ref="A158" authorId="138">
      <text>
        <r>
          <rPr>
            <sz val="11"/>
            <color theme="1"/>
            <rFont val="Arial"/>
          </rPr>
          <t xml:space="preserve">Gabor Daniel:
Nothing here yet...perhaps at a different time?
</t>
        </r>
      </text>
    </comment>
    <comment ref="A159" authorId="139">
      <text>
        <r>
          <rPr>
            <sz val="11"/>
            <color theme="1"/>
            <rFont val="Arial"/>
          </rPr>
          <t xml:space="preserve">Gabor Daniel:
Nothing here yet...perhaps at a different time?
</t>
        </r>
      </text>
    </comment>
    <comment ref="A160" authorId="140">
      <text>
        <r>
          <rPr>
            <sz val="11"/>
            <color theme="1"/>
            <rFont val="Arial"/>
          </rPr>
          <t xml:space="preserve">Gabor Daniel:
Nothing here yet...perhaps at a different time?
</t>
        </r>
      </text>
    </comment>
    <comment ref="A161" authorId="141">
      <text>
        <r>
          <rPr>
            <sz val="11"/>
            <color theme="1"/>
            <rFont val="Arial"/>
          </rPr>
          <t xml:space="preserve">Gabor Daniel:
Nothing here yet...perhaps at a different time?
</t>
        </r>
      </text>
    </comment>
    <comment ref="A162" authorId="142">
      <text>
        <r>
          <rPr>
            <sz val="11"/>
            <color theme="1"/>
            <rFont val="Arial"/>
          </rPr>
          <t xml:space="preserve">Gabor Daniel:
Nothing here yet...perhaps at a different time?
</t>
        </r>
      </text>
    </comment>
    <comment ref="A163" authorId="143">
      <text>
        <r>
          <rPr>
            <sz val="11"/>
            <color theme="1"/>
            <rFont val="Arial"/>
          </rPr>
          <t xml:space="preserve">Gabor Daniel:
Nothing here yet...perhaps at a different time?
</t>
        </r>
      </text>
    </comment>
    <comment ref="A164" authorId="144">
      <text>
        <r>
          <rPr>
            <sz val="11"/>
            <color theme="1"/>
            <rFont val="Arial"/>
          </rPr>
          <t xml:space="preserve">Gabor Daniel:
Nothing here yet...perhaps at a different time?
</t>
        </r>
      </text>
    </comment>
    <comment ref="A165" authorId="145">
      <text>
        <r>
          <rPr>
            <sz val="11"/>
            <color theme="1"/>
            <rFont val="Arial"/>
          </rPr>
          <t xml:space="preserve">Gabor Daniel:
Nothing here yet...perhaps at a different time?
</t>
        </r>
      </text>
    </comment>
    <comment ref="A166" authorId="146">
      <text>
        <r>
          <rPr>
            <sz val="11"/>
            <color theme="1"/>
            <rFont val="Arial"/>
          </rPr>
          <t xml:space="preserve">Gabor Daniel:
Nothing here yet...perhaps at a different time?
</t>
        </r>
      </text>
    </comment>
    <comment ref="A167" authorId="147">
      <text>
        <r>
          <rPr>
            <sz val="11"/>
            <color theme="1"/>
            <rFont val="Arial"/>
          </rPr>
          <t xml:space="preserve">Gabor Daniel:
Nothing here yet...perhaps at a different time?
</t>
        </r>
      </text>
    </comment>
    <comment ref="A168" authorId="148">
      <text>
        <r>
          <rPr>
            <sz val="11"/>
            <color theme="1"/>
            <rFont val="Arial"/>
          </rPr>
          <t xml:space="preserve">Gabor Daniel:
Nothing here yet...perhaps at a different time?
</t>
        </r>
      </text>
    </comment>
    <comment ref="A169" authorId="149">
      <text>
        <r>
          <rPr>
            <sz val="11"/>
            <color theme="1"/>
            <rFont val="Arial"/>
          </rPr>
          <t xml:space="preserve">Gabor Daniel:
Nothing here yet...perhaps at a different time?
</t>
        </r>
      </text>
    </comment>
    <comment ref="A170" authorId="150">
      <text>
        <r>
          <rPr>
            <sz val="11"/>
            <color theme="1"/>
            <rFont val="Arial"/>
          </rPr>
          <t xml:space="preserve">Gabor Daniel:
Nothing here yet...perhaps at a different time?
</t>
        </r>
      </text>
    </comment>
    <comment ref="A171" authorId="151">
      <text>
        <r>
          <rPr>
            <sz val="11"/>
            <color theme="1"/>
            <rFont val="Arial"/>
          </rPr>
          <t xml:space="preserve">Gabor Daniel:
Nothing here yet...perhaps at a different time?
</t>
        </r>
      </text>
    </comment>
    <comment ref="A172" authorId="152">
      <text>
        <r>
          <rPr>
            <sz val="11"/>
            <color theme="1"/>
            <rFont val="Arial"/>
          </rPr>
          <t xml:space="preserve">Gabor Daniel:
Nothing here yet...perhaps at a different time?
</t>
        </r>
      </text>
    </comment>
    <comment ref="A175" authorId="153">
      <text>
        <r>
          <rPr>
            <sz val="11"/>
            <color theme="1"/>
            <rFont val="Arial"/>
          </rPr>
          <t xml:space="preserve">Gabor Daniel:
Nothing here yet...perhaps at a different time?
</t>
        </r>
      </text>
    </comment>
    <comment ref="A176" authorId="154">
      <text>
        <r>
          <rPr>
            <sz val="11"/>
            <color theme="1"/>
            <rFont val="Arial"/>
          </rPr>
          <t xml:space="preserve">Gabor Daniel:
Nothing here yet...perhaps at a different time?
</t>
        </r>
      </text>
    </comment>
    <comment ref="A177" authorId="155">
      <text>
        <r>
          <rPr>
            <sz val="11"/>
            <color theme="1"/>
            <rFont val="Arial"/>
          </rPr>
          <t xml:space="preserve">Gabor Daniel:
Nothing here yet...perhaps at a different time?
</t>
        </r>
      </text>
    </comment>
    <comment ref="A178" authorId="156">
      <text>
        <r>
          <rPr>
            <sz val="11"/>
            <color theme="1"/>
            <rFont val="Arial"/>
          </rPr>
          <t xml:space="preserve">Gabor Daniel:
Nothing here yet...perhaps at a different time?
</t>
        </r>
      </text>
    </comment>
    <comment ref="A179" authorId="157">
      <text>
        <r>
          <rPr>
            <sz val="11"/>
            <color theme="1"/>
            <rFont val="Arial"/>
          </rPr>
          <t xml:space="preserve">Gabor Daniel:
Nothing here yet...perhaps at a different time?
</t>
        </r>
      </text>
    </comment>
    <comment ref="A180" authorId="158">
      <text>
        <r>
          <rPr>
            <sz val="11"/>
            <color theme="1"/>
            <rFont val="Arial"/>
          </rPr>
          <t xml:space="preserve">Gabor Daniel:
Nothing here yet...perhaps at a different time?
</t>
        </r>
      </text>
    </comment>
    <comment ref="A181" authorId="159">
      <text>
        <r>
          <rPr>
            <sz val="11"/>
            <color theme="1"/>
            <rFont val="Arial"/>
          </rPr>
          <t xml:space="preserve">Gabor Daniel:
Nothing here yet...perhaps at a different time?
</t>
        </r>
      </text>
    </comment>
    <comment ref="A182" authorId="160">
      <text>
        <r>
          <rPr>
            <sz val="11"/>
            <color theme="1"/>
            <rFont val="Arial"/>
          </rPr>
          <t xml:space="preserve">Gabor Daniel:
Nothing here yet...perhaps at a different time?
</t>
        </r>
      </text>
    </comment>
    <comment ref="A183" authorId="161">
      <text>
        <r>
          <rPr>
            <sz val="11"/>
            <color theme="1"/>
            <rFont val="Arial"/>
          </rPr>
          <t xml:space="preserve">Gabor Daniel:
Nothing here yet...perhaps at a different time?
</t>
        </r>
      </text>
    </comment>
    <comment ref="A184" authorId="162">
      <text>
        <r>
          <rPr>
            <sz val="11"/>
            <color theme="1"/>
            <rFont val="Arial"/>
          </rPr>
          <t xml:space="preserve">Gabor Daniel:
Nothing here yet...perhaps at a different time?
</t>
        </r>
      </text>
    </comment>
    <comment ref="A185" authorId="163">
      <text>
        <r>
          <rPr>
            <sz val="11"/>
            <color theme="1"/>
            <rFont val="Arial"/>
          </rPr>
          <t xml:space="preserve">Gabor Daniel:
Nothing here yet...perhaps at a different time?
</t>
        </r>
      </text>
    </comment>
    <comment ref="A186" authorId="164">
      <text>
        <r>
          <rPr>
            <sz val="11"/>
            <color theme="1"/>
            <rFont val="Arial"/>
          </rPr>
          <t xml:space="preserve">Gabor Daniel:
Nothing here yet...perhaps at a different time?
</t>
        </r>
      </text>
    </comment>
    <comment ref="A187" authorId="165">
      <text>
        <r>
          <rPr>
            <sz val="11"/>
            <color theme="1"/>
            <rFont val="Arial"/>
          </rPr>
          <t xml:space="preserve">Gabor Daniel:
Nothing here yet...perhaps at a different time?
</t>
        </r>
      </text>
    </comment>
    <comment ref="A188" authorId="166">
      <text>
        <r>
          <rPr>
            <sz val="11"/>
            <color theme="1"/>
            <rFont val="Arial"/>
          </rPr>
          <t xml:space="preserve">Gabor Daniel:
Nothing here yet...perhaps at a different time?
</t>
        </r>
      </text>
    </comment>
    <comment ref="A189" authorId="167">
      <text>
        <r>
          <rPr>
            <sz val="11"/>
            <color theme="1"/>
            <rFont val="Arial"/>
          </rPr>
          <t xml:space="preserve">Gabor Daniel:
Nothing here yet...perhaps at a different time?
</t>
        </r>
      </text>
    </comment>
    <comment ref="A190" authorId="168">
      <text>
        <r>
          <rPr>
            <sz val="11"/>
            <color theme="1"/>
            <rFont val="Arial"/>
          </rPr>
          <t xml:space="preserve">Gabor Daniel:
Nothing here yet...perhaps at a different time?
</t>
        </r>
      </text>
    </comment>
    <comment ref="A191" authorId="169">
      <text>
        <r>
          <rPr>
            <sz val="11"/>
            <color theme="1"/>
            <rFont val="Arial"/>
          </rPr>
          <t xml:space="preserve">Gabor Daniel:
Nothing here yet...perhaps at a different time?
</t>
        </r>
      </text>
    </comment>
    <comment ref="A194" authorId="170">
      <text>
        <r>
          <rPr>
            <sz val="11"/>
            <color theme="1"/>
            <rFont val="Arial"/>
          </rPr>
          <t xml:space="preserve">Gabor Daniel:
Nothing here yet...perhaps at a different time?
</t>
        </r>
      </text>
    </comment>
    <comment ref="A195" authorId="171">
      <text>
        <r>
          <rPr>
            <sz val="11"/>
            <color theme="1"/>
            <rFont val="Arial"/>
          </rPr>
          <t xml:space="preserve">Gabor Daniel:
Nothing here yet...perhaps at a different time?
</t>
        </r>
      </text>
    </comment>
    <comment ref="A196" authorId="172">
      <text>
        <r>
          <rPr>
            <sz val="11"/>
            <color theme="1"/>
            <rFont val="Arial"/>
          </rPr>
          <t xml:space="preserve">Gabor Daniel:
Nothing here yet...perhaps at a different time?
</t>
        </r>
      </text>
    </comment>
    <comment ref="A197" authorId="173">
      <text>
        <r>
          <rPr>
            <sz val="11"/>
            <color theme="1"/>
            <rFont val="Arial"/>
          </rPr>
          <t xml:space="preserve">Gabor Daniel:
Nothing here yet...perhaps at a different time?
</t>
        </r>
      </text>
    </comment>
    <comment ref="A198" authorId="174">
      <text>
        <r>
          <rPr>
            <sz val="11"/>
            <color theme="1"/>
            <rFont val="Arial"/>
          </rPr>
          <t xml:space="preserve">Gabor Daniel:
Nothing here yet...perhaps at a different time?
</t>
        </r>
      </text>
    </comment>
    <comment ref="A199" authorId="175">
      <text>
        <r>
          <rPr>
            <sz val="11"/>
            <color theme="1"/>
            <rFont val="Arial"/>
          </rPr>
          <t xml:space="preserve">Gabor Daniel:
Nothing here yet...perhaps at a different time?
</t>
        </r>
      </text>
    </comment>
    <comment ref="A200" authorId="176">
      <text>
        <r>
          <rPr>
            <sz val="11"/>
            <color theme="1"/>
            <rFont val="Arial"/>
          </rPr>
          <t xml:space="preserve">Gabor Daniel:
Nothing here yet...perhaps at a different time?
</t>
        </r>
      </text>
    </comment>
    <comment ref="A201" authorId="177">
      <text>
        <r>
          <rPr>
            <sz val="11"/>
            <color theme="1"/>
            <rFont val="Arial"/>
          </rPr>
          <t xml:space="preserve">Gabor Daniel:
Nothing here yet...perhaps at a different time?
</t>
        </r>
      </text>
    </comment>
    <comment ref="A202" authorId="178">
      <text>
        <r>
          <rPr>
            <sz val="11"/>
            <color theme="1"/>
            <rFont val="Arial"/>
          </rPr>
          <t xml:space="preserve">Gabor Daniel:
Nothing here yet...perhaps at a different time?
</t>
        </r>
      </text>
    </comment>
    <comment ref="A203" authorId="179">
      <text>
        <r>
          <rPr>
            <sz val="11"/>
            <color theme="1"/>
            <rFont val="Arial"/>
          </rPr>
          <t xml:space="preserve">Gabor Daniel:
Nothing here yet...perhaps at a different time?
</t>
        </r>
      </text>
    </comment>
    <comment ref="A204" authorId="180">
      <text>
        <r>
          <rPr>
            <sz val="11"/>
            <color theme="1"/>
            <rFont val="Arial"/>
          </rPr>
          <t xml:space="preserve">Gabor Daniel:
Nothing here yet...perhaps at a different time?
</t>
        </r>
      </text>
    </comment>
    <comment ref="A205" authorId="181">
      <text>
        <r>
          <rPr>
            <sz val="11"/>
            <color theme="1"/>
            <rFont val="Arial"/>
          </rPr>
          <t xml:space="preserve">Gabor Daniel:
Nothing here yet...perhaps at a different time?
</t>
        </r>
      </text>
    </comment>
    <comment ref="A206" authorId="182">
      <text>
        <r>
          <rPr>
            <sz val="11"/>
            <color theme="1"/>
            <rFont val="Arial"/>
          </rPr>
          <t xml:space="preserve">Gabor Daniel:
Nothing here yet...perhaps at a different time?
</t>
        </r>
      </text>
    </comment>
    <comment ref="A207" authorId="183">
      <text>
        <r>
          <rPr>
            <sz val="11"/>
            <color theme="1"/>
            <rFont val="Arial"/>
          </rPr>
          <t xml:space="preserve">Gabor Daniel:
Nothing here yet...perhaps at a different time?
</t>
        </r>
      </text>
    </comment>
    <comment ref="A208" authorId="184">
      <text>
        <r>
          <rPr>
            <sz val="11"/>
            <color theme="1"/>
            <rFont val="Arial"/>
          </rPr>
          <t xml:space="preserve">Gabor Daniel:
Nothing here yet...perhaps at a different time?
</t>
        </r>
      </text>
    </comment>
    <comment ref="A209" authorId="185">
      <text>
        <r>
          <rPr>
            <sz val="11"/>
            <color theme="1"/>
            <rFont val="Arial"/>
          </rPr>
          <t xml:space="preserve">Gabor Daniel:
Nothing here yet...perhaps at a different time?
</t>
        </r>
      </text>
    </comment>
    <comment ref="A210" authorId="186">
      <text>
        <r>
          <rPr>
            <sz val="11"/>
            <color theme="1"/>
            <rFont val="Arial"/>
          </rPr>
          <t xml:space="preserve">Gabor Daniel:
Nothing here yet...perhaps at a different time?
</t>
        </r>
      </text>
    </comment>
    <comment ref="A213" authorId="187">
      <text>
        <r>
          <rPr>
            <sz val="11"/>
            <color theme="1"/>
            <rFont val="Arial"/>
          </rPr>
          <t xml:space="preserve">Gabor Daniel:
Nothing here yet...perhaps at a different time?
</t>
        </r>
      </text>
    </comment>
    <comment ref="A214" authorId="188">
      <text>
        <r>
          <rPr>
            <sz val="11"/>
            <color theme="1"/>
            <rFont val="Arial"/>
          </rPr>
          <t xml:space="preserve">Gabor Daniel:
Nothing here yet...perhaps at a different time?
</t>
        </r>
      </text>
    </comment>
    <comment ref="A215" authorId="189">
      <text>
        <r>
          <rPr>
            <sz val="11"/>
            <color theme="1"/>
            <rFont val="Arial"/>
          </rPr>
          <t xml:space="preserve">Gabor Daniel:
Nothing here yet...perhaps at a different time?
</t>
        </r>
      </text>
    </comment>
    <comment ref="A216" authorId="190">
      <text>
        <r>
          <rPr>
            <sz val="11"/>
            <color theme="1"/>
            <rFont val="Arial"/>
          </rPr>
          <t xml:space="preserve">Gabor Daniel:
Nothing here yet...perhaps at a different time?
</t>
        </r>
      </text>
    </comment>
    <comment ref="A217" authorId="191">
      <text>
        <r>
          <rPr>
            <sz val="11"/>
            <color theme="1"/>
            <rFont val="Arial"/>
          </rPr>
          <t xml:space="preserve">Gabor Daniel:
Nothing here yet...perhaps at a different time?
</t>
        </r>
      </text>
    </comment>
    <comment ref="A218" authorId="192">
      <text>
        <r>
          <rPr>
            <sz val="11"/>
            <color theme="1"/>
            <rFont val="Arial"/>
          </rPr>
          <t xml:space="preserve">Gabor Daniel:
Nothing here yet...perhaps at a different time?
</t>
        </r>
      </text>
    </comment>
    <comment ref="A219" authorId="193">
      <text>
        <r>
          <rPr>
            <sz val="11"/>
            <color theme="1"/>
            <rFont val="Arial"/>
          </rPr>
          <t xml:space="preserve">Gabor Daniel:
Nothing here yet...perhaps at a different time?
</t>
        </r>
      </text>
    </comment>
    <comment ref="A220" authorId="194">
      <text>
        <r>
          <rPr>
            <sz val="11"/>
            <color theme="1"/>
            <rFont val="Arial"/>
          </rPr>
          <t xml:space="preserve">Gabor Daniel:
Nothing here yet...perhaps at a different time?
</t>
        </r>
      </text>
    </comment>
    <comment ref="A221" authorId="195">
      <text>
        <r>
          <rPr>
            <sz val="11"/>
            <color theme="1"/>
            <rFont val="Arial"/>
          </rPr>
          <t xml:space="preserve">Gabor Daniel:
Nothing here yet...perhaps at a different time?
</t>
        </r>
      </text>
    </comment>
    <comment ref="A222" authorId="196">
      <text>
        <r>
          <rPr>
            <sz val="11"/>
            <color theme="1"/>
            <rFont val="Arial"/>
          </rPr>
          <t xml:space="preserve">Gabor Daniel:
Nothing here yet...perhaps at a different time?
</t>
        </r>
      </text>
    </comment>
    <comment ref="A223" authorId="197">
      <text>
        <r>
          <rPr>
            <sz val="11"/>
            <color theme="1"/>
            <rFont val="Arial"/>
          </rPr>
          <t xml:space="preserve">Gabor Daniel:
Nothing here yet...perhaps at a different time?
</t>
        </r>
      </text>
    </comment>
    <comment ref="A224" authorId="198">
      <text>
        <r>
          <rPr>
            <sz val="11"/>
            <color theme="1"/>
            <rFont val="Arial"/>
          </rPr>
          <t xml:space="preserve">Gabor Daniel:
Nothing here yet...perhaps at a different time?
</t>
        </r>
      </text>
    </comment>
    <comment ref="A225" authorId="199">
      <text>
        <r>
          <rPr>
            <sz val="11"/>
            <color theme="1"/>
            <rFont val="Arial"/>
          </rPr>
          <t xml:space="preserve">Gabor Daniel:
Nothing here yet...perhaps at a different time?
</t>
        </r>
      </text>
    </comment>
    <comment ref="A226" authorId="200">
      <text>
        <r>
          <rPr>
            <sz val="11"/>
            <color theme="1"/>
            <rFont val="Arial"/>
          </rPr>
          <t xml:space="preserve">Gabor Daniel:
Nothing here yet...perhaps at a different time?
</t>
        </r>
      </text>
    </comment>
    <comment ref="A227" authorId="201">
      <text>
        <r>
          <rPr>
            <sz val="11"/>
            <color theme="1"/>
            <rFont val="Arial"/>
          </rPr>
          <t xml:space="preserve">Gabor Daniel:
Nothing here yet...perhaps at a different time?
</t>
        </r>
      </text>
    </comment>
    <comment ref="A228" authorId="202">
      <text>
        <r>
          <rPr>
            <sz val="11"/>
            <color theme="1"/>
            <rFont val="Arial"/>
          </rPr>
          <t xml:space="preserve">Gabor Daniel:
Nothing here yet...perhaps at a different time?
</t>
        </r>
      </text>
    </comment>
    <comment ref="A229" authorId="203">
      <text>
        <r>
          <rPr>
            <sz val="11"/>
            <color theme="1"/>
            <rFont val="Arial"/>
          </rPr>
          <t xml:space="preserve">Gabor Daniel:
Nothing here yet...perhaps at a different time?
</t>
        </r>
      </text>
    </comment>
    <comment ref="A232" authorId="204">
      <text>
        <r>
          <rPr>
            <sz val="11"/>
            <color theme="1"/>
            <rFont val="Arial"/>
          </rPr>
          <t xml:space="preserve">Gabor Daniel:
Nothing here yet...perhaps at a different time?
</t>
        </r>
      </text>
    </comment>
    <comment ref="A233" authorId="205">
      <text>
        <r>
          <rPr>
            <sz val="11"/>
            <color theme="1"/>
            <rFont val="Arial"/>
          </rPr>
          <t xml:space="preserve">Gabor Daniel:
Nothing here yet...perhaps at a different time?
</t>
        </r>
      </text>
    </comment>
    <comment ref="A234" authorId="206">
      <text>
        <r>
          <rPr>
            <sz val="11"/>
            <color theme="1"/>
            <rFont val="Arial"/>
          </rPr>
          <t xml:space="preserve">Gabor Daniel:
Nothing here yet...perhaps at a different time?
</t>
        </r>
      </text>
    </comment>
    <comment ref="A235" authorId="207">
      <text>
        <r>
          <rPr>
            <sz val="11"/>
            <color theme="1"/>
            <rFont val="Arial"/>
          </rPr>
          <t xml:space="preserve">Gabor Daniel:
Nothing here yet...perhaps at a different time?
</t>
        </r>
      </text>
    </comment>
    <comment ref="A236" authorId="208">
      <text>
        <r>
          <rPr>
            <sz val="11"/>
            <color theme="1"/>
            <rFont val="Arial"/>
          </rPr>
          <t xml:space="preserve">Gabor Daniel:
Nothing here yet...perhaps at a different time?
</t>
        </r>
      </text>
    </comment>
    <comment ref="A237" authorId="209">
      <text>
        <r>
          <rPr>
            <sz val="11"/>
            <color theme="1"/>
            <rFont val="Arial"/>
          </rPr>
          <t xml:space="preserve">Gabor Daniel:
Nothing here yet...perhaps at a different time?
</t>
        </r>
      </text>
    </comment>
    <comment ref="A238" authorId="210">
      <text>
        <r>
          <rPr>
            <sz val="11"/>
            <color theme="1"/>
            <rFont val="Arial"/>
          </rPr>
          <t xml:space="preserve">Gabor Daniel:
Nothing here yet...perhaps at a different time?
</t>
        </r>
      </text>
    </comment>
    <comment ref="A239" authorId="211">
      <text>
        <r>
          <rPr>
            <sz val="11"/>
            <color theme="1"/>
            <rFont val="Arial"/>
          </rPr>
          <t xml:space="preserve">Gabor Daniel:
Nothing here yet...perhaps at a different time?
</t>
        </r>
      </text>
    </comment>
    <comment ref="A240" authorId="212">
      <text>
        <r>
          <rPr>
            <sz val="11"/>
            <color theme="1"/>
            <rFont val="Arial"/>
          </rPr>
          <t xml:space="preserve">Gabor Daniel:
Nothing here yet...perhaps at a different time?
</t>
        </r>
      </text>
    </comment>
    <comment ref="A241" authorId="213">
      <text>
        <r>
          <rPr>
            <sz val="11"/>
            <color theme="1"/>
            <rFont val="Arial"/>
          </rPr>
          <t xml:space="preserve">Gabor Daniel:
Nothing here yet...perhaps at a different time?
</t>
        </r>
      </text>
    </comment>
    <comment ref="A242" authorId="214">
      <text>
        <r>
          <rPr>
            <sz val="11"/>
            <color theme="1"/>
            <rFont val="Arial"/>
          </rPr>
          <t xml:space="preserve">Gabor Daniel:
Nothing here yet...perhaps at a different time?
</t>
        </r>
      </text>
    </comment>
    <comment ref="A243" authorId="215">
      <text>
        <r>
          <rPr>
            <sz val="11"/>
            <color theme="1"/>
            <rFont val="Arial"/>
          </rPr>
          <t xml:space="preserve">Gabor Daniel:
Nothing here yet...perhaps at a different time?
</t>
        </r>
      </text>
    </comment>
    <comment ref="A244" authorId="216">
      <text>
        <r>
          <rPr>
            <sz val="11"/>
            <color theme="1"/>
            <rFont val="Arial"/>
          </rPr>
          <t xml:space="preserve">Gabor Daniel:
Nothing here yet...perhaps at a different time?
</t>
        </r>
      </text>
    </comment>
    <comment ref="A245" authorId="217">
      <text>
        <r>
          <rPr>
            <sz val="11"/>
            <color theme="1"/>
            <rFont val="Arial"/>
          </rPr>
          <t xml:space="preserve">Gabor Daniel:
Nothing here yet...perhaps at a different time?
</t>
        </r>
      </text>
    </comment>
    <comment ref="A246" authorId="218">
      <text>
        <r>
          <rPr>
            <sz val="11"/>
            <color theme="1"/>
            <rFont val="Arial"/>
          </rPr>
          <t xml:space="preserve">Gabor Daniel:
Nothing here yet...perhaps at a different time?
</t>
        </r>
      </text>
    </comment>
    <comment ref="A247" authorId="219">
      <text>
        <r>
          <rPr>
            <sz val="11"/>
            <color theme="1"/>
            <rFont val="Arial"/>
          </rPr>
          <t xml:space="preserve">Gabor Daniel:
Nothing here yet...perhaps at a different time?
</t>
        </r>
      </text>
    </comment>
    <comment ref="A248" authorId="220">
      <text>
        <r>
          <rPr>
            <sz val="11"/>
            <color theme="1"/>
            <rFont val="Arial"/>
          </rPr>
          <t xml:space="preserve">Gabor Daniel:
Nothing here yet...perhaps at a different time?
</t>
        </r>
      </text>
    </comment>
    <comment ref="A251" authorId="221">
      <text>
        <r>
          <rPr>
            <sz val="11"/>
            <color theme="1"/>
            <rFont val="Arial"/>
          </rPr>
          <t xml:space="preserve">Gabor Daniel:
Nothing here yet...perhaps at a different time?
</t>
        </r>
      </text>
    </comment>
    <comment ref="A252" authorId="222">
      <text>
        <r>
          <rPr>
            <sz val="11"/>
            <color theme="1"/>
            <rFont val="Arial"/>
          </rPr>
          <t xml:space="preserve">Gabor Daniel:
Nothing here yet...perhaps at a different time?
</t>
        </r>
      </text>
    </comment>
    <comment ref="A253" authorId="223">
      <text>
        <r>
          <rPr>
            <sz val="11"/>
            <color theme="1"/>
            <rFont val="Arial"/>
          </rPr>
          <t xml:space="preserve">Gabor Daniel:
Nothing here yet...perhaps at a different time?
</t>
        </r>
      </text>
    </comment>
    <comment ref="A254" authorId="224">
      <text>
        <r>
          <rPr>
            <sz val="11"/>
            <color theme="1"/>
            <rFont val="Arial"/>
          </rPr>
          <t xml:space="preserve">Gabor Daniel:
Nothing here yet...perhaps at a different time?
</t>
        </r>
      </text>
    </comment>
    <comment ref="A255" authorId="225">
      <text>
        <r>
          <rPr>
            <sz val="11"/>
            <color theme="1"/>
            <rFont val="Arial"/>
          </rPr>
          <t xml:space="preserve">Gabor Daniel:
Nothing here yet...perhaps at a different time?
</t>
        </r>
      </text>
    </comment>
    <comment ref="A256" authorId="226">
      <text>
        <r>
          <rPr>
            <sz val="11"/>
            <color theme="1"/>
            <rFont val="Arial"/>
          </rPr>
          <t xml:space="preserve">Gabor Daniel:
Nothing here yet...perhaps at a different time?
</t>
        </r>
      </text>
    </comment>
    <comment ref="A257" authorId="227">
      <text>
        <r>
          <rPr>
            <sz val="11"/>
            <color theme="1"/>
            <rFont val="Arial"/>
          </rPr>
          <t xml:space="preserve">Gabor Daniel:
Nothing here yet...perhaps at a different time?
</t>
        </r>
      </text>
    </comment>
    <comment ref="A258" authorId="228">
      <text>
        <r>
          <rPr>
            <sz val="11"/>
            <color theme="1"/>
            <rFont val="Arial"/>
          </rPr>
          <t xml:space="preserve">Gabor Daniel:
Nothing here yet...perhaps at a different time?
</t>
        </r>
      </text>
    </comment>
    <comment ref="A259" authorId="229">
      <text>
        <r>
          <rPr>
            <sz val="11"/>
            <color theme="1"/>
            <rFont val="Arial"/>
          </rPr>
          <t xml:space="preserve">Gabor Daniel:
Nothing here yet...perhaps at a different time?
</t>
        </r>
      </text>
    </comment>
    <comment ref="A260" authorId="230">
      <text>
        <r>
          <rPr>
            <sz val="11"/>
            <color theme="1"/>
            <rFont val="Arial"/>
          </rPr>
          <t xml:space="preserve">Gabor Daniel:
Nothing here yet...perhaps at a different time?
</t>
        </r>
      </text>
    </comment>
    <comment ref="A261" authorId="231">
      <text>
        <r>
          <rPr>
            <sz val="11"/>
            <color theme="1"/>
            <rFont val="Arial"/>
          </rPr>
          <t xml:space="preserve">Gabor Daniel:
Nothing here yet...perhaps at a different time?
</t>
        </r>
      </text>
    </comment>
    <comment ref="A262" authorId="232">
      <text>
        <r>
          <rPr>
            <sz val="11"/>
            <color theme="1"/>
            <rFont val="Arial"/>
          </rPr>
          <t xml:space="preserve">Gabor Daniel:
Nothing here yet...perhaps at a different time?
</t>
        </r>
      </text>
    </comment>
    <comment ref="A263" authorId="233">
      <text>
        <r>
          <rPr>
            <sz val="11"/>
            <color theme="1"/>
            <rFont val="Arial"/>
          </rPr>
          <t xml:space="preserve">Gabor Daniel:
Nothing here yet...perhaps at a different time?
</t>
        </r>
      </text>
    </comment>
    <comment ref="A264" authorId="234">
      <text>
        <r>
          <rPr>
            <sz val="11"/>
            <color theme="1"/>
            <rFont val="Arial"/>
          </rPr>
          <t xml:space="preserve">Gabor Daniel:
Nothing here yet...perhaps at a different time?
</t>
        </r>
      </text>
    </comment>
    <comment ref="A265" authorId="235">
      <text>
        <r>
          <rPr>
            <sz val="11"/>
            <color theme="1"/>
            <rFont val="Arial"/>
          </rPr>
          <t xml:space="preserve">Gabor Daniel:
Nothing here yet...perhaps at a different time?
</t>
        </r>
      </text>
    </comment>
    <comment ref="A266" authorId="236">
      <text>
        <r>
          <rPr>
            <sz val="11"/>
            <color theme="1"/>
            <rFont val="Arial"/>
          </rPr>
          <t xml:space="preserve">Gabor Daniel:
Nothing here yet...perhaps at a different time?
</t>
        </r>
      </text>
    </comment>
    <comment ref="A267" authorId="237">
      <text>
        <r>
          <rPr>
            <sz val="11"/>
            <color theme="1"/>
            <rFont val="Arial"/>
          </rPr>
          <t xml:space="preserve">Gabor Daniel:
Nothing here yet...perhaps at a different time?
</t>
        </r>
      </text>
    </comment>
    <comment ref="A270" authorId="238">
      <text>
        <r>
          <rPr>
            <sz val="11"/>
            <color theme="1"/>
            <rFont val="Arial"/>
          </rPr>
          <t xml:space="preserve">Gabor Daniel:
Nothing here yet...perhaps at a different time?
</t>
        </r>
      </text>
    </comment>
    <comment ref="A271" authorId="239">
      <text>
        <r>
          <rPr>
            <sz val="11"/>
            <color theme="1"/>
            <rFont val="Arial"/>
          </rPr>
          <t xml:space="preserve">Gabor Daniel:
Nothing here yet...perhaps at a different time?
</t>
        </r>
      </text>
    </comment>
    <comment ref="A272" authorId="240">
      <text>
        <r>
          <rPr>
            <sz val="11"/>
            <color theme="1"/>
            <rFont val="Arial"/>
          </rPr>
          <t xml:space="preserve">Gabor Daniel:
Nothing here yet...perhaps at a different time?
</t>
        </r>
      </text>
    </comment>
    <comment ref="A273" authorId="241">
      <text>
        <r>
          <rPr>
            <sz val="11"/>
            <color theme="1"/>
            <rFont val="Arial"/>
          </rPr>
          <t xml:space="preserve">Gabor Daniel:
Nothing here yet...perhaps at a different time?
</t>
        </r>
      </text>
    </comment>
    <comment ref="A274" authorId="242">
      <text>
        <r>
          <rPr>
            <sz val="11"/>
            <color theme="1"/>
            <rFont val="Arial"/>
          </rPr>
          <t xml:space="preserve">Gabor Daniel:
Nothing here yet...perhaps at a different time?
</t>
        </r>
      </text>
    </comment>
    <comment ref="A275" authorId="243">
      <text>
        <r>
          <rPr>
            <sz val="11"/>
            <color theme="1"/>
            <rFont val="Arial"/>
          </rPr>
          <t xml:space="preserve">Gabor Daniel:
Nothing here yet...perhaps at a different time?
</t>
        </r>
      </text>
    </comment>
    <comment ref="A276" authorId="244">
      <text>
        <r>
          <rPr>
            <sz val="11"/>
            <color theme="1"/>
            <rFont val="Arial"/>
          </rPr>
          <t xml:space="preserve">Gabor Daniel:
Nothing here yet...perhaps at a different time?
</t>
        </r>
      </text>
    </comment>
    <comment ref="A277" authorId="245">
      <text>
        <r>
          <rPr>
            <sz val="11"/>
            <color theme="1"/>
            <rFont val="Arial"/>
          </rPr>
          <t xml:space="preserve">Gabor Daniel:
Nothing here yet...perhaps at a different time?
</t>
        </r>
      </text>
    </comment>
    <comment ref="A278" authorId="246">
      <text>
        <r>
          <rPr>
            <sz val="11"/>
            <color theme="1"/>
            <rFont val="Arial"/>
          </rPr>
          <t xml:space="preserve">Gabor Daniel:
Nothing here yet...perhaps at a different time?
</t>
        </r>
      </text>
    </comment>
    <comment ref="A279" authorId="247">
      <text>
        <r>
          <rPr>
            <sz val="11"/>
            <color theme="1"/>
            <rFont val="Arial"/>
          </rPr>
          <t xml:space="preserve">Gabor Daniel:
Nothing here yet...perhaps at a different time?
</t>
        </r>
      </text>
    </comment>
    <comment ref="A280" authorId="248">
      <text>
        <r>
          <rPr>
            <sz val="11"/>
            <color theme="1"/>
            <rFont val="Arial"/>
          </rPr>
          <t xml:space="preserve">Gabor Daniel:
Nothing here yet...perhaps at a different time?
</t>
        </r>
      </text>
    </comment>
    <comment ref="A281" authorId="249">
      <text>
        <r>
          <rPr>
            <sz val="11"/>
            <color theme="1"/>
            <rFont val="Arial"/>
          </rPr>
          <t xml:space="preserve">Gabor Daniel:
Nothing here yet...perhaps at a different time?
</t>
        </r>
      </text>
    </comment>
    <comment ref="A282" authorId="250">
      <text>
        <r>
          <rPr>
            <sz val="11"/>
            <color theme="1"/>
            <rFont val="Arial"/>
          </rPr>
          <t xml:space="preserve">Gabor Daniel:
Nothing here yet...perhaps at a different time?
</t>
        </r>
      </text>
    </comment>
    <comment ref="A283" authorId="251">
      <text>
        <r>
          <rPr>
            <sz val="11"/>
            <color theme="1"/>
            <rFont val="Arial"/>
          </rPr>
          <t xml:space="preserve">Gabor Daniel:
Nothing here yet...perhaps at a different time?
</t>
        </r>
      </text>
    </comment>
    <comment ref="A284" authorId="252">
      <text>
        <r>
          <rPr>
            <sz val="11"/>
            <color theme="1"/>
            <rFont val="Arial"/>
          </rPr>
          <t xml:space="preserve">Gabor Daniel:
Nothing here yet...perhaps at a different time?
</t>
        </r>
      </text>
    </comment>
    <comment ref="A285" authorId="253">
      <text>
        <r>
          <rPr>
            <sz val="11"/>
            <color theme="1"/>
            <rFont val="Arial"/>
          </rPr>
          <t xml:space="preserve">Gabor Daniel:
Nothing here yet...perhaps at a different time?
</t>
        </r>
      </text>
    </comment>
    <comment ref="A286" authorId="254">
      <text>
        <r>
          <rPr>
            <sz val="11"/>
            <color theme="1"/>
            <rFont val="Arial"/>
          </rPr>
          <t xml:space="preserve">Gabor Daniel:
Nothing here yet...perhaps at a different time?
</t>
        </r>
      </text>
    </comment>
    <comment ref="A289" authorId="255">
      <text>
        <r>
          <rPr>
            <sz val="11"/>
            <color theme="1"/>
            <rFont val="Arial"/>
          </rPr>
          <t xml:space="preserve">Gabor Daniel:
Nothing here yet...perhaps at a different time?
</t>
        </r>
      </text>
    </comment>
    <comment ref="A290" authorId="256">
      <text>
        <r>
          <rPr>
            <sz val="11"/>
            <color theme="1"/>
            <rFont val="Arial"/>
          </rPr>
          <t xml:space="preserve">Gabor Daniel:
Nothing here yet...perhaps at a different time?
</t>
        </r>
      </text>
    </comment>
    <comment ref="A291" authorId="257">
      <text>
        <r>
          <rPr>
            <sz val="11"/>
            <color theme="1"/>
            <rFont val="Arial"/>
          </rPr>
          <t xml:space="preserve">Gabor Daniel:
Nothing here yet...perhaps at a different time?
</t>
        </r>
      </text>
    </comment>
    <comment ref="A292" authorId="258">
      <text>
        <r>
          <rPr>
            <sz val="11"/>
            <color theme="1"/>
            <rFont val="Arial"/>
          </rPr>
          <t xml:space="preserve">Gabor Daniel:
Nothing here yet...perhaps at a different time?
</t>
        </r>
      </text>
    </comment>
    <comment ref="A293" authorId="259">
      <text>
        <r>
          <rPr>
            <sz val="11"/>
            <color theme="1"/>
            <rFont val="Arial"/>
          </rPr>
          <t xml:space="preserve">Gabor Daniel:
Nothing here yet...perhaps at a different time?
</t>
        </r>
      </text>
    </comment>
    <comment ref="A294" authorId="260">
      <text>
        <r>
          <rPr>
            <sz val="11"/>
            <color theme="1"/>
            <rFont val="Arial"/>
          </rPr>
          <t xml:space="preserve">Gabor Daniel:
Nothing here yet...perhaps at a different time?
</t>
        </r>
      </text>
    </comment>
    <comment ref="A295" authorId="261">
      <text>
        <r>
          <rPr>
            <sz val="11"/>
            <color theme="1"/>
            <rFont val="Arial"/>
          </rPr>
          <t xml:space="preserve">Gabor Daniel:
Nothing here yet...perhaps at a different time?
</t>
        </r>
      </text>
    </comment>
    <comment ref="A296" authorId="262">
      <text>
        <r>
          <rPr>
            <sz val="11"/>
            <color theme="1"/>
            <rFont val="Arial"/>
          </rPr>
          <t xml:space="preserve">Gabor Daniel:
Nothing here yet...perhaps at a different time?
</t>
        </r>
      </text>
    </comment>
    <comment ref="A297" authorId="263">
      <text>
        <r>
          <rPr>
            <sz val="11"/>
            <color theme="1"/>
            <rFont val="Arial"/>
          </rPr>
          <t xml:space="preserve">Gabor Daniel:
Nothing here yet...perhaps at a different time?
</t>
        </r>
      </text>
    </comment>
    <comment ref="A298" authorId="264">
      <text>
        <r>
          <rPr>
            <sz val="11"/>
            <color theme="1"/>
            <rFont val="Arial"/>
          </rPr>
          <t xml:space="preserve">Gabor Daniel:
Nothing here yet...perhaps at a different time?
</t>
        </r>
      </text>
    </comment>
    <comment ref="A299" authorId="265">
      <text>
        <r>
          <rPr>
            <sz val="11"/>
            <color theme="1"/>
            <rFont val="Arial"/>
          </rPr>
          <t xml:space="preserve">Gabor Daniel:
Nothing here yet...perhaps at a different time?
</t>
        </r>
      </text>
    </comment>
    <comment ref="A300" authorId="266">
      <text>
        <r>
          <rPr>
            <sz val="11"/>
            <color theme="1"/>
            <rFont val="Arial"/>
          </rPr>
          <t xml:space="preserve">Gabor Daniel:
Nothing here yet...perhaps at a different time?
</t>
        </r>
      </text>
    </comment>
    <comment ref="A301" authorId="267">
      <text>
        <r>
          <rPr>
            <sz val="11"/>
            <color theme="1"/>
            <rFont val="Arial"/>
          </rPr>
          <t xml:space="preserve">Gabor Daniel:
Nothing here yet...perhaps at a different time?
</t>
        </r>
      </text>
    </comment>
    <comment ref="A302" authorId="268">
      <text>
        <r>
          <rPr>
            <sz val="11"/>
            <color theme="1"/>
            <rFont val="Arial"/>
          </rPr>
          <t xml:space="preserve">Gabor Daniel:
Nothing here yet...perhaps at a different time?
</t>
        </r>
      </text>
    </comment>
    <comment ref="A303" authorId="269">
      <text>
        <r>
          <rPr>
            <sz val="11"/>
            <color theme="1"/>
            <rFont val="Arial"/>
          </rPr>
          <t xml:space="preserve">Gabor Daniel:
Nothing here yet...perhaps at a different time?
</t>
        </r>
      </text>
    </comment>
    <comment ref="A304" authorId="270">
      <text>
        <r>
          <rPr>
            <sz val="11"/>
            <color theme="1"/>
            <rFont val="Arial"/>
          </rPr>
          <t xml:space="preserve">Gabor Daniel:
Nothing here yet...perhaps at a different time?
</t>
        </r>
      </text>
    </comment>
    <comment ref="A305" authorId="271">
      <text>
        <r>
          <rPr>
            <sz val="11"/>
            <color theme="1"/>
            <rFont val="Arial"/>
          </rPr>
          <t xml:space="preserve">Gabor Daniel:
Nothing here yet...perhaps at a different time?
</t>
        </r>
      </text>
    </comment>
    <comment ref="A308" authorId="272">
      <text>
        <r>
          <rPr>
            <sz val="11"/>
            <color theme="1"/>
            <rFont val="Arial"/>
          </rPr>
          <t xml:space="preserve">Gabor Daniel:
Nothing here yet...perhaps at a different time?
</t>
        </r>
      </text>
    </comment>
    <comment ref="A309" authorId="273">
      <text>
        <r>
          <rPr>
            <sz val="11"/>
            <color theme="1"/>
            <rFont val="Arial"/>
          </rPr>
          <t xml:space="preserve">Gabor Daniel:
Nothing here yet...perhaps at a different time?
</t>
        </r>
      </text>
    </comment>
    <comment ref="A310" authorId="274">
      <text>
        <r>
          <rPr>
            <sz val="11"/>
            <color theme="1"/>
            <rFont val="Arial"/>
          </rPr>
          <t xml:space="preserve">Gabor Daniel:
Nothing here yet...perhaps at a different time?
</t>
        </r>
      </text>
    </comment>
    <comment ref="A311" authorId="275">
      <text>
        <r>
          <rPr>
            <sz val="11"/>
            <color theme="1"/>
            <rFont val="Arial"/>
          </rPr>
          <t xml:space="preserve">Gabor Daniel:
Nothing here yet...perhaps at a different time?
</t>
        </r>
      </text>
    </comment>
    <comment ref="A312" authorId="276">
      <text>
        <r>
          <rPr>
            <sz val="11"/>
            <color theme="1"/>
            <rFont val="Arial"/>
          </rPr>
          <t xml:space="preserve">Gabor Daniel:
Nothing here yet...perhaps at a different time?
</t>
        </r>
      </text>
    </comment>
    <comment ref="A313" authorId="277">
      <text>
        <r>
          <rPr>
            <sz val="11"/>
            <color theme="1"/>
            <rFont val="Arial"/>
          </rPr>
          <t xml:space="preserve">Gabor Daniel:
Nothing here yet...perhaps at a different time?
</t>
        </r>
      </text>
    </comment>
    <comment ref="A314" authorId="278">
      <text>
        <r>
          <rPr>
            <sz val="11"/>
            <color theme="1"/>
            <rFont val="Arial"/>
          </rPr>
          <t xml:space="preserve">Gabor Daniel:
Nothing here yet...perhaps at a different time?
</t>
        </r>
      </text>
    </comment>
    <comment ref="A315" authorId="279">
      <text>
        <r>
          <rPr>
            <sz val="11"/>
            <color theme="1"/>
            <rFont val="Arial"/>
          </rPr>
          <t xml:space="preserve">Gabor Daniel:
Nothing here yet...perhaps at a different time?
</t>
        </r>
      </text>
    </comment>
    <comment ref="A316" authorId="280">
      <text>
        <r>
          <rPr>
            <sz val="11"/>
            <color theme="1"/>
            <rFont val="Arial"/>
          </rPr>
          <t xml:space="preserve">Gabor Daniel:
Nothing here yet...perhaps at a different time?
</t>
        </r>
      </text>
    </comment>
    <comment ref="A317" authorId="281">
      <text>
        <r>
          <rPr>
            <sz val="11"/>
            <color theme="1"/>
            <rFont val="Arial"/>
          </rPr>
          <t xml:space="preserve">Gabor Daniel:
Nothing here yet...perhaps at a different time?
</t>
        </r>
      </text>
    </comment>
    <comment ref="A318" authorId="282">
      <text>
        <r>
          <rPr>
            <sz val="11"/>
            <color theme="1"/>
            <rFont val="Arial"/>
          </rPr>
          <t xml:space="preserve">Gabor Daniel:
Nothing here yet...perhaps at a different time?
</t>
        </r>
      </text>
    </comment>
    <comment ref="A319" authorId="283">
      <text>
        <r>
          <rPr>
            <sz val="11"/>
            <color theme="1"/>
            <rFont val="Arial"/>
          </rPr>
          <t xml:space="preserve">Gabor Daniel:
Nothing here yet...perhaps at a different time?
</t>
        </r>
      </text>
    </comment>
    <comment ref="A320" authorId="284">
      <text>
        <r>
          <rPr>
            <sz val="11"/>
            <color theme="1"/>
            <rFont val="Arial"/>
          </rPr>
          <t xml:space="preserve">Gabor Daniel:
Nothing here yet...perhaps at a different time?
</t>
        </r>
      </text>
    </comment>
    <comment ref="A321" authorId="285">
      <text>
        <r>
          <rPr>
            <sz val="11"/>
            <color theme="1"/>
            <rFont val="Arial"/>
          </rPr>
          <t xml:space="preserve">Gabor Daniel:
Nothing here yet...perhaps at a different time?
</t>
        </r>
      </text>
    </comment>
    <comment ref="A322" authorId="286">
      <text>
        <r>
          <rPr>
            <sz val="11"/>
            <color theme="1"/>
            <rFont val="Arial"/>
          </rPr>
          <t xml:space="preserve">Gabor Daniel:
Nothing here yet...perhaps at a different time?
</t>
        </r>
      </text>
    </comment>
    <comment ref="A323" authorId="287">
      <text>
        <r>
          <rPr>
            <sz val="11"/>
            <color theme="1"/>
            <rFont val="Arial"/>
          </rPr>
          <t xml:space="preserve">Gabor Daniel:
Nothing here yet...perhaps at a different time?
</t>
        </r>
      </text>
    </comment>
    <comment ref="A324" authorId="288">
      <text>
        <r>
          <rPr>
            <sz val="11"/>
            <color theme="1"/>
            <rFont val="Arial"/>
          </rPr>
          <t xml:space="preserve">Gabor Daniel:
Nothing here yet...perhaps at a different time?
</t>
        </r>
      </text>
    </comment>
    <comment ref="A327" authorId="289">
      <text>
        <r>
          <rPr>
            <sz val="11"/>
            <color theme="1"/>
            <rFont val="Arial"/>
          </rPr>
          <t xml:space="preserve">Gabor Daniel:
Nothing here yet...perhaps at a different time?
</t>
        </r>
      </text>
    </comment>
    <comment ref="A328" authorId="290">
      <text>
        <r>
          <rPr>
            <sz val="11"/>
            <color theme="1"/>
            <rFont val="Arial"/>
          </rPr>
          <t xml:space="preserve">Gabor Daniel:
Nothing here yet...perhaps at a different time?
</t>
        </r>
      </text>
    </comment>
    <comment ref="A329" authorId="291">
      <text>
        <r>
          <rPr>
            <sz val="11"/>
            <color theme="1"/>
            <rFont val="Arial"/>
          </rPr>
          <t xml:space="preserve">Gabor Daniel:
Nothing here yet...perhaps at a different time?
</t>
        </r>
      </text>
    </comment>
    <comment ref="A330" authorId="292">
      <text>
        <r>
          <rPr>
            <sz val="11"/>
            <color theme="1"/>
            <rFont val="Arial"/>
          </rPr>
          <t xml:space="preserve">Gabor Daniel:
Nothing here yet...perhaps at a different time?
</t>
        </r>
      </text>
    </comment>
    <comment ref="A331" authorId="293">
      <text>
        <r>
          <rPr>
            <sz val="11"/>
            <color theme="1"/>
            <rFont val="Arial"/>
          </rPr>
          <t xml:space="preserve">Gabor Daniel:
Nothing here yet...perhaps at a different time?
</t>
        </r>
      </text>
    </comment>
    <comment ref="A332" authorId="294">
      <text>
        <r>
          <rPr>
            <sz val="11"/>
            <color theme="1"/>
            <rFont val="Arial"/>
          </rPr>
          <t xml:space="preserve">Gabor Daniel:
Nothing here yet...perhaps at a different time?
</t>
        </r>
      </text>
    </comment>
    <comment ref="A333" authorId="295">
      <text>
        <r>
          <rPr>
            <sz val="11"/>
            <color theme="1"/>
            <rFont val="Arial"/>
          </rPr>
          <t xml:space="preserve">Gabor Daniel:
Nothing here yet...perhaps at a different time?
</t>
        </r>
      </text>
    </comment>
    <comment ref="A334" authorId="296">
      <text>
        <r>
          <rPr>
            <sz val="11"/>
            <color theme="1"/>
            <rFont val="Arial"/>
          </rPr>
          <t xml:space="preserve">Gabor Daniel:
Nothing here yet...perhaps at a different time?
</t>
        </r>
      </text>
    </comment>
    <comment ref="A335" authorId="297">
      <text>
        <r>
          <rPr>
            <sz val="11"/>
            <color theme="1"/>
            <rFont val="Arial"/>
          </rPr>
          <t xml:space="preserve">Gabor Daniel:
Nothing here yet...perhaps at a different time?
</t>
        </r>
      </text>
    </comment>
    <comment ref="A336" authorId="298">
      <text>
        <r>
          <rPr>
            <sz val="11"/>
            <color theme="1"/>
            <rFont val="Arial"/>
          </rPr>
          <t xml:space="preserve">Gabor Daniel:
Nothing here yet...perhaps at a different time?
</t>
        </r>
      </text>
    </comment>
    <comment ref="A337" authorId="299">
      <text>
        <r>
          <rPr>
            <sz val="11"/>
            <color theme="1"/>
            <rFont val="Arial"/>
          </rPr>
          <t xml:space="preserve">Gabor Daniel:
Nothing here yet...perhaps at a different time?
</t>
        </r>
      </text>
    </comment>
    <comment ref="A338" authorId="300">
      <text>
        <r>
          <rPr>
            <sz val="11"/>
            <color theme="1"/>
            <rFont val="Arial"/>
          </rPr>
          <t xml:space="preserve">Gabor Daniel:
Nothing here yet...perhaps at a different time?
</t>
        </r>
      </text>
    </comment>
    <comment ref="A339" authorId="301">
      <text>
        <r>
          <rPr>
            <sz val="11"/>
            <color theme="1"/>
            <rFont val="Arial"/>
          </rPr>
          <t xml:space="preserve">Gabor Daniel:
Nothing here yet...perhaps at a different time?
</t>
        </r>
      </text>
    </comment>
    <comment ref="A340" authorId="302">
      <text>
        <r>
          <rPr>
            <sz val="11"/>
            <color theme="1"/>
            <rFont val="Arial"/>
          </rPr>
          <t xml:space="preserve">Gabor Daniel:
Nothing here yet...perhaps at a different time?
</t>
        </r>
      </text>
    </comment>
    <comment ref="A341" authorId="303">
      <text>
        <r>
          <rPr>
            <sz val="11"/>
            <color theme="1"/>
            <rFont val="Arial"/>
          </rPr>
          <t xml:space="preserve">Gabor Daniel:
Nothing here yet...perhaps at a different time?
</t>
        </r>
      </text>
    </comment>
    <comment ref="A342" authorId="304">
      <text>
        <r>
          <rPr>
            <sz val="11"/>
            <color theme="1"/>
            <rFont val="Arial"/>
          </rPr>
          <t xml:space="preserve">Gabor Daniel:
Nothing here yet...perhaps at a different time?
</t>
        </r>
      </text>
    </comment>
    <comment ref="A343" authorId="305">
      <text>
        <r>
          <rPr>
            <sz val="11"/>
            <color theme="1"/>
            <rFont val="Arial"/>
          </rPr>
          <t xml:space="preserve">Gabor Daniel:
Nothing here yet...perhaps at a different time?
</t>
        </r>
      </text>
    </comment>
    <comment ref="A346" authorId="306">
      <text>
        <r>
          <rPr>
            <sz val="11"/>
            <color theme="1"/>
            <rFont val="Arial"/>
          </rPr>
          <t xml:space="preserve">Gabor Daniel:
Nothing here yet...perhaps at a different time?
</t>
        </r>
      </text>
    </comment>
    <comment ref="A347" authorId="307">
      <text>
        <r>
          <rPr>
            <sz val="11"/>
            <color theme="1"/>
            <rFont val="Arial"/>
          </rPr>
          <t xml:space="preserve">Gabor Daniel:
Nothing here yet...perhaps at a different time?
</t>
        </r>
      </text>
    </comment>
    <comment ref="A348" authorId="308">
      <text>
        <r>
          <rPr>
            <sz val="11"/>
            <color theme="1"/>
            <rFont val="Arial"/>
          </rPr>
          <t xml:space="preserve">Gabor Daniel:
Nothing here yet...perhaps at a different time?
</t>
        </r>
      </text>
    </comment>
    <comment ref="A349" authorId="309">
      <text>
        <r>
          <rPr>
            <sz val="11"/>
            <color theme="1"/>
            <rFont val="Arial"/>
          </rPr>
          <t xml:space="preserve">Gabor Daniel:
Nothing here yet...perhaps at a different time?
</t>
        </r>
      </text>
    </comment>
    <comment ref="A350" authorId="310">
      <text>
        <r>
          <rPr>
            <sz val="11"/>
            <color theme="1"/>
            <rFont val="Arial"/>
          </rPr>
          <t xml:space="preserve">Gabor Daniel:
Nothing here yet...perhaps at a different time?
</t>
        </r>
      </text>
    </comment>
    <comment ref="A351" authorId="311">
      <text>
        <r>
          <rPr>
            <sz val="11"/>
            <color theme="1"/>
            <rFont val="Arial"/>
          </rPr>
          <t xml:space="preserve">Gabor Daniel:
Nothing here yet...perhaps at a different time?
</t>
        </r>
      </text>
    </comment>
    <comment ref="A352" authorId="312">
      <text>
        <r>
          <rPr>
            <sz val="11"/>
            <color theme="1"/>
            <rFont val="Arial"/>
          </rPr>
          <t xml:space="preserve">Gabor Daniel:
Nothing here yet...perhaps at a different time?
</t>
        </r>
      </text>
    </comment>
    <comment ref="A353" authorId="313">
      <text>
        <r>
          <rPr>
            <sz val="11"/>
            <color theme="1"/>
            <rFont val="Arial"/>
          </rPr>
          <t xml:space="preserve">Gabor Daniel:
Nothing here yet...perhaps at a different time?
</t>
        </r>
      </text>
    </comment>
    <comment ref="A354" authorId="314">
      <text>
        <r>
          <rPr>
            <sz val="11"/>
            <color theme="1"/>
            <rFont val="Arial"/>
          </rPr>
          <t xml:space="preserve">Gabor Daniel:
Nothing here yet...perhaps at a different time?
</t>
        </r>
      </text>
    </comment>
    <comment ref="A355" authorId="315">
      <text>
        <r>
          <rPr>
            <sz val="11"/>
            <color theme="1"/>
            <rFont val="Arial"/>
          </rPr>
          <t xml:space="preserve">Gabor Daniel:
Nothing here yet...perhaps at a different time?
</t>
        </r>
      </text>
    </comment>
    <comment ref="A356" authorId="316">
      <text>
        <r>
          <rPr>
            <sz val="11"/>
            <color theme="1"/>
            <rFont val="Arial"/>
          </rPr>
          <t xml:space="preserve">Gabor Daniel:
Nothing here yet...perhaps at a different time?
</t>
        </r>
      </text>
    </comment>
    <comment ref="A357" authorId="317">
      <text>
        <r>
          <rPr>
            <sz val="11"/>
            <color theme="1"/>
            <rFont val="Arial"/>
          </rPr>
          <t xml:space="preserve">Gabor Daniel:
Nothing here yet...perhaps at a different time?
</t>
        </r>
      </text>
    </comment>
    <comment ref="A358" authorId="318">
      <text>
        <r>
          <rPr>
            <sz val="11"/>
            <color theme="1"/>
            <rFont val="Arial"/>
          </rPr>
          <t xml:space="preserve">Gabor Daniel:
Nothing here yet...perhaps at a different time?
</t>
        </r>
      </text>
    </comment>
    <comment ref="A359" authorId="319">
      <text>
        <r>
          <rPr>
            <sz val="11"/>
            <color theme="1"/>
            <rFont val="Arial"/>
          </rPr>
          <t xml:space="preserve">Gabor Daniel:
Nothing here yet...perhaps at a different time?
</t>
        </r>
      </text>
    </comment>
    <comment ref="A360" authorId="320">
      <text>
        <r>
          <rPr>
            <sz val="11"/>
            <color theme="1"/>
            <rFont val="Arial"/>
          </rPr>
          <t xml:space="preserve">Gabor Daniel:
Nothing here yet...perhaps at a different time?
</t>
        </r>
      </text>
    </comment>
    <comment ref="A361" authorId="321">
      <text>
        <r>
          <rPr>
            <sz val="11"/>
            <color theme="1"/>
            <rFont val="Arial"/>
          </rPr>
          <t xml:space="preserve">Gabor Daniel:
Nothing here yet...perhaps at a different time?
</t>
        </r>
      </text>
    </comment>
    <comment ref="A362" authorId="322">
      <text>
        <r>
          <rPr>
            <sz val="11"/>
            <color theme="1"/>
            <rFont val="Arial"/>
          </rPr>
          <t xml:space="preserve">Gabor Daniel:
Nothing here yet...perhaps at a different time?
</t>
        </r>
      </text>
    </comment>
    <comment ref="A365" authorId="323">
      <text>
        <r>
          <rPr>
            <sz val="11"/>
            <color theme="1"/>
            <rFont val="Arial"/>
          </rPr>
          <t xml:space="preserve">Gabor Daniel:
Nothing here yet...perhaps at a different time?
</t>
        </r>
      </text>
    </comment>
    <comment ref="A366" authorId="324">
      <text>
        <r>
          <rPr>
            <sz val="11"/>
            <color theme="1"/>
            <rFont val="Arial"/>
          </rPr>
          <t xml:space="preserve">Gabor Daniel:
Nothing here yet...perhaps at a different time?
</t>
        </r>
      </text>
    </comment>
    <comment ref="A367" authorId="325">
      <text>
        <r>
          <rPr>
            <sz val="11"/>
            <color theme="1"/>
            <rFont val="Arial"/>
          </rPr>
          <t xml:space="preserve">Gabor Daniel:
Nothing here yet...perhaps at a different time?
</t>
        </r>
      </text>
    </comment>
    <comment ref="A368" authorId="326">
      <text>
        <r>
          <rPr>
            <sz val="11"/>
            <color theme="1"/>
            <rFont val="Arial"/>
          </rPr>
          <t xml:space="preserve">Gabor Daniel:
Nothing here yet...perhaps at a different time?
</t>
        </r>
      </text>
    </comment>
    <comment ref="A369" authorId="327">
      <text>
        <r>
          <rPr>
            <sz val="11"/>
            <color theme="1"/>
            <rFont val="Arial"/>
          </rPr>
          <t xml:space="preserve">Gabor Daniel:
Nothing here yet...perhaps at a different time?
</t>
        </r>
      </text>
    </comment>
    <comment ref="A370" authorId="328">
      <text>
        <r>
          <rPr>
            <sz val="11"/>
            <color theme="1"/>
            <rFont val="Arial"/>
          </rPr>
          <t xml:space="preserve">Gabor Daniel:
Nothing here yet...perhaps at a different time?
</t>
        </r>
      </text>
    </comment>
    <comment ref="A371" authorId="329">
      <text>
        <r>
          <rPr>
            <sz val="11"/>
            <color theme="1"/>
            <rFont val="Arial"/>
          </rPr>
          <t xml:space="preserve">Gabor Daniel:
Nothing here yet...perhaps at a different time?
</t>
        </r>
      </text>
    </comment>
    <comment ref="A372" authorId="330">
      <text>
        <r>
          <rPr>
            <sz val="11"/>
            <color theme="1"/>
            <rFont val="Arial"/>
          </rPr>
          <t xml:space="preserve">Gabor Daniel:
Nothing here yet...perhaps at a different time?
</t>
        </r>
      </text>
    </comment>
    <comment ref="A373" authorId="331">
      <text>
        <r>
          <rPr>
            <sz val="11"/>
            <color theme="1"/>
            <rFont val="Arial"/>
          </rPr>
          <t xml:space="preserve">Gabor Daniel:
Nothing here yet...perhaps at a different time?
</t>
        </r>
      </text>
    </comment>
    <comment ref="A374" authorId="332">
      <text>
        <r>
          <rPr>
            <sz val="11"/>
            <color theme="1"/>
            <rFont val="Arial"/>
          </rPr>
          <t xml:space="preserve">Gabor Daniel:
Nothing here yet...perhaps at a different time?
</t>
        </r>
      </text>
    </comment>
    <comment ref="A375" authorId="333">
      <text>
        <r>
          <rPr>
            <sz val="11"/>
            <color theme="1"/>
            <rFont val="Arial"/>
          </rPr>
          <t xml:space="preserve">Gabor Daniel:
Nothing here yet...perhaps at a different time?
</t>
        </r>
      </text>
    </comment>
    <comment ref="A376" authorId="334">
      <text>
        <r>
          <rPr>
            <sz val="11"/>
            <color theme="1"/>
            <rFont val="Arial"/>
          </rPr>
          <t xml:space="preserve">Gabor Daniel:
Nothing here yet...perhaps at a different time?
</t>
        </r>
      </text>
    </comment>
    <comment ref="A377" authorId="335">
      <text>
        <r>
          <rPr>
            <sz val="11"/>
            <color theme="1"/>
            <rFont val="Arial"/>
          </rPr>
          <t xml:space="preserve">Gabor Daniel:
Nothing here yet...perhaps at a different time?
</t>
        </r>
      </text>
    </comment>
    <comment ref="A378" authorId="336">
      <text>
        <r>
          <rPr>
            <sz val="11"/>
            <color theme="1"/>
            <rFont val="Arial"/>
          </rPr>
          <t xml:space="preserve">Gabor Daniel:
Nothing here yet...perhaps at a different time?
</t>
        </r>
      </text>
    </comment>
    <comment ref="A379" authorId="337">
      <text>
        <r>
          <rPr>
            <sz val="11"/>
            <color theme="1"/>
            <rFont val="Arial"/>
          </rPr>
          <t xml:space="preserve">Gabor Daniel:
Nothing here yet...perhaps at a different time?
</t>
        </r>
      </text>
    </comment>
    <comment ref="A380" authorId="338">
      <text>
        <r>
          <rPr>
            <sz val="11"/>
            <color theme="1"/>
            <rFont val="Arial"/>
          </rPr>
          <t xml:space="preserve">Gabor Daniel:
Nothing here yet...perhaps at a different time?
</t>
        </r>
      </text>
    </comment>
    <comment ref="A381" authorId="339">
      <text>
        <r>
          <rPr>
            <sz val="11"/>
            <color theme="1"/>
            <rFont val="Arial"/>
          </rPr>
          <t xml:space="preserve">Gabor Daniel:
Nothing here yet...perhaps at a different time?
</t>
        </r>
      </text>
    </comment>
    <comment ref="A384" authorId="340">
      <text>
        <r>
          <rPr>
            <sz val="11"/>
            <color theme="1"/>
            <rFont val="Arial"/>
          </rPr>
          <t xml:space="preserve">Gabor Daniel:
Nothing here yet...perhaps at a different time?
</t>
        </r>
      </text>
    </comment>
    <comment ref="A385" authorId="341">
      <text>
        <r>
          <rPr>
            <sz val="11"/>
            <color theme="1"/>
            <rFont val="Arial"/>
          </rPr>
          <t xml:space="preserve">Gabor Daniel:
Nothing here yet...perhaps at a different time?
</t>
        </r>
      </text>
    </comment>
    <comment ref="A386" authorId="342">
      <text>
        <r>
          <rPr>
            <sz val="11"/>
            <color theme="1"/>
            <rFont val="Arial"/>
          </rPr>
          <t xml:space="preserve">Gabor Daniel:
Nothing here yet...perhaps at a different time?
</t>
        </r>
      </text>
    </comment>
    <comment ref="A387" authorId="343">
      <text>
        <r>
          <rPr>
            <sz val="11"/>
            <color theme="1"/>
            <rFont val="Arial"/>
          </rPr>
          <t xml:space="preserve">Gabor Daniel:
Nothing here yet...perhaps at a different time?
</t>
        </r>
      </text>
    </comment>
    <comment ref="A388" authorId="344">
      <text>
        <r>
          <rPr>
            <sz val="11"/>
            <color theme="1"/>
            <rFont val="Arial"/>
          </rPr>
          <t xml:space="preserve">Gabor Daniel:
Nothing here yet...perhaps at a different time?
</t>
        </r>
      </text>
    </comment>
    <comment ref="A389" authorId="345">
      <text>
        <r>
          <rPr>
            <sz val="11"/>
            <color theme="1"/>
            <rFont val="Arial"/>
          </rPr>
          <t xml:space="preserve">Gabor Daniel:
Nothing here yet...perhaps at a different time?
</t>
        </r>
      </text>
    </comment>
    <comment ref="A390" authorId="346">
      <text>
        <r>
          <rPr>
            <sz val="11"/>
            <color theme="1"/>
            <rFont val="Arial"/>
          </rPr>
          <t xml:space="preserve">Gabor Daniel:
Nothing here yet...perhaps at a different time?
</t>
        </r>
      </text>
    </comment>
    <comment ref="A391" authorId="347">
      <text>
        <r>
          <rPr>
            <sz val="11"/>
            <color theme="1"/>
            <rFont val="Arial"/>
          </rPr>
          <t xml:space="preserve">Gabor Daniel:
Nothing here yet...perhaps at a different time?
</t>
        </r>
      </text>
    </comment>
    <comment ref="A392" authorId="348">
      <text>
        <r>
          <rPr>
            <sz val="11"/>
            <color theme="1"/>
            <rFont val="Arial"/>
          </rPr>
          <t xml:space="preserve">Gabor Daniel:
Nothing here yet...perhaps at a different time?
</t>
        </r>
      </text>
    </comment>
    <comment ref="A393" authorId="349">
      <text>
        <r>
          <rPr>
            <sz val="11"/>
            <color theme="1"/>
            <rFont val="Arial"/>
          </rPr>
          <t xml:space="preserve">Gabor Daniel:
Nothing here yet...perhaps at a different time?
</t>
        </r>
      </text>
    </comment>
    <comment ref="A394" authorId="350">
      <text>
        <r>
          <rPr>
            <sz val="11"/>
            <color theme="1"/>
            <rFont val="Arial"/>
          </rPr>
          <t xml:space="preserve">Gabor Daniel:
Nothing here yet...perhaps at a different time?
</t>
        </r>
      </text>
    </comment>
    <comment ref="A395" authorId="351">
      <text>
        <r>
          <rPr>
            <sz val="11"/>
            <color theme="1"/>
            <rFont val="Arial"/>
          </rPr>
          <t xml:space="preserve">Gabor Daniel:
Nothing here yet...perhaps at a different time?
</t>
        </r>
      </text>
    </comment>
    <comment ref="A396" authorId="352">
      <text>
        <r>
          <rPr>
            <sz val="11"/>
            <color theme="1"/>
            <rFont val="Arial"/>
          </rPr>
          <t xml:space="preserve">Gabor Daniel:
Nothing here yet...perhaps at a different time?
</t>
        </r>
      </text>
    </comment>
    <comment ref="A397" authorId="353">
      <text>
        <r>
          <rPr>
            <sz val="11"/>
            <color theme="1"/>
            <rFont val="Arial"/>
          </rPr>
          <t xml:space="preserve">Gabor Daniel:
Nothing here yet...perhaps at a different time?
</t>
        </r>
      </text>
    </comment>
    <comment ref="A398" authorId="354">
      <text>
        <r>
          <rPr>
            <sz val="11"/>
            <color theme="1"/>
            <rFont val="Arial"/>
          </rPr>
          <t xml:space="preserve">Gabor Daniel:
Nothing here yet...perhaps at a different time?
</t>
        </r>
      </text>
    </comment>
    <comment ref="A399" authorId="355">
      <text>
        <r>
          <rPr>
            <sz val="11"/>
            <color theme="1"/>
            <rFont val="Arial"/>
          </rPr>
          <t xml:space="preserve">Gabor Daniel:
Nothing here yet...perhaps at a different time?
</t>
        </r>
      </text>
    </comment>
    <comment ref="A400" authorId="356">
      <text>
        <r>
          <rPr>
            <sz val="11"/>
            <color theme="1"/>
            <rFont val="Arial"/>
          </rPr>
          <t xml:space="preserve">Gabor Daniel:
Nothing here yet...perhaps at a different time?
</t>
        </r>
      </text>
    </comment>
    <comment ref="A403" authorId="357">
      <text>
        <r>
          <rPr>
            <sz val="11"/>
            <color theme="1"/>
            <rFont val="Arial"/>
          </rPr>
          <t xml:space="preserve">Gabor Daniel:
Nothing here yet...perhaps at a different time?
</t>
        </r>
      </text>
    </comment>
    <comment ref="A404" authorId="358">
      <text>
        <r>
          <rPr>
            <sz val="11"/>
            <color theme="1"/>
            <rFont val="Arial"/>
          </rPr>
          <t xml:space="preserve">Gabor Daniel:
Nothing here yet...perhaps at a different time?
</t>
        </r>
      </text>
    </comment>
    <comment ref="A405" authorId="359">
      <text>
        <r>
          <rPr>
            <sz val="11"/>
            <color theme="1"/>
            <rFont val="Arial"/>
          </rPr>
          <t xml:space="preserve">Gabor Daniel:
Nothing here yet...perhaps at a different time?
</t>
        </r>
      </text>
    </comment>
    <comment ref="A406" authorId="360">
      <text>
        <r>
          <rPr>
            <sz val="11"/>
            <color theme="1"/>
            <rFont val="Arial"/>
          </rPr>
          <t xml:space="preserve">Gabor Daniel:
Nothing here yet...perhaps at a different time?
</t>
        </r>
      </text>
    </comment>
    <comment ref="A407" authorId="361">
      <text>
        <r>
          <rPr>
            <sz val="11"/>
            <color theme="1"/>
            <rFont val="Arial"/>
          </rPr>
          <t xml:space="preserve">Gabor Daniel:
Nothing here yet...perhaps at a different time?
</t>
        </r>
      </text>
    </comment>
    <comment ref="A408" authorId="362">
      <text>
        <r>
          <rPr>
            <sz val="11"/>
            <color theme="1"/>
            <rFont val="Arial"/>
          </rPr>
          <t xml:space="preserve">Gabor Daniel:
Nothing here yet...perhaps at a different time?
</t>
        </r>
      </text>
    </comment>
    <comment ref="A409" authorId="363">
      <text>
        <r>
          <rPr>
            <sz val="11"/>
            <color theme="1"/>
            <rFont val="Arial"/>
          </rPr>
          <t xml:space="preserve">Gabor Daniel:
Nothing here yet...perhaps at a different time?
</t>
        </r>
      </text>
    </comment>
    <comment ref="A410" authorId="364">
      <text>
        <r>
          <rPr>
            <sz val="11"/>
            <color theme="1"/>
            <rFont val="Arial"/>
          </rPr>
          <t xml:space="preserve">Gabor Daniel:
Nothing here yet...perhaps at a different time?
</t>
        </r>
      </text>
    </comment>
    <comment ref="A411" authorId="365">
      <text>
        <r>
          <rPr>
            <sz val="11"/>
            <color theme="1"/>
            <rFont val="Arial"/>
          </rPr>
          <t xml:space="preserve">Gabor Daniel:
Nothing here yet...perhaps at a different time?
</t>
        </r>
      </text>
    </comment>
    <comment ref="A412" authorId="366">
      <text>
        <r>
          <rPr>
            <sz val="11"/>
            <color theme="1"/>
            <rFont val="Arial"/>
          </rPr>
          <t xml:space="preserve">Gabor Daniel:
Nothing here yet...perhaps at a different time?
</t>
        </r>
      </text>
    </comment>
    <comment ref="A413" authorId="367">
      <text>
        <r>
          <rPr>
            <sz val="11"/>
            <color theme="1"/>
            <rFont val="Arial"/>
          </rPr>
          <t xml:space="preserve">Gabor Daniel:
Nothing here yet...perhaps at a different time?
</t>
        </r>
      </text>
    </comment>
    <comment ref="A414" authorId="368">
      <text>
        <r>
          <rPr>
            <sz val="11"/>
            <color theme="1"/>
            <rFont val="Arial"/>
          </rPr>
          <t xml:space="preserve">Gabor Daniel:
Nothing here yet...perhaps at a different time?
</t>
        </r>
      </text>
    </comment>
    <comment ref="A415" authorId="369">
      <text>
        <r>
          <rPr>
            <sz val="11"/>
            <color theme="1"/>
            <rFont val="Arial"/>
          </rPr>
          <t xml:space="preserve">Gabor Daniel:
Nothing here yet...perhaps at a different time?
</t>
        </r>
      </text>
    </comment>
    <comment ref="A416" authorId="370">
      <text>
        <r>
          <rPr>
            <sz val="11"/>
            <color theme="1"/>
            <rFont val="Arial"/>
          </rPr>
          <t xml:space="preserve">Gabor Daniel:
Nothing here yet...perhaps at a different time?
</t>
        </r>
      </text>
    </comment>
    <comment ref="A417" authorId="371">
      <text>
        <r>
          <rPr>
            <sz val="11"/>
            <color theme="1"/>
            <rFont val="Arial"/>
          </rPr>
          <t xml:space="preserve">Gabor Daniel:
Nothing here yet...perhaps at a different time?
</t>
        </r>
      </text>
    </comment>
    <comment ref="A418" authorId="372">
      <text>
        <r>
          <rPr>
            <sz val="11"/>
            <color theme="1"/>
            <rFont val="Arial"/>
          </rPr>
          <t xml:space="preserve">Gabor Daniel:
Nothing here yet...perhaps at a different time?
</t>
        </r>
      </text>
    </comment>
    <comment ref="A419" authorId="373">
      <text>
        <r>
          <rPr>
            <sz val="11"/>
            <color theme="1"/>
            <rFont val="Arial"/>
          </rPr>
          <t xml:space="preserve">Gabor Daniel:
Nothing here yet...perhaps at a different time?
</t>
        </r>
      </text>
    </comment>
    <comment ref="A422" authorId="374">
      <text>
        <r>
          <rPr>
            <sz val="11"/>
            <color theme="1"/>
            <rFont val="Arial"/>
          </rPr>
          <t xml:space="preserve">Gabor Daniel:
Nothing here yet...perhaps at a different time?
</t>
        </r>
      </text>
    </comment>
    <comment ref="A423" authorId="375">
      <text>
        <r>
          <rPr>
            <sz val="11"/>
            <color theme="1"/>
            <rFont val="Arial"/>
          </rPr>
          <t xml:space="preserve">Gabor Daniel:
Nothing here yet...perhaps at a different time?
</t>
        </r>
      </text>
    </comment>
    <comment ref="A424" authorId="376">
      <text>
        <r>
          <rPr>
            <sz val="11"/>
            <color theme="1"/>
            <rFont val="Arial"/>
          </rPr>
          <t xml:space="preserve">Gabor Daniel:
Nothing here yet...perhaps at a different time?
</t>
        </r>
      </text>
    </comment>
    <comment ref="A425" authorId="377">
      <text>
        <r>
          <rPr>
            <sz val="11"/>
            <color theme="1"/>
            <rFont val="Arial"/>
          </rPr>
          <t xml:space="preserve">Gabor Daniel:
Nothing here yet...perhaps at a different time?
</t>
        </r>
      </text>
    </comment>
    <comment ref="A426" authorId="378">
      <text>
        <r>
          <rPr>
            <sz val="11"/>
            <color theme="1"/>
            <rFont val="Arial"/>
          </rPr>
          <t xml:space="preserve">Gabor Daniel:
Nothing here yet...perhaps at a different time?
</t>
        </r>
      </text>
    </comment>
    <comment ref="A427" authorId="379">
      <text>
        <r>
          <rPr>
            <sz val="11"/>
            <color theme="1"/>
            <rFont val="Arial"/>
          </rPr>
          <t xml:space="preserve">Gabor Daniel:
Nothing here yet...perhaps at a different time?
</t>
        </r>
      </text>
    </comment>
    <comment ref="A428" authorId="380">
      <text>
        <r>
          <rPr>
            <sz val="11"/>
            <color theme="1"/>
            <rFont val="Arial"/>
          </rPr>
          <t xml:space="preserve">Gabor Daniel:
Nothing here yet...perhaps at a different time?
</t>
        </r>
      </text>
    </comment>
    <comment ref="A429" authorId="381">
      <text>
        <r>
          <rPr>
            <sz val="11"/>
            <color theme="1"/>
            <rFont val="Arial"/>
          </rPr>
          <t xml:space="preserve">Gabor Daniel:
Nothing here yet...perhaps at a different time?
</t>
        </r>
      </text>
    </comment>
    <comment ref="A430" authorId="382">
      <text>
        <r>
          <rPr>
            <sz val="11"/>
            <color theme="1"/>
            <rFont val="Arial"/>
          </rPr>
          <t xml:space="preserve">Gabor Daniel:
Nothing here yet...perhaps at a different time?
</t>
        </r>
      </text>
    </comment>
    <comment ref="A431" authorId="383">
      <text>
        <r>
          <rPr>
            <sz val="11"/>
            <color theme="1"/>
            <rFont val="Arial"/>
          </rPr>
          <t xml:space="preserve">Gabor Daniel:
Nothing here yet...perhaps at a different time?
</t>
        </r>
      </text>
    </comment>
    <comment ref="A432" authorId="384">
      <text>
        <r>
          <rPr>
            <sz val="11"/>
            <color theme="1"/>
            <rFont val="Arial"/>
          </rPr>
          <t xml:space="preserve">Gabor Daniel:
Nothing here yet...perhaps at a different time?
</t>
        </r>
      </text>
    </comment>
    <comment ref="A433" authorId="385">
      <text>
        <r>
          <rPr>
            <sz val="11"/>
            <color theme="1"/>
            <rFont val="Arial"/>
          </rPr>
          <t xml:space="preserve">Gabor Daniel:
Nothing here yet...perhaps at a different time?
</t>
        </r>
      </text>
    </comment>
    <comment ref="A434" authorId="386">
      <text>
        <r>
          <rPr>
            <sz val="11"/>
            <color theme="1"/>
            <rFont val="Arial"/>
          </rPr>
          <t xml:space="preserve">Gabor Daniel:
Nothing here yet...perhaps at a different time?
</t>
        </r>
      </text>
    </comment>
    <comment ref="A435" authorId="387">
      <text>
        <r>
          <rPr>
            <sz val="11"/>
            <color theme="1"/>
            <rFont val="Arial"/>
          </rPr>
          <t xml:space="preserve">Gabor Daniel:
Nothing here yet...perhaps at a different time?
</t>
        </r>
      </text>
    </comment>
    <comment ref="A436" authorId="388">
      <text>
        <r>
          <rPr>
            <sz val="11"/>
            <color theme="1"/>
            <rFont val="Arial"/>
          </rPr>
          <t xml:space="preserve">Gabor Daniel:
Nothing here yet...perhaps at a different time?
</t>
        </r>
      </text>
    </comment>
    <comment ref="A437" authorId="389">
      <text>
        <r>
          <rPr>
            <sz val="11"/>
            <color theme="1"/>
            <rFont val="Arial"/>
          </rPr>
          <t xml:space="preserve">Gabor Daniel:
Nothing here yet...perhaps at a different time?
</t>
        </r>
      </text>
    </comment>
    <comment ref="A438" authorId="390">
      <text>
        <r>
          <rPr>
            <sz val="11"/>
            <color theme="1"/>
            <rFont val="Arial"/>
          </rPr>
          <t xml:space="preserve">Gabor Daniel:
Nothing here yet...perhaps at a different time?
</t>
        </r>
      </text>
    </comment>
    <comment ref="A441" authorId="391">
      <text>
        <r>
          <rPr>
            <sz val="11"/>
            <color theme="1"/>
            <rFont val="Arial"/>
          </rPr>
          <t xml:space="preserve">Gabor Daniel:
Nothing here yet...perhaps at a different time?
</t>
        </r>
      </text>
    </comment>
    <comment ref="A442" authorId="392">
      <text>
        <r>
          <rPr>
            <sz val="11"/>
            <color theme="1"/>
            <rFont val="Arial"/>
          </rPr>
          <t xml:space="preserve">Gabor Daniel:
Nothing here yet...perhaps at a different time?
</t>
        </r>
      </text>
    </comment>
    <comment ref="A443" authorId="393">
      <text>
        <r>
          <rPr>
            <sz val="11"/>
            <color theme="1"/>
            <rFont val="Arial"/>
          </rPr>
          <t xml:space="preserve">Gabor Daniel:
Nothing here yet...perhaps at a different time?
</t>
        </r>
      </text>
    </comment>
    <comment ref="A444" authorId="394">
      <text>
        <r>
          <rPr>
            <sz val="11"/>
            <color theme="1"/>
            <rFont val="Arial"/>
          </rPr>
          <t xml:space="preserve">Gabor Daniel:
Nothing here yet...perhaps at a different time?
</t>
        </r>
      </text>
    </comment>
    <comment ref="A445" authorId="395">
      <text>
        <r>
          <rPr>
            <sz val="11"/>
            <color theme="1"/>
            <rFont val="Arial"/>
          </rPr>
          <t xml:space="preserve">Gabor Daniel:
Nothing here yet...perhaps at a different time?
</t>
        </r>
      </text>
    </comment>
    <comment ref="A446" authorId="396">
      <text>
        <r>
          <rPr>
            <sz val="11"/>
            <color theme="1"/>
            <rFont val="Arial"/>
          </rPr>
          <t xml:space="preserve">Gabor Daniel:
Nothing here yet...perhaps at a different time?
</t>
        </r>
      </text>
    </comment>
    <comment ref="A447" authorId="397">
      <text>
        <r>
          <rPr>
            <sz val="11"/>
            <color theme="1"/>
            <rFont val="Arial"/>
          </rPr>
          <t xml:space="preserve">Gabor Daniel:
Nothing here yet...perhaps at a different time?
</t>
        </r>
      </text>
    </comment>
    <comment ref="A448" authorId="398">
      <text>
        <r>
          <rPr>
            <sz val="11"/>
            <color theme="1"/>
            <rFont val="Arial"/>
          </rPr>
          <t xml:space="preserve">Gabor Daniel:
Nothing here yet...perhaps at a different time?
</t>
        </r>
      </text>
    </comment>
    <comment ref="A449" authorId="399">
      <text>
        <r>
          <rPr>
            <sz val="11"/>
            <color theme="1"/>
            <rFont val="Arial"/>
          </rPr>
          <t xml:space="preserve">Gabor Daniel:
Nothing here yet...perhaps at a different time?
</t>
        </r>
      </text>
    </comment>
    <comment ref="A450" authorId="400">
      <text>
        <r>
          <rPr>
            <sz val="11"/>
            <color theme="1"/>
            <rFont val="Arial"/>
          </rPr>
          <t xml:space="preserve">Gabor Daniel:
Nothing here yet...perhaps at a different time?
</t>
        </r>
      </text>
    </comment>
    <comment ref="A451" authorId="401">
      <text>
        <r>
          <rPr>
            <sz val="11"/>
            <color theme="1"/>
            <rFont val="Arial"/>
          </rPr>
          <t xml:space="preserve">Gabor Daniel:
Nothing here yet...perhaps at a different time?
</t>
        </r>
      </text>
    </comment>
    <comment ref="A452" authorId="402">
      <text>
        <r>
          <rPr>
            <sz val="11"/>
            <color theme="1"/>
            <rFont val="Arial"/>
          </rPr>
          <t xml:space="preserve">Gabor Daniel:
Nothing here yet...perhaps at a different time?
</t>
        </r>
      </text>
    </comment>
    <comment ref="A453" authorId="403">
      <text>
        <r>
          <rPr>
            <sz val="11"/>
            <color theme="1"/>
            <rFont val="Arial"/>
          </rPr>
          <t xml:space="preserve">Gabor Daniel:
Nothing here yet...perhaps at a different time?
</t>
        </r>
      </text>
    </comment>
    <comment ref="A454" authorId="404">
      <text>
        <r>
          <rPr>
            <sz val="11"/>
            <color theme="1"/>
            <rFont val="Arial"/>
          </rPr>
          <t xml:space="preserve">Gabor Daniel:
Nothing here yet...perhaps at a different time?
</t>
        </r>
      </text>
    </comment>
    <comment ref="A455" authorId="405">
      <text>
        <r>
          <rPr>
            <sz val="11"/>
            <color theme="1"/>
            <rFont val="Arial"/>
          </rPr>
          <t xml:space="preserve">Gabor Daniel:
Nothing here yet...perhaps at a different time?
</t>
        </r>
      </text>
    </comment>
    <comment ref="A456" authorId="406">
      <text>
        <r>
          <rPr>
            <sz val="11"/>
            <color theme="1"/>
            <rFont val="Arial"/>
          </rPr>
          <t xml:space="preserve">Gabor Daniel:
Nothing here yet...perhaps at a different time?
</t>
        </r>
      </text>
    </comment>
    <comment ref="A457" authorId="407">
      <text>
        <r>
          <rPr>
            <sz val="11"/>
            <color theme="1"/>
            <rFont val="Arial"/>
          </rPr>
          <t xml:space="preserve">Gabor Daniel:
Nothing here yet...perhaps at a different time?
</t>
        </r>
      </text>
    </comment>
    <comment ref="A460" authorId="408">
      <text>
        <r>
          <rPr>
            <sz val="11"/>
            <color theme="1"/>
            <rFont val="Arial"/>
          </rPr>
          <t xml:space="preserve">Gabor Daniel:
Nothing here yet...perhaps at a different time?
</t>
        </r>
      </text>
    </comment>
    <comment ref="A461" authorId="409">
      <text>
        <r>
          <rPr>
            <sz val="11"/>
            <color theme="1"/>
            <rFont val="Arial"/>
          </rPr>
          <t xml:space="preserve">Gabor Daniel:
Nothing here yet...perhaps at a different time?
</t>
        </r>
      </text>
    </comment>
    <comment ref="A462" authorId="410">
      <text>
        <r>
          <rPr>
            <sz val="11"/>
            <color theme="1"/>
            <rFont val="Arial"/>
          </rPr>
          <t xml:space="preserve">Gabor Daniel:
Nothing here yet...perhaps at a different time?
</t>
        </r>
      </text>
    </comment>
    <comment ref="A463" authorId="411">
      <text>
        <r>
          <rPr>
            <sz val="11"/>
            <color theme="1"/>
            <rFont val="Arial"/>
          </rPr>
          <t xml:space="preserve">Gabor Daniel:
Nothing here yet...perhaps at a different time?
</t>
        </r>
      </text>
    </comment>
    <comment ref="A464" authorId="412">
      <text>
        <r>
          <rPr>
            <sz val="11"/>
            <color theme="1"/>
            <rFont val="Arial"/>
          </rPr>
          <t xml:space="preserve">Gabor Daniel:
Nothing here yet...perhaps at a different time?
</t>
        </r>
      </text>
    </comment>
    <comment ref="A465" authorId="413">
      <text>
        <r>
          <rPr>
            <sz val="11"/>
            <color theme="1"/>
            <rFont val="Arial"/>
          </rPr>
          <t xml:space="preserve">Gabor Daniel:
Nothing here yet...perhaps at a different time?
</t>
        </r>
      </text>
    </comment>
    <comment ref="A466" authorId="414">
      <text>
        <r>
          <rPr>
            <sz val="11"/>
            <color theme="1"/>
            <rFont val="Arial"/>
          </rPr>
          <t xml:space="preserve">Gabor Daniel:
Nothing here yet...perhaps at a different time?
</t>
        </r>
      </text>
    </comment>
    <comment ref="A467" authorId="415">
      <text>
        <r>
          <rPr>
            <sz val="11"/>
            <color theme="1"/>
            <rFont val="Arial"/>
          </rPr>
          <t xml:space="preserve">Gabor Daniel:
Nothing here yet...perhaps at a different time?
</t>
        </r>
      </text>
    </comment>
    <comment ref="A468" authorId="416">
      <text>
        <r>
          <rPr>
            <sz val="11"/>
            <color theme="1"/>
            <rFont val="Arial"/>
          </rPr>
          <t xml:space="preserve">Gabor Daniel:
Nothing here yet...perhaps at a different time?
</t>
        </r>
      </text>
    </comment>
    <comment ref="A469" authorId="417">
      <text>
        <r>
          <rPr>
            <sz val="11"/>
            <color theme="1"/>
            <rFont val="Arial"/>
          </rPr>
          <t xml:space="preserve">Gabor Daniel:
Nothing here yet...perhaps at a different time?
</t>
        </r>
      </text>
    </comment>
    <comment ref="A470" authorId="418">
      <text>
        <r>
          <rPr>
            <sz val="11"/>
            <color theme="1"/>
            <rFont val="Arial"/>
          </rPr>
          <t xml:space="preserve">Gabor Daniel:
Nothing here yet...perhaps at a different time?
</t>
        </r>
      </text>
    </comment>
    <comment ref="A471" authorId="419">
      <text>
        <r>
          <rPr>
            <sz val="11"/>
            <color theme="1"/>
            <rFont val="Arial"/>
          </rPr>
          <t xml:space="preserve">Gabor Daniel:
Nothing here yet...perhaps at a different time?
</t>
        </r>
      </text>
    </comment>
    <comment ref="A472" authorId="420">
      <text>
        <r>
          <rPr>
            <sz val="11"/>
            <color theme="1"/>
            <rFont val="Arial"/>
          </rPr>
          <t xml:space="preserve">Gabor Daniel:
Nothing here yet...perhaps at a different time?
</t>
        </r>
      </text>
    </comment>
    <comment ref="A473" authorId="421">
      <text>
        <r>
          <rPr>
            <sz val="11"/>
            <color theme="1"/>
            <rFont val="Arial"/>
          </rPr>
          <t xml:space="preserve">Gabor Daniel:
Nothing here yet...perhaps at a different time?
</t>
        </r>
      </text>
    </comment>
    <comment ref="A474" authorId="422">
      <text>
        <r>
          <rPr>
            <sz val="11"/>
            <color theme="1"/>
            <rFont val="Arial"/>
          </rPr>
          <t xml:space="preserve">Gabor Daniel:
Nothing here yet...perhaps at a different time?
</t>
        </r>
      </text>
    </comment>
    <comment ref="A475" authorId="423">
      <text>
        <r>
          <rPr>
            <sz val="11"/>
            <color theme="1"/>
            <rFont val="Arial"/>
          </rPr>
          <t xml:space="preserve">Gabor Daniel:
Nothing here yet...perhaps at a different time?
</t>
        </r>
      </text>
    </comment>
    <comment ref="A476" authorId="424">
      <text>
        <r>
          <rPr>
            <sz val="11"/>
            <color theme="1"/>
            <rFont val="Arial"/>
          </rPr>
          <t xml:space="preserve">Gabor Daniel:
Nothing here yet...perhaps at a different time?
</t>
        </r>
      </text>
    </comment>
    <comment ref="A479" authorId="425">
      <text>
        <r>
          <rPr>
            <sz val="11"/>
            <color theme="1"/>
            <rFont val="Arial"/>
          </rPr>
          <t xml:space="preserve">Gabor Daniel:
Nothing here yet...perhaps at a different time?
</t>
        </r>
      </text>
    </comment>
    <comment ref="A480" authorId="426">
      <text>
        <r>
          <rPr>
            <sz val="11"/>
            <color theme="1"/>
            <rFont val="Arial"/>
          </rPr>
          <t xml:space="preserve">Gabor Daniel:
Nothing here yet...perhaps at a different time?
</t>
        </r>
      </text>
    </comment>
    <comment ref="A481" authorId="427">
      <text>
        <r>
          <rPr>
            <sz val="11"/>
            <color theme="1"/>
            <rFont val="Arial"/>
          </rPr>
          <t xml:space="preserve">Gabor Daniel:
Nothing here yet...perhaps at a different time?
</t>
        </r>
      </text>
    </comment>
    <comment ref="A482" authorId="428">
      <text>
        <r>
          <rPr>
            <sz val="11"/>
            <color theme="1"/>
            <rFont val="Arial"/>
          </rPr>
          <t xml:space="preserve">Gabor Daniel:
Nothing here yet...perhaps at a different time?
</t>
        </r>
      </text>
    </comment>
    <comment ref="A483" authorId="429">
      <text>
        <r>
          <rPr>
            <sz val="11"/>
            <color theme="1"/>
            <rFont val="Arial"/>
          </rPr>
          <t xml:space="preserve">Gabor Daniel:
Nothing here yet...perhaps at a different time?
</t>
        </r>
      </text>
    </comment>
    <comment ref="A484" authorId="430">
      <text>
        <r>
          <rPr>
            <sz val="11"/>
            <color theme="1"/>
            <rFont val="Arial"/>
          </rPr>
          <t xml:space="preserve">Gabor Daniel:
Nothing here yet...perhaps at a different time?
</t>
        </r>
      </text>
    </comment>
    <comment ref="A485" authorId="431">
      <text>
        <r>
          <rPr>
            <sz val="11"/>
            <color theme="1"/>
            <rFont val="Arial"/>
          </rPr>
          <t xml:space="preserve">Gabor Daniel:
Nothing here yet...perhaps at a different time?
</t>
        </r>
      </text>
    </comment>
    <comment ref="A486" authorId="432">
      <text>
        <r>
          <rPr>
            <sz val="11"/>
            <color theme="1"/>
            <rFont val="Arial"/>
          </rPr>
          <t xml:space="preserve">Gabor Daniel:
Nothing here yet...perhaps at a different time?
</t>
        </r>
      </text>
    </comment>
    <comment ref="A487" authorId="433">
      <text>
        <r>
          <rPr>
            <sz val="11"/>
            <color theme="1"/>
            <rFont val="Arial"/>
          </rPr>
          <t xml:space="preserve">Gabor Daniel:
Nothing here yet...perhaps at a different time?
</t>
        </r>
      </text>
    </comment>
    <comment ref="A488" authorId="434">
      <text>
        <r>
          <rPr>
            <sz val="11"/>
            <color theme="1"/>
            <rFont val="Arial"/>
          </rPr>
          <t xml:space="preserve">Gabor Daniel:
Nothing here yet...perhaps at a different time?
</t>
        </r>
      </text>
    </comment>
    <comment ref="A489" authorId="435">
      <text>
        <r>
          <rPr>
            <sz val="11"/>
            <color theme="1"/>
            <rFont val="Arial"/>
          </rPr>
          <t xml:space="preserve">Gabor Daniel:
Nothing here yet...perhaps at a different time?
</t>
        </r>
      </text>
    </comment>
    <comment ref="A490" authorId="436">
      <text>
        <r>
          <rPr>
            <sz val="11"/>
            <color theme="1"/>
            <rFont val="Arial"/>
          </rPr>
          <t xml:space="preserve">Gabor Daniel:
Nothing here yet...perhaps at a different time?
</t>
        </r>
      </text>
    </comment>
    <comment ref="A491" authorId="437">
      <text>
        <r>
          <rPr>
            <sz val="11"/>
            <color theme="1"/>
            <rFont val="Arial"/>
          </rPr>
          <t xml:space="preserve">Gabor Daniel:
Nothing here yet...perhaps at a different time?
</t>
        </r>
      </text>
    </comment>
    <comment ref="A492" authorId="438">
      <text>
        <r>
          <rPr>
            <sz val="11"/>
            <color theme="1"/>
            <rFont val="Arial"/>
          </rPr>
          <t xml:space="preserve">Gabor Daniel:
Nothing here yet...perhaps at a different time?
</t>
        </r>
      </text>
    </comment>
    <comment ref="A493" authorId="439">
      <text>
        <r>
          <rPr>
            <sz val="11"/>
            <color theme="1"/>
            <rFont val="Arial"/>
          </rPr>
          <t xml:space="preserve">Gabor Daniel:
Nothing here yet...perhaps at a different time?
</t>
        </r>
      </text>
    </comment>
    <comment ref="A494" authorId="440">
      <text>
        <r>
          <rPr>
            <sz val="11"/>
            <color theme="1"/>
            <rFont val="Arial"/>
          </rPr>
          <t xml:space="preserve">Gabor Daniel:
Nothing here yet...perhaps at a different time?
</t>
        </r>
      </text>
    </comment>
    <comment ref="A495" authorId="441">
      <text>
        <r>
          <rPr>
            <sz val="11"/>
            <color theme="1"/>
            <rFont val="Arial"/>
          </rPr>
          <t xml:space="preserve">Gabor Daniel:
Nothing here yet...perhaps at a different time?
</t>
        </r>
      </text>
    </comment>
    <comment ref="A498" authorId="442">
      <text>
        <r>
          <rPr>
            <sz val="11"/>
            <color theme="1"/>
            <rFont val="Arial"/>
          </rPr>
          <t xml:space="preserve">Gabor Daniel:
Nothing here yet...perhaps at a different time?
</t>
        </r>
      </text>
    </comment>
    <comment ref="A499" authorId="443">
      <text>
        <r>
          <rPr>
            <sz val="11"/>
            <color theme="1"/>
            <rFont val="Arial"/>
          </rPr>
          <t xml:space="preserve">Gabor Daniel:
Nothing here yet...perhaps at a different time?
</t>
        </r>
      </text>
    </comment>
    <comment ref="A500" authorId="444">
      <text>
        <r>
          <rPr>
            <sz val="11"/>
            <color theme="1"/>
            <rFont val="Arial"/>
          </rPr>
          <t xml:space="preserve">Gabor Daniel:
Nothing here yet...perhaps at a different time?
</t>
        </r>
      </text>
    </comment>
    <comment ref="A501" authorId="445">
      <text>
        <r>
          <rPr>
            <sz val="11"/>
            <color theme="1"/>
            <rFont val="Arial"/>
          </rPr>
          <t xml:space="preserve">Gabor Daniel:
Nothing here yet...perhaps at a different time?
</t>
        </r>
      </text>
    </comment>
    <comment ref="A502" authorId="446">
      <text>
        <r>
          <rPr>
            <sz val="11"/>
            <color theme="1"/>
            <rFont val="Arial"/>
          </rPr>
          <t xml:space="preserve">Gabor Daniel:
Nothing here yet...perhaps at a different time?
</t>
        </r>
      </text>
    </comment>
    <comment ref="A503" authorId="447">
      <text>
        <r>
          <rPr>
            <sz val="11"/>
            <color theme="1"/>
            <rFont val="Arial"/>
          </rPr>
          <t xml:space="preserve">Gabor Daniel:
Nothing here yet...perhaps at a different time?
</t>
        </r>
      </text>
    </comment>
    <comment ref="A504" authorId="448">
      <text>
        <r>
          <rPr>
            <sz val="11"/>
            <color theme="1"/>
            <rFont val="Arial"/>
          </rPr>
          <t xml:space="preserve">Gabor Daniel:
Nothing here yet...perhaps at a different time?
</t>
        </r>
      </text>
    </comment>
    <comment ref="A505" authorId="449">
      <text>
        <r>
          <rPr>
            <sz val="11"/>
            <color theme="1"/>
            <rFont val="Arial"/>
          </rPr>
          <t xml:space="preserve">Gabor Daniel:
Nothing here yet...perhaps at a different time?
</t>
        </r>
      </text>
    </comment>
    <comment ref="A506" authorId="450">
      <text>
        <r>
          <rPr>
            <sz val="11"/>
            <color theme="1"/>
            <rFont val="Arial"/>
          </rPr>
          <t xml:space="preserve">Gabor Daniel:
Nothing here yet...perhaps at a different time?
</t>
        </r>
      </text>
    </comment>
    <comment ref="A507" authorId="451">
      <text>
        <r>
          <rPr>
            <sz val="11"/>
            <color theme="1"/>
            <rFont val="Arial"/>
          </rPr>
          <t xml:space="preserve">Gabor Daniel:
Nothing here yet...perhaps at a different time?
</t>
        </r>
      </text>
    </comment>
    <comment ref="A508" authorId="452">
      <text>
        <r>
          <rPr>
            <sz val="11"/>
            <color theme="1"/>
            <rFont val="Arial"/>
          </rPr>
          <t xml:space="preserve">Gabor Daniel:
Nothing here yet...perhaps at a different time?
</t>
        </r>
      </text>
    </comment>
    <comment ref="A509" authorId="453">
      <text>
        <r>
          <rPr>
            <sz val="11"/>
            <color theme="1"/>
            <rFont val="Arial"/>
          </rPr>
          <t xml:space="preserve">Gabor Daniel:
Nothing here yet...perhaps at a different time?
</t>
        </r>
      </text>
    </comment>
    <comment ref="A510" authorId="454">
      <text>
        <r>
          <rPr>
            <sz val="11"/>
            <color theme="1"/>
            <rFont val="Arial"/>
          </rPr>
          <t xml:space="preserve">Gabor Daniel:
Nothing here yet...perhaps at a different time?
</t>
        </r>
      </text>
    </comment>
    <comment ref="A511" authorId="455">
      <text>
        <r>
          <rPr>
            <sz val="11"/>
            <color theme="1"/>
            <rFont val="Arial"/>
          </rPr>
          <t xml:space="preserve">Gabor Daniel:
Nothing here yet...perhaps at a different time?
</t>
        </r>
      </text>
    </comment>
    <comment ref="A512" authorId="456">
      <text>
        <r>
          <rPr>
            <sz val="11"/>
            <color theme="1"/>
            <rFont val="Arial"/>
          </rPr>
          <t xml:space="preserve">Gabor Daniel:
Nothing here yet...perhaps at a different time?
</t>
        </r>
      </text>
    </comment>
    <comment ref="A513" authorId="457">
      <text>
        <r>
          <rPr>
            <sz val="11"/>
            <color theme="1"/>
            <rFont val="Arial"/>
          </rPr>
          <t xml:space="preserve">Gabor Daniel:
Nothing here yet...perhaps at a different time?
</t>
        </r>
      </text>
    </comment>
    <comment ref="A514" authorId="458">
      <text>
        <r>
          <rPr>
            <sz val="11"/>
            <color theme="1"/>
            <rFont val="Arial"/>
          </rPr>
          <t xml:space="preserve">Gabor Daniel:
Nothing here yet...perhaps at a different time?
</t>
        </r>
      </text>
    </comment>
    <comment ref="A517" authorId="459">
      <text>
        <r>
          <rPr>
            <sz val="11"/>
            <color theme="1"/>
            <rFont val="Arial"/>
          </rPr>
          <t xml:space="preserve">Gabor Daniel:
Nothing here yet...perhaps at a different time?
</t>
        </r>
      </text>
    </comment>
    <comment ref="A518" authorId="460">
      <text>
        <r>
          <rPr>
            <sz val="11"/>
            <color theme="1"/>
            <rFont val="Arial"/>
          </rPr>
          <t xml:space="preserve">Gabor Daniel:
Nothing here yet...perhaps at a different time?
</t>
        </r>
      </text>
    </comment>
    <comment ref="A519" authorId="461">
      <text>
        <r>
          <rPr>
            <sz val="11"/>
            <color theme="1"/>
            <rFont val="Arial"/>
          </rPr>
          <t xml:space="preserve">Gabor Daniel:
Nothing here yet...perhaps at a different time?
</t>
        </r>
      </text>
    </comment>
    <comment ref="A520" authorId="462">
      <text>
        <r>
          <rPr>
            <sz val="11"/>
            <color theme="1"/>
            <rFont val="Arial"/>
          </rPr>
          <t xml:space="preserve">Gabor Daniel:
Nothing here yet...perhaps at a different time?
</t>
        </r>
      </text>
    </comment>
    <comment ref="A521" authorId="463">
      <text>
        <r>
          <rPr>
            <sz val="11"/>
            <color theme="1"/>
            <rFont val="Arial"/>
          </rPr>
          <t xml:space="preserve">Gabor Daniel:
Nothing here yet...perhaps at a different time?
</t>
        </r>
      </text>
    </comment>
    <comment ref="A522" authorId="464">
      <text>
        <r>
          <rPr>
            <sz val="11"/>
            <color theme="1"/>
            <rFont val="Arial"/>
          </rPr>
          <t xml:space="preserve">Gabor Daniel:
Nothing here yet...perhaps at a different time?
</t>
        </r>
      </text>
    </comment>
    <comment ref="A523" authorId="465">
      <text>
        <r>
          <rPr>
            <sz val="11"/>
            <color theme="1"/>
            <rFont val="Arial"/>
          </rPr>
          <t xml:space="preserve">Gabor Daniel:
Nothing here yet...perhaps at a different time?
</t>
        </r>
      </text>
    </comment>
    <comment ref="A524" authorId="466">
      <text>
        <r>
          <rPr>
            <sz val="11"/>
            <color theme="1"/>
            <rFont val="Arial"/>
          </rPr>
          <t xml:space="preserve">Gabor Daniel:
Nothing here yet...perhaps at a different time?
</t>
        </r>
      </text>
    </comment>
    <comment ref="A525" authorId="467">
      <text>
        <r>
          <rPr>
            <sz val="11"/>
            <color theme="1"/>
            <rFont val="Arial"/>
          </rPr>
          <t xml:space="preserve">Gabor Daniel:
Nothing here yet...perhaps at a different time?
</t>
        </r>
      </text>
    </comment>
    <comment ref="A526" authorId="468">
      <text>
        <r>
          <rPr>
            <sz val="11"/>
            <color theme="1"/>
            <rFont val="Arial"/>
          </rPr>
          <t xml:space="preserve">Gabor Daniel:
Nothing here yet...perhaps at a different time?
</t>
        </r>
      </text>
    </comment>
    <comment ref="A527" authorId="469">
      <text>
        <r>
          <rPr>
            <sz val="11"/>
            <color theme="1"/>
            <rFont val="Arial"/>
          </rPr>
          <t xml:space="preserve">Gabor Daniel:
Nothing here yet...perhaps at a different time?
</t>
        </r>
      </text>
    </comment>
    <comment ref="A528" authorId="470">
      <text>
        <r>
          <rPr>
            <sz val="11"/>
            <color theme="1"/>
            <rFont val="Arial"/>
          </rPr>
          <t xml:space="preserve">Gabor Daniel:
Nothing here yet...perhaps at a different time?
</t>
        </r>
      </text>
    </comment>
    <comment ref="A529" authorId="471">
      <text>
        <r>
          <rPr>
            <sz val="11"/>
            <color theme="1"/>
            <rFont val="Arial"/>
          </rPr>
          <t xml:space="preserve">Gabor Daniel:
Nothing here yet...perhaps at a different time?
</t>
        </r>
      </text>
    </comment>
    <comment ref="A530" authorId="472">
      <text>
        <r>
          <rPr>
            <sz val="11"/>
            <color theme="1"/>
            <rFont val="Arial"/>
          </rPr>
          <t xml:space="preserve">Gabor Daniel:
Nothing here yet...perhaps at a different time?
</t>
        </r>
      </text>
    </comment>
    <comment ref="A531" authorId="473">
      <text>
        <r>
          <rPr>
            <sz val="11"/>
            <color theme="1"/>
            <rFont val="Arial"/>
          </rPr>
          <t xml:space="preserve">Gabor Daniel:
Nothing here yet...perhaps at a different time?
</t>
        </r>
      </text>
    </comment>
    <comment ref="A532" authorId="474">
      <text>
        <r>
          <rPr>
            <sz val="11"/>
            <color theme="1"/>
            <rFont val="Arial"/>
          </rPr>
          <t xml:space="preserve">Gabor Daniel:
Nothing here yet...perhaps at a different time?
</t>
        </r>
      </text>
    </comment>
    <comment ref="A533" authorId="475">
      <text>
        <r>
          <rPr>
            <sz val="11"/>
            <color theme="1"/>
            <rFont val="Arial"/>
          </rPr>
          <t xml:space="preserve">Gabor Daniel:
Nothing here yet...perhaps at a different time?
</t>
        </r>
      </text>
    </comment>
    <comment ref="A538" authorId="476">
      <text>
        <r>
          <rPr>
            <sz val="11"/>
            <color theme="1"/>
            <rFont val="Arial"/>
          </rPr>
          <t xml:space="preserve">Gabor Daniel:
Nothing here yet...perhaps at a different time?
</t>
        </r>
      </text>
    </comment>
    <comment ref="A539" authorId="477">
      <text>
        <r>
          <rPr>
            <sz val="11"/>
            <color theme="1"/>
            <rFont val="Arial"/>
          </rPr>
          <t xml:space="preserve">Gabor Daniel:
Nothing here yet...perhaps at a different time?
</t>
        </r>
      </text>
    </comment>
    <comment ref="A540" authorId="478">
      <text>
        <r>
          <rPr>
            <sz val="11"/>
            <color theme="1"/>
            <rFont val="Arial"/>
          </rPr>
          <t xml:space="preserve">Gabor Daniel:
Nothing here yet...perhaps at a different time?
</t>
        </r>
      </text>
    </comment>
    <comment ref="A541" authorId="479">
      <text>
        <r>
          <rPr>
            <sz val="11"/>
            <color theme="1"/>
            <rFont val="Arial"/>
          </rPr>
          <t xml:space="preserve">Gabor Daniel:
Nothing here yet...perhaps at a different time?
</t>
        </r>
      </text>
    </comment>
    <comment ref="A542" authorId="480">
      <text>
        <r>
          <rPr>
            <sz val="11"/>
            <color theme="1"/>
            <rFont val="Arial"/>
          </rPr>
          <t xml:space="preserve">Gabor Daniel:
Nothing here yet...perhaps at a different time?
</t>
        </r>
      </text>
    </comment>
    <comment ref="A543" authorId="481">
      <text>
        <r>
          <rPr>
            <sz val="11"/>
            <color theme="1"/>
            <rFont val="Arial"/>
          </rPr>
          <t xml:space="preserve">Gabor Daniel:
Nothing here yet...perhaps at a different time?
</t>
        </r>
      </text>
    </comment>
    <comment ref="A544" authorId="482">
      <text>
        <r>
          <rPr>
            <sz val="11"/>
            <color theme="1"/>
            <rFont val="Arial"/>
          </rPr>
          <t xml:space="preserve">Gabor Daniel:
Nothing here yet...perhaps at a different time?
</t>
        </r>
      </text>
    </comment>
    <comment ref="A545" authorId="483">
      <text>
        <r>
          <rPr>
            <sz val="11"/>
            <color theme="1"/>
            <rFont val="Arial"/>
          </rPr>
          <t xml:space="preserve">Gabor Daniel:
Nothing here yet...perhaps at a different time?
</t>
        </r>
      </text>
    </comment>
    <comment ref="A546" authorId="484">
      <text>
        <r>
          <rPr>
            <sz val="11"/>
            <color theme="1"/>
            <rFont val="Arial"/>
          </rPr>
          <t xml:space="preserve">Gabor Daniel:
Nothing here yet...perhaps at a different time?
</t>
        </r>
      </text>
    </comment>
    <comment ref="A547" authorId="485">
      <text>
        <r>
          <rPr>
            <sz val="11"/>
            <color theme="1"/>
            <rFont val="Arial"/>
          </rPr>
          <t xml:space="preserve">Gabor Daniel:
Nothing here yet...perhaps at a different time?
</t>
        </r>
      </text>
    </comment>
    <comment ref="A548" authorId="486">
      <text>
        <r>
          <rPr>
            <sz val="11"/>
            <color theme="1"/>
            <rFont val="Arial"/>
          </rPr>
          <t xml:space="preserve">Gabor Daniel:
Nothing here yet...perhaps at a different time?
</t>
        </r>
      </text>
    </comment>
    <comment ref="A549" authorId="487">
      <text>
        <r>
          <rPr>
            <sz val="11"/>
            <color theme="1"/>
            <rFont val="Arial"/>
          </rPr>
          <t xml:space="preserve">Gabor Daniel:
Nothing here yet...perhaps at a different time?
</t>
        </r>
      </text>
    </comment>
    <comment ref="A550" authorId="488">
      <text>
        <r>
          <rPr>
            <sz val="11"/>
            <color theme="1"/>
            <rFont val="Arial"/>
          </rPr>
          <t xml:space="preserve">Gabor Daniel:
Nothing here yet...perhaps at a different time?
</t>
        </r>
      </text>
    </comment>
    <comment ref="A551" authorId="489">
      <text>
        <r>
          <rPr>
            <sz val="11"/>
            <color theme="1"/>
            <rFont val="Arial"/>
          </rPr>
          <t xml:space="preserve">Gabor Daniel:
Nothing here yet...perhaps at a different time?
</t>
        </r>
      </text>
    </comment>
    <comment ref="A552" authorId="490">
      <text>
        <r>
          <rPr>
            <sz val="11"/>
            <color theme="1"/>
            <rFont val="Arial"/>
          </rPr>
          <t xml:space="preserve">Gabor Daniel:
Nothing here yet...perhaps at a different time?
</t>
        </r>
      </text>
    </comment>
    <comment ref="A553" authorId="491">
      <text>
        <r>
          <rPr>
            <sz val="11"/>
            <color theme="1"/>
            <rFont val="Arial"/>
          </rPr>
          <t xml:space="preserve">Gabor Daniel:
Nothing here yet...perhaps at a different time?
</t>
        </r>
      </text>
    </comment>
    <comment ref="A554" authorId="492">
      <text>
        <r>
          <rPr>
            <sz val="11"/>
            <color theme="1"/>
            <rFont val="Arial"/>
          </rPr>
          <t xml:space="preserve">Gabor Daniel:
Nothing here yet...perhaps at a different time?
</t>
        </r>
      </text>
    </comment>
    <comment ref="A557" authorId="493">
      <text>
        <r>
          <rPr>
            <sz val="11"/>
            <color theme="1"/>
            <rFont val="Arial"/>
          </rPr>
          <t xml:space="preserve">Gabor Daniel:
Nothing here yet...perhaps at a different time?
</t>
        </r>
      </text>
    </comment>
    <comment ref="A558" authorId="494">
      <text>
        <r>
          <rPr>
            <sz val="11"/>
            <color theme="1"/>
            <rFont val="Arial"/>
          </rPr>
          <t xml:space="preserve">Gabor Daniel:
Nothing here yet...perhaps at a different time?
</t>
        </r>
      </text>
    </comment>
    <comment ref="A559" authorId="495">
      <text>
        <r>
          <rPr>
            <sz val="11"/>
            <color theme="1"/>
            <rFont val="Arial"/>
          </rPr>
          <t xml:space="preserve">Gabor Daniel:
Nothing here yet...perhaps at a different time?
</t>
        </r>
      </text>
    </comment>
    <comment ref="A560" authorId="496">
      <text>
        <r>
          <rPr>
            <sz val="11"/>
            <color theme="1"/>
            <rFont val="Arial"/>
          </rPr>
          <t xml:space="preserve">Gabor Daniel:
Nothing here yet...perhaps at a different time?
</t>
        </r>
      </text>
    </comment>
    <comment ref="A561" authorId="497">
      <text>
        <r>
          <rPr>
            <sz val="11"/>
            <color theme="1"/>
            <rFont val="Arial"/>
          </rPr>
          <t xml:space="preserve">Gabor Daniel:
Nothing here yet...perhaps at a different time?
</t>
        </r>
      </text>
    </comment>
    <comment ref="A562" authorId="498">
      <text>
        <r>
          <rPr>
            <sz val="11"/>
            <color theme="1"/>
            <rFont val="Arial"/>
          </rPr>
          <t xml:space="preserve">Gabor Daniel:
Nothing here yet...perhaps at a different time?
</t>
        </r>
      </text>
    </comment>
    <comment ref="A563" authorId="499">
      <text>
        <r>
          <rPr>
            <sz val="11"/>
            <color theme="1"/>
            <rFont val="Arial"/>
          </rPr>
          <t xml:space="preserve">Gabor Daniel:
Nothing here yet...perhaps at a different time?
</t>
        </r>
      </text>
    </comment>
    <comment ref="A564" authorId="500">
      <text>
        <r>
          <rPr>
            <sz val="11"/>
            <color theme="1"/>
            <rFont val="Arial"/>
          </rPr>
          <t xml:space="preserve">Gabor Daniel:
Nothing here yet...perhaps at a different time?
</t>
        </r>
      </text>
    </comment>
    <comment ref="A565" authorId="501">
      <text>
        <r>
          <rPr>
            <sz val="11"/>
            <color theme="1"/>
            <rFont val="Arial"/>
          </rPr>
          <t xml:space="preserve">Gabor Daniel:
Nothing here yet...perhaps at a different time?
</t>
        </r>
      </text>
    </comment>
    <comment ref="A566" authorId="502">
      <text>
        <r>
          <rPr>
            <sz val="11"/>
            <color theme="1"/>
            <rFont val="Arial"/>
          </rPr>
          <t xml:space="preserve">Gabor Daniel:
Nothing here yet...perhaps at a different time?
</t>
        </r>
      </text>
    </comment>
    <comment ref="A567" authorId="503">
      <text>
        <r>
          <rPr>
            <sz val="11"/>
            <color theme="1"/>
            <rFont val="Arial"/>
          </rPr>
          <t xml:space="preserve">Gabor Daniel:
Nothing here yet...perhaps at a different time?
</t>
        </r>
      </text>
    </comment>
    <comment ref="A568" authorId="504">
      <text>
        <r>
          <rPr>
            <sz val="11"/>
            <color theme="1"/>
            <rFont val="Arial"/>
          </rPr>
          <t xml:space="preserve">Gabor Daniel:
Nothing here yet...perhaps at a different time?
</t>
        </r>
      </text>
    </comment>
    <comment ref="A569" authorId="505">
      <text>
        <r>
          <rPr>
            <sz val="11"/>
            <color theme="1"/>
            <rFont val="Arial"/>
          </rPr>
          <t xml:space="preserve">Gabor Daniel:
Nothing here yet...perhaps at a different time?
</t>
        </r>
      </text>
    </comment>
    <comment ref="A570" authorId="506">
      <text>
        <r>
          <rPr>
            <sz val="11"/>
            <color theme="1"/>
            <rFont val="Arial"/>
          </rPr>
          <t xml:space="preserve">Gabor Daniel:
Nothing here yet...perhaps at a different time?
</t>
        </r>
      </text>
    </comment>
    <comment ref="A571" authorId="507">
      <text>
        <r>
          <rPr>
            <sz val="11"/>
            <color theme="1"/>
            <rFont val="Arial"/>
          </rPr>
          <t xml:space="preserve">Gabor Daniel:
Nothing here yet...perhaps at a different time?
</t>
        </r>
      </text>
    </comment>
    <comment ref="A572" authorId="508">
      <text>
        <r>
          <rPr>
            <sz val="11"/>
            <color theme="1"/>
            <rFont val="Arial"/>
          </rPr>
          <t xml:space="preserve">Gabor Daniel:
Nothing here yet...perhaps at a different time?
</t>
        </r>
      </text>
    </comment>
    <comment ref="A573" authorId="509">
      <text>
        <r>
          <rPr>
            <sz val="11"/>
            <color theme="1"/>
            <rFont val="Arial"/>
          </rPr>
          <t xml:space="preserve">Gabor Daniel:
Nothing here yet...perhaps at a different time?
</t>
        </r>
      </text>
    </comment>
    <comment ref="A576" authorId="510">
      <text>
        <r>
          <rPr>
            <sz val="11"/>
            <color theme="1"/>
            <rFont val="Arial"/>
          </rPr>
          <t xml:space="preserve">Gabor Daniel:
Nothing here yet...perhaps at a different time?
</t>
        </r>
      </text>
    </comment>
    <comment ref="A577" authorId="511">
      <text>
        <r>
          <rPr>
            <sz val="11"/>
            <color theme="1"/>
            <rFont val="Arial"/>
          </rPr>
          <t xml:space="preserve">Gabor Daniel:
Nothing here yet...perhaps at a different time?
</t>
        </r>
      </text>
    </comment>
    <comment ref="A578" authorId="512">
      <text>
        <r>
          <rPr>
            <sz val="11"/>
            <color theme="1"/>
            <rFont val="Arial"/>
          </rPr>
          <t xml:space="preserve">Gabor Daniel:
Nothing here yet...perhaps at a different time?
</t>
        </r>
      </text>
    </comment>
    <comment ref="A579" authorId="513">
      <text>
        <r>
          <rPr>
            <sz val="11"/>
            <color theme="1"/>
            <rFont val="Arial"/>
          </rPr>
          <t xml:space="preserve">Gabor Daniel:
Nothing here yet...perhaps at a different time?
</t>
        </r>
      </text>
    </comment>
    <comment ref="A580" authorId="514">
      <text>
        <r>
          <rPr>
            <sz val="11"/>
            <color theme="1"/>
            <rFont val="Arial"/>
          </rPr>
          <t xml:space="preserve">Gabor Daniel:
Nothing here yet...perhaps at a different time?
</t>
        </r>
      </text>
    </comment>
    <comment ref="A581" authorId="515">
      <text>
        <r>
          <rPr>
            <sz val="11"/>
            <color theme="1"/>
            <rFont val="Arial"/>
          </rPr>
          <t xml:space="preserve">Gabor Daniel:
Nothing here yet...perhaps at a different time?
</t>
        </r>
      </text>
    </comment>
    <comment ref="A582" authorId="516">
      <text>
        <r>
          <rPr>
            <sz val="11"/>
            <color theme="1"/>
            <rFont val="Arial"/>
          </rPr>
          <t xml:space="preserve">Gabor Daniel:
Nothing here yet...perhaps at a different time?
</t>
        </r>
      </text>
    </comment>
    <comment ref="A583" authorId="517">
      <text>
        <r>
          <rPr>
            <sz val="11"/>
            <color theme="1"/>
            <rFont val="Arial"/>
          </rPr>
          <t xml:space="preserve">Gabor Daniel:
Nothing here yet...perhaps at a different time?
</t>
        </r>
      </text>
    </comment>
    <comment ref="A584" authorId="518">
      <text>
        <r>
          <rPr>
            <sz val="11"/>
            <color theme="1"/>
            <rFont val="Arial"/>
          </rPr>
          <t xml:space="preserve">Gabor Daniel:
Nothing here yet...perhaps at a different time?
</t>
        </r>
      </text>
    </comment>
    <comment ref="A585" authorId="519">
      <text>
        <r>
          <rPr>
            <sz val="11"/>
            <color theme="1"/>
            <rFont val="Arial"/>
          </rPr>
          <t xml:space="preserve">Gabor Daniel:
Nothing here yet...perhaps at a different time?
</t>
        </r>
      </text>
    </comment>
    <comment ref="A586" authorId="520">
      <text>
        <r>
          <rPr>
            <sz val="11"/>
            <color theme="1"/>
            <rFont val="Arial"/>
          </rPr>
          <t xml:space="preserve">Gabor Daniel:
Nothing here yet...perhaps at a different time?
</t>
        </r>
      </text>
    </comment>
    <comment ref="A587" authorId="521">
      <text>
        <r>
          <rPr>
            <sz val="11"/>
            <color theme="1"/>
            <rFont val="Arial"/>
          </rPr>
          <t xml:space="preserve">Gabor Daniel:
Nothing here yet...perhaps at a different time?
</t>
        </r>
      </text>
    </comment>
    <comment ref="A588" authorId="522">
      <text>
        <r>
          <rPr>
            <sz val="11"/>
            <color theme="1"/>
            <rFont val="Arial"/>
          </rPr>
          <t xml:space="preserve">Gabor Daniel:
Nothing here yet...perhaps at a different time?
</t>
        </r>
      </text>
    </comment>
    <comment ref="A589" authorId="523">
      <text>
        <r>
          <rPr>
            <sz val="11"/>
            <color theme="1"/>
            <rFont val="Arial"/>
          </rPr>
          <t xml:space="preserve">Gabor Daniel:
Nothing here yet...perhaps at a different time?
</t>
        </r>
      </text>
    </comment>
    <comment ref="A590" authorId="524">
      <text>
        <r>
          <rPr>
            <sz val="11"/>
            <color theme="1"/>
            <rFont val="Arial"/>
          </rPr>
          <t xml:space="preserve">Gabor Daniel:
Nothing here yet...perhaps at a different time?
</t>
        </r>
      </text>
    </comment>
    <comment ref="A591" authorId="525">
      <text>
        <r>
          <rPr>
            <sz val="11"/>
            <color theme="1"/>
            <rFont val="Arial"/>
          </rPr>
          <t xml:space="preserve">Gabor Daniel:
Nothing here yet...perhaps at a different time?
</t>
        </r>
      </text>
    </comment>
    <comment ref="A592" authorId="526">
      <text>
        <r>
          <rPr>
            <sz val="11"/>
            <color theme="1"/>
            <rFont val="Arial"/>
          </rPr>
          <t xml:space="preserve">Gabor Daniel:
Nothing here yet...perhaps at a different time?
</t>
        </r>
      </text>
    </comment>
    <comment ref="A595" authorId="527">
      <text>
        <r>
          <rPr>
            <sz val="11"/>
            <color theme="1"/>
            <rFont val="Arial"/>
          </rPr>
          <t xml:space="preserve">Gabor Daniel:
Nothing here yet...perhaps at a different time?
</t>
        </r>
      </text>
    </comment>
    <comment ref="A596" authorId="528">
      <text>
        <r>
          <rPr>
            <sz val="11"/>
            <color theme="1"/>
            <rFont val="Arial"/>
          </rPr>
          <t xml:space="preserve">Gabor Daniel:
Nothing here yet...perhaps at a different time?
</t>
        </r>
      </text>
    </comment>
    <comment ref="A597" authorId="529">
      <text>
        <r>
          <rPr>
            <sz val="11"/>
            <color theme="1"/>
            <rFont val="Arial"/>
          </rPr>
          <t xml:space="preserve">Gabor Daniel:
Nothing here yet...perhaps at a different time?
</t>
        </r>
      </text>
    </comment>
    <comment ref="A598" authorId="530">
      <text>
        <r>
          <rPr>
            <sz val="11"/>
            <color theme="1"/>
            <rFont val="Arial"/>
          </rPr>
          <t xml:space="preserve">Gabor Daniel:
Nothing here yet...perhaps at a different time?
</t>
        </r>
      </text>
    </comment>
    <comment ref="A599" authorId="531">
      <text>
        <r>
          <rPr>
            <sz val="11"/>
            <color theme="1"/>
            <rFont val="Arial"/>
          </rPr>
          <t xml:space="preserve">Gabor Daniel:
Nothing here yet...perhaps at a different time?
</t>
        </r>
      </text>
    </comment>
    <comment ref="A600" authorId="532">
      <text>
        <r>
          <rPr>
            <sz val="11"/>
            <color theme="1"/>
            <rFont val="Arial"/>
          </rPr>
          <t xml:space="preserve">Gabor Daniel:
Nothing here yet...perhaps at a different time?
</t>
        </r>
      </text>
    </comment>
    <comment ref="A601" authorId="533">
      <text>
        <r>
          <rPr>
            <sz val="11"/>
            <color theme="1"/>
            <rFont val="Arial"/>
          </rPr>
          <t xml:space="preserve">Gabor Daniel:
Nothing here yet...perhaps at a different time?
</t>
        </r>
      </text>
    </comment>
    <comment ref="A602" authorId="534">
      <text>
        <r>
          <rPr>
            <sz val="11"/>
            <color theme="1"/>
            <rFont val="Arial"/>
          </rPr>
          <t xml:space="preserve">Gabor Daniel:
Nothing here yet...perhaps at a different time?
</t>
        </r>
      </text>
    </comment>
    <comment ref="A603" authorId="535">
      <text>
        <r>
          <rPr>
            <sz val="11"/>
            <color theme="1"/>
            <rFont val="Arial"/>
          </rPr>
          <t xml:space="preserve">Gabor Daniel:
Nothing here yet...perhaps at a different time?
</t>
        </r>
      </text>
    </comment>
    <comment ref="A604" authorId="536">
      <text>
        <r>
          <rPr>
            <sz val="11"/>
            <color theme="1"/>
            <rFont val="Arial"/>
          </rPr>
          <t xml:space="preserve">Gabor Daniel:
Nothing here yet...perhaps at a different time?
</t>
        </r>
      </text>
    </comment>
    <comment ref="A605" authorId="537">
      <text>
        <r>
          <rPr>
            <sz val="11"/>
            <color theme="1"/>
            <rFont val="Arial"/>
          </rPr>
          <t xml:space="preserve">Gabor Daniel:
Nothing here yet...perhaps at a different time?
</t>
        </r>
      </text>
    </comment>
    <comment ref="A606" authorId="538">
      <text>
        <r>
          <rPr>
            <sz val="11"/>
            <color theme="1"/>
            <rFont val="Arial"/>
          </rPr>
          <t xml:space="preserve">Gabor Daniel:
Nothing here yet...perhaps at a different time?
</t>
        </r>
      </text>
    </comment>
    <comment ref="A607" authorId="539">
      <text>
        <r>
          <rPr>
            <sz val="11"/>
            <color theme="1"/>
            <rFont val="Arial"/>
          </rPr>
          <t xml:space="preserve">Gabor Daniel:
Nothing here yet...perhaps at a different time?
</t>
        </r>
      </text>
    </comment>
    <comment ref="A608" authorId="540">
      <text>
        <r>
          <rPr>
            <sz val="11"/>
            <color theme="1"/>
            <rFont val="Arial"/>
          </rPr>
          <t xml:space="preserve">Gabor Daniel:
Nothing here yet...perhaps at a different time?
</t>
        </r>
      </text>
    </comment>
    <comment ref="A609" authorId="541">
      <text>
        <r>
          <rPr>
            <sz val="11"/>
            <color theme="1"/>
            <rFont val="Arial"/>
          </rPr>
          <t xml:space="preserve">Gabor Daniel:
Nothing here yet...perhaps at a different time?
</t>
        </r>
      </text>
    </comment>
    <comment ref="A610" authorId="542">
      <text>
        <r>
          <rPr>
            <sz val="11"/>
            <color theme="1"/>
            <rFont val="Arial"/>
          </rPr>
          <t xml:space="preserve">Gabor Daniel:
Nothing here yet...perhaps at a different time?
</t>
        </r>
      </text>
    </comment>
    <comment ref="A611" authorId="543">
      <text>
        <r>
          <rPr>
            <sz val="11"/>
            <color theme="1"/>
            <rFont val="Arial"/>
          </rPr>
          <t xml:space="preserve">Gabor Daniel:
Nothing here yet...perhaps at a different time?
</t>
        </r>
      </text>
    </comment>
    <comment ref="A614" authorId="544">
      <text>
        <r>
          <rPr>
            <sz val="11"/>
            <color theme="1"/>
            <rFont val="Arial"/>
          </rPr>
          <t xml:space="preserve">Gabor Daniel:
Nothing here yet...perhaps at a different time?
</t>
        </r>
      </text>
    </comment>
    <comment ref="A615" authorId="545">
      <text>
        <r>
          <rPr>
            <sz val="11"/>
            <color theme="1"/>
            <rFont val="Arial"/>
          </rPr>
          <t xml:space="preserve">Gabor Daniel:
Nothing here yet...perhaps at a different time?
</t>
        </r>
      </text>
    </comment>
    <comment ref="A616" authorId="546">
      <text>
        <r>
          <rPr>
            <sz val="11"/>
            <color theme="1"/>
            <rFont val="Arial"/>
          </rPr>
          <t xml:space="preserve">Gabor Daniel:
Nothing here yet...perhaps at a different time?
</t>
        </r>
      </text>
    </comment>
    <comment ref="A617" authorId="547">
      <text>
        <r>
          <rPr>
            <sz val="11"/>
            <color theme="1"/>
            <rFont val="Arial"/>
          </rPr>
          <t xml:space="preserve">Gabor Daniel:
Nothing here yet...perhaps at a different time?
</t>
        </r>
      </text>
    </comment>
    <comment ref="A618" authorId="548">
      <text>
        <r>
          <rPr>
            <sz val="11"/>
            <color theme="1"/>
            <rFont val="Arial"/>
          </rPr>
          <t xml:space="preserve">Gabor Daniel:
Nothing here yet...perhaps at a different time?
</t>
        </r>
      </text>
    </comment>
    <comment ref="A619" authorId="549">
      <text>
        <r>
          <rPr>
            <sz val="11"/>
            <color theme="1"/>
            <rFont val="Arial"/>
          </rPr>
          <t xml:space="preserve">Gabor Daniel:
Nothing here yet...perhaps at a different time?
</t>
        </r>
      </text>
    </comment>
    <comment ref="A620" authorId="550">
      <text>
        <r>
          <rPr>
            <sz val="11"/>
            <color theme="1"/>
            <rFont val="Arial"/>
          </rPr>
          <t xml:space="preserve">Gabor Daniel:
Nothing here yet...perhaps at a different time?
</t>
        </r>
      </text>
    </comment>
    <comment ref="A621" authorId="551">
      <text>
        <r>
          <rPr>
            <sz val="11"/>
            <color theme="1"/>
            <rFont val="Arial"/>
          </rPr>
          <t xml:space="preserve">Gabor Daniel:
Nothing here yet...perhaps at a different time?
</t>
        </r>
      </text>
    </comment>
    <comment ref="A622" authorId="552">
      <text>
        <r>
          <rPr>
            <sz val="11"/>
            <color theme="1"/>
            <rFont val="Arial"/>
          </rPr>
          <t xml:space="preserve">Gabor Daniel:
Nothing here yet...perhaps at a different time?
</t>
        </r>
      </text>
    </comment>
    <comment ref="A623" authorId="553">
      <text>
        <r>
          <rPr>
            <sz val="11"/>
            <color theme="1"/>
            <rFont val="Arial"/>
          </rPr>
          <t xml:space="preserve">Gabor Daniel:
Nothing here yet...perhaps at a different time?
</t>
        </r>
      </text>
    </comment>
    <comment ref="A624" authorId="554">
      <text>
        <r>
          <rPr>
            <sz val="11"/>
            <color theme="1"/>
            <rFont val="Arial"/>
          </rPr>
          <t xml:space="preserve">Gabor Daniel:
Nothing here yet...perhaps at a different time?
</t>
        </r>
      </text>
    </comment>
    <comment ref="A625" authorId="555">
      <text>
        <r>
          <rPr>
            <sz val="11"/>
            <color theme="1"/>
            <rFont val="Arial"/>
          </rPr>
          <t xml:space="preserve">Gabor Daniel:
Nothing here yet...perhaps at a different time?
</t>
        </r>
      </text>
    </comment>
    <comment ref="A626" authorId="556">
      <text>
        <r>
          <rPr>
            <sz val="11"/>
            <color theme="1"/>
            <rFont val="Arial"/>
          </rPr>
          <t xml:space="preserve">Gabor Daniel:
Nothing here yet...perhaps at a different time?
</t>
        </r>
      </text>
    </comment>
    <comment ref="A627" authorId="557">
      <text>
        <r>
          <rPr>
            <sz val="11"/>
            <color theme="1"/>
            <rFont val="Arial"/>
          </rPr>
          <t xml:space="preserve">Gabor Daniel:
Nothing here yet...perhaps at a different time?
</t>
        </r>
      </text>
    </comment>
    <comment ref="A628" authorId="558">
      <text>
        <r>
          <rPr>
            <sz val="11"/>
            <color theme="1"/>
            <rFont val="Arial"/>
          </rPr>
          <t xml:space="preserve">Gabor Daniel:
Nothing here yet...perhaps at a different time?
</t>
        </r>
      </text>
    </comment>
    <comment ref="A629" authorId="559">
      <text>
        <r>
          <rPr>
            <sz val="11"/>
            <color theme="1"/>
            <rFont val="Arial"/>
          </rPr>
          <t xml:space="preserve">Gabor Daniel:
Nothing here yet...perhaps at a different time?
</t>
        </r>
      </text>
    </comment>
    <comment ref="A630" authorId="560">
      <text>
        <r>
          <rPr>
            <sz val="11"/>
            <color theme="1"/>
            <rFont val="Arial"/>
          </rPr>
          <t xml:space="preserve">Gabor Daniel:
Nothing here yet...perhaps at a different time?
</t>
        </r>
      </text>
    </comment>
    <comment ref="A633" authorId="561">
      <text>
        <r>
          <rPr>
            <sz val="11"/>
            <color theme="1"/>
            <rFont val="Arial"/>
          </rPr>
          <t xml:space="preserve">Gabor Daniel:
Nothing here yet...perhaps at a different time?
</t>
        </r>
      </text>
    </comment>
    <comment ref="A634" authorId="562">
      <text>
        <r>
          <rPr>
            <sz val="11"/>
            <color theme="1"/>
            <rFont val="Arial"/>
          </rPr>
          <t xml:space="preserve">Gabor Daniel:
Nothing here yet...perhaps at a different time?
</t>
        </r>
      </text>
    </comment>
    <comment ref="A635" authorId="563">
      <text>
        <r>
          <rPr>
            <sz val="11"/>
            <color theme="1"/>
            <rFont val="Arial"/>
          </rPr>
          <t xml:space="preserve">Gabor Daniel:
Nothing here yet...perhaps at a different time?
</t>
        </r>
      </text>
    </comment>
    <comment ref="A636" authorId="564">
      <text>
        <r>
          <rPr>
            <sz val="11"/>
            <color theme="1"/>
            <rFont val="Arial"/>
          </rPr>
          <t xml:space="preserve">Gabor Daniel:
Nothing here yet...perhaps at a different time?
</t>
        </r>
      </text>
    </comment>
    <comment ref="A637" authorId="565">
      <text>
        <r>
          <rPr>
            <sz val="11"/>
            <color theme="1"/>
            <rFont val="Arial"/>
          </rPr>
          <t xml:space="preserve">Gabor Daniel:
Nothing here yet...perhaps at a different time?
</t>
        </r>
      </text>
    </comment>
    <comment ref="A638" authorId="566">
      <text>
        <r>
          <rPr>
            <sz val="11"/>
            <color theme="1"/>
            <rFont val="Arial"/>
          </rPr>
          <t xml:space="preserve">Gabor Daniel:
Nothing here yet...perhaps at a different time?
</t>
        </r>
      </text>
    </comment>
    <comment ref="A639" authorId="567">
      <text>
        <r>
          <rPr>
            <sz val="11"/>
            <color theme="1"/>
            <rFont val="Arial"/>
          </rPr>
          <t xml:space="preserve">Gabor Daniel:
Nothing here yet...perhaps at a different time?
</t>
        </r>
      </text>
    </comment>
    <comment ref="A640" authorId="568">
      <text>
        <r>
          <rPr>
            <sz val="11"/>
            <color theme="1"/>
            <rFont val="Arial"/>
          </rPr>
          <t xml:space="preserve">Gabor Daniel:
Nothing here yet...perhaps at a different time?
</t>
        </r>
      </text>
    </comment>
    <comment ref="A641" authorId="569">
      <text>
        <r>
          <rPr>
            <sz val="11"/>
            <color theme="1"/>
            <rFont val="Arial"/>
          </rPr>
          <t xml:space="preserve">Gabor Daniel:
Nothing here yet...perhaps at a different time?
</t>
        </r>
      </text>
    </comment>
    <comment ref="A642" authorId="570">
      <text>
        <r>
          <rPr>
            <sz val="11"/>
            <color theme="1"/>
            <rFont val="Arial"/>
          </rPr>
          <t xml:space="preserve">Gabor Daniel:
Nothing here yet...perhaps at a different time?
</t>
        </r>
      </text>
    </comment>
    <comment ref="A643" authorId="571">
      <text>
        <r>
          <rPr>
            <sz val="11"/>
            <color theme="1"/>
            <rFont val="Arial"/>
          </rPr>
          <t xml:space="preserve">Gabor Daniel:
Nothing here yet...perhaps at a different time?
</t>
        </r>
      </text>
    </comment>
    <comment ref="A644" authorId="572">
      <text>
        <r>
          <rPr>
            <sz val="11"/>
            <color theme="1"/>
            <rFont val="Arial"/>
          </rPr>
          <t xml:space="preserve">Gabor Daniel:
Nothing here yet...perhaps at a different time?
</t>
        </r>
      </text>
    </comment>
    <comment ref="A645" authorId="573">
      <text>
        <r>
          <rPr>
            <sz val="11"/>
            <color theme="1"/>
            <rFont val="Arial"/>
          </rPr>
          <t xml:space="preserve">Gabor Daniel:
Nothing here yet...perhaps at a different time?
</t>
        </r>
      </text>
    </comment>
    <comment ref="A646" authorId="574">
      <text>
        <r>
          <rPr>
            <sz val="11"/>
            <color theme="1"/>
            <rFont val="Arial"/>
          </rPr>
          <t xml:space="preserve">Gabor Daniel:
Nothing here yet...perhaps at a different time?
</t>
        </r>
      </text>
    </comment>
    <comment ref="A647" authorId="575">
      <text>
        <r>
          <rPr>
            <sz val="11"/>
            <color theme="1"/>
            <rFont val="Arial"/>
          </rPr>
          <t xml:space="preserve">Gabor Daniel:
Nothing here yet...perhaps at a different time?
</t>
        </r>
      </text>
    </comment>
    <comment ref="A648" authorId="576">
      <text>
        <r>
          <rPr>
            <sz val="11"/>
            <color theme="1"/>
            <rFont val="Arial"/>
          </rPr>
          <t xml:space="preserve">Gabor Daniel:
Nothing here yet...perhaps at a different time?
</t>
        </r>
      </text>
    </comment>
    <comment ref="A649" authorId="577">
      <text>
        <r>
          <rPr>
            <sz val="11"/>
            <color theme="1"/>
            <rFont val="Arial"/>
          </rPr>
          <t xml:space="preserve">Gabor Daniel:
Nothing here yet...perhaps at a different time?
</t>
        </r>
      </text>
    </comment>
    <comment ref="A652" authorId="578">
      <text>
        <r>
          <rPr>
            <sz val="11"/>
            <color theme="1"/>
            <rFont val="Arial"/>
          </rPr>
          <t xml:space="preserve">Gabor Daniel:
Nothing here yet...perhaps at a different time?
</t>
        </r>
      </text>
    </comment>
    <comment ref="A653" authorId="579">
      <text>
        <r>
          <rPr>
            <sz val="11"/>
            <color theme="1"/>
            <rFont val="Arial"/>
          </rPr>
          <t xml:space="preserve">Gabor Daniel:
Nothing here yet...perhaps at a different time?
</t>
        </r>
      </text>
    </comment>
    <comment ref="A654" authorId="580">
      <text>
        <r>
          <rPr>
            <sz val="11"/>
            <color theme="1"/>
            <rFont val="Arial"/>
          </rPr>
          <t xml:space="preserve">Gabor Daniel:
Nothing here yet...perhaps at a different time?
</t>
        </r>
      </text>
    </comment>
    <comment ref="A655" authorId="581">
      <text>
        <r>
          <rPr>
            <sz val="11"/>
            <color theme="1"/>
            <rFont val="Arial"/>
          </rPr>
          <t xml:space="preserve">Gabor Daniel:
Nothing here yet...perhaps at a different time?
</t>
        </r>
      </text>
    </comment>
    <comment ref="A656" authorId="582">
      <text>
        <r>
          <rPr>
            <sz val="11"/>
            <color theme="1"/>
            <rFont val="Arial"/>
          </rPr>
          <t xml:space="preserve">Gabor Daniel:
Nothing here yet...perhaps at a different time?
</t>
        </r>
      </text>
    </comment>
    <comment ref="A657" authorId="583">
      <text>
        <r>
          <rPr>
            <sz val="11"/>
            <color theme="1"/>
            <rFont val="Arial"/>
          </rPr>
          <t xml:space="preserve">Gabor Daniel:
Nothing here yet...perhaps at a different time?
</t>
        </r>
      </text>
    </comment>
    <comment ref="A658" authorId="584">
      <text>
        <r>
          <rPr>
            <sz val="11"/>
            <color theme="1"/>
            <rFont val="Arial"/>
          </rPr>
          <t xml:space="preserve">Gabor Daniel:
Nothing here yet...perhaps at a different time?
</t>
        </r>
      </text>
    </comment>
    <comment ref="A659" authorId="585">
      <text>
        <r>
          <rPr>
            <sz val="11"/>
            <color theme="1"/>
            <rFont val="Arial"/>
          </rPr>
          <t xml:space="preserve">Gabor Daniel:
Nothing here yet...perhaps at a different time?
</t>
        </r>
      </text>
    </comment>
    <comment ref="A660" authorId="586">
      <text>
        <r>
          <rPr>
            <sz val="11"/>
            <color theme="1"/>
            <rFont val="Arial"/>
          </rPr>
          <t xml:space="preserve">Gabor Daniel:
Nothing here yet...perhaps at a different time?
</t>
        </r>
      </text>
    </comment>
    <comment ref="A661" authorId="587">
      <text>
        <r>
          <rPr>
            <sz val="11"/>
            <color theme="1"/>
            <rFont val="Arial"/>
          </rPr>
          <t xml:space="preserve">Gabor Daniel:
Nothing here yet...perhaps at a different time?
</t>
        </r>
      </text>
    </comment>
    <comment ref="A662" authorId="588">
      <text>
        <r>
          <rPr>
            <sz val="11"/>
            <color theme="1"/>
            <rFont val="Arial"/>
          </rPr>
          <t xml:space="preserve">Gabor Daniel:
Nothing here yet...perhaps at a different time?
</t>
        </r>
      </text>
    </comment>
    <comment ref="A663" authorId="589">
      <text>
        <r>
          <rPr>
            <sz val="11"/>
            <color theme="1"/>
            <rFont val="Arial"/>
          </rPr>
          <t xml:space="preserve">Gabor Daniel:
Nothing here yet...perhaps at a different time?
</t>
        </r>
      </text>
    </comment>
    <comment ref="A664" authorId="590">
      <text>
        <r>
          <rPr>
            <sz val="11"/>
            <color theme="1"/>
            <rFont val="Arial"/>
          </rPr>
          <t xml:space="preserve">Gabor Daniel:
Nothing here yet...perhaps at a different time?
</t>
        </r>
      </text>
    </comment>
    <comment ref="A665" authorId="591">
      <text>
        <r>
          <rPr>
            <sz val="11"/>
            <color theme="1"/>
            <rFont val="Arial"/>
          </rPr>
          <t xml:space="preserve">Gabor Daniel:
Nothing here yet...perhaps at a different time?
</t>
        </r>
      </text>
    </comment>
    <comment ref="A666" authorId="592">
      <text>
        <r>
          <rPr>
            <sz val="11"/>
            <color theme="1"/>
            <rFont val="Arial"/>
          </rPr>
          <t xml:space="preserve">Gabor Daniel:
Nothing here yet...perhaps at a different time?
</t>
        </r>
      </text>
    </comment>
    <comment ref="A667" authorId="593">
      <text>
        <r>
          <rPr>
            <sz val="11"/>
            <color theme="1"/>
            <rFont val="Arial"/>
          </rPr>
          <t xml:space="preserve">Gabor Daniel:
Nothing here yet...perhaps at a different time?
</t>
        </r>
      </text>
    </comment>
    <comment ref="A668" authorId="594">
      <text>
        <r>
          <rPr>
            <sz val="11"/>
            <color theme="1"/>
            <rFont val="Arial"/>
          </rPr>
          <t xml:space="preserve">Gabor Daniel:
Nothing here yet...perhaps at a different time?
</t>
        </r>
      </text>
    </comment>
    <comment ref="A671" authorId="595">
      <text>
        <r>
          <rPr>
            <sz val="11"/>
            <color theme="1"/>
            <rFont val="Arial"/>
          </rPr>
          <t xml:space="preserve">Gabor Daniel:
Nothing here yet...perhaps at a different time?
</t>
        </r>
      </text>
    </comment>
    <comment ref="A672" authorId="596">
      <text>
        <r>
          <rPr>
            <sz val="11"/>
            <color theme="1"/>
            <rFont val="Arial"/>
          </rPr>
          <t xml:space="preserve">Gabor Daniel:
Nothing here yet...perhaps at a different time?
</t>
        </r>
      </text>
    </comment>
    <comment ref="A673" authorId="597">
      <text>
        <r>
          <rPr>
            <sz val="11"/>
            <color theme="1"/>
            <rFont val="Arial"/>
          </rPr>
          <t xml:space="preserve">Gabor Daniel:
Nothing here yet...perhaps at a different time?
</t>
        </r>
      </text>
    </comment>
    <comment ref="A674" authorId="598">
      <text>
        <r>
          <rPr>
            <sz val="11"/>
            <color theme="1"/>
            <rFont val="Arial"/>
          </rPr>
          <t xml:space="preserve">Gabor Daniel:
Nothing here yet...perhaps at a different time?
</t>
        </r>
      </text>
    </comment>
    <comment ref="A675" authorId="599">
      <text>
        <r>
          <rPr>
            <sz val="11"/>
            <color theme="1"/>
            <rFont val="Arial"/>
          </rPr>
          <t xml:space="preserve">Gabor Daniel:
Nothing here yet...perhaps at a different time?
</t>
        </r>
      </text>
    </comment>
    <comment ref="A676" authorId="600">
      <text>
        <r>
          <rPr>
            <sz val="11"/>
            <color theme="1"/>
            <rFont val="Arial"/>
          </rPr>
          <t xml:space="preserve">Gabor Daniel:
Nothing here yet...perhaps at a different time?
</t>
        </r>
      </text>
    </comment>
    <comment ref="A677" authorId="601">
      <text>
        <r>
          <rPr>
            <sz val="11"/>
            <color theme="1"/>
            <rFont val="Arial"/>
          </rPr>
          <t xml:space="preserve">Gabor Daniel:
Nothing here yet...perhaps at a different time?
</t>
        </r>
      </text>
    </comment>
    <comment ref="A678" authorId="602">
      <text>
        <r>
          <rPr>
            <sz val="11"/>
            <color theme="1"/>
            <rFont val="Arial"/>
          </rPr>
          <t xml:space="preserve">Gabor Daniel:
Nothing here yet...perhaps at a different time?
</t>
        </r>
      </text>
    </comment>
    <comment ref="A679" authorId="603">
      <text>
        <r>
          <rPr>
            <sz val="11"/>
            <color theme="1"/>
            <rFont val="Arial"/>
          </rPr>
          <t xml:space="preserve">Gabor Daniel:
Nothing here yet...perhaps at a different time?
</t>
        </r>
      </text>
    </comment>
    <comment ref="A680" authorId="604">
      <text>
        <r>
          <rPr>
            <sz val="11"/>
            <color theme="1"/>
            <rFont val="Arial"/>
          </rPr>
          <t xml:space="preserve">Gabor Daniel:
Nothing here yet...perhaps at a different time?
</t>
        </r>
      </text>
    </comment>
    <comment ref="A681" authorId="605">
      <text>
        <r>
          <rPr>
            <sz val="11"/>
            <color theme="1"/>
            <rFont val="Arial"/>
          </rPr>
          <t xml:space="preserve">Gabor Daniel:
Nothing here yet...perhaps at a different time?
</t>
        </r>
      </text>
    </comment>
    <comment ref="A682" authorId="606">
      <text>
        <r>
          <rPr>
            <sz val="11"/>
            <color theme="1"/>
            <rFont val="Arial"/>
          </rPr>
          <t xml:space="preserve">Gabor Daniel:
Nothing here yet...perhaps at a different time?
</t>
        </r>
      </text>
    </comment>
    <comment ref="A683" authorId="607">
      <text>
        <r>
          <rPr>
            <sz val="11"/>
            <color theme="1"/>
            <rFont val="Arial"/>
          </rPr>
          <t xml:space="preserve">Gabor Daniel:
Nothing here yet...perhaps at a different time?
</t>
        </r>
      </text>
    </comment>
    <comment ref="A684" authorId="608">
      <text>
        <r>
          <rPr>
            <sz val="11"/>
            <color theme="1"/>
            <rFont val="Arial"/>
          </rPr>
          <t xml:space="preserve">Gabor Daniel:
Nothing here yet...perhaps at a different time?
</t>
        </r>
      </text>
    </comment>
    <comment ref="A685" authorId="609">
      <text>
        <r>
          <rPr>
            <sz val="11"/>
            <color theme="1"/>
            <rFont val="Arial"/>
          </rPr>
          <t xml:space="preserve">Gabor Daniel:
Nothing here yet...perhaps at a different time?
</t>
        </r>
      </text>
    </comment>
    <comment ref="A686" authorId="610">
      <text>
        <r>
          <rPr>
            <sz val="11"/>
            <color theme="1"/>
            <rFont val="Arial"/>
          </rPr>
          <t xml:space="preserve">Gabor Daniel:
Nothing here yet...perhaps at a different time?
</t>
        </r>
      </text>
    </comment>
    <comment ref="A687" authorId="611">
      <text>
        <r>
          <rPr>
            <sz val="11"/>
            <color theme="1"/>
            <rFont val="Arial"/>
          </rPr>
          <t xml:space="preserve">Gabor Daniel:
Nothing here yet...perhaps at a different time?
</t>
        </r>
      </text>
    </comment>
    <comment ref="A690" authorId="612">
      <text>
        <r>
          <rPr>
            <sz val="11"/>
            <color theme="1"/>
            <rFont val="Arial"/>
          </rPr>
          <t xml:space="preserve">Gabor Daniel:
Nothing here yet...perhaps at a different time?
</t>
        </r>
      </text>
    </comment>
    <comment ref="A691" authorId="613">
      <text>
        <r>
          <rPr>
            <sz val="11"/>
            <color theme="1"/>
            <rFont val="Arial"/>
          </rPr>
          <t xml:space="preserve">Gabor Daniel:
Nothing here yet...perhaps at a different time?
</t>
        </r>
      </text>
    </comment>
    <comment ref="A692" authorId="614">
      <text>
        <r>
          <rPr>
            <sz val="11"/>
            <color theme="1"/>
            <rFont val="Arial"/>
          </rPr>
          <t xml:space="preserve">Gabor Daniel:
Nothing here yet...perhaps at a different time?
</t>
        </r>
      </text>
    </comment>
    <comment ref="A693" authorId="615">
      <text>
        <r>
          <rPr>
            <sz val="11"/>
            <color theme="1"/>
            <rFont val="Arial"/>
          </rPr>
          <t xml:space="preserve">Gabor Daniel:
Nothing here yet...perhaps at a different time?
</t>
        </r>
      </text>
    </comment>
    <comment ref="A694" authorId="616">
      <text>
        <r>
          <rPr>
            <sz val="11"/>
            <color theme="1"/>
            <rFont val="Arial"/>
          </rPr>
          <t xml:space="preserve">Gabor Daniel:
Nothing here yet...perhaps at a different time?
</t>
        </r>
      </text>
    </comment>
    <comment ref="A695" authorId="617">
      <text>
        <r>
          <rPr>
            <sz val="11"/>
            <color theme="1"/>
            <rFont val="Arial"/>
          </rPr>
          <t xml:space="preserve">Gabor Daniel:
Nothing here yet...perhaps at a different time?
</t>
        </r>
      </text>
    </comment>
    <comment ref="A696" authorId="618">
      <text>
        <r>
          <rPr>
            <sz val="11"/>
            <color theme="1"/>
            <rFont val="Arial"/>
          </rPr>
          <t xml:space="preserve">Gabor Daniel:
Nothing here yet...perhaps at a different time?
</t>
        </r>
      </text>
    </comment>
    <comment ref="A697" authorId="619">
      <text>
        <r>
          <rPr>
            <sz val="11"/>
            <color theme="1"/>
            <rFont val="Arial"/>
          </rPr>
          <t xml:space="preserve">Gabor Daniel:
Nothing here yet...perhaps at a different time?
</t>
        </r>
      </text>
    </comment>
    <comment ref="A698" authorId="620">
      <text>
        <r>
          <rPr>
            <sz val="11"/>
            <color theme="1"/>
            <rFont val="Arial"/>
          </rPr>
          <t xml:space="preserve">Gabor Daniel:
Nothing here yet...perhaps at a different time?
</t>
        </r>
      </text>
    </comment>
    <comment ref="A699" authorId="621">
      <text>
        <r>
          <rPr>
            <sz val="11"/>
            <color theme="1"/>
            <rFont val="Arial"/>
          </rPr>
          <t xml:space="preserve">Gabor Daniel:
Nothing here yet...perhaps at a different time?
</t>
        </r>
      </text>
    </comment>
    <comment ref="A700" authorId="622">
      <text>
        <r>
          <rPr>
            <sz val="11"/>
            <color theme="1"/>
            <rFont val="Arial"/>
          </rPr>
          <t xml:space="preserve">Gabor Daniel:
Nothing here yet...perhaps at a different time?
</t>
        </r>
      </text>
    </comment>
    <comment ref="A701" authorId="623">
      <text>
        <r>
          <rPr>
            <sz val="11"/>
            <color theme="1"/>
            <rFont val="Arial"/>
          </rPr>
          <t xml:space="preserve">Gabor Daniel:
Nothing here yet...perhaps at a different time?
</t>
        </r>
      </text>
    </comment>
    <comment ref="A702" authorId="624">
      <text>
        <r>
          <rPr>
            <sz val="11"/>
            <color theme="1"/>
            <rFont val="Arial"/>
          </rPr>
          <t xml:space="preserve">Gabor Daniel:
Nothing here yet...perhaps at a different time?
</t>
        </r>
      </text>
    </comment>
    <comment ref="A703" authorId="625">
      <text>
        <r>
          <rPr>
            <sz val="11"/>
            <color theme="1"/>
            <rFont val="Arial"/>
          </rPr>
          <t xml:space="preserve">Gabor Daniel:
Nothing here yet...perhaps at a different time?
</t>
        </r>
      </text>
    </comment>
    <comment ref="A704" authorId="626">
      <text>
        <r>
          <rPr>
            <sz val="11"/>
            <color theme="1"/>
            <rFont val="Arial"/>
          </rPr>
          <t xml:space="preserve">Gabor Daniel:
Nothing here yet...perhaps at a different time?
</t>
        </r>
      </text>
    </comment>
    <comment ref="A705" authorId="627">
      <text>
        <r>
          <rPr>
            <sz val="11"/>
            <color theme="1"/>
            <rFont val="Arial"/>
          </rPr>
          <t xml:space="preserve">Gabor Daniel:
Nothing here yet...perhaps at a different time?
</t>
        </r>
      </text>
    </comment>
    <comment ref="A706" authorId="628">
      <text>
        <r>
          <rPr>
            <sz val="11"/>
            <color theme="1"/>
            <rFont val="Arial"/>
          </rPr>
          <t xml:space="preserve">Gabor Daniel:
Nothing here yet...perhaps at a different time?
</t>
        </r>
      </text>
    </comment>
    <comment ref="A709" authorId="629">
      <text>
        <r>
          <rPr>
            <sz val="11"/>
            <color theme="1"/>
            <rFont val="Arial"/>
          </rPr>
          <t xml:space="preserve">Gabor Daniel:
Nothing here yet...perhaps at a different time?
</t>
        </r>
      </text>
    </comment>
    <comment ref="A710" authorId="630">
      <text>
        <r>
          <rPr>
            <sz val="11"/>
            <color theme="1"/>
            <rFont val="Arial"/>
          </rPr>
          <t xml:space="preserve">Gabor Daniel:
Nothing here yet...perhaps at a different time?
</t>
        </r>
      </text>
    </comment>
    <comment ref="A711" authorId="631">
      <text>
        <r>
          <rPr>
            <sz val="11"/>
            <color theme="1"/>
            <rFont val="Arial"/>
          </rPr>
          <t xml:space="preserve">Gabor Daniel:
Nothing here yet...perhaps at a different time?
</t>
        </r>
      </text>
    </comment>
    <comment ref="A712" authorId="632">
      <text>
        <r>
          <rPr>
            <sz val="11"/>
            <color theme="1"/>
            <rFont val="Arial"/>
          </rPr>
          <t xml:space="preserve">Gabor Daniel:
Nothing here yet...perhaps at a different time?
</t>
        </r>
      </text>
    </comment>
    <comment ref="A713" authorId="633">
      <text>
        <r>
          <rPr>
            <sz val="11"/>
            <color theme="1"/>
            <rFont val="Arial"/>
          </rPr>
          <t xml:space="preserve">Gabor Daniel:
Nothing here yet...perhaps at a different time?
</t>
        </r>
      </text>
    </comment>
    <comment ref="A714" authorId="634">
      <text>
        <r>
          <rPr>
            <sz val="11"/>
            <color theme="1"/>
            <rFont val="Arial"/>
          </rPr>
          <t xml:space="preserve">Gabor Daniel:
Nothing here yet...perhaps at a different time?
</t>
        </r>
      </text>
    </comment>
    <comment ref="A715" authorId="635">
      <text>
        <r>
          <rPr>
            <sz val="11"/>
            <color theme="1"/>
            <rFont val="Arial"/>
          </rPr>
          <t xml:space="preserve">Gabor Daniel:
Nothing here yet...perhaps at a different time?
</t>
        </r>
      </text>
    </comment>
    <comment ref="A716" authorId="636">
      <text>
        <r>
          <rPr>
            <sz val="11"/>
            <color theme="1"/>
            <rFont val="Arial"/>
          </rPr>
          <t xml:space="preserve">Gabor Daniel:
Nothing here yet...perhaps at a different time?
</t>
        </r>
      </text>
    </comment>
    <comment ref="A717" authorId="637">
      <text>
        <r>
          <rPr>
            <sz val="11"/>
            <color theme="1"/>
            <rFont val="Arial"/>
          </rPr>
          <t xml:space="preserve">Gabor Daniel:
Nothing here yet...perhaps at a different time?
</t>
        </r>
      </text>
    </comment>
    <comment ref="A718" authorId="638">
      <text>
        <r>
          <rPr>
            <sz val="11"/>
            <color theme="1"/>
            <rFont val="Arial"/>
          </rPr>
          <t xml:space="preserve">Gabor Daniel:
Nothing here yet...perhaps at a different time?
</t>
        </r>
      </text>
    </comment>
    <comment ref="A719" authorId="639">
      <text>
        <r>
          <rPr>
            <sz val="11"/>
            <color theme="1"/>
            <rFont val="Arial"/>
          </rPr>
          <t xml:space="preserve">Gabor Daniel:
Nothing here yet...perhaps at a different time?
</t>
        </r>
      </text>
    </comment>
    <comment ref="A720" authorId="640">
      <text>
        <r>
          <rPr>
            <sz val="11"/>
            <color theme="1"/>
            <rFont val="Arial"/>
          </rPr>
          <t xml:space="preserve">Gabor Daniel:
Nothing here yet...perhaps at a different time?
</t>
        </r>
      </text>
    </comment>
    <comment ref="A721" authorId="641">
      <text>
        <r>
          <rPr>
            <sz val="11"/>
            <color theme="1"/>
            <rFont val="Arial"/>
          </rPr>
          <t xml:space="preserve">Gabor Daniel:
Nothing here yet...perhaps at a different time?
</t>
        </r>
      </text>
    </comment>
    <comment ref="A722" authorId="642">
      <text>
        <r>
          <rPr>
            <sz val="11"/>
            <color theme="1"/>
            <rFont val="Arial"/>
          </rPr>
          <t xml:space="preserve">Gabor Daniel:
Nothing here yet...perhaps at a different time?
</t>
        </r>
      </text>
    </comment>
    <comment ref="A723" authorId="643">
      <text>
        <r>
          <rPr>
            <sz val="11"/>
            <color theme="1"/>
            <rFont val="Arial"/>
          </rPr>
          <t xml:space="preserve">Gabor Daniel:
Nothing here yet...perhaps at a different time?
</t>
        </r>
      </text>
    </comment>
    <comment ref="A724" authorId="644">
      <text>
        <r>
          <rPr>
            <sz val="11"/>
            <color theme="1"/>
            <rFont val="Arial"/>
          </rPr>
          <t xml:space="preserve">Gabor Daniel:
Nothing here yet...perhaps at a different time?
</t>
        </r>
      </text>
    </comment>
    <comment ref="A725" authorId="645">
      <text>
        <r>
          <rPr>
            <sz val="11"/>
            <color theme="1"/>
            <rFont val="Arial"/>
          </rPr>
          <t xml:space="preserve">Gabor Daniel:
Nothing here yet...perhaps at a different time?
</t>
        </r>
      </text>
    </comment>
    <comment ref="A728" authorId="646">
      <text>
        <r>
          <rPr>
            <sz val="11"/>
            <color theme="1"/>
            <rFont val="Arial"/>
          </rPr>
          <t xml:space="preserve">Gabor Daniel:
Nothing here yet...perhaps at a different time?
</t>
        </r>
      </text>
    </comment>
    <comment ref="A729" authorId="647">
      <text>
        <r>
          <rPr>
            <sz val="11"/>
            <color theme="1"/>
            <rFont val="Arial"/>
          </rPr>
          <t xml:space="preserve">Gabor Daniel:
Nothing here yet...perhaps at a different time?
</t>
        </r>
      </text>
    </comment>
    <comment ref="A730" authorId="648">
      <text>
        <r>
          <rPr>
            <sz val="11"/>
            <color theme="1"/>
            <rFont val="Arial"/>
          </rPr>
          <t xml:space="preserve">Gabor Daniel:
Nothing here yet...perhaps at a different time?
</t>
        </r>
      </text>
    </comment>
    <comment ref="A731" authorId="649">
      <text>
        <r>
          <rPr>
            <sz val="11"/>
            <color theme="1"/>
            <rFont val="Arial"/>
          </rPr>
          <t xml:space="preserve">Gabor Daniel:
Nothing here yet...perhaps at a different time?
</t>
        </r>
      </text>
    </comment>
    <comment ref="A732" authorId="650">
      <text>
        <r>
          <rPr>
            <sz val="11"/>
            <color theme="1"/>
            <rFont val="Arial"/>
          </rPr>
          <t xml:space="preserve">Gabor Daniel:
Nothing here yet...perhaps at a different time?
</t>
        </r>
      </text>
    </comment>
    <comment ref="A733" authorId="651">
      <text>
        <r>
          <rPr>
            <sz val="11"/>
            <color theme="1"/>
            <rFont val="Arial"/>
          </rPr>
          <t xml:space="preserve">Gabor Daniel:
Nothing here yet...perhaps at a different time?
</t>
        </r>
      </text>
    </comment>
    <comment ref="A734" authorId="652">
      <text>
        <r>
          <rPr>
            <sz val="11"/>
            <color theme="1"/>
            <rFont val="Arial"/>
          </rPr>
          <t xml:space="preserve">Gabor Daniel:
Nothing here yet...perhaps at a different time?
</t>
        </r>
      </text>
    </comment>
    <comment ref="A735" authorId="653">
      <text>
        <r>
          <rPr>
            <sz val="11"/>
            <color theme="1"/>
            <rFont val="Arial"/>
          </rPr>
          <t xml:space="preserve">Gabor Daniel:
Nothing here yet...perhaps at a different time?
</t>
        </r>
      </text>
    </comment>
    <comment ref="A736" authorId="654">
      <text>
        <r>
          <rPr>
            <sz val="11"/>
            <color theme="1"/>
            <rFont val="Arial"/>
          </rPr>
          <t xml:space="preserve">Gabor Daniel:
Nothing here yet...perhaps at a different time?
</t>
        </r>
      </text>
    </comment>
    <comment ref="A737" authorId="655">
      <text>
        <r>
          <rPr>
            <sz val="11"/>
            <color theme="1"/>
            <rFont val="Arial"/>
          </rPr>
          <t xml:space="preserve">Gabor Daniel:
Nothing here yet...perhaps at a different time?
</t>
        </r>
      </text>
    </comment>
    <comment ref="A738" authorId="656">
      <text>
        <r>
          <rPr>
            <sz val="11"/>
            <color theme="1"/>
            <rFont val="Arial"/>
          </rPr>
          <t xml:space="preserve">Gabor Daniel:
Nothing here yet...perhaps at a different time?
</t>
        </r>
      </text>
    </comment>
    <comment ref="A739" authorId="657">
      <text>
        <r>
          <rPr>
            <sz val="11"/>
            <color theme="1"/>
            <rFont val="Arial"/>
          </rPr>
          <t xml:space="preserve">Gabor Daniel:
Nothing here yet...perhaps at a different time?
</t>
        </r>
      </text>
    </comment>
    <comment ref="A740" authorId="658">
      <text>
        <r>
          <rPr>
            <sz val="11"/>
            <color theme="1"/>
            <rFont val="Arial"/>
          </rPr>
          <t xml:space="preserve">Gabor Daniel:
Nothing here yet...perhaps at a different time?
</t>
        </r>
      </text>
    </comment>
    <comment ref="A741" authorId="659">
      <text>
        <r>
          <rPr>
            <sz val="11"/>
            <color theme="1"/>
            <rFont val="Arial"/>
          </rPr>
          <t xml:space="preserve">Gabor Daniel:
Nothing here yet...perhaps at a different time?
</t>
        </r>
      </text>
    </comment>
    <comment ref="A742" authorId="660">
      <text>
        <r>
          <rPr>
            <sz val="11"/>
            <color theme="1"/>
            <rFont val="Arial"/>
          </rPr>
          <t xml:space="preserve">Gabor Daniel:
Nothing here yet...perhaps at a different time?
</t>
        </r>
      </text>
    </comment>
    <comment ref="A743" authorId="661">
      <text>
        <r>
          <rPr>
            <sz val="11"/>
            <color theme="1"/>
            <rFont val="Arial"/>
          </rPr>
          <t xml:space="preserve">Gabor Daniel:
Nothing here yet...perhaps at a different time?
</t>
        </r>
      </text>
    </comment>
    <comment ref="A744" authorId="662">
      <text>
        <r>
          <rPr>
            <sz val="11"/>
            <color theme="1"/>
            <rFont val="Arial"/>
          </rPr>
          <t xml:space="preserve">Gabor Daniel:
Nothing here yet...perhaps at a different time?
</t>
        </r>
      </text>
    </comment>
    <comment ref="A747" authorId="663">
      <text>
        <r>
          <rPr>
            <sz val="11"/>
            <color theme="1"/>
            <rFont val="Arial"/>
          </rPr>
          <t xml:space="preserve">Gabor Daniel:
Nothing here yet...perhaps at a different time?
</t>
        </r>
      </text>
    </comment>
    <comment ref="A748" authorId="664">
      <text>
        <r>
          <rPr>
            <sz val="11"/>
            <color theme="1"/>
            <rFont val="Arial"/>
          </rPr>
          <t xml:space="preserve">Gabor Daniel:
Nothing here yet...perhaps at a different time?
</t>
        </r>
      </text>
    </comment>
    <comment ref="A749" authorId="665">
      <text>
        <r>
          <rPr>
            <sz val="11"/>
            <color theme="1"/>
            <rFont val="Arial"/>
          </rPr>
          <t xml:space="preserve">Gabor Daniel:
Nothing here yet...perhaps at a different time?
</t>
        </r>
      </text>
    </comment>
    <comment ref="A750" authorId="666">
      <text>
        <r>
          <rPr>
            <sz val="11"/>
            <color theme="1"/>
            <rFont val="Arial"/>
          </rPr>
          <t xml:space="preserve">Gabor Daniel:
Nothing here yet...perhaps at a different time?
</t>
        </r>
      </text>
    </comment>
    <comment ref="A751" authorId="667">
      <text>
        <r>
          <rPr>
            <sz val="11"/>
            <color theme="1"/>
            <rFont val="Arial"/>
          </rPr>
          <t xml:space="preserve">Gabor Daniel:
Nothing here yet...perhaps at a different time?
</t>
        </r>
      </text>
    </comment>
    <comment ref="A752" authorId="668">
      <text>
        <r>
          <rPr>
            <sz val="11"/>
            <color theme="1"/>
            <rFont val="Arial"/>
          </rPr>
          <t xml:space="preserve">Gabor Daniel:
Nothing here yet...perhaps at a different time?
</t>
        </r>
      </text>
    </comment>
    <comment ref="A753" authorId="669">
      <text>
        <r>
          <rPr>
            <sz val="11"/>
            <color theme="1"/>
            <rFont val="Arial"/>
          </rPr>
          <t xml:space="preserve">Gabor Daniel:
Nothing here yet...perhaps at a different time?
</t>
        </r>
      </text>
    </comment>
    <comment ref="A754" authorId="670">
      <text>
        <r>
          <rPr>
            <sz val="11"/>
            <color theme="1"/>
            <rFont val="Arial"/>
          </rPr>
          <t xml:space="preserve">Gabor Daniel:
Nothing here yet...perhaps at a different time?
</t>
        </r>
      </text>
    </comment>
    <comment ref="A755" authorId="671">
      <text>
        <r>
          <rPr>
            <sz val="11"/>
            <color theme="1"/>
            <rFont val="Arial"/>
          </rPr>
          <t xml:space="preserve">Gabor Daniel:
Nothing here yet...perhaps at a different time?
</t>
        </r>
      </text>
    </comment>
    <comment ref="A756" authorId="672">
      <text>
        <r>
          <rPr>
            <sz val="11"/>
            <color theme="1"/>
            <rFont val="Arial"/>
          </rPr>
          <t xml:space="preserve">Gabor Daniel:
Nothing here yet...perhaps at a different time?
</t>
        </r>
      </text>
    </comment>
    <comment ref="A757" authorId="673">
      <text>
        <r>
          <rPr>
            <sz val="11"/>
            <color theme="1"/>
            <rFont val="Arial"/>
          </rPr>
          <t xml:space="preserve">Gabor Daniel:
Nothing here yet...perhaps at a different time?
</t>
        </r>
      </text>
    </comment>
    <comment ref="A758" authorId="674">
      <text>
        <r>
          <rPr>
            <sz val="11"/>
            <color theme="1"/>
            <rFont val="Arial"/>
          </rPr>
          <t xml:space="preserve">Gabor Daniel:
Nothing here yet...perhaps at a different time?
</t>
        </r>
      </text>
    </comment>
    <comment ref="A759" authorId="675">
      <text>
        <r>
          <rPr>
            <sz val="11"/>
            <color theme="1"/>
            <rFont val="Arial"/>
          </rPr>
          <t xml:space="preserve">Gabor Daniel:
Nothing here yet...perhaps at a different time?
</t>
        </r>
      </text>
    </comment>
    <comment ref="A760" authorId="676">
      <text>
        <r>
          <rPr>
            <sz val="11"/>
            <color theme="1"/>
            <rFont val="Arial"/>
          </rPr>
          <t xml:space="preserve">Gabor Daniel:
Nothing here yet...perhaps at a different time?
</t>
        </r>
      </text>
    </comment>
    <comment ref="A761" authorId="677">
      <text>
        <r>
          <rPr>
            <sz val="11"/>
            <color theme="1"/>
            <rFont val="Arial"/>
          </rPr>
          <t xml:space="preserve">Gabor Daniel:
Nothing here yet...perhaps at a different time?
</t>
        </r>
      </text>
    </comment>
    <comment ref="A762" authorId="678">
      <text>
        <r>
          <rPr>
            <sz val="11"/>
            <color theme="1"/>
            <rFont val="Arial"/>
          </rPr>
          <t xml:space="preserve">Gabor Daniel:
Nothing here yet...perhaps at a different time?
</t>
        </r>
      </text>
    </comment>
    <comment ref="A763" authorId="679">
      <text>
        <r>
          <rPr>
            <sz val="11"/>
            <color theme="1"/>
            <rFont val="Arial"/>
          </rPr>
          <t xml:space="preserve">Gabor Daniel:
Nothing here yet...perhaps at a different time?
</t>
        </r>
      </text>
    </comment>
    <comment ref="A766" authorId="680">
      <text>
        <r>
          <rPr>
            <sz val="11"/>
            <color theme="1"/>
            <rFont val="Arial"/>
          </rPr>
          <t xml:space="preserve">Gabor Daniel:
Nothing here yet...perhaps at a different time?
</t>
        </r>
      </text>
    </comment>
    <comment ref="A767" authorId="681">
      <text>
        <r>
          <rPr>
            <sz val="11"/>
            <color theme="1"/>
            <rFont val="Arial"/>
          </rPr>
          <t xml:space="preserve">Gabor Daniel:
Nothing here yet...perhaps at a different time?
</t>
        </r>
      </text>
    </comment>
    <comment ref="A768" authorId="682">
      <text>
        <r>
          <rPr>
            <sz val="11"/>
            <color theme="1"/>
            <rFont val="Arial"/>
          </rPr>
          <t xml:space="preserve">Gabor Daniel:
Nothing here yet...perhaps at a different time?
</t>
        </r>
      </text>
    </comment>
    <comment ref="A769" authorId="683">
      <text>
        <r>
          <rPr>
            <sz val="11"/>
            <color theme="1"/>
            <rFont val="Arial"/>
          </rPr>
          <t xml:space="preserve">Gabor Daniel:
Nothing here yet...perhaps at a different time?
</t>
        </r>
      </text>
    </comment>
    <comment ref="A770" authorId="684">
      <text>
        <r>
          <rPr>
            <sz val="11"/>
            <color theme="1"/>
            <rFont val="Arial"/>
          </rPr>
          <t xml:space="preserve">Gabor Daniel:
Nothing here yet...perhaps at a different time?
</t>
        </r>
      </text>
    </comment>
    <comment ref="A771" authorId="685">
      <text>
        <r>
          <rPr>
            <sz val="11"/>
            <color theme="1"/>
            <rFont val="Arial"/>
          </rPr>
          <t xml:space="preserve">Gabor Daniel:
Nothing here yet...perhaps at a different time?
</t>
        </r>
      </text>
    </comment>
    <comment ref="A772" authorId="686">
      <text>
        <r>
          <rPr>
            <sz val="11"/>
            <color theme="1"/>
            <rFont val="Arial"/>
          </rPr>
          <t xml:space="preserve">Gabor Daniel:
Nothing here yet...perhaps at a different time?
</t>
        </r>
      </text>
    </comment>
    <comment ref="A773" authorId="687">
      <text>
        <r>
          <rPr>
            <sz val="11"/>
            <color theme="1"/>
            <rFont val="Arial"/>
          </rPr>
          <t xml:space="preserve">Gabor Daniel:
Nothing here yet...perhaps at a different time?
</t>
        </r>
      </text>
    </comment>
    <comment ref="A774" authorId="688">
      <text>
        <r>
          <rPr>
            <sz val="11"/>
            <color theme="1"/>
            <rFont val="Arial"/>
          </rPr>
          <t xml:space="preserve">Gabor Daniel:
Nothing here yet...perhaps at a different time?
</t>
        </r>
      </text>
    </comment>
    <comment ref="A775" authorId="689">
      <text>
        <r>
          <rPr>
            <sz val="11"/>
            <color theme="1"/>
            <rFont val="Arial"/>
          </rPr>
          <t xml:space="preserve">Gabor Daniel:
Nothing here yet...perhaps at a different time?
</t>
        </r>
      </text>
    </comment>
    <comment ref="A776" authorId="690">
      <text>
        <r>
          <rPr>
            <sz val="11"/>
            <color theme="1"/>
            <rFont val="Arial"/>
          </rPr>
          <t xml:space="preserve">Gabor Daniel:
Nothing here yet...perhaps at a different time?
</t>
        </r>
      </text>
    </comment>
    <comment ref="A777" authorId="691">
      <text>
        <r>
          <rPr>
            <sz val="11"/>
            <color theme="1"/>
            <rFont val="Arial"/>
          </rPr>
          <t xml:space="preserve">Gabor Daniel:
Nothing here yet...perhaps at a different time?
</t>
        </r>
      </text>
    </comment>
    <comment ref="A778" authorId="692">
      <text>
        <r>
          <rPr>
            <sz val="11"/>
            <color theme="1"/>
            <rFont val="Arial"/>
          </rPr>
          <t xml:space="preserve">Gabor Daniel:
Nothing here yet...perhaps at a different time?
</t>
        </r>
      </text>
    </comment>
    <comment ref="A779" authorId="693">
      <text>
        <r>
          <rPr>
            <sz val="11"/>
            <color theme="1"/>
            <rFont val="Arial"/>
          </rPr>
          <t xml:space="preserve">Gabor Daniel:
Nothing here yet...perhaps at a different time?
</t>
        </r>
      </text>
    </comment>
    <comment ref="A780" authorId="694">
      <text>
        <r>
          <rPr>
            <sz val="11"/>
            <color theme="1"/>
            <rFont val="Arial"/>
          </rPr>
          <t xml:space="preserve">Gabor Daniel:
Nothing here yet...perhaps at a different time?
</t>
        </r>
      </text>
    </comment>
    <comment ref="A781" authorId="695">
      <text>
        <r>
          <rPr>
            <sz val="11"/>
            <color theme="1"/>
            <rFont val="Arial"/>
          </rPr>
          <t xml:space="preserve">Gabor Daniel:
Nothing here yet...perhaps at a different time?
</t>
        </r>
      </text>
    </comment>
    <comment ref="A782" authorId="696">
      <text>
        <r>
          <rPr>
            <sz val="11"/>
            <color theme="1"/>
            <rFont val="Arial"/>
          </rPr>
          <t xml:space="preserve">Gabor Daniel:
Nothing here yet...perhaps at a different time?
</t>
        </r>
      </text>
    </comment>
    <comment ref="A785" authorId="697">
      <text>
        <r>
          <rPr>
            <sz val="11"/>
            <color theme="1"/>
            <rFont val="Arial"/>
          </rPr>
          <t xml:space="preserve">Gabor Daniel:
Nothing here yet...perhaps at a different time?
</t>
        </r>
      </text>
    </comment>
    <comment ref="A786" authorId="698">
      <text>
        <r>
          <rPr>
            <sz val="11"/>
            <color theme="1"/>
            <rFont val="Arial"/>
          </rPr>
          <t xml:space="preserve">Gabor Daniel:
Nothing here yet...perhaps at a different time?
</t>
        </r>
      </text>
    </comment>
    <comment ref="A787" authorId="699">
      <text>
        <r>
          <rPr>
            <sz val="11"/>
            <color theme="1"/>
            <rFont val="Arial"/>
          </rPr>
          <t xml:space="preserve">Gabor Daniel:
Nothing here yet...perhaps at a different time?
</t>
        </r>
      </text>
    </comment>
    <comment ref="A788" authorId="700">
      <text>
        <r>
          <rPr>
            <sz val="11"/>
            <color theme="1"/>
            <rFont val="Arial"/>
          </rPr>
          <t xml:space="preserve">Gabor Daniel:
Nothing here yet...perhaps at a different time?
</t>
        </r>
      </text>
    </comment>
    <comment ref="A789" authorId="701">
      <text>
        <r>
          <rPr>
            <sz val="11"/>
            <color theme="1"/>
            <rFont val="Arial"/>
          </rPr>
          <t xml:space="preserve">Gabor Daniel:
Nothing here yet...perhaps at a different time?
</t>
        </r>
      </text>
    </comment>
    <comment ref="A790" authorId="702">
      <text>
        <r>
          <rPr>
            <sz val="11"/>
            <color theme="1"/>
            <rFont val="Arial"/>
          </rPr>
          <t xml:space="preserve">Gabor Daniel:
Nothing here yet...perhaps at a different time?
</t>
        </r>
      </text>
    </comment>
    <comment ref="A791" authorId="703">
      <text>
        <r>
          <rPr>
            <sz val="11"/>
            <color theme="1"/>
            <rFont val="Arial"/>
          </rPr>
          <t xml:space="preserve">Gabor Daniel:
Nothing here yet...perhaps at a different time?
</t>
        </r>
      </text>
    </comment>
    <comment ref="A792" authorId="704">
      <text>
        <r>
          <rPr>
            <sz val="11"/>
            <color theme="1"/>
            <rFont val="Arial"/>
          </rPr>
          <t xml:space="preserve">Gabor Daniel:
Nothing here yet...perhaps at a different time?
</t>
        </r>
      </text>
    </comment>
    <comment ref="A793" authorId="705">
      <text>
        <r>
          <rPr>
            <sz val="11"/>
            <color theme="1"/>
            <rFont val="Arial"/>
          </rPr>
          <t xml:space="preserve">Gabor Daniel:
Nothing here yet...perhaps at a different time?
</t>
        </r>
      </text>
    </comment>
    <comment ref="A794" authorId="706">
      <text>
        <r>
          <rPr>
            <sz val="11"/>
            <color theme="1"/>
            <rFont val="Arial"/>
          </rPr>
          <t xml:space="preserve">Gabor Daniel:
Nothing here yet...perhaps at a different time?
</t>
        </r>
      </text>
    </comment>
    <comment ref="A795" authorId="707">
      <text>
        <r>
          <rPr>
            <sz val="11"/>
            <color theme="1"/>
            <rFont val="Arial"/>
          </rPr>
          <t xml:space="preserve">Gabor Daniel:
Nothing here yet...perhaps at a different time?
</t>
        </r>
      </text>
    </comment>
    <comment ref="A796" authorId="708">
      <text>
        <r>
          <rPr>
            <sz val="11"/>
            <color theme="1"/>
            <rFont val="Arial"/>
          </rPr>
          <t xml:space="preserve">Gabor Daniel:
Nothing here yet...perhaps at a different time?
</t>
        </r>
      </text>
    </comment>
    <comment ref="A797" authorId="709">
      <text>
        <r>
          <rPr>
            <sz val="11"/>
            <color theme="1"/>
            <rFont val="Arial"/>
          </rPr>
          <t xml:space="preserve">Gabor Daniel:
Nothing here yet...perhaps at a different time?
</t>
        </r>
      </text>
    </comment>
    <comment ref="A798" authorId="710">
      <text>
        <r>
          <rPr>
            <sz val="11"/>
            <color theme="1"/>
            <rFont val="Arial"/>
          </rPr>
          <t xml:space="preserve">Gabor Daniel:
Nothing here yet...perhaps at a different time?
</t>
        </r>
      </text>
    </comment>
    <comment ref="A799" authorId="711">
      <text>
        <r>
          <rPr>
            <sz val="11"/>
            <color theme="1"/>
            <rFont val="Arial"/>
          </rPr>
          <t xml:space="preserve">Gabor Daniel:
Nothing here yet...perhaps at a different time?
</t>
        </r>
      </text>
    </comment>
    <comment ref="A800" authorId="712">
      <text>
        <r>
          <rPr>
            <sz val="11"/>
            <color theme="1"/>
            <rFont val="Arial"/>
          </rPr>
          <t xml:space="preserve">Gabor Daniel:
Nothing here yet...perhaps at a different time?
</t>
        </r>
      </text>
    </comment>
    <comment ref="A801" authorId="713">
      <text>
        <r>
          <rPr>
            <sz val="11"/>
            <color theme="1"/>
            <rFont val="Arial"/>
          </rPr>
          <t xml:space="preserve">Gabor Daniel:
Nothing here yet...perhaps at a different time?
</t>
        </r>
      </text>
    </comment>
    <comment ref="A804" authorId="714">
      <text>
        <r>
          <rPr>
            <sz val="11"/>
            <color theme="1"/>
            <rFont val="Arial"/>
          </rPr>
          <t xml:space="preserve">Gabor Daniel:
Nothing here yet...perhaps at a different time?
</t>
        </r>
      </text>
    </comment>
    <comment ref="A805" authorId="715">
      <text>
        <r>
          <rPr>
            <sz val="11"/>
            <color theme="1"/>
            <rFont val="Arial"/>
          </rPr>
          <t xml:space="preserve">Gabor Daniel:
Nothing here yet...perhaps at a different time?
</t>
        </r>
      </text>
    </comment>
    <comment ref="A806" authorId="716">
      <text>
        <r>
          <rPr>
            <sz val="11"/>
            <color theme="1"/>
            <rFont val="Arial"/>
          </rPr>
          <t xml:space="preserve">Gabor Daniel:
Nothing here yet...perhaps at a different time?
</t>
        </r>
      </text>
    </comment>
    <comment ref="A807" authorId="717">
      <text>
        <r>
          <rPr>
            <sz val="11"/>
            <color theme="1"/>
            <rFont val="Arial"/>
          </rPr>
          <t xml:space="preserve">Gabor Daniel:
Nothing here yet...perhaps at a different time?
</t>
        </r>
      </text>
    </comment>
    <comment ref="A808" authorId="718">
      <text>
        <r>
          <rPr>
            <sz val="11"/>
            <color theme="1"/>
            <rFont val="Arial"/>
          </rPr>
          <t xml:space="preserve">Gabor Daniel:
Nothing here yet...perhaps at a different time?
</t>
        </r>
      </text>
    </comment>
    <comment ref="A809" authorId="719">
      <text>
        <r>
          <rPr>
            <sz val="11"/>
            <color theme="1"/>
            <rFont val="Arial"/>
          </rPr>
          <t xml:space="preserve">Gabor Daniel:
Nothing here yet...perhaps at a different time?
</t>
        </r>
      </text>
    </comment>
    <comment ref="A810" authorId="720">
      <text>
        <r>
          <rPr>
            <sz val="11"/>
            <color theme="1"/>
            <rFont val="Arial"/>
          </rPr>
          <t xml:space="preserve">Gabor Daniel:
Nothing here yet...perhaps at a different time?
</t>
        </r>
      </text>
    </comment>
    <comment ref="A811" authorId="721">
      <text>
        <r>
          <rPr>
            <sz val="11"/>
            <color theme="1"/>
            <rFont val="Arial"/>
          </rPr>
          <t xml:space="preserve">Gabor Daniel:
Nothing here yet...perhaps at a different time?
</t>
        </r>
      </text>
    </comment>
    <comment ref="A812" authorId="722">
      <text>
        <r>
          <rPr>
            <sz val="11"/>
            <color theme="1"/>
            <rFont val="Arial"/>
          </rPr>
          <t xml:space="preserve">Gabor Daniel:
Nothing here yet...perhaps at a different time?
</t>
        </r>
      </text>
    </comment>
    <comment ref="A813" authorId="723">
      <text>
        <r>
          <rPr>
            <sz val="11"/>
            <color theme="1"/>
            <rFont val="Arial"/>
          </rPr>
          <t xml:space="preserve">Gabor Daniel:
Nothing here yet...perhaps at a different time?
</t>
        </r>
      </text>
    </comment>
    <comment ref="A814" authorId="724">
      <text>
        <r>
          <rPr>
            <sz val="11"/>
            <color theme="1"/>
            <rFont val="Arial"/>
          </rPr>
          <t xml:space="preserve">Gabor Daniel:
Nothing here yet...perhaps at a different time?
</t>
        </r>
      </text>
    </comment>
    <comment ref="A815" authorId="725">
      <text>
        <r>
          <rPr>
            <sz val="11"/>
            <color theme="1"/>
            <rFont val="Arial"/>
          </rPr>
          <t xml:space="preserve">Gabor Daniel:
Nothing here yet...perhaps at a different time?
</t>
        </r>
      </text>
    </comment>
    <comment ref="A816" authorId="726">
      <text>
        <r>
          <rPr>
            <sz val="11"/>
            <color theme="1"/>
            <rFont val="Arial"/>
          </rPr>
          <t xml:space="preserve">Gabor Daniel:
Nothing here yet...perhaps at a different time?
</t>
        </r>
      </text>
    </comment>
    <comment ref="A817" authorId="727">
      <text>
        <r>
          <rPr>
            <sz val="11"/>
            <color theme="1"/>
            <rFont val="Arial"/>
          </rPr>
          <t xml:space="preserve">Gabor Daniel:
Nothing here yet...perhaps at a different time?
</t>
        </r>
      </text>
    </comment>
    <comment ref="A818" authorId="728">
      <text>
        <r>
          <rPr>
            <sz val="11"/>
            <color theme="1"/>
            <rFont val="Arial"/>
          </rPr>
          <t xml:space="preserve">Gabor Daniel:
Nothing here yet...perhaps at a different time?
</t>
        </r>
      </text>
    </comment>
    <comment ref="A819" authorId="729">
      <text>
        <r>
          <rPr>
            <sz val="11"/>
            <color theme="1"/>
            <rFont val="Arial"/>
          </rPr>
          <t xml:space="preserve">Gabor Daniel:
Nothing here yet...perhaps at a different time?
</t>
        </r>
      </text>
    </comment>
    <comment ref="A820" authorId="730">
      <text>
        <r>
          <rPr>
            <sz val="11"/>
            <color theme="1"/>
            <rFont val="Arial"/>
          </rPr>
          <t xml:space="preserve">Gabor Daniel:
Nothing here yet...perhaps at a different time?
</t>
        </r>
      </text>
    </comment>
    <comment ref="A823" authorId="731">
      <text>
        <r>
          <rPr>
            <sz val="11"/>
            <color theme="1"/>
            <rFont val="Arial"/>
          </rPr>
          <t xml:space="preserve">Gabor Daniel:
Nothing here yet...perhaps at a different time?
</t>
        </r>
      </text>
    </comment>
    <comment ref="A824" authorId="732">
      <text>
        <r>
          <rPr>
            <sz val="11"/>
            <color theme="1"/>
            <rFont val="Arial"/>
          </rPr>
          <t xml:space="preserve">Gabor Daniel:
Nothing here yet...perhaps at a different time?
</t>
        </r>
      </text>
    </comment>
    <comment ref="A825" authorId="733">
      <text>
        <r>
          <rPr>
            <sz val="11"/>
            <color theme="1"/>
            <rFont val="Arial"/>
          </rPr>
          <t xml:space="preserve">Gabor Daniel:
Nothing here yet...perhaps at a different time?
</t>
        </r>
      </text>
    </comment>
    <comment ref="A826" authorId="734">
      <text>
        <r>
          <rPr>
            <sz val="11"/>
            <color theme="1"/>
            <rFont val="Arial"/>
          </rPr>
          <t xml:space="preserve">Gabor Daniel:
Nothing here yet...perhaps at a different time?
</t>
        </r>
      </text>
    </comment>
    <comment ref="A827" authorId="735">
      <text>
        <r>
          <rPr>
            <sz val="11"/>
            <color theme="1"/>
            <rFont val="Arial"/>
          </rPr>
          <t xml:space="preserve">Gabor Daniel:
Nothing here yet...perhaps at a different time?
</t>
        </r>
      </text>
    </comment>
    <comment ref="A828" authorId="736">
      <text>
        <r>
          <rPr>
            <sz val="11"/>
            <color theme="1"/>
            <rFont val="Arial"/>
          </rPr>
          <t xml:space="preserve">Gabor Daniel:
Nothing here yet...perhaps at a different time?
</t>
        </r>
      </text>
    </comment>
    <comment ref="A829" authorId="737">
      <text>
        <r>
          <rPr>
            <sz val="11"/>
            <color theme="1"/>
            <rFont val="Arial"/>
          </rPr>
          <t xml:space="preserve">Gabor Daniel:
Nothing here yet...perhaps at a different time?
</t>
        </r>
      </text>
    </comment>
    <comment ref="A830" authorId="738">
      <text>
        <r>
          <rPr>
            <sz val="11"/>
            <color theme="1"/>
            <rFont val="Arial"/>
          </rPr>
          <t xml:space="preserve">Gabor Daniel:
Nothing here yet...perhaps at a different time?
</t>
        </r>
      </text>
    </comment>
    <comment ref="A831" authorId="739">
      <text>
        <r>
          <rPr>
            <sz val="11"/>
            <color theme="1"/>
            <rFont val="Arial"/>
          </rPr>
          <t xml:space="preserve">Gabor Daniel:
Nothing here yet...perhaps at a different time?
</t>
        </r>
      </text>
    </comment>
    <comment ref="A832" authorId="740">
      <text>
        <r>
          <rPr>
            <sz val="11"/>
            <color theme="1"/>
            <rFont val="Arial"/>
          </rPr>
          <t xml:space="preserve">Gabor Daniel:
Nothing here yet...perhaps at a different time?
</t>
        </r>
      </text>
    </comment>
    <comment ref="A833" authorId="741">
      <text>
        <r>
          <rPr>
            <sz val="11"/>
            <color theme="1"/>
            <rFont val="Arial"/>
          </rPr>
          <t xml:space="preserve">Gabor Daniel:
Nothing here yet...perhaps at a different time?
</t>
        </r>
      </text>
    </comment>
    <comment ref="A834" authorId="742">
      <text>
        <r>
          <rPr>
            <sz val="11"/>
            <color theme="1"/>
            <rFont val="Arial"/>
          </rPr>
          <t xml:space="preserve">Gabor Daniel:
Nothing here yet...perhaps at a different time?
</t>
        </r>
      </text>
    </comment>
    <comment ref="A835" authorId="743">
      <text>
        <r>
          <rPr>
            <sz val="11"/>
            <color theme="1"/>
            <rFont val="Arial"/>
          </rPr>
          <t xml:space="preserve">Gabor Daniel:
Nothing here yet...perhaps at a different time?
</t>
        </r>
      </text>
    </comment>
    <comment ref="A836" authorId="744">
      <text>
        <r>
          <rPr>
            <sz val="11"/>
            <color theme="1"/>
            <rFont val="Arial"/>
          </rPr>
          <t xml:space="preserve">Gabor Daniel:
Nothing here yet...perhaps at a different time?
</t>
        </r>
      </text>
    </comment>
    <comment ref="A837" authorId="745">
      <text>
        <r>
          <rPr>
            <sz val="11"/>
            <color theme="1"/>
            <rFont val="Arial"/>
          </rPr>
          <t xml:space="preserve">Gabor Daniel:
Nothing here yet...perhaps at a different time?
</t>
        </r>
      </text>
    </comment>
    <comment ref="A838" authorId="746">
      <text>
        <r>
          <rPr>
            <sz val="11"/>
            <color theme="1"/>
            <rFont val="Arial"/>
          </rPr>
          <t xml:space="preserve">Gabor Daniel:
Nothing here yet...perhaps at a different time?
</t>
        </r>
      </text>
    </comment>
    <comment ref="A839" authorId="747">
      <text>
        <r>
          <rPr>
            <sz val="11"/>
            <color theme="1"/>
            <rFont val="Arial"/>
          </rPr>
          <t xml:space="preserve">Gabor Daniel:
Nothing here yet...perhaps at a different time?
</t>
        </r>
      </text>
    </comment>
    <comment ref="A842" authorId="748">
      <text>
        <r>
          <rPr>
            <sz val="11"/>
            <color theme="1"/>
            <rFont val="Arial"/>
          </rPr>
          <t xml:space="preserve">Gabor Daniel:
Nothing here yet...perhaps at a different time?
</t>
        </r>
      </text>
    </comment>
    <comment ref="A843" authorId="749">
      <text>
        <r>
          <rPr>
            <sz val="11"/>
            <color theme="1"/>
            <rFont val="Arial"/>
          </rPr>
          <t xml:space="preserve">Gabor Daniel:
Nothing here yet...perhaps at a different time?
</t>
        </r>
      </text>
    </comment>
    <comment ref="A844" authorId="750">
      <text>
        <r>
          <rPr>
            <sz val="11"/>
            <color theme="1"/>
            <rFont val="Arial"/>
          </rPr>
          <t xml:space="preserve">Gabor Daniel:
Nothing here yet...perhaps at a different time?
</t>
        </r>
      </text>
    </comment>
    <comment ref="A845" authorId="751">
      <text>
        <r>
          <rPr>
            <sz val="11"/>
            <color theme="1"/>
            <rFont val="Arial"/>
          </rPr>
          <t xml:space="preserve">Gabor Daniel:
Nothing here yet...perhaps at a different time?
</t>
        </r>
      </text>
    </comment>
    <comment ref="A846" authorId="752">
      <text>
        <r>
          <rPr>
            <sz val="11"/>
            <color theme="1"/>
            <rFont val="Arial"/>
          </rPr>
          <t xml:space="preserve">Gabor Daniel:
Nothing here yet...perhaps at a different time?
</t>
        </r>
      </text>
    </comment>
    <comment ref="A847" authorId="753">
      <text>
        <r>
          <rPr>
            <sz val="11"/>
            <color theme="1"/>
            <rFont val="Arial"/>
          </rPr>
          <t xml:space="preserve">Gabor Daniel:
Nothing here yet...perhaps at a different time?
</t>
        </r>
      </text>
    </comment>
    <comment ref="A848" authorId="754">
      <text>
        <r>
          <rPr>
            <sz val="11"/>
            <color theme="1"/>
            <rFont val="Arial"/>
          </rPr>
          <t xml:space="preserve">Gabor Daniel:
Nothing here yet...perhaps at a different time?
</t>
        </r>
      </text>
    </comment>
    <comment ref="A849" authorId="755">
      <text>
        <r>
          <rPr>
            <sz val="11"/>
            <color theme="1"/>
            <rFont val="Arial"/>
          </rPr>
          <t xml:space="preserve">Gabor Daniel:
Nothing here yet...perhaps at a different time?
</t>
        </r>
      </text>
    </comment>
    <comment ref="A850" authorId="756">
      <text>
        <r>
          <rPr>
            <sz val="11"/>
            <color theme="1"/>
            <rFont val="Arial"/>
          </rPr>
          <t xml:space="preserve">Gabor Daniel:
Nothing here yet...perhaps at a different time?
</t>
        </r>
      </text>
    </comment>
    <comment ref="A851" authorId="757">
      <text>
        <r>
          <rPr>
            <sz val="11"/>
            <color theme="1"/>
            <rFont val="Arial"/>
          </rPr>
          <t xml:space="preserve">Gabor Daniel:
Nothing here yet...perhaps at a different time?
</t>
        </r>
      </text>
    </comment>
    <comment ref="A852" authorId="758">
      <text>
        <r>
          <rPr>
            <sz val="11"/>
            <color theme="1"/>
            <rFont val="Arial"/>
          </rPr>
          <t xml:space="preserve">Gabor Daniel:
Nothing here yet...perhaps at a different time?
</t>
        </r>
      </text>
    </comment>
    <comment ref="A853" authorId="759">
      <text>
        <r>
          <rPr>
            <sz val="11"/>
            <color theme="1"/>
            <rFont val="Arial"/>
          </rPr>
          <t xml:space="preserve">Gabor Daniel:
Nothing here yet...perhaps at a different time?
</t>
        </r>
      </text>
    </comment>
    <comment ref="A854" authorId="760">
      <text>
        <r>
          <rPr>
            <sz val="11"/>
            <color theme="1"/>
            <rFont val="Arial"/>
          </rPr>
          <t xml:space="preserve">Gabor Daniel:
Nothing here yet...perhaps at a different time?
</t>
        </r>
      </text>
    </comment>
    <comment ref="A855" authorId="761">
      <text>
        <r>
          <rPr>
            <sz val="11"/>
            <color theme="1"/>
            <rFont val="Arial"/>
          </rPr>
          <t xml:space="preserve">Gabor Daniel:
Nothing here yet...perhaps at a different time?
</t>
        </r>
      </text>
    </comment>
    <comment ref="A856" authorId="762">
      <text>
        <r>
          <rPr>
            <sz val="11"/>
            <color theme="1"/>
            <rFont val="Arial"/>
          </rPr>
          <t xml:space="preserve">Gabor Daniel:
Nothing here yet...perhaps at a different time?
</t>
        </r>
      </text>
    </comment>
    <comment ref="A857" authorId="763">
      <text>
        <r>
          <rPr>
            <sz val="11"/>
            <color theme="1"/>
            <rFont val="Arial"/>
          </rPr>
          <t xml:space="preserve">Gabor Daniel:
Nothing here yet...perhaps at a different time?
</t>
        </r>
      </text>
    </comment>
    <comment ref="A858" authorId="764">
      <text>
        <r>
          <rPr>
            <sz val="11"/>
            <color theme="1"/>
            <rFont val="Arial"/>
          </rPr>
          <t xml:space="preserve">Gabor Daniel:
Nothing here yet...perhaps at a different time?
</t>
        </r>
      </text>
    </comment>
    <comment ref="A861" authorId="765">
      <text>
        <r>
          <rPr>
            <sz val="11"/>
            <color theme="1"/>
            <rFont val="Arial"/>
          </rPr>
          <t xml:space="preserve">Gabor Daniel:
Nothing here yet...perhaps at a different time?
</t>
        </r>
      </text>
    </comment>
    <comment ref="A862" authorId="766">
      <text>
        <r>
          <rPr>
            <sz val="11"/>
            <color theme="1"/>
            <rFont val="Arial"/>
          </rPr>
          <t xml:space="preserve">Gabor Daniel:
Nothing here yet...perhaps at a different time?
</t>
        </r>
      </text>
    </comment>
    <comment ref="A863" authorId="767">
      <text>
        <r>
          <rPr>
            <sz val="11"/>
            <color theme="1"/>
            <rFont val="Arial"/>
          </rPr>
          <t xml:space="preserve">Gabor Daniel:
Nothing here yet...perhaps at a different time?
</t>
        </r>
      </text>
    </comment>
    <comment ref="A864" authorId="768">
      <text>
        <r>
          <rPr>
            <sz val="11"/>
            <color theme="1"/>
            <rFont val="Arial"/>
          </rPr>
          <t xml:space="preserve">Gabor Daniel:
Nothing here yet...perhaps at a different time?
</t>
        </r>
      </text>
    </comment>
    <comment ref="A865" authorId="769">
      <text>
        <r>
          <rPr>
            <sz val="11"/>
            <color theme="1"/>
            <rFont val="Arial"/>
          </rPr>
          <t xml:space="preserve">Gabor Daniel:
Nothing here yet...perhaps at a different time?
</t>
        </r>
      </text>
    </comment>
    <comment ref="A866" authorId="770">
      <text>
        <r>
          <rPr>
            <sz val="11"/>
            <color theme="1"/>
            <rFont val="Arial"/>
          </rPr>
          <t xml:space="preserve">Gabor Daniel:
Nothing here yet...perhaps at a different time?
</t>
        </r>
      </text>
    </comment>
    <comment ref="A867" authorId="771">
      <text>
        <r>
          <rPr>
            <sz val="11"/>
            <color theme="1"/>
            <rFont val="Arial"/>
          </rPr>
          <t xml:space="preserve">Gabor Daniel:
Nothing here yet...perhaps at a different time?
</t>
        </r>
      </text>
    </comment>
    <comment ref="A868" authorId="772">
      <text>
        <r>
          <rPr>
            <sz val="11"/>
            <color theme="1"/>
            <rFont val="Arial"/>
          </rPr>
          <t xml:space="preserve">Gabor Daniel:
Nothing here yet...perhaps at a different time?
</t>
        </r>
      </text>
    </comment>
    <comment ref="A869" authorId="773">
      <text>
        <r>
          <rPr>
            <sz val="11"/>
            <color theme="1"/>
            <rFont val="Arial"/>
          </rPr>
          <t xml:space="preserve">Gabor Daniel:
Nothing here yet...perhaps at a different time?
</t>
        </r>
      </text>
    </comment>
    <comment ref="A870" authorId="774">
      <text>
        <r>
          <rPr>
            <sz val="11"/>
            <color theme="1"/>
            <rFont val="Arial"/>
          </rPr>
          <t xml:space="preserve">Gabor Daniel:
Nothing here yet...perhaps at a different time?
</t>
        </r>
      </text>
    </comment>
    <comment ref="A871" authorId="775">
      <text>
        <r>
          <rPr>
            <sz val="11"/>
            <color theme="1"/>
            <rFont val="Arial"/>
          </rPr>
          <t xml:space="preserve">Gabor Daniel:
Nothing here yet...perhaps at a different time?
</t>
        </r>
      </text>
    </comment>
    <comment ref="A872" authorId="776">
      <text>
        <r>
          <rPr>
            <sz val="11"/>
            <color theme="1"/>
            <rFont val="Arial"/>
          </rPr>
          <t xml:space="preserve">Gabor Daniel:
Nothing here yet...perhaps at a different time?
</t>
        </r>
      </text>
    </comment>
    <comment ref="A873" authorId="777">
      <text>
        <r>
          <rPr>
            <sz val="11"/>
            <color theme="1"/>
            <rFont val="Arial"/>
          </rPr>
          <t xml:space="preserve">Gabor Daniel:
Nothing here yet...perhaps at a different time?
</t>
        </r>
      </text>
    </comment>
    <comment ref="A874" authorId="778">
      <text>
        <r>
          <rPr>
            <sz val="11"/>
            <color theme="1"/>
            <rFont val="Arial"/>
          </rPr>
          <t xml:space="preserve">Gabor Daniel:
Nothing here yet...perhaps at a different time?
</t>
        </r>
      </text>
    </comment>
    <comment ref="A875" authorId="779">
      <text>
        <r>
          <rPr>
            <sz val="11"/>
            <color theme="1"/>
            <rFont val="Arial"/>
          </rPr>
          <t xml:space="preserve">Gabor Daniel:
Nothing here yet...perhaps at a different time?
</t>
        </r>
      </text>
    </comment>
    <comment ref="A876" authorId="780">
      <text>
        <r>
          <rPr>
            <sz val="11"/>
            <color theme="1"/>
            <rFont val="Arial"/>
          </rPr>
          <t xml:space="preserve">Gabor Daniel:
Nothing here yet...perhaps at a different time?
</t>
        </r>
      </text>
    </comment>
    <comment ref="A877" authorId="781">
      <text>
        <r>
          <rPr>
            <sz val="11"/>
            <color theme="1"/>
            <rFont val="Arial"/>
          </rPr>
          <t xml:space="preserve">Gabor Daniel:
Nothing here yet...perhaps at a different time?
</t>
        </r>
      </text>
    </comment>
    <comment ref="A880" authorId="782">
      <text>
        <r>
          <rPr>
            <sz val="11"/>
            <color theme="1"/>
            <rFont val="Arial"/>
          </rPr>
          <t xml:space="preserve">Gabor Daniel:
Nothing here yet...perhaps at a different time?
</t>
        </r>
      </text>
    </comment>
    <comment ref="A881" authorId="783">
      <text>
        <r>
          <rPr>
            <sz val="11"/>
            <color theme="1"/>
            <rFont val="Arial"/>
          </rPr>
          <t xml:space="preserve">Gabor Daniel:
Nothing here yet...perhaps at a different time?
</t>
        </r>
      </text>
    </comment>
    <comment ref="A882" authorId="784">
      <text>
        <r>
          <rPr>
            <sz val="11"/>
            <color theme="1"/>
            <rFont val="Arial"/>
          </rPr>
          <t xml:space="preserve">Gabor Daniel:
Nothing here yet...perhaps at a different time?
</t>
        </r>
      </text>
    </comment>
    <comment ref="A883" authorId="785">
      <text>
        <r>
          <rPr>
            <sz val="11"/>
            <color theme="1"/>
            <rFont val="Arial"/>
          </rPr>
          <t xml:space="preserve">Gabor Daniel:
Nothing here yet...perhaps at a different time?
</t>
        </r>
      </text>
    </comment>
    <comment ref="A884" authorId="786">
      <text>
        <r>
          <rPr>
            <sz val="11"/>
            <color theme="1"/>
            <rFont val="Arial"/>
          </rPr>
          <t xml:space="preserve">Gabor Daniel:
Nothing here yet...perhaps at a different time?
</t>
        </r>
      </text>
    </comment>
    <comment ref="A885" authorId="787">
      <text>
        <r>
          <rPr>
            <sz val="11"/>
            <color theme="1"/>
            <rFont val="Arial"/>
          </rPr>
          <t xml:space="preserve">Gabor Daniel:
Nothing here yet...perhaps at a different time?
</t>
        </r>
      </text>
    </comment>
    <comment ref="A886" authorId="788">
      <text>
        <r>
          <rPr>
            <sz val="11"/>
            <color theme="1"/>
            <rFont val="Arial"/>
          </rPr>
          <t xml:space="preserve">Gabor Daniel:
Nothing here yet...perhaps at a different time?
</t>
        </r>
      </text>
    </comment>
    <comment ref="A887" authorId="789">
      <text>
        <r>
          <rPr>
            <sz val="11"/>
            <color theme="1"/>
            <rFont val="Arial"/>
          </rPr>
          <t xml:space="preserve">Gabor Daniel:
Nothing here yet...perhaps at a different time?
</t>
        </r>
      </text>
    </comment>
    <comment ref="A888" authorId="790">
      <text>
        <r>
          <rPr>
            <sz val="11"/>
            <color theme="1"/>
            <rFont val="Arial"/>
          </rPr>
          <t xml:space="preserve">Gabor Daniel:
Nothing here yet...perhaps at a different time?
</t>
        </r>
      </text>
    </comment>
    <comment ref="A889" authorId="791">
      <text>
        <r>
          <rPr>
            <sz val="11"/>
            <color theme="1"/>
            <rFont val="Arial"/>
          </rPr>
          <t xml:space="preserve">Gabor Daniel:
Nothing here yet...perhaps at a different time?
</t>
        </r>
      </text>
    </comment>
    <comment ref="A890" authorId="792">
      <text>
        <r>
          <rPr>
            <sz val="11"/>
            <color theme="1"/>
            <rFont val="Arial"/>
          </rPr>
          <t xml:space="preserve">Gabor Daniel:
Nothing here yet...perhaps at a different time?
</t>
        </r>
      </text>
    </comment>
    <comment ref="A891" authorId="793">
      <text>
        <r>
          <rPr>
            <sz val="11"/>
            <color theme="1"/>
            <rFont val="Arial"/>
          </rPr>
          <t xml:space="preserve">Gabor Daniel:
Nothing here yet...perhaps at a different time?
</t>
        </r>
      </text>
    </comment>
    <comment ref="A892" authorId="794">
      <text>
        <r>
          <rPr>
            <sz val="11"/>
            <color theme="1"/>
            <rFont val="Arial"/>
          </rPr>
          <t xml:space="preserve">Gabor Daniel:
Nothing here yet...perhaps at a different time?
</t>
        </r>
      </text>
    </comment>
    <comment ref="A893" authorId="795">
      <text>
        <r>
          <rPr>
            <sz val="11"/>
            <color theme="1"/>
            <rFont val="Arial"/>
          </rPr>
          <t xml:space="preserve">Gabor Daniel:
Nothing here yet...perhaps at a different time?
</t>
        </r>
      </text>
    </comment>
    <comment ref="A894" authorId="796">
      <text>
        <r>
          <rPr>
            <sz val="11"/>
            <color theme="1"/>
            <rFont val="Arial"/>
          </rPr>
          <t xml:space="preserve">Gabor Daniel:
Nothing here yet...perhaps at a different time?
</t>
        </r>
      </text>
    </comment>
    <comment ref="A895" authorId="797">
      <text>
        <r>
          <rPr>
            <sz val="11"/>
            <color theme="1"/>
            <rFont val="Arial"/>
          </rPr>
          <t xml:space="preserve">Gabor Daniel:
Nothing here yet...perhaps at a different time?
</t>
        </r>
      </text>
    </comment>
    <comment ref="A896" authorId="798">
      <text>
        <r>
          <rPr>
            <sz val="11"/>
            <color theme="1"/>
            <rFont val="Arial"/>
          </rPr>
          <t xml:space="preserve">Gabor Daniel:
Nothing here yet...perhaps at a different time?
</t>
        </r>
      </text>
    </comment>
    <comment ref="A899" authorId="799">
      <text>
        <r>
          <rPr>
            <sz val="11"/>
            <color theme="1"/>
            <rFont val="Arial"/>
          </rPr>
          <t xml:space="preserve">Gabor Daniel:
Nothing here yet...perhaps at a different time?
</t>
        </r>
      </text>
    </comment>
    <comment ref="A900" authorId="800">
      <text>
        <r>
          <rPr>
            <sz val="11"/>
            <color theme="1"/>
            <rFont val="Arial"/>
          </rPr>
          <t xml:space="preserve">Gabor Daniel:
Nothing here yet...perhaps at a different time?
</t>
        </r>
      </text>
    </comment>
    <comment ref="A901" authorId="801">
      <text>
        <r>
          <rPr>
            <sz val="11"/>
            <color theme="1"/>
            <rFont val="Arial"/>
          </rPr>
          <t xml:space="preserve">Gabor Daniel:
Nothing here yet...perhaps at a different time?
</t>
        </r>
      </text>
    </comment>
    <comment ref="A902" authorId="802">
      <text>
        <r>
          <rPr>
            <sz val="11"/>
            <color theme="1"/>
            <rFont val="Arial"/>
          </rPr>
          <t xml:space="preserve">Gabor Daniel:
Nothing here yet...perhaps at a different time?
</t>
        </r>
      </text>
    </comment>
    <comment ref="A903" authorId="803">
      <text>
        <r>
          <rPr>
            <sz val="11"/>
            <color theme="1"/>
            <rFont val="Arial"/>
          </rPr>
          <t xml:space="preserve">Gabor Daniel:
Nothing here yet...perhaps at a different time?
</t>
        </r>
      </text>
    </comment>
    <comment ref="A904" authorId="804">
      <text>
        <r>
          <rPr>
            <sz val="11"/>
            <color theme="1"/>
            <rFont val="Arial"/>
          </rPr>
          <t xml:space="preserve">Gabor Daniel:
Nothing here yet...perhaps at a different time?
</t>
        </r>
      </text>
    </comment>
    <comment ref="A905" authorId="805">
      <text>
        <r>
          <rPr>
            <sz val="11"/>
            <color theme="1"/>
            <rFont val="Arial"/>
          </rPr>
          <t xml:space="preserve">Gabor Daniel:
Nothing here yet...perhaps at a different time?
</t>
        </r>
      </text>
    </comment>
    <comment ref="A906" authorId="806">
      <text>
        <r>
          <rPr>
            <sz val="11"/>
            <color theme="1"/>
            <rFont val="Arial"/>
          </rPr>
          <t xml:space="preserve">Gabor Daniel:
Nothing here yet...perhaps at a different time?
</t>
        </r>
      </text>
    </comment>
    <comment ref="A907" authorId="807">
      <text>
        <r>
          <rPr>
            <sz val="11"/>
            <color theme="1"/>
            <rFont val="Arial"/>
          </rPr>
          <t xml:space="preserve">Gabor Daniel:
Nothing here yet...perhaps at a different time?
</t>
        </r>
      </text>
    </comment>
    <comment ref="A908" authorId="808">
      <text>
        <r>
          <rPr>
            <sz val="11"/>
            <color theme="1"/>
            <rFont val="Arial"/>
          </rPr>
          <t xml:space="preserve">Gabor Daniel:
Nothing here yet...perhaps at a different time?
</t>
        </r>
      </text>
    </comment>
    <comment ref="A909" authorId="809">
      <text>
        <r>
          <rPr>
            <sz val="11"/>
            <color theme="1"/>
            <rFont val="Arial"/>
          </rPr>
          <t xml:space="preserve">Gabor Daniel:
Nothing here yet...perhaps at a different time?
</t>
        </r>
      </text>
    </comment>
    <comment ref="A910" authorId="810">
      <text>
        <r>
          <rPr>
            <sz val="11"/>
            <color theme="1"/>
            <rFont val="Arial"/>
          </rPr>
          <t xml:space="preserve">Gabor Daniel:
Nothing here yet...perhaps at a different time?
</t>
        </r>
      </text>
    </comment>
    <comment ref="A911" authorId="811">
      <text>
        <r>
          <rPr>
            <sz val="11"/>
            <color theme="1"/>
            <rFont val="Arial"/>
          </rPr>
          <t xml:space="preserve">Gabor Daniel:
Nothing here yet...perhaps at a different time?
</t>
        </r>
      </text>
    </comment>
    <comment ref="A912" authorId="812">
      <text>
        <r>
          <rPr>
            <sz val="11"/>
            <color theme="1"/>
            <rFont val="Arial"/>
          </rPr>
          <t xml:space="preserve">Gabor Daniel:
Nothing here yet...perhaps at a different time?
</t>
        </r>
      </text>
    </comment>
    <comment ref="A913" authorId="813">
      <text>
        <r>
          <rPr>
            <sz val="11"/>
            <color theme="1"/>
            <rFont val="Arial"/>
          </rPr>
          <t xml:space="preserve">Gabor Daniel:
Nothing here yet...perhaps at a different time?
</t>
        </r>
      </text>
    </comment>
    <comment ref="A914" authorId="814">
      <text>
        <r>
          <rPr>
            <sz val="11"/>
            <color theme="1"/>
            <rFont val="Arial"/>
          </rPr>
          <t xml:space="preserve">Gabor Daniel:
Nothing here yet...perhaps at a different time?
</t>
        </r>
      </text>
    </comment>
    <comment ref="A915" authorId="815">
      <text>
        <r>
          <rPr>
            <sz val="11"/>
            <color theme="1"/>
            <rFont val="Arial"/>
          </rPr>
          <t xml:space="preserve">Gabor Daniel:
Nothing here yet...perhaps at a different time?
</t>
        </r>
      </text>
    </comment>
    <comment ref="A918" authorId="816">
      <text>
        <r>
          <rPr>
            <sz val="11"/>
            <color theme="1"/>
            <rFont val="Arial"/>
          </rPr>
          <t xml:space="preserve">Gabor Daniel:
Nothing here yet...perhaps at a different time?
</t>
        </r>
      </text>
    </comment>
    <comment ref="A919" authorId="817">
      <text>
        <r>
          <rPr>
            <sz val="11"/>
            <color theme="1"/>
            <rFont val="Arial"/>
          </rPr>
          <t xml:space="preserve">Gabor Daniel:
Nothing here yet...perhaps at a different time?
</t>
        </r>
      </text>
    </comment>
    <comment ref="A920" authorId="818">
      <text>
        <r>
          <rPr>
            <sz val="11"/>
            <color theme="1"/>
            <rFont val="Arial"/>
          </rPr>
          <t xml:space="preserve">Gabor Daniel:
Nothing here yet...perhaps at a different time?
</t>
        </r>
      </text>
    </comment>
    <comment ref="A921" authorId="819">
      <text>
        <r>
          <rPr>
            <sz val="11"/>
            <color theme="1"/>
            <rFont val="Arial"/>
          </rPr>
          <t xml:space="preserve">Gabor Daniel:
Nothing here yet...perhaps at a different time?
</t>
        </r>
      </text>
    </comment>
    <comment ref="A922" authorId="820">
      <text>
        <r>
          <rPr>
            <sz val="11"/>
            <color theme="1"/>
            <rFont val="Arial"/>
          </rPr>
          <t xml:space="preserve">Gabor Daniel:
Nothing here yet...perhaps at a different time?
</t>
        </r>
      </text>
    </comment>
    <comment ref="A923" authorId="821">
      <text>
        <r>
          <rPr>
            <sz val="11"/>
            <color theme="1"/>
            <rFont val="Arial"/>
          </rPr>
          <t xml:space="preserve">Gabor Daniel:
Nothing here yet...perhaps at a different time?
</t>
        </r>
      </text>
    </comment>
    <comment ref="A924" authorId="822">
      <text>
        <r>
          <rPr>
            <sz val="11"/>
            <color theme="1"/>
            <rFont val="Arial"/>
          </rPr>
          <t xml:space="preserve">Gabor Daniel:
Nothing here yet...perhaps at a different time?
</t>
        </r>
      </text>
    </comment>
    <comment ref="A925" authorId="823">
      <text>
        <r>
          <rPr>
            <sz val="11"/>
            <color theme="1"/>
            <rFont val="Arial"/>
          </rPr>
          <t xml:space="preserve">Gabor Daniel:
Nothing here yet...perhaps at a different time?
</t>
        </r>
      </text>
    </comment>
    <comment ref="A926" authorId="824">
      <text>
        <r>
          <rPr>
            <sz val="11"/>
            <color theme="1"/>
            <rFont val="Arial"/>
          </rPr>
          <t xml:space="preserve">Gabor Daniel:
Nothing here yet...perhaps at a different time?
</t>
        </r>
      </text>
    </comment>
    <comment ref="A927" authorId="825">
      <text>
        <r>
          <rPr>
            <sz val="11"/>
            <color theme="1"/>
            <rFont val="Arial"/>
          </rPr>
          <t xml:space="preserve">Gabor Daniel:
Nothing here yet...perhaps at a different time?
</t>
        </r>
      </text>
    </comment>
    <comment ref="A928" authorId="826">
      <text>
        <r>
          <rPr>
            <sz val="11"/>
            <color theme="1"/>
            <rFont val="Arial"/>
          </rPr>
          <t xml:space="preserve">Gabor Daniel:
Nothing here yet...perhaps at a different time?
</t>
        </r>
      </text>
    </comment>
    <comment ref="A929" authorId="827">
      <text>
        <r>
          <rPr>
            <sz val="11"/>
            <color theme="1"/>
            <rFont val="Arial"/>
          </rPr>
          <t xml:space="preserve">Gabor Daniel:
Nothing here yet...perhaps at a different time?
</t>
        </r>
      </text>
    </comment>
    <comment ref="A930" authorId="828">
      <text>
        <r>
          <rPr>
            <sz val="11"/>
            <color theme="1"/>
            <rFont val="Arial"/>
          </rPr>
          <t xml:space="preserve">Gabor Daniel:
Nothing here yet...perhaps at a different time?
</t>
        </r>
      </text>
    </comment>
    <comment ref="A931" authorId="829">
      <text>
        <r>
          <rPr>
            <sz val="11"/>
            <color theme="1"/>
            <rFont val="Arial"/>
          </rPr>
          <t xml:space="preserve">Gabor Daniel:
Nothing here yet...perhaps at a different time?
</t>
        </r>
      </text>
    </comment>
    <comment ref="A932" authorId="830">
      <text>
        <r>
          <rPr>
            <sz val="11"/>
            <color theme="1"/>
            <rFont val="Arial"/>
          </rPr>
          <t xml:space="preserve">Gabor Daniel:
Nothing here yet...perhaps at a different time?
</t>
        </r>
      </text>
    </comment>
    <comment ref="A933" authorId="831">
      <text>
        <r>
          <rPr>
            <sz val="11"/>
            <color theme="1"/>
            <rFont val="Arial"/>
          </rPr>
          <t xml:space="preserve">Gabor Daniel:
Nothing here yet...perhaps at a different time?
</t>
        </r>
      </text>
    </comment>
    <comment ref="A934" authorId="832">
      <text>
        <r>
          <rPr>
            <sz val="11"/>
            <color theme="1"/>
            <rFont val="Arial"/>
          </rPr>
          <t xml:space="preserve">Gabor Daniel:
Nothing here yet...perhaps at a different time?
</t>
        </r>
      </text>
    </comment>
    <comment ref="A937" authorId="833">
      <text>
        <r>
          <rPr>
            <sz val="11"/>
            <color theme="1"/>
            <rFont val="Arial"/>
          </rPr>
          <t xml:space="preserve">Gabor Daniel:
Nothing here yet...perhaps at a different time?
</t>
        </r>
      </text>
    </comment>
    <comment ref="A938" authorId="834">
      <text>
        <r>
          <rPr>
            <sz val="11"/>
            <color theme="1"/>
            <rFont val="Arial"/>
          </rPr>
          <t xml:space="preserve">Gabor Daniel:
Nothing here yet...perhaps at a different time?
</t>
        </r>
      </text>
    </comment>
    <comment ref="A939" authorId="835">
      <text>
        <r>
          <rPr>
            <sz val="11"/>
            <color theme="1"/>
            <rFont val="Arial"/>
          </rPr>
          <t xml:space="preserve">Gabor Daniel:
Nothing here yet...perhaps at a different time?
</t>
        </r>
      </text>
    </comment>
    <comment ref="A940" authorId="836">
      <text>
        <r>
          <rPr>
            <sz val="11"/>
            <color theme="1"/>
            <rFont val="Arial"/>
          </rPr>
          <t xml:space="preserve">Gabor Daniel:
Nothing here yet...perhaps at a different time?
</t>
        </r>
      </text>
    </comment>
    <comment ref="A941" authorId="837">
      <text>
        <r>
          <rPr>
            <sz val="11"/>
            <color theme="1"/>
            <rFont val="Arial"/>
          </rPr>
          <t xml:space="preserve">Gabor Daniel:
Nothing here yet...perhaps at a different time?
</t>
        </r>
      </text>
    </comment>
    <comment ref="A942" authorId="838">
      <text>
        <r>
          <rPr>
            <sz val="11"/>
            <color theme="1"/>
            <rFont val="Arial"/>
          </rPr>
          <t xml:space="preserve">Gabor Daniel:
Nothing here yet...perhaps at a different time?
</t>
        </r>
      </text>
    </comment>
    <comment ref="A943" authorId="839">
      <text>
        <r>
          <rPr>
            <sz val="11"/>
            <color theme="1"/>
            <rFont val="Arial"/>
          </rPr>
          <t xml:space="preserve">Gabor Daniel:
Nothing here yet...perhaps at a different time?
</t>
        </r>
      </text>
    </comment>
    <comment ref="A944" authorId="840">
      <text>
        <r>
          <rPr>
            <sz val="11"/>
            <color theme="1"/>
            <rFont val="Arial"/>
          </rPr>
          <t xml:space="preserve">Gabor Daniel:
Nothing here yet...perhaps at a different time?
</t>
        </r>
      </text>
    </comment>
    <comment ref="A945" authorId="841">
      <text>
        <r>
          <rPr>
            <sz val="11"/>
            <color theme="1"/>
            <rFont val="Arial"/>
          </rPr>
          <t xml:space="preserve">Gabor Daniel:
Nothing here yet...perhaps at a different time?
</t>
        </r>
      </text>
    </comment>
    <comment ref="A946" authorId="842">
      <text>
        <r>
          <rPr>
            <sz val="11"/>
            <color theme="1"/>
            <rFont val="Arial"/>
          </rPr>
          <t xml:space="preserve">Gabor Daniel:
Nothing here yet...perhaps at a different time?
</t>
        </r>
      </text>
    </comment>
    <comment ref="A947" authorId="843">
      <text>
        <r>
          <rPr>
            <sz val="11"/>
            <color theme="1"/>
            <rFont val="Arial"/>
          </rPr>
          <t xml:space="preserve">Gabor Daniel:
Nothing here yet...perhaps at a different time?
</t>
        </r>
      </text>
    </comment>
    <comment ref="A948" authorId="844">
      <text>
        <r>
          <rPr>
            <sz val="11"/>
            <color theme="1"/>
            <rFont val="Arial"/>
          </rPr>
          <t xml:space="preserve">Gabor Daniel:
Nothing here yet...perhaps at a different time?
</t>
        </r>
      </text>
    </comment>
    <comment ref="A949" authorId="845">
      <text>
        <r>
          <rPr>
            <sz val="11"/>
            <color theme="1"/>
            <rFont val="Arial"/>
          </rPr>
          <t xml:space="preserve">Gabor Daniel:
Nothing here yet...perhaps at a different time?
</t>
        </r>
      </text>
    </comment>
    <comment ref="A950" authorId="846">
      <text>
        <r>
          <rPr>
            <sz val="11"/>
            <color theme="1"/>
            <rFont val="Arial"/>
          </rPr>
          <t xml:space="preserve">Gabor Daniel:
Nothing here yet...perhaps at a different time?
</t>
        </r>
      </text>
    </comment>
    <comment ref="A951" authorId="847">
      <text>
        <r>
          <rPr>
            <sz val="11"/>
            <color theme="1"/>
            <rFont val="Arial"/>
          </rPr>
          <t xml:space="preserve">Gabor Daniel:
Nothing here yet...perhaps at a different time?
</t>
        </r>
      </text>
    </comment>
    <comment ref="A952" authorId="848">
      <text>
        <r>
          <rPr>
            <sz val="11"/>
            <color theme="1"/>
            <rFont val="Arial"/>
          </rPr>
          <t xml:space="preserve">Gabor Daniel:
Nothing here yet...perhaps at a different time?
</t>
        </r>
      </text>
    </comment>
    <comment ref="A953" authorId="849">
      <text>
        <r>
          <rPr>
            <sz val="11"/>
            <color theme="1"/>
            <rFont val="Arial"/>
          </rPr>
          <t xml:space="preserve">Gabor Daniel:
Nothing here yet...perhaps at a different time?
</t>
        </r>
      </text>
    </comment>
    <comment ref="A956" authorId="850">
      <text>
        <r>
          <rPr>
            <sz val="11"/>
            <color theme="1"/>
            <rFont val="Arial"/>
          </rPr>
          <t xml:space="preserve">Gabor Daniel:
Nothing here yet...perhaps at a different time?
</t>
        </r>
      </text>
    </comment>
    <comment ref="A957" authorId="851">
      <text>
        <r>
          <rPr>
            <sz val="11"/>
            <color theme="1"/>
            <rFont val="Arial"/>
          </rPr>
          <t xml:space="preserve">Gabor Daniel:
Nothing here yet...perhaps at a different time?
</t>
        </r>
      </text>
    </comment>
    <comment ref="A958" authorId="852">
      <text>
        <r>
          <rPr>
            <sz val="11"/>
            <color theme="1"/>
            <rFont val="Arial"/>
          </rPr>
          <t xml:space="preserve">Gabor Daniel:
Nothing here yet...perhaps at a different time?
</t>
        </r>
      </text>
    </comment>
    <comment ref="A959" authorId="853">
      <text>
        <r>
          <rPr>
            <sz val="11"/>
            <color theme="1"/>
            <rFont val="Arial"/>
          </rPr>
          <t xml:space="preserve">Gabor Daniel:
Nothing here yet...perhaps at a different time?
</t>
        </r>
      </text>
    </comment>
    <comment ref="A960" authorId="854">
      <text>
        <r>
          <rPr>
            <sz val="11"/>
            <color theme="1"/>
            <rFont val="Arial"/>
          </rPr>
          <t xml:space="preserve">Gabor Daniel:
Nothing here yet...perhaps at a different time?
</t>
        </r>
      </text>
    </comment>
    <comment ref="A961" authorId="855">
      <text>
        <r>
          <rPr>
            <sz val="11"/>
            <color theme="1"/>
            <rFont val="Arial"/>
          </rPr>
          <t xml:space="preserve">Gabor Daniel:
Nothing here yet...perhaps at a different time?
</t>
        </r>
      </text>
    </comment>
    <comment ref="A962" authorId="856">
      <text>
        <r>
          <rPr>
            <sz val="11"/>
            <color theme="1"/>
            <rFont val="Arial"/>
          </rPr>
          <t xml:space="preserve">Gabor Daniel:
Nothing here yet...perhaps at a different time?
</t>
        </r>
      </text>
    </comment>
    <comment ref="A963" authorId="857">
      <text>
        <r>
          <rPr>
            <sz val="11"/>
            <color theme="1"/>
            <rFont val="Arial"/>
          </rPr>
          <t xml:space="preserve">Gabor Daniel:
Nothing here yet...perhaps at a different time?
</t>
        </r>
      </text>
    </comment>
    <comment ref="A964" authorId="858">
      <text>
        <r>
          <rPr>
            <sz val="11"/>
            <color theme="1"/>
            <rFont val="Arial"/>
          </rPr>
          <t xml:space="preserve">Gabor Daniel:
Nothing here yet...perhaps at a different time?
</t>
        </r>
      </text>
    </comment>
    <comment ref="A965" authorId="859">
      <text>
        <r>
          <rPr>
            <sz val="11"/>
            <color theme="1"/>
            <rFont val="Arial"/>
          </rPr>
          <t xml:space="preserve">Gabor Daniel:
Nothing here yet...perhaps at a different time?
</t>
        </r>
      </text>
    </comment>
    <comment ref="A966" authorId="860">
      <text>
        <r>
          <rPr>
            <sz val="11"/>
            <color theme="1"/>
            <rFont val="Arial"/>
          </rPr>
          <t xml:space="preserve">Gabor Daniel:
Nothing here yet...perhaps at a different time?
</t>
        </r>
      </text>
    </comment>
    <comment ref="A967" authorId="861">
      <text>
        <r>
          <rPr>
            <sz val="11"/>
            <color theme="1"/>
            <rFont val="Arial"/>
          </rPr>
          <t xml:space="preserve">Gabor Daniel:
Nothing here yet...perhaps at a different time?
</t>
        </r>
      </text>
    </comment>
    <comment ref="A968" authorId="862">
      <text>
        <r>
          <rPr>
            <sz val="11"/>
            <color theme="1"/>
            <rFont val="Arial"/>
          </rPr>
          <t xml:space="preserve">Gabor Daniel:
Nothing here yet...perhaps at a different time?
</t>
        </r>
      </text>
    </comment>
    <comment ref="A969" authorId="863">
      <text>
        <r>
          <rPr>
            <sz val="11"/>
            <color theme="1"/>
            <rFont val="Arial"/>
          </rPr>
          <t xml:space="preserve">Gabor Daniel:
Nothing here yet...perhaps at a different time?
</t>
        </r>
      </text>
    </comment>
    <comment ref="A970" authorId="864">
      <text>
        <r>
          <rPr>
            <sz val="11"/>
            <color theme="1"/>
            <rFont val="Arial"/>
          </rPr>
          <t xml:space="preserve">Gabor Daniel:
Nothing here yet...perhaps at a different time?
</t>
        </r>
      </text>
    </comment>
    <comment ref="A971" authorId="865">
      <text>
        <r>
          <rPr>
            <sz val="11"/>
            <color theme="1"/>
            <rFont val="Arial"/>
          </rPr>
          <t xml:space="preserve">Gabor Daniel:
Nothing here yet...perhaps at a different time?
</t>
        </r>
      </text>
    </comment>
    <comment ref="A972" authorId="866">
      <text>
        <r>
          <rPr>
            <sz val="11"/>
            <color theme="1"/>
            <rFont val="Arial"/>
          </rPr>
          <t xml:space="preserve">Gabor Daniel:
Nothing here yet...perhaps at a different time?
</t>
        </r>
      </text>
    </comment>
    <comment ref="A975" authorId="867">
      <text>
        <r>
          <rPr>
            <sz val="11"/>
            <color theme="1"/>
            <rFont val="Arial"/>
          </rPr>
          <t xml:space="preserve">Gabor Daniel:
Nothing here yet...perhaps at a different time?
</t>
        </r>
      </text>
    </comment>
    <comment ref="A976" authorId="868">
      <text>
        <r>
          <rPr>
            <sz val="11"/>
            <color theme="1"/>
            <rFont val="Arial"/>
          </rPr>
          <t xml:space="preserve">Gabor Daniel:
Nothing here yet...perhaps at a different time?
</t>
        </r>
      </text>
    </comment>
    <comment ref="A977" authorId="869">
      <text>
        <r>
          <rPr>
            <sz val="11"/>
            <color theme="1"/>
            <rFont val="Arial"/>
          </rPr>
          <t xml:space="preserve">Gabor Daniel:
Nothing here yet...perhaps at a different time?
</t>
        </r>
      </text>
    </comment>
    <comment ref="A978" authorId="870">
      <text>
        <r>
          <rPr>
            <sz val="11"/>
            <color theme="1"/>
            <rFont val="Arial"/>
          </rPr>
          <t xml:space="preserve">Gabor Daniel:
Nothing here yet...perhaps at a different time?
</t>
        </r>
      </text>
    </comment>
    <comment ref="A979" authorId="871">
      <text>
        <r>
          <rPr>
            <sz val="11"/>
            <color theme="1"/>
            <rFont val="Arial"/>
          </rPr>
          <t xml:space="preserve">Gabor Daniel:
Nothing here yet...perhaps at a different time?
</t>
        </r>
      </text>
    </comment>
    <comment ref="A980" authorId="872">
      <text>
        <r>
          <rPr>
            <sz val="11"/>
            <color theme="1"/>
            <rFont val="Arial"/>
          </rPr>
          <t xml:space="preserve">Gabor Daniel:
Nothing here yet...perhaps at a different time?
</t>
        </r>
      </text>
    </comment>
    <comment ref="A981" authorId="873">
      <text>
        <r>
          <rPr>
            <sz val="11"/>
            <color theme="1"/>
            <rFont val="Arial"/>
          </rPr>
          <t xml:space="preserve">Gabor Daniel:
Nothing here yet...perhaps at a different time?
</t>
        </r>
      </text>
    </comment>
    <comment ref="A982" authorId="874">
      <text>
        <r>
          <rPr>
            <sz val="11"/>
            <color theme="1"/>
            <rFont val="Arial"/>
          </rPr>
          <t xml:space="preserve">Gabor Daniel:
Nothing here yet...perhaps at a different time?
</t>
        </r>
      </text>
    </comment>
    <comment ref="A983" authorId="875">
      <text>
        <r>
          <rPr>
            <sz val="11"/>
            <color theme="1"/>
            <rFont val="Arial"/>
          </rPr>
          <t xml:space="preserve">Gabor Daniel:
Nothing here yet...perhaps at a different time?
</t>
        </r>
      </text>
    </comment>
    <comment ref="A984" authorId="876">
      <text>
        <r>
          <rPr>
            <sz val="11"/>
            <color theme="1"/>
            <rFont val="Arial"/>
          </rPr>
          <t xml:space="preserve">Gabor Daniel:
Nothing here yet...perhaps at a different time?
</t>
        </r>
      </text>
    </comment>
    <comment ref="A985" authorId="877">
      <text>
        <r>
          <rPr>
            <sz val="11"/>
            <color theme="1"/>
            <rFont val="Arial"/>
          </rPr>
          <t xml:space="preserve">Gabor Daniel:
Nothing here yet...perhaps at a different time?
</t>
        </r>
      </text>
    </comment>
    <comment ref="A986" authorId="878">
      <text>
        <r>
          <rPr>
            <sz val="11"/>
            <color theme="1"/>
            <rFont val="Arial"/>
          </rPr>
          <t xml:space="preserve">Gabor Daniel:
Nothing here yet...perhaps at a different time?
</t>
        </r>
      </text>
    </comment>
    <comment ref="A987" authorId="879">
      <text>
        <r>
          <rPr>
            <sz val="11"/>
            <color theme="1"/>
            <rFont val="Arial"/>
          </rPr>
          <t xml:space="preserve">Gabor Daniel:
Nothing here yet...perhaps at a different time?
</t>
        </r>
      </text>
    </comment>
    <comment ref="A988" authorId="880">
      <text>
        <r>
          <rPr>
            <sz val="11"/>
            <color theme="1"/>
            <rFont val="Arial"/>
          </rPr>
          <t xml:space="preserve">Gabor Daniel:
Nothing here yet...perhaps at a different time?
</t>
        </r>
      </text>
    </comment>
    <comment ref="A989" authorId="881">
      <text>
        <r>
          <rPr>
            <sz val="11"/>
            <color theme="1"/>
            <rFont val="Arial"/>
          </rPr>
          <t xml:space="preserve">Gabor Daniel:
Nothing here yet...perhaps at a different time?
</t>
        </r>
      </text>
    </comment>
    <comment ref="A990" authorId="882">
      <text>
        <r>
          <rPr>
            <sz val="11"/>
            <color theme="1"/>
            <rFont val="Arial"/>
          </rPr>
          <t xml:space="preserve">Gabor Daniel:
Nothing here yet...perhaps at a different time?
</t>
        </r>
      </text>
    </comment>
    <comment ref="A991" authorId="883">
      <text>
        <r>
          <rPr>
            <sz val="11"/>
            <color theme="1"/>
            <rFont val="Arial"/>
          </rPr>
          <t xml:space="preserve">Gabor Daniel:
Nothing here yet...perhaps at a different time?
</t>
        </r>
      </text>
    </comment>
    <comment ref="A994" authorId="884">
      <text>
        <r>
          <rPr>
            <sz val="11"/>
            <color theme="1"/>
            <rFont val="Arial"/>
          </rPr>
          <t xml:space="preserve">Gabor Daniel:
Nothing here yet...perhaps at a different time?
</t>
        </r>
      </text>
    </comment>
    <comment ref="A995" authorId="885">
      <text>
        <r>
          <rPr>
            <sz val="11"/>
            <color theme="1"/>
            <rFont val="Arial"/>
          </rPr>
          <t xml:space="preserve">Gabor Daniel:
Nothing here yet...perhaps at a different time?
</t>
        </r>
      </text>
    </comment>
    <comment ref="A996" authorId="886">
      <text>
        <r>
          <rPr>
            <sz val="11"/>
            <color theme="1"/>
            <rFont val="Arial"/>
          </rPr>
          <t xml:space="preserve">Gabor Daniel:
Nothing here yet...perhaps at a different time?
</t>
        </r>
      </text>
    </comment>
    <comment ref="A997" authorId="887">
      <text>
        <r>
          <rPr>
            <sz val="11"/>
            <color theme="1"/>
            <rFont val="Arial"/>
          </rPr>
          <t xml:space="preserve">Gabor Daniel:
Nothing here yet...perhaps at a different time?
</t>
        </r>
      </text>
    </comment>
    <comment ref="A998" authorId="888">
      <text>
        <r>
          <rPr>
            <sz val="11"/>
            <color theme="1"/>
            <rFont val="Arial"/>
          </rPr>
          <t xml:space="preserve">Gabor Daniel:
Nothing here yet...perhaps at a different time?
</t>
        </r>
      </text>
    </comment>
    <comment ref="A999" authorId="889">
      <text>
        <r>
          <rPr>
            <sz val="11"/>
            <color theme="1"/>
            <rFont val="Arial"/>
          </rPr>
          <t xml:space="preserve">Gabor Daniel:
Nothing here yet...perhaps at a different time?
</t>
        </r>
      </text>
    </comment>
    <comment ref="A1000" authorId="890">
      <text>
        <r>
          <rPr>
            <sz val="11"/>
            <color theme="1"/>
            <rFont val="Arial"/>
          </rPr>
          <t xml:space="preserve">Gabor Daniel:
Nothing here yet...perhaps at a different time?
</t>
        </r>
      </text>
    </comment>
    <comment ref="A1001" authorId="891">
      <text>
        <r>
          <rPr>
            <sz val="11"/>
            <color theme="1"/>
            <rFont val="Arial"/>
          </rPr>
          <t xml:space="preserve">Gabor Daniel:
Nothing here yet...perhaps at a different time?
</t>
        </r>
      </text>
    </comment>
    <comment ref="A1002" authorId="892">
      <text>
        <r>
          <rPr>
            <sz val="11"/>
            <color theme="1"/>
            <rFont val="Arial"/>
          </rPr>
          <t xml:space="preserve">Gabor Daniel:
Nothing here yet...perhaps at a different time?
</t>
        </r>
      </text>
    </comment>
    <comment ref="A1003" authorId="893">
      <text>
        <r>
          <rPr>
            <sz val="11"/>
            <color theme="1"/>
            <rFont val="Arial"/>
          </rPr>
          <t xml:space="preserve">Gabor Daniel:
Nothing here yet...perhaps at a different time?
</t>
        </r>
      </text>
    </comment>
    <comment ref="A1004" authorId="894">
      <text>
        <r>
          <rPr>
            <sz val="11"/>
            <color theme="1"/>
            <rFont val="Arial"/>
          </rPr>
          <t xml:space="preserve">Gabor Daniel:
Nothing here yet...perhaps at a different time?
</t>
        </r>
      </text>
    </comment>
    <comment ref="A1005" authorId="895">
      <text>
        <r>
          <rPr>
            <sz val="11"/>
            <color theme="1"/>
            <rFont val="Arial"/>
          </rPr>
          <t xml:space="preserve">Gabor Daniel:
Nothing here yet...perhaps at a different time?
</t>
        </r>
      </text>
    </comment>
    <comment ref="A1006" authorId="896">
      <text>
        <r>
          <rPr>
            <sz val="11"/>
            <color theme="1"/>
            <rFont val="Arial"/>
          </rPr>
          <t xml:space="preserve">Gabor Daniel:
Nothing here yet...perhaps at a different time?
</t>
        </r>
      </text>
    </comment>
    <comment ref="A1007" authorId="897">
      <text>
        <r>
          <rPr>
            <sz val="11"/>
            <color theme="1"/>
            <rFont val="Arial"/>
          </rPr>
          <t xml:space="preserve">Gabor Daniel:
Nothing here yet...perhaps at a different time?
</t>
        </r>
      </text>
    </comment>
    <comment ref="A1008" authorId="898">
      <text>
        <r>
          <rPr>
            <sz val="11"/>
            <color theme="1"/>
            <rFont val="Arial"/>
          </rPr>
          <t xml:space="preserve">Gabor Daniel:
Nothing here yet...perhaps at a different time?
</t>
        </r>
      </text>
    </comment>
    <comment ref="A1009" authorId="899">
      <text>
        <r>
          <rPr>
            <sz val="11"/>
            <color theme="1"/>
            <rFont val="Arial"/>
          </rPr>
          <t xml:space="preserve">Gabor Daniel:
Nothing here yet...perhaps at a different time?
</t>
        </r>
      </text>
    </comment>
    <comment ref="A1010" authorId="900">
      <text>
        <r>
          <rPr>
            <sz val="11"/>
            <color theme="1"/>
            <rFont val="Arial"/>
          </rPr>
          <t xml:space="preserve">Gabor Daniel:
Nothing here yet...perhaps at a different time?
</t>
        </r>
      </text>
    </comment>
    <comment ref="A1013" authorId="901">
      <text>
        <r>
          <rPr>
            <sz val="11"/>
            <color theme="1"/>
            <rFont val="Arial"/>
          </rPr>
          <t xml:space="preserve">Gabor Daniel:
Nothing here yet...perhaps at a different time?
</t>
        </r>
      </text>
    </comment>
    <comment ref="A1014" authorId="902">
      <text>
        <r>
          <rPr>
            <sz val="11"/>
            <color theme="1"/>
            <rFont val="Arial"/>
          </rPr>
          <t xml:space="preserve">Gabor Daniel:
Nothing here yet...perhaps at a different time?
</t>
        </r>
      </text>
    </comment>
    <comment ref="A1015" authorId="903">
      <text>
        <r>
          <rPr>
            <sz val="11"/>
            <color theme="1"/>
            <rFont val="Arial"/>
          </rPr>
          <t xml:space="preserve">Gabor Daniel:
Nothing here yet...perhaps at a different time?
</t>
        </r>
      </text>
    </comment>
    <comment ref="A1016" authorId="904">
      <text>
        <r>
          <rPr>
            <sz val="11"/>
            <color theme="1"/>
            <rFont val="Arial"/>
          </rPr>
          <t xml:space="preserve">Gabor Daniel:
Nothing here yet...perhaps at a different time?
</t>
        </r>
      </text>
    </comment>
    <comment ref="A1017" authorId="905">
      <text>
        <r>
          <rPr>
            <sz val="11"/>
            <color theme="1"/>
            <rFont val="Arial"/>
          </rPr>
          <t xml:space="preserve">Gabor Daniel:
Nothing here yet...perhaps at a different time?
</t>
        </r>
      </text>
    </comment>
    <comment ref="A1018" authorId="906">
      <text>
        <r>
          <rPr>
            <sz val="11"/>
            <color theme="1"/>
            <rFont val="Arial"/>
          </rPr>
          <t xml:space="preserve">Gabor Daniel:
Nothing here yet...perhaps at a different time?
</t>
        </r>
      </text>
    </comment>
    <comment ref="A1019" authorId="907">
      <text>
        <r>
          <rPr>
            <sz val="11"/>
            <color theme="1"/>
            <rFont val="Arial"/>
          </rPr>
          <t xml:space="preserve">Gabor Daniel:
Nothing here yet...perhaps at a different time?
</t>
        </r>
      </text>
    </comment>
    <comment ref="A1020" authorId="908">
      <text>
        <r>
          <rPr>
            <sz val="11"/>
            <color theme="1"/>
            <rFont val="Arial"/>
          </rPr>
          <t xml:space="preserve">Gabor Daniel:
Nothing here yet...perhaps at a different time?
</t>
        </r>
      </text>
    </comment>
    <comment ref="A1021" authorId="909">
      <text>
        <r>
          <rPr>
            <sz val="11"/>
            <color theme="1"/>
            <rFont val="Arial"/>
          </rPr>
          <t xml:space="preserve">Gabor Daniel:
Nothing here yet...perhaps at a different time?
</t>
        </r>
      </text>
    </comment>
    <comment ref="A1022" authorId="910">
      <text>
        <r>
          <rPr>
            <sz val="11"/>
            <color theme="1"/>
            <rFont val="Arial"/>
          </rPr>
          <t xml:space="preserve">Gabor Daniel:
Nothing here yet...perhaps at a different time?
</t>
        </r>
      </text>
    </comment>
    <comment ref="A1023" authorId="911">
      <text>
        <r>
          <rPr>
            <sz val="11"/>
            <color theme="1"/>
            <rFont val="Arial"/>
          </rPr>
          <t xml:space="preserve">Gabor Daniel:
Nothing here yet...perhaps at a different time?
</t>
        </r>
      </text>
    </comment>
    <comment ref="A1024" authorId="912">
      <text>
        <r>
          <rPr>
            <sz val="11"/>
            <color theme="1"/>
            <rFont val="Arial"/>
          </rPr>
          <t xml:space="preserve">Gabor Daniel:
Nothing here yet...perhaps at a different time?
</t>
        </r>
      </text>
    </comment>
    <comment ref="A1025" authorId="913">
      <text>
        <r>
          <rPr>
            <sz val="11"/>
            <color theme="1"/>
            <rFont val="Arial"/>
          </rPr>
          <t xml:space="preserve">Gabor Daniel:
Nothing here yet...perhaps at a different time?
</t>
        </r>
      </text>
    </comment>
    <comment ref="A1026" authorId="914">
      <text>
        <r>
          <rPr>
            <sz val="11"/>
            <color theme="1"/>
            <rFont val="Arial"/>
          </rPr>
          <t xml:space="preserve">Gabor Daniel:
Nothing here yet...perhaps at a different time?
</t>
        </r>
      </text>
    </comment>
    <comment ref="A1027" authorId="915">
      <text>
        <r>
          <rPr>
            <sz val="11"/>
            <color theme="1"/>
            <rFont val="Arial"/>
          </rPr>
          <t xml:space="preserve">Gabor Daniel:
Nothing here yet...perhaps at a different time?
</t>
        </r>
      </text>
    </comment>
    <comment ref="A1028" authorId="916">
      <text>
        <r>
          <rPr>
            <sz val="11"/>
            <color theme="1"/>
            <rFont val="Arial"/>
          </rPr>
          <t xml:space="preserve">Gabor Daniel:
Nothing here yet...perhaps at a different time?
</t>
        </r>
      </text>
    </comment>
    <comment ref="A1029" authorId="917">
      <text>
        <r>
          <rPr>
            <sz val="11"/>
            <color theme="1"/>
            <rFont val="Arial"/>
          </rPr>
          <t xml:space="preserve">Gabor Daniel:
Nothing here yet...perhaps at a different time?
</t>
        </r>
      </text>
    </comment>
    <comment ref="A1032" authorId="918">
      <text>
        <r>
          <rPr>
            <sz val="11"/>
            <color theme="1"/>
            <rFont val="Arial"/>
          </rPr>
          <t xml:space="preserve">Gabor Daniel:
Nothing here yet...perhaps at a different time?
</t>
        </r>
      </text>
    </comment>
    <comment ref="A1033" authorId="919">
      <text>
        <r>
          <rPr>
            <sz val="11"/>
            <color theme="1"/>
            <rFont val="Arial"/>
          </rPr>
          <t xml:space="preserve">Gabor Daniel:
Nothing here yet...perhaps at a different time?
</t>
        </r>
      </text>
    </comment>
    <comment ref="A1034" authorId="920">
      <text>
        <r>
          <rPr>
            <sz val="11"/>
            <color theme="1"/>
            <rFont val="Arial"/>
          </rPr>
          <t xml:space="preserve">Gabor Daniel:
Nothing here yet...perhaps at a different time?
</t>
        </r>
      </text>
    </comment>
    <comment ref="A1035" authorId="921">
      <text>
        <r>
          <rPr>
            <sz val="11"/>
            <color theme="1"/>
            <rFont val="Arial"/>
          </rPr>
          <t xml:space="preserve">Gabor Daniel:
Nothing here yet...perhaps at a different time?
</t>
        </r>
      </text>
    </comment>
    <comment ref="A1036" authorId="922">
      <text>
        <r>
          <rPr>
            <sz val="11"/>
            <color theme="1"/>
            <rFont val="Arial"/>
          </rPr>
          <t xml:space="preserve">Gabor Daniel:
Nothing here yet...perhaps at a different time?
</t>
        </r>
      </text>
    </comment>
    <comment ref="A1037" authorId="923">
      <text>
        <r>
          <rPr>
            <sz val="11"/>
            <color theme="1"/>
            <rFont val="Arial"/>
          </rPr>
          <t xml:space="preserve">Gabor Daniel:
Nothing here yet...perhaps at a different time?
</t>
        </r>
      </text>
    </comment>
    <comment ref="A1038" authorId="924">
      <text>
        <r>
          <rPr>
            <sz val="11"/>
            <color theme="1"/>
            <rFont val="Arial"/>
          </rPr>
          <t xml:space="preserve">Gabor Daniel:
Nothing here yet...perhaps at a different time?
</t>
        </r>
      </text>
    </comment>
    <comment ref="A1039" authorId="925">
      <text>
        <r>
          <rPr>
            <sz val="11"/>
            <color theme="1"/>
            <rFont val="Arial"/>
          </rPr>
          <t xml:space="preserve">Gabor Daniel:
Nothing here yet...perhaps at a different time?
</t>
        </r>
      </text>
    </comment>
    <comment ref="A1040" authorId="926">
      <text>
        <r>
          <rPr>
            <sz val="11"/>
            <color theme="1"/>
            <rFont val="Arial"/>
          </rPr>
          <t xml:space="preserve">Gabor Daniel:
Nothing here yet...perhaps at a different time?
</t>
        </r>
      </text>
    </comment>
    <comment ref="A1041" authorId="927">
      <text>
        <r>
          <rPr>
            <sz val="11"/>
            <color theme="1"/>
            <rFont val="Arial"/>
          </rPr>
          <t xml:space="preserve">Gabor Daniel:
Nothing here yet...perhaps at a different time?
</t>
        </r>
      </text>
    </comment>
    <comment ref="A1042" authorId="928">
      <text>
        <r>
          <rPr>
            <sz val="11"/>
            <color theme="1"/>
            <rFont val="Arial"/>
          </rPr>
          <t xml:space="preserve">Gabor Daniel:
Nothing here yet...perhaps at a different time?
</t>
        </r>
      </text>
    </comment>
    <comment ref="A1043" authorId="929">
      <text>
        <r>
          <rPr>
            <sz val="11"/>
            <color theme="1"/>
            <rFont val="Arial"/>
          </rPr>
          <t xml:space="preserve">Gabor Daniel:
Nothing here yet...perhaps at a different time?
</t>
        </r>
      </text>
    </comment>
    <comment ref="A1044" authorId="930">
      <text>
        <r>
          <rPr>
            <sz val="11"/>
            <color theme="1"/>
            <rFont val="Arial"/>
          </rPr>
          <t xml:space="preserve">Gabor Daniel:
Nothing here yet...perhaps at a different time?
</t>
        </r>
      </text>
    </comment>
    <comment ref="A1045" authorId="931">
      <text>
        <r>
          <rPr>
            <sz val="11"/>
            <color theme="1"/>
            <rFont val="Arial"/>
          </rPr>
          <t xml:space="preserve">Gabor Daniel:
Nothing here yet...perhaps at a different time?
</t>
        </r>
      </text>
    </comment>
    <comment ref="A1046" authorId="932">
      <text>
        <r>
          <rPr>
            <sz val="11"/>
            <color theme="1"/>
            <rFont val="Arial"/>
          </rPr>
          <t xml:space="preserve">Gabor Daniel:
Nothing here yet...perhaps at a different time?
</t>
        </r>
      </text>
    </comment>
    <comment ref="A1047" authorId="933">
      <text>
        <r>
          <rPr>
            <sz val="11"/>
            <color theme="1"/>
            <rFont val="Arial"/>
          </rPr>
          <t xml:space="preserve">Gabor Daniel:
Nothing here yet...perhaps at a different time?
</t>
        </r>
      </text>
    </comment>
    <comment ref="A1048" authorId="934">
      <text>
        <r>
          <rPr>
            <sz val="11"/>
            <color theme="1"/>
            <rFont val="Arial"/>
          </rPr>
          <t xml:space="preserve">Gabor Daniel:
Nothing here yet...perhaps at a different time?
</t>
        </r>
      </text>
    </comment>
    <comment ref="A1051" authorId="935">
      <text>
        <r>
          <rPr>
            <sz val="11"/>
            <color theme="1"/>
            <rFont val="Arial"/>
          </rPr>
          <t xml:space="preserve">Gabor Daniel:
Nothing here yet...perhaps at a different time?
</t>
        </r>
      </text>
    </comment>
    <comment ref="A1052" authorId="936">
      <text>
        <r>
          <rPr>
            <sz val="11"/>
            <color theme="1"/>
            <rFont val="Arial"/>
          </rPr>
          <t xml:space="preserve">Gabor Daniel:
Nothing here yet...perhaps at a different time?
</t>
        </r>
      </text>
    </comment>
    <comment ref="A1053" authorId="937">
      <text>
        <r>
          <rPr>
            <sz val="11"/>
            <color theme="1"/>
            <rFont val="Arial"/>
          </rPr>
          <t xml:space="preserve">Gabor Daniel:
Nothing here yet...perhaps at a different time?
</t>
        </r>
      </text>
    </comment>
    <comment ref="A1054" authorId="938">
      <text>
        <r>
          <rPr>
            <sz val="11"/>
            <color theme="1"/>
            <rFont val="Arial"/>
          </rPr>
          <t xml:space="preserve">Gabor Daniel:
Nothing here yet...perhaps at a different time?
</t>
        </r>
      </text>
    </comment>
    <comment ref="A1055" authorId="939">
      <text>
        <r>
          <rPr>
            <sz val="11"/>
            <color theme="1"/>
            <rFont val="Arial"/>
          </rPr>
          <t xml:space="preserve">Gabor Daniel:
Nothing here yet...perhaps at a different time?
</t>
        </r>
      </text>
    </comment>
    <comment ref="A1056" authorId="940">
      <text>
        <r>
          <rPr>
            <sz val="11"/>
            <color theme="1"/>
            <rFont val="Arial"/>
          </rPr>
          <t xml:space="preserve">Gabor Daniel:
Nothing here yet...perhaps at a different time?
</t>
        </r>
      </text>
    </comment>
    <comment ref="A1057" authorId="941">
      <text>
        <r>
          <rPr>
            <sz val="11"/>
            <color theme="1"/>
            <rFont val="Arial"/>
          </rPr>
          <t xml:space="preserve">Gabor Daniel:
Nothing here yet...perhaps at a different time?
</t>
        </r>
      </text>
    </comment>
    <comment ref="A1058" authorId="942">
      <text>
        <r>
          <rPr>
            <sz val="11"/>
            <color theme="1"/>
            <rFont val="Arial"/>
          </rPr>
          <t xml:space="preserve">Gabor Daniel:
Nothing here yet...perhaps at a different time?
</t>
        </r>
      </text>
    </comment>
    <comment ref="A1059" authorId="943">
      <text>
        <r>
          <rPr>
            <sz val="11"/>
            <color theme="1"/>
            <rFont val="Arial"/>
          </rPr>
          <t xml:space="preserve">Gabor Daniel:
Nothing here yet...perhaps at a different time?
</t>
        </r>
      </text>
    </comment>
    <comment ref="A1060" authorId="944">
      <text>
        <r>
          <rPr>
            <sz val="11"/>
            <color theme="1"/>
            <rFont val="Arial"/>
          </rPr>
          <t xml:space="preserve">Gabor Daniel:
Nothing here yet...perhaps at a different time?
</t>
        </r>
      </text>
    </comment>
    <comment ref="A1061" authorId="945">
      <text>
        <r>
          <rPr>
            <sz val="11"/>
            <color theme="1"/>
            <rFont val="Arial"/>
          </rPr>
          <t xml:space="preserve">Gabor Daniel:
Nothing here yet...perhaps at a different time?
</t>
        </r>
      </text>
    </comment>
    <comment ref="A1062" authorId="946">
      <text>
        <r>
          <rPr>
            <sz val="11"/>
            <color theme="1"/>
            <rFont val="Arial"/>
          </rPr>
          <t xml:space="preserve">Gabor Daniel:
Nothing here yet...perhaps at a different time?
</t>
        </r>
      </text>
    </comment>
    <comment ref="A1063" authorId="947">
      <text>
        <r>
          <rPr>
            <sz val="11"/>
            <color theme="1"/>
            <rFont val="Arial"/>
          </rPr>
          <t xml:space="preserve">Gabor Daniel:
Nothing here yet...perhaps at a different time?
</t>
        </r>
      </text>
    </comment>
    <comment ref="A1064" authorId="948">
      <text>
        <r>
          <rPr>
            <sz val="11"/>
            <color theme="1"/>
            <rFont val="Arial"/>
          </rPr>
          <t xml:space="preserve">Gabor Daniel:
Nothing here yet...perhaps at a different time?
</t>
        </r>
      </text>
    </comment>
    <comment ref="A1065" authorId="949">
      <text>
        <r>
          <rPr>
            <sz val="11"/>
            <color theme="1"/>
            <rFont val="Arial"/>
          </rPr>
          <t xml:space="preserve">Gabor Daniel:
Nothing here yet...perhaps at a different time?
</t>
        </r>
      </text>
    </comment>
    <comment ref="A1066" authorId="950">
      <text>
        <r>
          <rPr>
            <sz val="11"/>
            <color theme="1"/>
            <rFont val="Arial"/>
          </rPr>
          <t xml:space="preserve">Gabor Daniel:
Nothing here yet...perhaps at a different time?
</t>
        </r>
      </text>
    </comment>
    <comment ref="A1067" authorId="951">
      <text>
        <r>
          <rPr>
            <sz val="11"/>
            <color theme="1"/>
            <rFont val="Arial"/>
          </rPr>
          <t xml:space="preserve">Gabor Daniel:
Nothing here yet...perhaps at a different time?
</t>
        </r>
      </text>
    </comment>
    <comment ref="A1070" authorId="952">
      <text>
        <r>
          <rPr>
            <sz val="11"/>
            <color theme="1"/>
            <rFont val="Arial"/>
          </rPr>
          <t xml:space="preserve">Gabor Daniel:
Nothing here yet...perhaps at a different time?
</t>
        </r>
      </text>
    </comment>
    <comment ref="A1071" authorId="953">
      <text>
        <r>
          <rPr>
            <sz val="11"/>
            <color theme="1"/>
            <rFont val="Arial"/>
          </rPr>
          <t xml:space="preserve">Gabor Daniel:
Nothing here yet...perhaps at a different time?
</t>
        </r>
      </text>
    </comment>
    <comment ref="A1072" authorId="954">
      <text>
        <r>
          <rPr>
            <sz val="11"/>
            <color theme="1"/>
            <rFont val="Arial"/>
          </rPr>
          <t xml:space="preserve">Gabor Daniel:
Nothing here yet...perhaps at a different time?
</t>
        </r>
      </text>
    </comment>
    <comment ref="A1073" authorId="955">
      <text>
        <r>
          <rPr>
            <sz val="11"/>
            <color theme="1"/>
            <rFont val="Arial"/>
          </rPr>
          <t xml:space="preserve">Gabor Daniel:
Nothing here yet...perhaps at a different time?
</t>
        </r>
      </text>
    </comment>
    <comment ref="A1074" authorId="956">
      <text>
        <r>
          <rPr>
            <sz val="11"/>
            <color theme="1"/>
            <rFont val="Arial"/>
          </rPr>
          <t xml:space="preserve">Gabor Daniel:
Nothing here yet...perhaps at a different time?
</t>
        </r>
      </text>
    </comment>
    <comment ref="A1075" authorId="957">
      <text>
        <r>
          <rPr>
            <sz val="11"/>
            <color theme="1"/>
            <rFont val="Arial"/>
          </rPr>
          <t xml:space="preserve">Gabor Daniel:
Nothing here yet...perhaps at a different time?
</t>
        </r>
      </text>
    </comment>
    <comment ref="A1076" authorId="958">
      <text>
        <r>
          <rPr>
            <sz val="11"/>
            <color theme="1"/>
            <rFont val="Arial"/>
          </rPr>
          <t xml:space="preserve">Gabor Daniel:
Nothing here yet...perhaps at a different time?
</t>
        </r>
      </text>
    </comment>
    <comment ref="A1077" authorId="959">
      <text>
        <r>
          <rPr>
            <sz val="11"/>
            <color theme="1"/>
            <rFont val="Arial"/>
          </rPr>
          <t xml:space="preserve">Gabor Daniel:
Nothing here yet...perhaps at a different time?
</t>
        </r>
      </text>
    </comment>
    <comment ref="A1078" authorId="960">
      <text>
        <r>
          <rPr>
            <sz val="11"/>
            <color theme="1"/>
            <rFont val="Arial"/>
          </rPr>
          <t xml:space="preserve">Gabor Daniel:
Nothing here yet...perhaps at a different time?
</t>
        </r>
      </text>
    </comment>
    <comment ref="A1079" authorId="961">
      <text>
        <r>
          <rPr>
            <sz val="11"/>
            <color theme="1"/>
            <rFont val="Arial"/>
          </rPr>
          <t xml:space="preserve">Gabor Daniel:
Nothing here yet...perhaps at a different time?
</t>
        </r>
      </text>
    </comment>
    <comment ref="A1080" authorId="962">
      <text>
        <r>
          <rPr>
            <sz val="11"/>
            <color theme="1"/>
            <rFont val="Arial"/>
          </rPr>
          <t xml:space="preserve">Gabor Daniel:
Nothing here yet...perhaps at a different time?
</t>
        </r>
      </text>
    </comment>
    <comment ref="A1081" authorId="963">
      <text>
        <r>
          <rPr>
            <sz val="11"/>
            <color theme="1"/>
            <rFont val="Arial"/>
          </rPr>
          <t xml:space="preserve">Gabor Daniel:
Nothing here yet...perhaps at a different time?
</t>
        </r>
      </text>
    </comment>
    <comment ref="A1082" authorId="964">
      <text>
        <r>
          <rPr>
            <sz val="11"/>
            <color theme="1"/>
            <rFont val="Arial"/>
          </rPr>
          <t xml:space="preserve">Gabor Daniel:
Nothing here yet...perhaps at a different time?
</t>
        </r>
      </text>
    </comment>
    <comment ref="A1083" authorId="965">
      <text>
        <r>
          <rPr>
            <sz val="11"/>
            <color theme="1"/>
            <rFont val="Arial"/>
          </rPr>
          <t xml:space="preserve">Gabor Daniel:
Nothing here yet...perhaps at a different time?
</t>
        </r>
      </text>
    </comment>
    <comment ref="A1084" authorId="966">
      <text>
        <r>
          <rPr>
            <sz val="11"/>
            <color theme="1"/>
            <rFont val="Arial"/>
          </rPr>
          <t xml:space="preserve">Gabor Daniel:
Nothing here yet...perhaps at a different time?
</t>
        </r>
      </text>
    </comment>
    <comment ref="A1085" authorId="967">
      <text>
        <r>
          <rPr>
            <sz val="11"/>
            <color theme="1"/>
            <rFont val="Arial"/>
          </rPr>
          <t xml:space="preserve">Gabor Daniel:
Nothing here yet...perhaps at a different time?
</t>
        </r>
      </text>
    </comment>
    <comment ref="A1086" authorId="968">
      <text>
        <r>
          <rPr>
            <sz val="11"/>
            <color theme="1"/>
            <rFont val="Arial"/>
          </rPr>
          <t xml:space="preserve">Gabor Daniel:
Nothing here yet...perhaps at a different time?
</t>
        </r>
      </text>
    </comment>
    <comment ref="A1089" authorId="969">
      <text>
        <r>
          <rPr>
            <sz val="11"/>
            <color theme="1"/>
            <rFont val="Arial"/>
          </rPr>
          <t xml:space="preserve">Gabor Daniel:
Nothing here yet...perhaps at a different time?
</t>
        </r>
      </text>
    </comment>
    <comment ref="A1090" authorId="970">
      <text>
        <r>
          <rPr>
            <sz val="11"/>
            <color theme="1"/>
            <rFont val="Arial"/>
          </rPr>
          <t xml:space="preserve">Gabor Daniel:
Nothing here yet...perhaps at a different time?
</t>
        </r>
      </text>
    </comment>
    <comment ref="A1091" authorId="971">
      <text>
        <r>
          <rPr>
            <sz val="11"/>
            <color theme="1"/>
            <rFont val="Arial"/>
          </rPr>
          <t xml:space="preserve">Gabor Daniel:
Nothing here yet...perhaps at a different time?
</t>
        </r>
      </text>
    </comment>
    <comment ref="A1092" authorId="972">
      <text>
        <r>
          <rPr>
            <sz val="11"/>
            <color theme="1"/>
            <rFont val="Arial"/>
          </rPr>
          <t xml:space="preserve">Gabor Daniel:
Nothing here yet...perhaps at a different time?
</t>
        </r>
      </text>
    </comment>
    <comment ref="A1093" authorId="973">
      <text>
        <r>
          <rPr>
            <sz val="11"/>
            <color theme="1"/>
            <rFont val="Arial"/>
          </rPr>
          <t xml:space="preserve">Gabor Daniel:
Nothing here yet...perhaps at a different time?
</t>
        </r>
      </text>
    </comment>
    <comment ref="A1094" authorId="974">
      <text>
        <r>
          <rPr>
            <sz val="11"/>
            <color theme="1"/>
            <rFont val="Arial"/>
          </rPr>
          <t xml:space="preserve">Gabor Daniel:
Nothing here yet...perhaps at a different time?
</t>
        </r>
      </text>
    </comment>
    <comment ref="A1095" authorId="975">
      <text>
        <r>
          <rPr>
            <sz val="11"/>
            <color theme="1"/>
            <rFont val="Arial"/>
          </rPr>
          <t xml:space="preserve">Gabor Daniel:
Nothing here yet...perhaps at a different time?
</t>
        </r>
      </text>
    </comment>
    <comment ref="A1096" authorId="976">
      <text>
        <r>
          <rPr>
            <sz val="11"/>
            <color theme="1"/>
            <rFont val="Arial"/>
          </rPr>
          <t xml:space="preserve">Gabor Daniel:
Nothing here yet...perhaps at a different time?
</t>
        </r>
      </text>
    </comment>
    <comment ref="A1097" authorId="977">
      <text>
        <r>
          <rPr>
            <sz val="11"/>
            <color theme="1"/>
            <rFont val="Arial"/>
          </rPr>
          <t xml:space="preserve">Gabor Daniel:
Nothing here yet...perhaps at a different time?
</t>
        </r>
      </text>
    </comment>
    <comment ref="A1098" authorId="978">
      <text>
        <r>
          <rPr>
            <sz val="11"/>
            <color theme="1"/>
            <rFont val="Arial"/>
          </rPr>
          <t xml:space="preserve">Gabor Daniel:
Nothing here yet...perhaps at a different time?
</t>
        </r>
      </text>
    </comment>
    <comment ref="A1099" authorId="979">
      <text>
        <r>
          <rPr>
            <sz val="11"/>
            <color theme="1"/>
            <rFont val="Arial"/>
          </rPr>
          <t xml:space="preserve">Gabor Daniel:
Nothing here yet...perhaps at a different time?
</t>
        </r>
      </text>
    </comment>
    <comment ref="A1100" authorId="980">
      <text>
        <r>
          <rPr>
            <sz val="11"/>
            <color theme="1"/>
            <rFont val="Arial"/>
          </rPr>
          <t xml:space="preserve">Gabor Daniel:
Nothing here yet...perhaps at a different time?
</t>
        </r>
      </text>
    </comment>
    <comment ref="A1101" authorId="981">
      <text>
        <r>
          <rPr>
            <sz val="11"/>
            <color theme="1"/>
            <rFont val="Arial"/>
          </rPr>
          <t xml:space="preserve">Gabor Daniel:
Nothing here yet...perhaps at a different time?
</t>
        </r>
      </text>
    </comment>
    <comment ref="A1102" authorId="982">
      <text>
        <r>
          <rPr>
            <sz val="11"/>
            <color theme="1"/>
            <rFont val="Arial"/>
          </rPr>
          <t xml:space="preserve">Gabor Daniel:
Nothing here yet...perhaps at a different time?
</t>
        </r>
      </text>
    </comment>
    <comment ref="A1103" authorId="983">
      <text>
        <r>
          <rPr>
            <sz val="11"/>
            <color theme="1"/>
            <rFont val="Arial"/>
          </rPr>
          <t xml:space="preserve">Gabor Daniel:
Nothing here yet...perhaps at a different time?
</t>
        </r>
      </text>
    </comment>
    <comment ref="A1104" authorId="984">
      <text>
        <r>
          <rPr>
            <sz val="11"/>
            <color theme="1"/>
            <rFont val="Arial"/>
          </rPr>
          <t xml:space="preserve">Gabor Daniel:
Nothing here yet...perhaps at a different time?
</t>
        </r>
      </text>
    </comment>
    <comment ref="A1105" authorId="985">
      <text>
        <r>
          <rPr>
            <sz val="11"/>
            <color theme="1"/>
            <rFont val="Arial"/>
          </rPr>
          <t xml:space="preserve">Gabor Daniel:
Nothing here yet...perhaps at a different time?
</t>
        </r>
      </text>
    </comment>
    <comment ref="A1108" authorId="986">
      <text>
        <r>
          <rPr>
            <sz val="11"/>
            <color theme="1"/>
            <rFont val="Arial"/>
          </rPr>
          <t xml:space="preserve">Gabor Daniel:
Nothing here yet...perhaps at a different time?
</t>
        </r>
      </text>
    </comment>
    <comment ref="A1109" authorId="987">
      <text>
        <r>
          <rPr>
            <sz val="11"/>
            <color theme="1"/>
            <rFont val="Arial"/>
          </rPr>
          <t xml:space="preserve">Gabor Daniel:
Nothing here yet...perhaps at a different time?
</t>
        </r>
      </text>
    </comment>
    <comment ref="A1110" authorId="988">
      <text>
        <r>
          <rPr>
            <sz val="11"/>
            <color theme="1"/>
            <rFont val="Arial"/>
          </rPr>
          <t xml:space="preserve">Gabor Daniel:
Nothing here yet...perhaps at a different time?
</t>
        </r>
      </text>
    </comment>
    <comment ref="A1111" authorId="989">
      <text>
        <r>
          <rPr>
            <sz val="11"/>
            <color theme="1"/>
            <rFont val="Arial"/>
          </rPr>
          <t xml:space="preserve">Gabor Daniel:
Nothing here yet...perhaps at a different time?
</t>
        </r>
      </text>
    </comment>
    <comment ref="A1112" authorId="990">
      <text>
        <r>
          <rPr>
            <sz val="11"/>
            <color theme="1"/>
            <rFont val="Arial"/>
          </rPr>
          <t xml:space="preserve">Gabor Daniel:
Nothing here yet...perhaps at a different time?
</t>
        </r>
      </text>
    </comment>
    <comment ref="A1113" authorId="991">
      <text>
        <r>
          <rPr>
            <sz val="11"/>
            <color theme="1"/>
            <rFont val="Arial"/>
          </rPr>
          <t xml:space="preserve">Gabor Daniel:
Nothing here yet...perhaps at a different time?
</t>
        </r>
      </text>
    </comment>
    <comment ref="A1114" authorId="992">
      <text>
        <r>
          <rPr>
            <sz val="11"/>
            <color theme="1"/>
            <rFont val="Arial"/>
          </rPr>
          <t xml:space="preserve">Gabor Daniel:
Nothing here yet...perhaps at a different time?
</t>
        </r>
      </text>
    </comment>
    <comment ref="A1115" authorId="993">
      <text>
        <r>
          <rPr>
            <sz val="11"/>
            <color theme="1"/>
            <rFont val="Arial"/>
          </rPr>
          <t xml:space="preserve">Gabor Daniel:
Nothing here yet...perhaps at a different time?
</t>
        </r>
      </text>
    </comment>
    <comment ref="A1116" authorId="994">
      <text>
        <r>
          <rPr>
            <sz val="11"/>
            <color theme="1"/>
            <rFont val="Arial"/>
          </rPr>
          <t xml:space="preserve">Gabor Daniel:
Nothing here yet...perhaps at a different time?
</t>
        </r>
      </text>
    </comment>
    <comment ref="A1117" authorId="995">
      <text>
        <r>
          <rPr>
            <sz val="11"/>
            <color theme="1"/>
            <rFont val="Arial"/>
          </rPr>
          <t xml:space="preserve">Gabor Daniel:
Nothing here yet...perhaps at a different time?
</t>
        </r>
      </text>
    </comment>
    <comment ref="A1118" authorId="996">
      <text>
        <r>
          <rPr>
            <sz val="11"/>
            <color theme="1"/>
            <rFont val="Arial"/>
          </rPr>
          <t xml:space="preserve">Gabor Daniel:
Nothing here yet...perhaps at a different time?
</t>
        </r>
      </text>
    </comment>
    <comment ref="A1119" authorId="997">
      <text>
        <r>
          <rPr>
            <sz val="11"/>
            <color theme="1"/>
            <rFont val="Arial"/>
          </rPr>
          <t xml:space="preserve">Gabor Daniel:
Nothing here yet...perhaps at a different time?
</t>
        </r>
      </text>
    </comment>
    <comment ref="A1120" authorId="998">
      <text>
        <r>
          <rPr>
            <sz val="11"/>
            <color theme="1"/>
            <rFont val="Arial"/>
          </rPr>
          <t xml:space="preserve">Gabor Daniel:
Nothing here yet...perhaps at a different time?
</t>
        </r>
      </text>
    </comment>
    <comment ref="A1121" authorId="999">
      <text>
        <r>
          <rPr>
            <sz val="11"/>
            <color theme="1"/>
            <rFont val="Arial"/>
          </rPr>
          <t xml:space="preserve">Gabor Daniel:
Nothing here yet...perhaps at a different time?
</t>
        </r>
      </text>
    </comment>
    <comment ref="A1122" authorId="1000">
      <text>
        <r>
          <rPr>
            <sz val="11"/>
            <color theme="1"/>
            <rFont val="Arial"/>
          </rPr>
          <t xml:space="preserve">Gabor Daniel:
Nothing here yet...perhaps at a different time?
</t>
        </r>
      </text>
    </comment>
    <comment ref="A1123" authorId="1001">
      <text>
        <r>
          <rPr>
            <sz val="11"/>
            <color theme="1"/>
            <rFont val="Arial"/>
          </rPr>
          <t xml:space="preserve">Gabor Daniel:
Nothing here yet...perhaps at a different time?
</t>
        </r>
      </text>
    </comment>
    <comment ref="A1124" authorId="1002">
      <text>
        <r>
          <rPr>
            <sz val="11"/>
            <color theme="1"/>
            <rFont val="Arial"/>
          </rPr>
          <t xml:space="preserve">Gabor Daniel:
Nothing here yet...perhaps at a different time?
</t>
        </r>
      </text>
    </comment>
    <comment ref="A1127" authorId="1003">
      <text>
        <r>
          <rPr>
            <sz val="11"/>
            <color theme="1"/>
            <rFont val="Arial"/>
          </rPr>
          <t xml:space="preserve">Gabor Daniel:
Nothing here yet...perhaps at a different time?
</t>
        </r>
      </text>
    </comment>
    <comment ref="A1128" authorId="1004">
      <text>
        <r>
          <rPr>
            <sz val="11"/>
            <color theme="1"/>
            <rFont val="Arial"/>
          </rPr>
          <t xml:space="preserve">Gabor Daniel:
Nothing here yet...perhaps at a different time?
</t>
        </r>
      </text>
    </comment>
    <comment ref="A1129" authorId="1005">
      <text>
        <r>
          <rPr>
            <sz val="11"/>
            <color theme="1"/>
            <rFont val="Arial"/>
          </rPr>
          <t xml:space="preserve">Gabor Daniel:
Nothing here yet...perhaps at a different time?
</t>
        </r>
      </text>
    </comment>
    <comment ref="A1130" authorId="1006">
      <text>
        <r>
          <rPr>
            <sz val="11"/>
            <color theme="1"/>
            <rFont val="Arial"/>
          </rPr>
          <t xml:space="preserve">Gabor Daniel:
Nothing here yet...perhaps at a different time?
</t>
        </r>
      </text>
    </comment>
    <comment ref="A1131" authorId="1007">
      <text>
        <r>
          <rPr>
            <sz val="11"/>
            <color theme="1"/>
            <rFont val="Arial"/>
          </rPr>
          <t xml:space="preserve">Gabor Daniel:
Nothing here yet...perhaps at a different time?
</t>
        </r>
      </text>
    </comment>
    <comment ref="A1132" authorId="1008">
      <text>
        <r>
          <rPr>
            <sz val="11"/>
            <color theme="1"/>
            <rFont val="Arial"/>
          </rPr>
          <t xml:space="preserve">Gabor Daniel:
Nothing here yet...perhaps at a different time?
</t>
        </r>
      </text>
    </comment>
    <comment ref="A1133" authorId="1009">
      <text>
        <r>
          <rPr>
            <sz val="11"/>
            <color theme="1"/>
            <rFont val="Arial"/>
          </rPr>
          <t xml:space="preserve">Gabor Daniel:
Nothing here yet...perhaps at a different time?
</t>
        </r>
      </text>
    </comment>
    <comment ref="A1134" authorId="1010">
      <text>
        <r>
          <rPr>
            <sz val="11"/>
            <color theme="1"/>
            <rFont val="Arial"/>
          </rPr>
          <t xml:space="preserve">Gabor Daniel:
Nothing here yet...perhaps at a different time?
</t>
        </r>
      </text>
    </comment>
    <comment ref="A1135" authorId="1011">
      <text>
        <r>
          <rPr>
            <sz val="11"/>
            <color theme="1"/>
            <rFont val="Arial"/>
          </rPr>
          <t xml:space="preserve">Gabor Daniel:
Nothing here yet...perhaps at a different time?
</t>
        </r>
      </text>
    </comment>
    <comment ref="A1136" authorId="1012">
      <text>
        <r>
          <rPr>
            <sz val="11"/>
            <color theme="1"/>
            <rFont val="Arial"/>
          </rPr>
          <t xml:space="preserve">Gabor Daniel:
Nothing here yet...perhaps at a different time?
</t>
        </r>
      </text>
    </comment>
    <comment ref="A1137" authorId="1013">
      <text>
        <r>
          <rPr>
            <sz val="11"/>
            <color theme="1"/>
            <rFont val="Arial"/>
          </rPr>
          <t xml:space="preserve">Gabor Daniel:
Nothing here yet...perhaps at a different time?
</t>
        </r>
      </text>
    </comment>
    <comment ref="A1138" authorId="1014">
      <text>
        <r>
          <rPr>
            <sz val="11"/>
            <color theme="1"/>
            <rFont val="Arial"/>
          </rPr>
          <t xml:space="preserve">Gabor Daniel:
Nothing here yet...perhaps at a different time?
</t>
        </r>
      </text>
    </comment>
    <comment ref="A1139" authorId="1015">
      <text>
        <r>
          <rPr>
            <sz val="11"/>
            <color theme="1"/>
            <rFont val="Arial"/>
          </rPr>
          <t xml:space="preserve">Gabor Daniel:
Nothing here yet...perhaps at a different time?
</t>
        </r>
      </text>
    </comment>
    <comment ref="A1140" authorId="1016">
      <text>
        <r>
          <rPr>
            <sz val="11"/>
            <color theme="1"/>
            <rFont val="Arial"/>
          </rPr>
          <t xml:space="preserve">Gabor Daniel:
Nothing here yet...perhaps at a different time?
</t>
        </r>
      </text>
    </comment>
    <comment ref="A1141" authorId="1017">
      <text>
        <r>
          <rPr>
            <sz val="11"/>
            <color theme="1"/>
            <rFont val="Arial"/>
          </rPr>
          <t xml:space="preserve">Gabor Daniel:
Nothing here yet...perhaps at a different time?
</t>
        </r>
      </text>
    </comment>
    <comment ref="A1142" authorId="1018">
      <text>
        <r>
          <rPr>
            <sz val="11"/>
            <color theme="1"/>
            <rFont val="Arial"/>
          </rPr>
          <t xml:space="preserve">Gabor Daniel:
Nothing here yet...perhaps at a different time?
</t>
        </r>
      </text>
    </comment>
    <comment ref="A1143" authorId="1019">
      <text>
        <r>
          <rPr>
            <sz val="11"/>
            <color theme="1"/>
            <rFont val="Arial"/>
          </rPr>
          <t xml:space="preserve">Gabor Daniel:
Nothing here yet...perhaps at a different time?
</t>
        </r>
      </text>
    </comment>
    <comment ref="A1146" authorId="1020">
      <text>
        <r>
          <rPr>
            <sz val="11"/>
            <color theme="1"/>
            <rFont val="Arial"/>
          </rPr>
          <t xml:space="preserve">Gabor Daniel:
Nothing here yet...perhaps at a different time?
</t>
        </r>
      </text>
    </comment>
    <comment ref="A1147" authorId="1021">
      <text>
        <r>
          <rPr>
            <sz val="11"/>
            <color theme="1"/>
            <rFont val="Arial"/>
          </rPr>
          <t xml:space="preserve">Gabor Daniel:
Nothing here yet...perhaps at a different time?
</t>
        </r>
      </text>
    </comment>
    <comment ref="A1148" authorId="1022">
      <text>
        <r>
          <rPr>
            <sz val="11"/>
            <color theme="1"/>
            <rFont val="Arial"/>
          </rPr>
          <t xml:space="preserve">Gabor Daniel:
Nothing here yet...perhaps at a different time?
</t>
        </r>
      </text>
    </comment>
    <comment ref="A1149" authorId="1023">
      <text>
        <r>
          <rPr>
            <sz val="11"/>
            <color theme="1"/>
            <rFont val="Arial"/>
          </rPr>
          <t xml:space="preserve">Gabor Daniel:
Nothing here yet...perhaps at a different time?
</t>
        </r>
      </text>
    </comment>
    <comment ref="A1150" authorId="1024">
      <text>
        <r>
          <rPr>
            <sz val="11"/>
            <color theme="1"/>
            <rFont val="Arial"/>
          </rPr>
          <t xml:space="preserve">Gabor Daniel:
Nothing here yet...perhaps at a different time?
</t>
        </r>
      </text>
    </comment>
    <comment ref="A1151" authorId="1025">
      <text>
        <r>
          <rPr>
            <sz val="11"/>
            <color theme="1"/>
            <rFont val="Arial"/>
          </rPr>
          <t xml:space="preserve">Gabor Daniel:
Nothing here yet...perhaps at a different time?
</t>
        </r>
      </text>
    </comment>
    <comment ref="A1152" authorId="1026">
      <text>
        <r>
          <rPr>
            <sz val="11"/>
            <color theme="1"/>
            <rFont val="Arial"/>
          </rPr>
          <t xml:space="preserve">Gabor Daniel:
Nothing here yet...perhaps at a different time?
</t>
        </r>
      </text>
    </comment>
    <comment ref="A1153" authorId="1027">
      <text>
        <r>
          <rPr>
            <sz val="11"/>
            <color theme="1"/>
            <rFont val="Arial"/>
          </rPr>
          <t xml:space="preserve">Gabor Daniel:
Nothing here yet...perhaps at a different time?
</t>
        </r>
      </text>
    </comment>
    <comment ref="A1154" authorId="1028">
      <text>
        <r>
          <rPr>
            <sz val="11"/>
            <color theme="1"/>
            <rFont val="Arial"/>
          </rPr>
          <t xml:space="preserve">Gabor Daniel:
Nothing here yet...perhaps at a different time?
</t>
        </r>
      </text>
    </comment>
    <comment ref="A1155" authorId="1029">
      <text>
        <r>
          <rPr>
            <sz val="11"/>
            <color theme="1"/>
            <rFont val="Arial"/>
          </rPr>
          <t xml:space="preserve">Gabor Daniel:
Nothing here yet...perhaps at a different time?
</t>
        </r>
      </text>
    </comment>
    <comment ref="A1156" authorId="1030">
      <text>
        <r>
          <rPr>
            <sz val="11"/>
            <color theme="1"/>
            <rFont val="Arial"/>
          </rPr>
          <t xml:space="preserve">Gabor Daniel:
Nothing here yet...perhaps at a different time?
</t>
        </r>
      </text>
    </comment>
    <comment ref="A1157" authorId="1031">
      <text>
        <r>
          <rPr>
            <sz val="11"/>
            <color theme="1"/>
            <rFont val="Arial"/>
          </rPr>
          <t xml:space="preserve">Gabor Daniel:
Nothing here yet...perhaps at a different time?
</t>
        </r>
      </text>
    </comment>
    <comment ref="A1158" authorId="1032">
      <text>
        <r>
          <rPr>
            <sz val="11"/>
            <color theme="1"/>
            <rFont val="Arial"/>
          </rPr>
          <t xml:space="preserve">Gabor Daniel:
Nothing here yet...perhaps at a different time?
</t>
        </r>
      </text>
    </comment>
    <comment ref="A1159" authorId="1033">
      <text>
        <r>
          <rPr>
            <sz val="11"/>
            <color theme="1"/>
            <rFont val="Arial"/>
          </rPr>
          <t xml:space="preserve">Gabor Daniel:
Nothing here yet...perhaps at a different time?
</t>
        </r>
      </text>
    </comment>
    <comment ref="A1160" authorId="1034">
      <text>
        <r>
          <rPr>
            <sz val="11"/>
            <color theme="1"/>
            <rFont val="Arial"/>
          </rPr>
          <t xml:space="preserve">Gabor Daniel:
Nothing here yet...perhaps at a different time?
</t>
        </r>
      </text>
    </comment>
    <comment ref="A1161" authorId="1035">
      <text>
        <r>
          <rPr>
            <sz val="11"/>
            <color theme="1"/>
            <rFont val="Arial"/>
          </rPr>
          <t xml:space="preserve">Gabor Daniel:
Nothing here yet...perhaps at a different time?
</t>
        </r>
      </text>
    </comment>
    <comment ref="A1162" authorId="1036">
      <text>
        <r>
          <rPr>
            <sz val="11"/>
            <color theme="1"/>
            <rFont val="Arial"/>
          </rPr>
          <t xml:space="preserve">Gabor Daniel:
Nothing here yet...perhaps at a different time?
</t>
        </r>
      </text>
    </comment>
    <comment ref="A1165" authorId="1037">
      <text>
        <r>
          <rPr>
            <sz val="11"/>
            <color theme="1"/>
            <rFont val="Arial"/>
          </rPr>
          <t xml:space="preserve">Gabor Daniel:
Nothing here yet...perhaps at a different time?
</t>
        </r>
      </text>
    </comment>
    <comment ref="A1166" authorId="1038">
      <text>
        <r>
          <rPr>
            <sz val="11"/>
            <color theme="1"/>
            <rFont val="Arial"/>
          </rPr>
          <t xml:space="preserve">Gabor Daniel:
Nothing here yet...perhaps at a different time?
</t>
        </r>
      </text>
    </comment>
    <comment ref="A1167" authorId="1039">
      <text>
        <r>
          <rPr>
            <sz val="11"/>
            <color theme="1"/>
            <rFont val="Arial"/>
          </rPr>
          <t xml:space="preserve">Gabor Daniel:
Nothing here yet...perhaps at a different time?
</t>
        </r>
      </text>
    </comment>
    <comment ref="A1168" authorId="1040">
      <text>
        <r>
          <rPr>
            <sz val="11"/>
            <color theme="1"/>
            <rFont val="Arial"/>
          </rPr>
          <t xml:space="preserve">Gabor Daniel:
Nothing here yet...perhaps at a different time?
</t>
        </r>
      </text>
    </comment>
    <comment ref="A1169" authorId="1041">
      <text>
        <r>
          <rPr>
            <sz val="11"/>
            <color theme="1"/>
            <rFont val="Arial"/>
          </rPr>
          <t xml:space="preserve">Gabor Daniel:
Nothing here yet...perhaps at a different time?
</t>
        </r>
      </text>
    </comment>
    <comment ref="A1170" authorId="1042">
      <text>
        <r>
          <rPr>
            <sz val="11"/>
            <color theme="1"/>
            <rFont val="Arial"/>
          </rPr>
          <t xml:space="preserve">Gabor Daniel:
Nothing here yet...perhaps at a different time?
</t>
        </r>
      </text>
    </comment>
    <comment ref="A1171" authorId="1043">
      <text>
        <r>
          <rPr>
            <sz val="11"/>
            <color theme="1"/>
            <rFont val="Arial"/>
          </rPr>
          <t xml:space="preserve">Gabor Daniel:
Nothing here yet...perhaps at a different time?
</t>
        </r>
      </text>
    </comment>
    <comment ref="A1172" authorId="1044">
      <text>
        <r>
          <rPr>
            <sz val="11"/>
            <color theme="1"/>
            <rFont val="Arial"/>
          </rPr>
          <t xml:space="preserve">Gabor Daniel:
Nothing here yet...perhaps at a different time?
</t>
        </r>
      </text>
    </comment>
    <comment ref="A1173" authorId="1045">
      <text>
        <r>
          <rPr>
            <sz val="11"/>
            <color theme="1"/>
            <rFont val="Arial"/>
          </rPr>
          <t xml:space="preserve">Gabor Daniel:
Nothing here yet...perhaps at a different time?
</t>
        </r>
      </text>
    </comment>
    <comment ref="A1174" authorId="1046">
      <text>
        <r>
          <rPr>
            <sz val="11"/>
            <color theme="1"/>
            <rFont val="Arial"/>
          </rPr>
          <t xml:space="preserve">Gabor Daniel:
Nothing here yet...perhaps at a different time?
</t>
        </r>
      </text>
    </comment>
    <comment ref="A1175" authorId="1047">
      <text>
        <r>
          <rPr>
            <sz val="11"/>
            <color theme="1"/>
            <rFont val="Arial"/>
          </rPr>
          <t xml:space="preserve">Gabor Daniel:
Nothing here yet...perhaps at a different time?
</t>
        </r>
      </text>
    </comment>
    <comment ref="A1176" authorId="1048">
      <text>
        <r>
          <rPr>
            <sz val="11"/>
            <color theme="1"/>
            <rFont val="Arial"/>
          </rPr>
          <t xml:space="preserve">Gabor Daniel:
Nothing here yet...perhaps at a different time?
</t>
        </r>
      </text>
    </comment>
    <comment ref="A1177" authorId="1049">
      <text>
        <r>
          <rPr>
            <sz val="11"/>
            <color theme="1"/>
            <rFont val="Arial"/>
          </rPr>
          <t xml:space="preserve">Gabor Daniel:
Nothing here yet...perhaps at a different time?
</t>
        </r>
      </text>
    </comment>
    <comment ref="A1178" authorId="1050">
      <text>
        <r>
          <rPr>
            <sz val="11"/>
            <color theme="1"/>
            <rFont val="Arial"/>
          </rPr>
          <t xml:space="preserve">Gabor Daniel:
Nothing here yet...perhaps at a different time?
</t>
        </r>
      </text>
    </comment>
    <comment ref="A1179" authorId="1051">
      <text>
        <r>
          <rPr>
            <sz val="11"/>
            <color theme="1"/>
            <rFont val="Arial"/>
          </rPr>
          <t xml:space="preserve">Gabor Daniel:
Nothing here yet...perhaps at a different time?
</t>
        </r>
      </text>
    </comment>
    <comment ref="A1180" authorId="1052">
      <text>
        <r>
          <rPr>
            <sz val="11"/>
            <color theme="1"/>
            <rFont val="Arial"/>
          </rPr>
          <t xml:space="preserve">Gabor Daniel:
Nothing here yet...perhaps at a different time?
</t>
        </r>
      </text>
    </comment>
    <comment ref="A1181" authorId="1053">
      <text>
        <r>
          <rPr>
            <sz val="11"/>
            <color theme="1"/>
            <rFont val="Arial"/>
          </rPr>
          <t xml:space="preserve">Gabor Daniel:
Nothing here yet...perhaps at a different time?
</t>
        </r>
      </text>
    </comment>
  </commentList>
</comments>
</file>

<file path=xl/sharedStrings.xml><?xml version="1.0" encoding="utf-8"?>
<sst xmlns="http://schemas.openxmlformats.org/spreadsheetml/2006/main" count="37906" uniqueCount="9126">
  <si>
    <t>Line</t>
  </si>
  <si>
    <t>Meaning</t>
  </si>
  <si>
    <t>Actions</t>
  </si>
  <si>
    <t>Things which you can do on your turn; All Action/Sub-Actions have 3 Stages to them, Declaration Stage, Execution Stage and Resolution Stage. (Entities have only 1 Action per Turn unless Overridden)</t>
  </si>
  <si>
    <t>Free Actions:</t>
  </si>
  <si>
    <t>Anyone can do them regardless.</t>
  </si>
  <si>
    <t>Explore</t>
  </si>
  <si>
    <t>Search Target Hex (Roll d10) at the cost of 1 Stamina to Search for Loot; Ingredients; Materials or More. Each Hex can only be explored once. (This counts as Looting)</t>
  </si>
  <si>
    <t>Strike</t>
  </si>
  <si>
    <t>A Melee form of Attack.</t>
  </si>
  <si>
    <t>Shoot</t>
  </si>
  <si>
    <t>A Ranged form of Attack.</t>
  </si>
  <si>
    <t>Flee</t>
  </si>
  <si>
    <t>[Requires you to be 2 Tiles away from any Hostile Entity or to be in the Outer Layer. Roll to Move out of Combat; Mobility is added to the Flee Roll; The Hex you flee to is based on your Position in the Outer Layer. If not on the Outer Layer but at least 2 Tiles away from closest Hostile Entity, you will Flee to to closest direction.</t>
  </si>
  <si>
    <t>Basic Attack</t>
  </si>
  <si>
    <t>The normal Attack that you perform with a weapon.</t>
  </si>
  <si>
    <t>Cast</t>
  </si>
  <si>
    <t>Use an Ability or Scroll.</t>
  </si>
  <si>
    <t>Prepare</t>
  </si>
  <si>
    <t>Take a Turn to be able to do an additional Actions from the following list: Move; Basic Attack; Reload; Use/Throw Item; Use Gear Active in the next Turn as Queued Actions (Stackable); Use Might/Mobility Attempt; Capped at a maximum of 5.</t>
  </si>
  <si>
    <t>Channel</t>
  </si>
  <si>
    <t>Take a Turn to be able to cast an additional Ability/Mind Attempt in the next Turn as Queued Actions (Stackable); Capped at a maximum of 5.</t>
  </si>
  <si>
    <t>Attempt</t>
  </si>
  <si>
    <t>Counter; Do any action Imaginable as long as it is plausable.</t>
  </si>
  <si>
    <t>Roll</t>
  </si>
  <si>
    <t>Do a default Roll with the Command /roll d20</t>
  </si>
  <si>
    <t>Roll x</t>
  </si>
  <si>
    <t>Do a specific Roll with the Command /roll dx where x is the number requested.</t>
  </si>
  <si>
    <t>Rest</t>
  </si>
  <si>
    <t>Consumes all remaining Stamina (Needs at least one) to regain x0 Health and Mana, where x is the current Stamina. This Action ends your turn. You are unable to Rest in Water or Lava Hexes unless overridden. </t>
  </si>
  <si>
    <t>Move</t>
  </si>
  <si>
    <t>The Action which makes an Entity traverse Hexes. (Usually followed by a direction eg. Move North-East)</t>
  </si>
  <si>
    <t>Use</t>
  </si>
  <si>
    <t>Used for using a Gear Active or Item.</t>
  </si>
  <si>
    <t>Equip</t>
  </si>
  <si>
    <t>Used for placing Gear from Inventory Slot into Respective Character Slot.</t>
  </si>
  <si>
    <t>Loot</t>
  </si>
  <si>
    <t>Loots around your character if not specified.</t>
  </si>
  <si>
    <t>Dodge</t>
  </si>
  <si>
    <t>Counter Action; Dodge Target Projectile, Strike or Alteration Attack after they roll for it(Unless it's an ability, in which case the dodger rolls first), as long as your roll is higher; Failing a dodge causes the Attack to become Crit, if it's already a Crit it becomes a Vital Crit.</t>
  </si>
  <si>
    <t>Block</t>
  </si>
  <si>
    <t>Counter Action; [Requires an equipped Shield or Buckler] Block Target Projectile, Strike or Alteration Attack after they roll for it(Unless it's an ability, in which case the blocker rolls first), as long as you Roll higher; Failing a Block causes you to take 25% more Damage, Blocking it reduces the Damage by 50%.</t>
  </si>
  <si>
    <t>Wait</t>
  </si>
  <si>
    <t>Does Nothing but allows you to end your turn.</t>
  </si>
  <si>
    <t>Overcast</t>
  </si>
  <si>
    <t>Use a Projectile or Alteration Ability Attack by rolling a D20 for various effects; Rolls: 1 - Target Yourself; 2-5 Miss; 6-15 Cast normally; 16-19 Critical (Double Damage); 20 Vital. (Triple Damage)</t>
  </si>
  <si>
    <t>Dismisal</t>
  </si>
  <si>
    <t>You may use this Action to remove Entities from your Banner; Dismissed Entities become neutral and remains stationary unless interacted with; They disappear on day reset, unless overridden.</t>
  </si>
  <si>
    <t>Reload</t>
  </si>
  <si>
    <t>Replenish the Ammo Capacity of Target Weapon which has Ammo Capacity.</t>
  </si>
  <si>
    <t>Faith Actions:</t>
  </si>
  <si>
    <t>Twist of Faith:</t>
  </si>
  <si>
    <t>Requires 1 Faith; Instant; Reroll any D20 Dice Roll that belongs to you.</t>
  </si>
  <si>
    <t>Cleanse:</t>
  </si>
  <si>
    <t>Requires 2 Faith; Flash; Reflex; Remove Target Status from yourself or 1 Stack of Rot.</t>
  </si>
  <si>
    <t>Renewal:</t>
  </si>
  <si>
    <t>Requires 3 Faith; Gain 1 Attunement or Skill Point.</t>
  </si>
  <si>
    <t>Skill Required Actions:</t>
  </si>
  <si>
    <t>Requires you to have the necessary Skill.</t>
  </si>
  <si>
    <t>Meditate</t>
  </si>
  <si>
    <t>Roll for the chance of Restoring some Health and Resource. (Check Roll Information for the Chart)</t>
  </si>
  <si>
    <t>Inspect</t>
  </si>
  <si>
    <t>Find out Level, Health, Weapon Type and Race of Target you have Vision of. (1/Entity/Day)</t>
  </si>
  <si>
    <t>Taunt</t>
  </si>
  <si>
    <t>Cause Hostile Non-Hero Entity to move to your Hex; 1 Hex Range. (1/Day)</t>
  </si>
  <si>
    <t>True Sight</t>
  </si>
  <si>
    <t>Flash; Gain Vision in 1 Hex Range;  Invisible Entities are Revealed for 2 Turns. (1/Day)</t>
  </si>
  <si>
    <t>Potion Crafting</t>
  </si>
  <si>
    <t>Convert Ingredients (Up to 2) into a Potion; Potions are no longer Hidden towards you.</t>
  </si>
  <si>
    <t>Break Illusion</t>
  </si>
  <si>
    <t>Flash; Reflex; Remove 1 Tick of Confusion, Charm, Sleep or Fear. (1/Day)</t>
  </si>
  <si>
    <t>Scribe</t>
  </si>
  <si>
    <t>Allows you to send a Message per Day in Across the Planes for everyone to see.</t>
  </si>
  <si>
    <t>Skill Required Mechanics:</t>
  </si>
  <si>
    <t>Requires you to have the necessary skill to be in effect.</t>
  </si>
  <si>
    <t>Resistance Buildup</t>
  </si>
  <si>
    <t>Immunity to every Third Tick of the same Negative Status.</t>
  </si>
  <si>
    <t>Dodge or Die</t>
  </si>
  <si>
    <t>+1 Counter Action; If Target Counter-able Attack is lethal to you, the Gods will announce it.</t>
  </si>
  <si>
    <t>Traversal Expert</t>
  </si>
  <si>
    <t>Hexes no longer deal Damage on Traversal</t>
  </si>
  <si>
    <t>Revelation</t>
  </si>
  <si>
    <t>Choose to Gain 1 Ultimate Ability Point or a Random Helix.</t>
  </si>
  <si>
    <t>Mountain Traversal</t>
  </si>
  <si>
    <t>Allows you to Traverse Mountain Hexes for 1 Stamina.</t>
  </si>
  <si>
    <t>Allows you to type a message in Across the Plains.</t>
  </si>
  <si>
    <t>Concentration</t>
  </si>
  <si>
    <t>Allows you to do 2 Actions on your first Turn in Combat.</t>
  </si>
  <si>
    <t>Warfare Master</t>
  </si>
  <si>
    <t>Choose to have +0.5 Weapon Scaling or +0.5 Critical Multiplier.</t>
  </si>
  <si>
    <t>Battle Planning</t>
  </si>
  <si>
    <t>Allows you to use Consumables prior to engaging in Combat.</t>
  </si>
  <si>
    <t>Coordination</t>
  </si>
  <si>
    <t>Allows you to move Followers and Army outside of your own Hex.</t>
  </si>
  <si>
    <t>Soul Resurgence</t>
  </si>
  <si>
    <t>Choose to gain 20% Fortitude or 10% Elemental Resistance.</t>
  </si>
  <si>
    <t>Swimming</t>
  </si>
  <si>
    <t>Allows you to Traverse Water Hexes for 1 Stamina.</t>
  </si>
  <si>
    <t>Terminology:</t>
  </si>
  <si>
    <t>Some of these words will appear around in the World, would be good to know what they mean.</t>
  </si>
  <si>
    <t>Vendal</t>
  </si>
  <si>
    <t>A Period of Five Days.</t>
  </si>
  <si>
    <t>Decadal</t>
  </si>
  <si>
    <t>A Period of Ten Days.</t>
  </si>
  <si>
    <t>Plane</t>
  </si>
  <si>
    <t>Consists of Every Hex on a Map in a certain Campain.</t>
  </si>
  <si>
    <t>Mana Pool</t>
  </si>
  <si>
    <t>Represents the Encasing of an Entities Mana. Some Classes have Forfit or changed their Mana Pool to suit other resources.</t>
  </si>
  <si>
    <t>Base Ability</t>
  </si>
  <si>
    <t>Affinity Specific Abilities.</t>
  </si>
  <si>
    <t>Wavelength Ability</t>
  </si>
  <si>
    <t>Wavelength Specific Abilities.</t>
  </si>
  <si>
    <t>Wavelengthless</t>
  </si>
  <si>
    <t>Starts the game without a Wavelength and Unable to get one.</t>
  </si>
  <si>
    <t>Zone</t>
  </si>
  <si>
    <t>Landmarks where you may make diverse purchases; Zones can exist on any Landmark except for Water and Lava Hexes; If the Hex is changed into one of these the Zone will automatically be Destroyed.</t>
  </si>
  <si>
    <t>Kingdom</t>
  </si>
  <si>
    <t>A Kingdom consists of a 1 Hex Range Area; A Kingdom can be captured by any Hero/Follower by reaching its Center; Kingdoms produce 250 Gold per Day passively; Once owned you may build a Construction Yard on Controlled Hexes outside of the Center for 500 Gold. The Gold it produces is stored in the Kingdoms treasury and can only be accessed by being in the Center. Whenever another Hero captures a Kingdom such an Event is Heralded.</t>
  </si>
  <si>
    <t>Banner</t>
  </si>
  <si>
    <t>The Banner Consists of your Hero and your Followers; Banner has 4 Slots by default.</t>
  </si>
  <si>
    <t>Companion</t>
  </si>
  <si>
    <t>Companions are Followers that start at level 1 as a random Class and Affinity unless overriden; They do not have Skills / Attunements; They can equip Gear and have 5 Empty Slots; Xp gain is halved and shared on their Hex unless they are at max Level which is 8.</t>
  </si>
  <si>
    <t>Object</t>
  </si>
  <si>
    <t>Non-Entity Interactible.</t>
  </si>
  <si>
    <t>Follower</t>
  </si>
  <si>
    <t>They are Entities; They are part of the Banner; They can not be moved unless they are on the same Hex as the Hero unless Overriden.</t>
  </si>
  <si>
    <t>Minion</t>
  </si>
  <si>
    <t>They are Entities; They are temporary, they do not count towards Banner count; Minions do not leave corpses behind; Minions have a Source; If the Source is removed by any means the Minions will despawn.</t>
  </si>
  <si>
    <t>Questgiver</t>
  </si>
  <si>
    <t>This is an Entity which upon interacting with will grant you 3 Random Quests of varying difficulty to choose 1 from.</t>
  </si>
  <si>
    <t>Mercenary</t>
  </si>
  <si>
    <t>This is a Sentient Follower which can not be Equipped with other Gear other than his own and his own Gear is Locked upon Equipping; He does not drop Gold as Loot; He does not have an Inventory.</t>
  </si>
  <si>
    <t>Commands</t>
  </si>
  <si>
    <t>Ways to interact with the game / Formatting.</t>
  </si>
  <si>
    <t>-MAP</t>
  </si>
  <si>
    <t>Command used for your current position on the Map.</t>
  </si>
  <si>
    <t>**End Turn**</t>
  </si>
  <si>
    <t>Ends your turn, Requires you to have used at least 1 Action or Sub-Action unless Overridden.</t>
  </si>
  <si>
    <t>* TEXT *</t>
  </si>
  <si>
    <t>Is Used for Thoughts.</t>
  </si>
  <si>
    <t>** TEXT ** </t>
  </si>
  <si>
    <t>Is Used for Actions.</t>
  </si>
  <si>
    <t>*** TEXT *** \ **-TEXT**</t>
  </si>
  <si>
    <t>Is Used for Dialogue.</t>
  </si>
  <si>
    <t>[ ] </t>
  </si>
  <si>
    <t>Usually represents Requirements.</t>
  </si>
  <si>
    <t>( )</t>
  </si>
  <si>
    <t>Usually represents Costs or Information.</t>
  </si>
  <si>
    <t>Keywords</t>
  </si>
  <si>
    <t>Important Words with important Effects</t>
  </si>
  <si>
    <t>Ability Keywords</t>
  </si>
  <si>
    <t>Ability</t>
  </si>
  <si>
    <t>Any Base Ability, Attunement, Scroll and Skill Effect is an Ability.</t>
  </si>
  <si>
    <t>Curse</t>
  </si>
  <si>
    <t>Curses can only be broken by either the Death of the Source, the Death of the Cursed or by using an Ability that specifically removes curses.</t>
  </si>
  <si>
    <t>Stance</t>
  </si>
  <si>
    <t>Cycle between different Stances. Switching Stances does not Count as Casting an Ability.</t>
  </si>
  <si>
    <t>Hidden</t>
  </si>
  <si>
    <t>The Ability can be Cast as "I cast an Ability/Ultimate Ability" in the combat channel and the caster can specify in his private channel the ability he cast; Other Entities will only be able to know the Target, the Ability type and whether it is an Ultimate Ability or not.</t>
  </si>
  <si>
    <t>Counter</t>
  </si>
  <si>
    <t>Can be Cast/used on other Entities' Turns at the cost of a Counter Action as a Reaction to another Entities' Action/Sub-Action OR when you or a Hex/Tile you are currently on becomes the Target of an Atack/Ability (This counts Reflected Attacks); Counter Actions can be done at any of the 3 different stages. (The Declaration Stage; The Resolving Stage, The Aftereffect Stage)</t>
  </si>
  <si>
    <t>Toggle</t>
  </si>
  <si>
    <t>It allows the Ability to be Turned on and off; Mana is Consumed at the End of your Turn; Toggle Abilities require you to have at least 1 turns worth of resource to Cast(if applicable), otherwise it will be an Illegal Action.</t>
  </si>
  <si>
    <t>Powerplay</t>
  </si>
  <si>
    <t>One time use Ability; In the case this was learnt and cast, the Hero can learn a new ability for that Tier, but not the exact same one. (Upon his next level up)</t>
  </si>
  <si>
    <t>Flash</t>
  </si>
  <si>
    <t>Can be Cast/Used at the cost of a Flash Action.</t>
  </si>
  <si>
    <t>Reflex</t>
  </si>
  <si>
    <t>Allows you to Cast the Ability or use the Item while under the affect of Any Status in the Game.</t>
  </si>
  <si>
    <t>Precise</t>
  </si>
  <si>
    <t>Can not miss but can still be dodged.</t>
  </si>
  <si>
    <t>Blitz</t>
  </si>
  <si>
    <t>An attack that can not be Countered.</t>
  </si>
  <si>
    <t>Archform</t>
  </si>
  <si>
    <t>The use of these Abilities will be announced throughout the Planes; If Archforms do not Trigger (E.g. Counters) they will Retrigger at the Start of your Next Round; If they fail to do so again they will Override everything and Trigger Regardless.</t>
  </si>
  <si>
    <t>Instant</t>
  </si>
  <si>
    <t>Instants may be used at any point and do not consume any Action; They Override everything.</t>
  </si>
  <si>
    <t>Permanent</t>
  </si>
  <si>
    <t>Ability can not be Removed, Transformed into another Ability or Relearnt, however it can still be Ranked up; Abilitiy remains confined to its Ability Slot regardless of effect; Overrides Powerplay.</t>
  </si>
  <si>
    <t>Gear/Item Keywords</t>
  </si>
  <si>
    <t>Composite</t>
  </si>
  <si>
    <t>Requires Dual wielding the same weapon type to to trigger.</t>
  </si>
  <si>
    <t>Duality</t>
  </si>
  <si>
    <t>You can Choose To Equip Gear in Either of the Specified Slots. (E.g. Duality Necklace/Artifact Allows you to place it in Either of them)</t>
  </si>
  <si>
    <t>Flexible: </t>
  </si>
  <si>
    <t>Can be Equipped as Two-Handed (for extra Scaling)</t>
  </si>
  <si>
    <t>Selfdestruct</t>
  </si>
  <si>
    <t>Gear/Item Destroys itself. (Either on ability trigger or Throw Trigger)</t>
  </si>
  <si>
    <t>General Keywords</t>
  </si>
  <si>
    <t>Vital</t>
  </si>
  <si>
    <t>Vitals are Hit Naturally on D20, or via Spells/Attempts. They give 1 Crit multiplier to the Attack.</t>
  </si>
  <si>
    <t>Relearn</t>
  </si>
  <si>
    <t>Instead of rerolling a D3 you may choose whichever Ability of the same Tier you want in the same Afiinity you have; The Rank of the relearnt ability remains the same.</t>
  </si>
  <si>
    <t>Stackable</t>
  </si>
  <si>
    <t>It can be stacked on top of itself.</t>
  </si>
  <si>
    <t>Drug</t>
  </si>
  <si>
    <t>You may only Consume one of each Drugs.</t>
  </si>
  <si>
    <t>Projectile</t>
  </si>
  <si>
    <t>Any Spell Cast, Throwable or Ammo launched that travels from point A to point B.</t>
  </si>
  <si>
    <t>Undodgeable</t>
  </si>
  <si>
    <t>Can not be Dodged</t>
  </si>
  <si>
    <t>Attack</t>
  </si>
  <si>
    <t>Any form of Action which Deals Damage, Inflicts a Negative Status or causes Loss of Health; 1 Attack may contain multiple Strikes/Shots, however those count as 1 Attack still.</t>
  </si>
  <si>
    <t>Drain </t>
  </si>
  <si>
    <t>You Gain the Stat, the opponent loses it. Usually there is a % for the Drain. (But it can be Flat as well)</t>
  </si>
  <si>
    <t>Turn</t>
  </si>
  <si>
    <t>Turn Ends when Entities use all their Actions and Sub-Actions[Flash/Counter]) OR when specified otherwise. (E.g. Stun, Frozen, Ending your Turn...)</t>
  </si>
  <si>
    <t>Lifedrain</t>
  </si>
  <si>
    <t>The amount of Damage Dealt is converted to Health Gained, usually there is a % for the Lifedrain; Lifedrain is capped at 100%.</t>
  </si>
  <si>
    <t>Action</t>
  </si>
  <si>
    <t>Any Attack, Movement, attempt, ability or Item used.</t>
  </si>
  <si>
    <t>Unscallable</t>
  </si>
  <si>
    <t>Does not Scale with any Stat. Can be Overriden.</t>
  </si>
  <si>
    <t>Overriden</t>
  </si>
  <si>
    <t>Something that overrides the previous statement.</t>
  </si>
  <si>
    <t>Hex</t>
  </si>
  <si>
    <t>Hexes are the Ground component out of which the Map Phase is formed; There can only be 20 Entities at a time on a Hex; They can be Destroyed if Hit by 1000 Damage or Converted to Simple Plains if Hit by 500 Damage.</t>
  </si>
  <si>
    <t>Hex Vision</t>
  </si>
  <si>
    <t>The Vision of the surrounding Hexes on the Map. It is 1 by default and it is capped at 3.</t>
  </si>
  <si>
    <t>Hex Range</t>
  </si>
  <si>
    <t>The Range in which you can interact with other objects on the Map.</t>
  </si>
  <si>
    <t>Guarded</t>
  </si>
  <si>
    <t>Guarded: Landmarks Gold can be guarded by Weakling; Zones/Chests/Treasure Chests by Elite; Companions by 2 random elites ;legendary Chests/Pedestals by Boss; Mythic Chests by Guardian.</t>
  </si>
  <si>
    <t>Ticks</t>
  </si>
  <si>
    <t>Event That Happens at The Start of the Affected Targets Turn. (E.g. Taking 5 Damage Per Tick Over 2 Turns, adds 1 Tick Per turn that deals 5 Damage); All Statuses Function on the Tick System, however it is not limited to Statuses.</t>
  </si>
  <si>
    <t>Threat Level</t>
  </si>
  <si>
    <t>Represents The Danger Level Of an Entity.</t>
  </si>
  <si>
    <t>Aftermath</t>
  </si>
  <si>
    <t>Effect That triggers on Death.</t>
  </si>
  <si>
    <t>Tile</t>
  </si>
  <si>
    <t>Represents Areas during Combat Phase.</t>
  </si>
  <si>
    <t>Outer Layer</t>
  </si>
  <si>
    <t>(Advanced Combat) The outer most Tiles that allow fleeing; Naturally 2 Moves back from original starting Position.</t>
  </si>
  <si>
    <t>Trap</t>
  </si>
  <si>
    <t>On a Random Landmark Rolling a 4 Makes you take 20 Random Elemental Damage; 5 Makes you take 15 Magic Damage; 6 Makes you take 10 Physical Damage. (Damage is taken by all Entities on Hex)</t>
  </si>
  <si>
    <t>Level Up</t>
  </si>
  <si>
    <t>On Level Up: Heroes Gain 1 Ability Point, 1 Skill Point, 1 Stat Point, 1 Attribute Point and 1 Attunement Point; Companions gain only 1 Ability Point, 1 Stat Point and 1 Attribute Point unless Overriden.</t>
  </si>
  <si>
    <t>Stat Point</t>
  </si>
  <si>
    <t>Can be used to Gain 10 Base Health/10 Base Mana/1 Base Defense/1 Base Dispersion.</t>
  </si>
  <si>
    <t>Attribute Point</t>
  </si>
  <si>
    <t>Can be used to Gain 1 Base Strength/Dexterity/Power.</t>
  </si>
  <si>
    <t>Skill Point</t>
  </si>
  <si>
    <t>Can be used in the Skill Tree to unlock a new Skill or Keystone.</t>
  </si>
  <si>
    <t>Ability Point</t>
  </si>
  <si>
    <t>Can be used to Learn/Rank Up a Base Ability; When Learning an Ability roll a d3 to exclude one of your potential choices; At level 6 and 12 you gain an Ultimate Ability Point which can only be used for Ultimate Abilities.</t>
  </si>
  <si>
    <t>Attunement Point</t>
  </si>
  <si>
    <t>Can be used to Increase Resonance/Mastery/Legacy by 1; Can only increase up to your current Level. (E.g. You can't have 7 Resonance at level 6)</t>
  </si>
  <si>
    <t>Resonance</t>
  </si>
  <si>
    <t>Resonance is tied to your Wavelength; Resonance is used for casting Abilities tied to your Element; Resonance is refreshed to your Max at the Start of each Day; Generally Balanced at all Levels with good efficiency right from the start.</t>
  </si>
  <si>
    <t>Legacy</t>
  </si>
  <si>
    <t>Legacy is tied to your Kin; It allows the change of ones Kin and the ability to choose a Path for your Hero, such as becoming a Vampire which grants great abilities after level 6; It is a late game oriented Attunement.</t>
  </si>
  <si>
    <t>Mastery</t>
  </si>
  <si>
    <t>Mastery is tied to your Class; Each Class has 2 Masteries and your choice dictates what your Mastery points increase; Great Scaling With a Major Powerspike at level 12.</t>
  </si>
  <si>
    <t>Counter Action</t>
  </si>
  <si>
    <t>All Entities have 1 (Can be Overridden) Counter Action per Turn. (They regain it at the start of their Turn); Counter Actions can be done as a Reaction to another Entities' Action/Sub-Action, when you or a Hex/Tile you are currently on becomes the Target of an Atack/Ability or to another Entity Ending their Turn/Having their turn End. (This counts Reflected Attacks)</t>
  </si>
  <si>
    <t>Flash Action</t>
  </si>
  <si>
    <t>All Entities have 1 (Can be Overridden) Flash Action per Turn. (They regain it at the start of their Turn); Flash Actions can be done at any point during your Turn.</t>
  </si>
  <si>
    <t>Barrier</t>
  </si>
  <si>
    <t>It acts as a secondary Health bar which is not affected by any resistance; However when Barrier reaches 0 any excess Damage is negated as the Barrier is removed.</t>
  </si>
  <si>
    <t>Interrupting</t>
  </si>
  <si>
    <t>Stops Target’s Channeling, Preparing and Gating as well as any further actions Queued. (E.g. being staggered on a counter of your first Attack whilst doing 3 Attacks will cancel 2 other Attacks)</t>
  </si>
  <si>
    <t>Traversal</t>
  </si>
  <si>
    <t>Map Phase Movement on a different Hex; Falling off the map, teleporting to, being summoned or reviving on a Hex does not count as Traversing said Hex.</t>
  </si>
  <si>
    <t>Initiative</t>
  </si>
  <si>
    <t>A roll which determines the Turn order of Each Banner in Combat; The highest rolls go first.</t>
  </si>
  <si>
    <t>Parry</t>
  </si>
  <si>
    <t>Negate the Damage from Target Attack.</t>
  </si>
  <si>
    <t>Impairing</t>
  </si>
  <si>
    <t>Any Effect or Ability that prevents certain Actions from being made. (Root, Stun, Charm, etc.). Action Impairing includes Movement Impairing as well, since movement is an action. </t>
  </si>
  <si>
    <t>Movement Impairing</t>
  </si>
  <si>
    <t>Any Effect or Ability that prevents Movement from being made. (Root, Stun, Asleep, etc.) </t>
  </si>
  <si>
    <t>Ammo Capacity</t>
  </si>
  <si>
    <t>The amount of times a Weapon can be used before having to Reload.</t>
  </si>
  <si>
    <t>Forced</t>
  </si>
  <si>
    <t>You must do Forced Action before anything else, If you are unable to do a Forced Action your Turn Ends.</t>
  </si>
  <si>
    <t>Invulnerable</t>
  </si>
  <si>
    <t>Unable to take Damage.</t>
  </si>
  <si>
    <t>Dismember</t>
  </si>
  <si>
    <t>Permanently cut off Target’s Feet or Hands (50% chance between the Feet and Hands, unless 1 is already Dismembered), Locking the respective Slot and transforming it into an Amputated Slot for the remainder of the Campaign, unless Overridden. When an Entity is Dismembered, they take 50 Bleed Damage; If a Hand is Dismembered, the Hands and Off Hand Slots become Locked and Amputated; If a Foot is Dismembered, Entity suffers -1 Stamina and -4 Mobility; If an Entity has both a Foot and Hand Dismembered, the next Dismember will Kill them, decapitating them; Self Dismemberment: Heroes can choose to Dismember themselves (on their chosen Slot); Doing this removes Rotting Condition and 1 Stack of Rot, all Ticks of Fear, Confused, Mind Control and Charm.</t>
  </si>
  <si>
    <t>Destroy</t>
  </si>
  <si>
    <t>Removes Target from the Game; Does not Trigger Aftermath, Does not Leave Corpses behind.</t>
  </si>
  <si>
    <t>Revive</t>
  </si>
  <si>
    <t>Unless Specified it brings back to life Target Entity at 50% of Max Health and Mana on its current position.</t>
  </si>
  <si>
    <t>DOT</t>
  </si>
  <si>
    <t>Damage over Time.</t>
  </si>
  <si>
    <t>Herald</t>
  </si>
  <si>
    <t>It means the Ability will be announced in Across the Planes.</t>
  </si>
  <si>
    <t>Neutral</t>
  </si>
  <si>
    <t>Neutral Entities do not automatically engage combat with you when Traversing their Hexes; Neutral indicates that an Entity does not belong to your banner and is not under your control.</t>
  </si>
  <si>
    <t>Looting</t>
  </si>
  <si>
    <t>The Action from which you are obtaining Loot from a Landmark excluding Zones (Loting Destroyed Zones still Counts), Exploration or a Corpse.</t>
  </si>
  <si>
    <t>Entity</t>
  </si>
  <si>
    <t>Anything that has a Soul; It can be either a Creature or a Sentient; It has an assigned Kin and its Default Stats are: Health; Mana; Level; Experience; 9 Elemental Resistances; Defense; Dispersion; Basic Attack; Mobility; Strength; Dexterity; Power; Deflection.</t>
  </si>
  <si>
    <t>Sentient</t>
  </si>
  <si>
    <t>Entity which has a Race; Can have a Class, Faction, Affinity, Attunement, Inventory; Equippable Slots(Main Hand/Off-Hand/Head/Body/Arms/Legs/Hands/Feet/Shoulders/Ammunition/Artefact/Ring/Necklace) and Faith as a Stat.</t>
  </si>
  <si>
    <t>Creature</t>
  </si>
  <si>
    <t>Entity which does not have Equippable Slots; Does not have an Inventory; Does not have Faith as a Stat; Does not have a any Attunements; Can not have a Faction, Class, Affinity or Race(They do belong to a kin however) and can not use Items.</t>
  </si>
  <si>
    <t>Weakling</t>
  </si>
  <si>
    <t>Weaklings are the weakest type of Enemy; they have Level 1, an average Health of 50, they grant 100 Xp upon being Killed and their Loot Gold Average is 500; Their Prime Versions are stronger, Level 2, grant 200 Xp and their Loot Gold Average is 800.</t>
  </si>
  <si>
    <t>Elite</t>
  </si>
  <si>
    <t>Elites are the average type of Enemy; they have Level 4, an average Health of 100, they grant 400 Xp upon being Killed and their Loot Gold Average is 1000; Their Prime Versions are stronger, Level 5, grant 600 Xp and their Loot Gold Average is 1500.</t>
  </si>
  <si>
    <t>Boss</t>
  </si>
  <si>
    <t>Guardian</t>
  </si>
  <si>
    <t>Guardians are the strong type of Enemy; they have Level 8, an average Health of 400, they grant 1400 Xp upon being Killed and their Loot Gold Average is 3000(Mythic); They do not have Prime Versions.</t>
  </si>
  <si>
    <t>God</t>
  </si>
  <si>
    <t>Gods are the strongest type of Enemy; They Represent the Final Boss in a Campaign; they have Level 12, Varying Health Pools, they grant 2000 Xp upon being Killed and their Loot Gold Average is 4000(Astral); They do not have Prime Versions.</t>
  </si>
  <si>
    <t>"The Hand"</t>
  </si>
  <si>
    <t>Anti-Hero whose objective is to kill all Heroes; With each Hero slain they grow Stronger; They act as a 9th Player; Its Existence is announced at the beginning of a Campaign.</t>
  </si>
  <si>
    <t>Legend</t>
  </si>
  <si>
    <t>Strong Entities that are found in the Legends Tab; They are considered Heroic; They can be interacted with through various abilities in the game.</t>
  </si>
  <si>
    <t>Unique</t>
  </si>
  <si>
    <t>Represents Gear of Legendary or higher Rarity(Mythic, Astral, Etc); Unique Gear have only 1 existing copy of themselves(Which you can find in a campaign) and can not be Destroyed unless overridden.</t>
  </si>
  <si>
    <t>Pillaging / Pillaged (Zone)</t>
  </si>
  <si>
    <t>Pillaging(A Zone) Requires you to kill a Zones guards. (2 Prime Sentient Bosses and 1 Prime Sentient Elite); A Pillaged Zone is a Zone that was attacked by a Player and had their guards Killed; This enables Entities to Loot According to Zones Tab) </t>
  </si>
  <si>
    <t>Inventory</t>
  </si>
  <si>
    <t>Gold Pouch(Infinite amount of Gold can be stored); Ingredient Stash(Infinite Ingredients may be stored); Material Stash(Infinite Materials can be stored); A Stash(Consists of 5 Inventory Slots); Inventories may have up to 2 Stashes unless Overriden.</t>
  </si>
  <si>
    <t>Sub-Action</t>
  </si>
  <si>
    <t>Sub-Actions are Flash Actions and Counter Actions. </t>
  </si>
  <si>
    <t>Heroic</t>
  </si>
  <si>
    <t>Encompases Heroes, Guardians, Gods, "The Hand" and Legends.</t>
  </si>
  <si>
    <t>Defeated</t>
  </si>
  <si>
    <t>Killed; permanently incapacitated to the point they can no longer fight back; permanently and completely Removed from the Planes; Destroyed; Subjegated under your Banner.</t>
  </si>
  <si>
    <t>Victorious Combat</t>
  </si>
  <si>
    <t>All Hostile Entities have been Defeated on your current Hex.</t>
  </si>
  <si>
    <t>Illegal Action</t>
  </si>
  <si>
    <t>An Action that can not be done under any circumstance by an Entity, these Actions are rolled back and it is acted as if the Action never happened. (E.g. Trying to Attempt as a counter whilst being under the Chill Status)</t>
  </si>
  <si>
    <t>Queued Actions</t>
  </si>
  <si>
    <t xml:space="preserve">When Preparing/Channeling one must state all of their Actions at once; These Actions will be considered Queued Actions; These can be wasted if only 1 Action is declared; When multiple Attack Rolls are required they have to be done separately (E.g. Opposing entity can't know what the second attack roll will be before choosing what they will do about the first); If you have multiple Actions/Flash Actions, you may use these interchangibly to Queue Actions. (E.g. I choose to queue my Flash and normal action for elemental combination) </t>
  </si>
  <si>
    <t>Declaration Stage</t>
  </si>
  <si>
    <t>When an Action/Sub-Action is announced by an Entity, it is in the Declaration Stage; Actions that are stopped from happening entirely do not consume their resource. (E.g. I Cast Frost Bolt, this allows other entities to counter me, if this happens via an impairing status that would not allow me to cast my original action, then I end up being stunned and not doing said action.)</t>
  </si>
  <si>
    <t>Execution Stage</t>
  </si>
  <si>
    <t>This Stage represents the moment the action is ongoing, Impairing Status at this point no longer stops the Action; it happens post Roll for Actions if it requires one. (E.g. I Cast Frost Bolt, I didn't get countered, now the Projectile is heading towards target, they can counter at this opportunity via Dodge for example)</t>
  </si>
  <si>
    <t>Resolution Stage</t>
  </si>
  <si>
    <t>This Stage represents the moment after the Action has Resolved. (E.g. I Cast Frost Bolt hit the Target, however they counter with an ability that allows them to cure Frostbite before their turn starts)</t>
  </si>
  <si>
    <t>Eligible</t>
  </si>
  <si>
    <t>Eligibility refers to being able to Target a certain Entity/Object/Tile with respective Ability Type(Flux/Warp/Projectile); You are eligible to do a Melee Basic Attack at Range, this will cause you to miss but On Attack Effects still trigger(Not On Hit).</t>
  </si>
  <si>
    <t>Biome</t>
  </si>
  <si>
    <t>At least 7 Connected Hexes of the same Type form a Biome.</t>
  </si>
  <si>
    <t>Immune</t>
  </si>
  <si>
    <t>Statuses you are Immune to do not Apply to your Character, Statuses already applied have no effect on the duration you are immune to(They do not disappear); Damage Type you are immune to is not Dealt.</t>
  </si>
  <si>
    <t>Bloodthirst</t>
  </si>
  <si>
    <t>Resource used by the Berzerker Affinity that expires at end of Combat.</t>
  </si>
  <si>
    <t>Transform</t>
  </si>
  <si>
    <t>Ability Types</t>
  </si>
  <si>
    <t>They will be Represented by the Bracket Symbol Alongside the Ability.</t>
  </si>
  <si>
    <t>Passive Abilities (P)</t>
  </si>
  <si>
    <t>These Abilities do not Require an Action and are constantly in effect.</t>
  </si>
  <si>
    <t>Active Abilities</t>
  </si>
  <si>
    <t>These Abilities do require an action to be used, unless Overriden. </t>
  </si>
  <si>
    <t>Spells (❖)</t>
  </si>
  <si>
    <t>Spells are Abilities which have different interactions; The Symbol will indicate wether an ability is a Spell or not. Only the following Ability types can be spells.</t>
  </si>
  <si>
    <t>Projectile (&gt;)</t>
  </si>
  <si>
    <t>These Abilities are projectiles, so most of them can be dodged by Rolling, if so, the other person has to Roll as well.</t>
  </si>
  <si>
    <t>Warp (+)</t>
  </si>
  <si>
    <t>These are Abilities that act directly upon Target Entity or Object; These can no be dodged.</t>
  </si>
  <si>
    <t>Flux (o)</t>
  </si>
  <si>
    <t>These Abilities are Area of Effect Abilities; They target Tiles or Hexes instead of Entities or Objects.</t>
  </si>
  <si>
    <t>Summon (^)</t>
  </si>
  <si>
    <t>These are Abilities used to Materialise Things or Beings into the world; Summons can only be used on Empty Adjacent Tiles unless Overridden.</t>
  </si>
  <si>
    <t>Alteration (≈)</t>
  </si>
  <si>
    <t>These Abilities are Self Empowering Effects or Strikes; Alterations can be dodged as long as they are Targeting you; Alterations Require Melee Range unless Overridden.</t>
  </si>
  <si>
    <t>Damage Types:</t>
  </si>
  <si>
    <t>Physical</t>
  </si>
  <si>
    <t>Physical Damage is reduced by the Flat amount of Targets Defense unless Overridden.</t>
  </si>
  <si>
    <t>Magic</t>
  </si>
  <si>
    <t>Magic Damage is reduced by the Flat amount of Targets Dispersion unless Overridden.</t>
  </si>
  <si>
    <t>Arcane</t>
  </si>
  <si>
    <t>Acts as Magic Damage but ignores 50% Dispersion</t>
  </si>
  <si>
    <t>Light</t>
  </si>
  <si>
    <t>Light Damage is reduced by % of Targets Light Resistance unless Overridden.</t>
  </si>
  <si>
    <t>Dark</t>
  </si>
  <si>
    <t>Dark Damage is reduced by % of Targets Dark Resistance unless Overridden.</t>
  </si>
  <si>
    <t>Fire</t>
  </si>
  <si>
    <t>Fire Damage is reduced by % of Targets Fire Resistance unless Overridden.</t>
  </si>
  <si>
    <t>Frost</t>
  </si>
  <si>
    <t>Frost Damage is reduced by % of Targets Frost Resistance unless Overridden.</t>
  </si>
  <si>
    <t>Wind</t>
  </si>
  <si>
    <t>Wind Damage is reduced by % of Targets Wind Resistance unless Overridden.</t>
  </si>
  <si>
    <t>Earth</t>
  </si>
  <si>
    <t>Earth Damage is reduced by % of Targets Earth Resistance unless Overridden.</t>
  </si>
  <si>
    <t>Lightning</t>
  </si>
  <si>
    <t>Lightning Damage is reduced by % of Targets Lightning Resistance unless Overridden.</t>
  </si>
  <si>
    <t>Bleed</t>
  </si>
  <si>
    <t>Bleed Damage is reduced by % of Targets Bleed Resistance unless Overridden.</t>
  </si>
  <si>
    <t>Poison</t>
  </si>
  <si>
    <t>Poison Damage is reduced by % of Targets Poison Resistance unless Overridden.</t>
  </si>
  <si>
    <t>Elemental Combinations</t>
  </si>
  <si>
    <t>The Default for combinations is 50% of one resistance + 50% of the other resistance. Damage gets added, unless Overriden.</t>
  </si>
  <si>
    <t>Tutorial:</t>
  </si>
  <si>
    <t>To achieve Elemental combinations one must use Queued Actions(Most common Prepares/Channels) to do Attacks which have an Elemental Base Damage. On Hit Damage does not Elementally Combine and Damage Ticks combine separately.</t>
  </si>
  <si>
    <t>Formula:</t>
  </si>
  <si>
    <t>Each One point of Elemental Damage combines with 1 Point of another Element. (For 50 Fire Damage and 100 Lightning Damage Target will receive 100 Radiation and 50 Lightning Damage)</t>
  </si>
  <si>
    <t>True</t>
  </si>
  <si>
    <t>Light + Dark (Goes through any resistance and any form of Damage Reduction; Whatever the Damage displayed is is Dealt unless Overridden; Does not go through Barrier(Post Depletion) and Does not go through Damage Negation).</t>
  </si>
  <si>
    <t>Solar</t>
  </si>
  <si>
    <t>Light + Fire (Blinds Target for 1 Turn Per 10 Solar Damage)</t>
  </si>
  <si>
    <t>Coldlight</t>
  </si>
  <si>
    <t>Light + Frost (Chill Target for 1 Turn Per 10 Coldlight Damage)</t>
  </si>
  <si>
    <t>Holy</t>
  </si>
  <si>
    <t>Light + Wind (True Damage to Undead, Eldritch and Demons, Healing to Divine, Constructs and Fae, Normal Damage to Living)</t>
  </si>
  <si>
    <t>Nature</t>
  </si>
  <si>
    <t>Light + Earth (Root Target for 1 Turn Per 20 Nature Damage)</t>
  </si>
  <si>
    <t>Wave</t>
  </si>
  <si>
    <t>Light + Lightning (Damage Type is dealt as Flux, Hitting all Entities in Melee Range of Target) </t>
  </si>
  <si>
    <t>Sanguine</t>
  </si>
  <si>
    <t>Light + Bleed (Lifedrain)</t>
  </si>
  <si>
    <t>Chemical</t>
  </si>
  <si>
    <t>Light + Poison (Slow Target for 1 Turn Per 20 Chemical Damage)</t>
  </si>
  <si>
    <t>Shadowflame</t>
  </si>
  <si>
    <t>Dark + Fire (Inflicts Vulnerable for 1 Turn Per 20 Shadowflame Damage) </t>
  </si>
  <si>
    <t>Terror</t>
  </si>
  <si>
    <t>Dark + Frost (Fears Target for 1 Turn Per 20 Terror Damage)</t>
  </si>
  <si>
    <t>Insanity</t>
  </si>
  <si>
    <t>Dark + Wind (Confuse Target for 1 Turn Per 20 Insanity Damage)</t>
  </si>
  <si>
    <t>Unholy</t>
  </si>
  <si>
    <t>Dark + Earth (Healing to Undead, Eldritch and Demons, True Damage to Constructs, Divine and Fae, Normal Damage to Living)</t>
  </si>
  <si>
    <t>Chaos</t>
  </si>
  <si>
    <t>Dark + Lightning (50% Chance to deal double total Damage)</t>
  </si>
  <si>
    <t>Fatal</t>
  </si>
  <si>
    <t>Dark + Bleed (Instead of taking Elemental Damage, Roll Targets Current Health, If the number is Equal to or Lower than Fatal Damage after resistance is calculated, Kill Target)</t>
  </si>
  <si>
    <t>Blight</t>
  </si>
  <si>
    <t>Dark + Poison (Inflict Tormented for 1 Turn Per 20 Blight Damage) </t>
  </si>
  <si>
    <t>Hydro</t>
  </si>
  <si>
    <t>Fire + Frost (Applies Wet Status For 1 Turn per 20 Hydro Damage; Burning and Frostbite consume each others ticks to apply Wet Status for 2 Turns ) </t>
  </si>
  <si>
    <t>Pyro</t>
  </si>
  <si>
    <t>Fire + Wind (50% Chance to Inflict Burning for 50% of Total Damage Over 2 Ticks)</t>
  </si>
  <si>
    <t>Blast</t>
  </si>
  <si>
    <t>Fire + Earth (50% Chance to Stun for 1 Turn)</t>
  </si>
  <si>
    <t>Radiation</t>
  </si>
  <si>
    <t>Fire + Lightning (Inflict Weakened for 1 Turn per 20 Radiation Damage)</t>
  </si>
  <si>
    <t>Scorch</t>
  </si>
  <si>
    <t>Fire + Bleed (Inflict Scorched Status for 1 Turn per 20 Scorch Damage)</t>
  </si>
  <si>
    <t>Acid</t>
  </si>
  <si>
    <t>Fire + Poison (50% chance to inflict Acidic for 1 Turn)</t>
  </si>
  <si>
    <t>Cryo</t>
  </si>
  <si>
    <t>Frost + Wind (50% Chance to Inflict Frostbite for 50% of Total Damage Over 2 Ticks) </t>
  </si>
  <si>
    <t>Ice</t>
  </si>
  <si>
    <t>Frost + Earth (Freezes Target for 1 Turn Per 20 Ice Damage)</t>
  </si>
  <si>
    <t>Magnetic</t>
  </si>
  <si>
    <t>Frost + Lightning (Inflicts Magnetized until End of Combat) </t>
  </si>
  <si>
    <t>Hypothermic</t>
  </si>
  <si>
    <t>Frost + Bleed (50% Chance to Inflict Hypothermia for 1 Turn)</t>
  </si>
  <si>
    <t>Viral</t>
  </si>
  <si>
    <t>Frost + Poison (Instead of taking Elemental Damage, Target affected loses Current Health Equal to 50% Viral Damage after resistance is calculated)</t>
  </si>
  <si>
    <t>Kinetic</t>
  </si>
  <si>
    <t>Wind + Earth (Instead of taking Elemental Damage, Target affected loses Max Health % Equal to 25% of Kinetic Damage after resistance is calculated)</t>
  </si>
  <si>
    <t>Shock</t>
  </si>
  <si>
    <t>Bleed + Lightning (Staggers Target for 1 Turn Per 20 Shock Damage) </t>
  </si>
  <si>
    <t>Pulse</t>
  </si>
  <si>
    <t>Wind + Lightning (The same amount of Damage taken is dealt at the start of your Turn)</t>
  </si>
  <si>
    <t>Vacuum</t>
  </si>
  <si>
    <t>Wind + Bleed (50% Chance to Inflict Bleeding for 50% of Total Damage Over 2 Ticks) </t>
  </si>
  <si>
    <t>Gas</t>
  </si>
  <si>
    <t>Wind + Poison (Damage Type is dealt as Flux, Hitting all Entities in Melee Range of Target) </t>
  </si>
  <si>
    <t>Static</t>
  </si>
  <si>
    <t>Earth + Lightning (Damage is dealt to Mana instead of Health)</t>
  </si>
  <si>
    <t>Earth + Bleed</t>
  </si>
  <si>
    <t>Toxic</t>
  </si>
  <si>
    <t>Earth + Poison (50% Chance to Inflict Poisoned for 50% of Total Damage Over 2 Ticks) </t>
  </si>
  <si>
    <t>Corrosive </t>
  </si>
  <si>
    <t>Poison + Lightning (Inflicts Corroded until End of Combat) </t>
  </si>
  <si>
    <t>Infectious</t>
  </si>
  <si>
    <t xml:space="preserve">
Bleed + Poison (Bleed and Poison Statuses are doubled in damage)</t>
  </si>
  <si>
    <t>Statuses are Effects advanced by Turns. (Active in both Phases) These Effects are visible to other Entities, can be permanent(If they are they will only apply 1 Tick of themselves right before Entities' Turn Start) or temporary lasting certain number of Ticks. The Status Effects are Consumed at the start of Turn and they last (if able to last) until the end of your current Turn(Stun/Invisibility for example); Statuses do not Stack unless Overridden; Being hit by a 1 Turn Stun ability twice in the same turn will cause you to only be stunned for 1 Turn; You can not have the same Status multiple times on you unless Overridden. The Damage over Time Statuses (Bleeding/Forstbite/Burning/Infected/Poisoned) Stack their Damage</t>
  </si>
  <si>
    <t>Positive Statuses</t>
  </si>
  <si>
    <t>Unstoppable</t>
  </si>
  <si>
    <t>You can no longer be Interrupted or affected by Action Impairing Statuses.</t>
  </si>
  <si>
    <t>Resilient</t>
  </si>
  <si>
    <t>Entity takes 50% less Damage. </t>
  </si>
  <si>
    <t>Surged</t>
  </si>
  <si>
    <t>Entity deals 50% more Damage.</t>
  </si>
  <si>
    <t>Healing</t>
  </si>
  <si>
    <t>Restore Health Per Tick.</t>
  </si>
  <si>
    <t>Enlightened</t>
  </si>
  <si>
    <t>Abilities cost 50% less Resource; Does not count Resonance, Mastery or Legacy.</t>
  </si>
  <si>
    <t>Invisible</t>
  </si>
  <si>
    <t>You Become Untargetable and can no longer be seen in Combat; Grants Stealth Condition while Active; Engaging Combat while Invisible allows you to spawn on any Tile with maximum Initiative; This Status is removed upon the use of any Active Ability or Attack.</t>
  </si>
  <si>
    <t>Invincible</t>
  </si>
  <si>
    <t>You can no longer lose Health or Die.</t>
  </si>
  <si>
    <t>Negative Statuses</t>
  </si>
  <si>
    <t>Acidic</t>
  </si>
  <si>
    <t>Entity has 50% chance to have an Equipped Non-Unique Gear Destroyed.</t>
  </si>
  <si>
    <t>Asleep</t>
  </si>
  <si>
    <t>Unable to do any Actions until damage is taken or Healing is received; Interrupting; Impairing.</t>
  </si>
  <si>
    <t>Bleeding</t>
  </si>
  <si>
    <t>Causes Entity to take x Bleed Damage over a number of Ticks. (Where x is defined by abilities that inflict this Status)</t>
  </si>
  <si>
    <t>Blinded</t>
  </si>
  <si>
    <t>Makes you unable to Hit Targets with Projectiles; 50% chance for Strikes to miss; Impairing.</t>
  </si>
  <si>
    <t>Burning</t>
  </si>
  <si>
    <t>Causes Entity to take x Fire Damage over a number of Ticks. (Where x is defined by abilities that inflict this Status. Burning nullifies the Frostbitten Status)</t>
  </si>
  <si>
    <t>Confused</t>
  </si>
  <si>
    <t>You are Forced to do a Random Action by rolling a D5 and then End your Turn; Impairing: IN COMBAT PHASE: [1 - Movement in 1/8 directions; 2 - Basic Attack (Random Target including yourself); 3-Prepare/Channel/Gate; 4 - Random Non-Ultimate Active Affinity Ability Off Cooldown (even if not in range with Random Target including yourself; If lacking Resource you must Attempt to Cast); 5 - Do Nothing] IN MAP PHASE: [1-3 - Movement in 1/6 directions; 4-5 - Do Nothing]</t>
  </si>
  <si>
    <t>Charmed</t>
  </si>
  <si>
    <t>Target that charmed you becomes Untargetable; Impairing.</t>
  </si>
  <si>
    <t>Chilled</t>
  </si>
  <si>
    <t>Target can no longer use Counter and Flash Actions; Impairing.</t>
  </si>
  <si>
    <t>Drunk</t>
  </si>
  <si>
    <t>You Can’t Channel/Prepare/Gate; 50% Chance for your Basic Attacks and Projectiles to miss; Impairing.</t>
  </si>
  <si>
    <t>Enraged</t>
  </si>
  <si>
    <t>Entity deals 25% more Damage but takes 25% more Damage.</t>
  </si>
  <si>
    <t>Feared</t>
  </si>
  <si>
    <t>Forced to Move away from Target that Feared you; Interrupting; Impairing; If you are on the Outer Layer you roll to Flee Instead; IN MAP PHASE: 50% Chance for your turn to be skipped.</t>
  </si>
  <si>
    <t>Frozen</t>
  </si>
  <si>
    <t>Entity has its Turn automatically Ended. Taking Damage removes this Status. Overrides Reflex; Impairing.</t>
  </si>
  <si>
    <t>Frostbitten</t>
  </si>
  <si>
    <t>Causes Entity to take x Frost Damage over a number of Ticks. (Where x is defined by abilities that inflict this Status. Frostbitten nullifies the Burning Status. </t>
  </si>
  <si>
    <t>Infected</t>
  </si>
  <si>
    <t>Cause Entity to take x Infectious Damage over a number of Ticks. (Where x is defined by abilities that inflict this Status)</t>
  </si>
  <si>
    <t>Mind Controled</t>
  </si>
  <si>
    <t>The Source(The one who inflicted the Status) does your turn for you; Interrupting; They gain access to all your Stats and Abilities; Impairing. (Not able to use Targets Faith, Not able to Attempt to Cast Abilities without Resource)</t>
  </si>
  <si>
    <t>Poisoned</t>
  </si>
  <si>
    <t>Causes Entity to take x Poison Damage over a number of Ticks. (Where x is defined by abilities that inflict this Status)</t>
  </si>
  <si>
    <t>Rooted</t>
  </si>
  <si>
    <t>Unable to do a Movement Action; Impairing.</t>
  </si>
  <si>
    <t>Magnetized</t>
  </si>
  <si>
    <t>Sets Dispersion to 0. </t>
  </si>
  <si>
    <t>Slowed</t>
  </si>
  <si>
    <t>Makes you unable to flee, reduces your Mobility by 5 and allows the Opponent to flee without rolling; Impairing.</t>
  </si>
  <si>
    <t>Staggered</t>
  </si>
  <si>
    <t>You are unable to Channel/Prepare; Interrupting; Impairing.</t>
  </si>
  <si>
    <t>Stunned</t>
  </si>
  <si>
    <t>Unable to do any Non-Reflex Action or Sub-Action; Interrupting; Impairing.</t>
  </si>
  <si>
    <t>Tormented</t>
  </si>
  <si>
    <t>You become unable to Cast Ultimate Abilities; Your Ability Costs increase by 50%; Impairing.</t>
  </si>
  <si>
    <t>Wet</t>
  </si>
  <si>
    <t>Lightning Damage is doubled and converted to Shock Damage; Targets under this Effect can't be affected by Burning Status. </t>
  </si>
  <si>
    <t>Weakened</t>
  </si>
  <si>
    <t>You deal 50% less Total Damage. </t>
  </si>
  <si>
    <t>Vulnerable</t>
  </si>
  <si>
    <t>You take 50% more Total Damage. </t>
  </si>
  <si>
    <t>Corroded</t>
  </si>
  <si>
    <t>Sets Defense to 0. </t>
  </si>
  <si>
    <t>Sealed</t>
  </si>
  <si>
    <t>Entity is not able to cast any Ability; Impairing.</t>
  </si>
  <si>
    <t>Hypothermia</t>
  </si>
  <si>
    <t>-50% Elemental Resistance; If you are also Wet then take 50 Frost Damage.</t>
  </si>
  <si>
    <t>Scorched</t>
  </si>
  <si>
    <t>Entity gains -50% Fire resistance; Interrupting.</t>
  </si>
  <si>
    <t>Stats</t>
  </si>
  <si>
    <t>I really don't think...I need to explain this one folks. (Overruled...looks like we need to explain this one folks...)</t>
  </si>
  <si>
    <t>Max Stat</t>
  </si>
  <si>
    <t>Referes to the Maximum Stat your character has available over which the current Stat can not overexceed unless overridden; This includes Health, Resource, Stamina, Faith and Resonance.</t>
  </si>
  <si>
    <t>Health</t>
  </si>
  <si>
    <t>The resource which indicates your life, if it reaches 0 you will die unless overruled.</t>
  </si>
  <si>
    <t>Resource (Mana)</t>
  </si>
  <si>
    <t>The resource with which most characters use their abilities. (Some classes replace this stat with an equivalent stat) The Keyword that causes Abilities to cost less "Resoruce" only affect the following: MANA; FOCUS; RAGE; SOUL</t>
  </si>
  <si>
    <t>Defense</t>
  </si>
  <si>
    <t>The Flat damage reduction from Physical Damage.</t>
  </si>
  <si>
    <t>Dispersion</t>
  </si>
  <si>
    <t>The Flat damage reduction from magic damage.</t>
  </si>
  <si>
    <t>Light Resistance</t>
  </si>
  <si>
    <t>The % damage reduction from Light Damage.</t>
  </si>
  <si>
    <t>Dark Resistance</t>
  </si>
  <si>
    <t>The % damage reduction from Dark Damage.</t>
  </si>
  <si>
    <t>Fire Resistance_x0003_</t>
  </si>
  <si>
    <t>The % damage reduction from Fire Damage.</t>
  </si>
  <si>
    <t>Frost Resistance_x0003_</t>
  </si>
  <si>
    <t>The % damage reduction from Frost Damage.</t>
  </si>
  <si>
    <t>Wind Resistance</t>
  </si>
  <si>
    <t>The % damage reduction from Wind Damage.</t>
  </si>
  <si>
    <t>Earth Resistance</t>
  </si>
  <si>
    <t>The % damage reduction from Earth Damage.</t>
  </si>
  <si>
    <t>Lightning Resistance</t>
  </si>
  <si>
    <t>The % damage reduction from Lightning Damage.</t>
  </si>
  <si>
    <t>Bleed Resistance</t>
  </si>
  <si>
    <t>The % damage reduction from Bleed Damage.</t>
  </si>
  <si>
    <t>Poison Resistance</t>
  </si>
  <si>
    <t>The % damage reduction from Poison Damage.</t>
  </si>
  <si>
    <t>Fortitude</t>
  </si>
  <si>
    <t>The % Chance to resist Ticks of Impairing Statuses; This Stat is capped at 50%.</t>
  </si>
  <si>
    <t>Strength</t>
  </si>
  <si>
    <t>Stat used for Ability/Damage Scaling.</t>
  </si>
  <si>
    <t>Dexterity</t>
  </si>
  <si>
    <t>Power</t>
  </si>
  <si>
    <t>Mobility</t>
  </si>
  <si>
    <t>Mobility increases your Dodge Roll and Flee/Initiative Roll by its amount; It also increases Mobility type Attempts(These can be found in Roll Information); At 4 Mobility you may Traverse Water Hexes.</t>
  </si>
  <si>
    <t>Might</t>
  </si>
  <si>
    <t>Might increases your Block Roll by its amount and Basic Attack Roll by 50% of its amount rounded up; It also increases Might type Attempts(These can be found in Roll Information); At 4 Might you may Traverse Mountain Hexes.</t>
  </si>
  <si>
    <t>Wisdom</t>
  </si>
  <si>
    <t>Wisdom increases your Overcast Roll and it also increases or decreases(Decided with your Roll) Enemy Encounter Rolls by its amount; It also increases Wisdom type Attempts(These can be found in Roll Information); At 4 Wisdom you Gain +1 on all Landmark Rolls.</t>
  </si>
  <si>
    <t>Deflection</t>
  </si>
  <si>
    <t>The chance to completely Deflect a Projectile; If it is a Recoverable Projectile it lands on an adjacent Tile; It is capped at 100%.</t>
  </si>
  <si>
    <t>Reflection</t>
  </si>
  <si>
    <t>The chance to Reflect a Projectile with 50% of its Initial Damage; If it is a Recoverable Projectile it lands on an adjacent Tile of Target.</t>
  </si>
  <si>
    <t>Stamina</t>
  </si>
  <si>
    <t>Stat used for Hex Traversal as well as other abilities.</t>
  </si>
  <si>
    <t>Faith</t>
  </si>
  <si>
    <t>Stat which Grants Blessings or Damnations of the Gods.</t>
  </si>
  <si>
    <t>Stat which unlocks wavelength abilities and allows their use; Each Point in Resonance will award a Wavelength Ability Point; At 6 and 12 Resonance you gain an Ultimate Wavelength Ability Point; Resonance fully Regenerates at Start of Day.</t>
  </si>
  <si>
    <t>Stat which unlocks Masteries.</t>
  </si>
  <si>
    <t>Stat which unlocks Legacies.</t>
  </si>
  <si>
    <t>Experience</t>
  </si>
  <si>
    <t>Stat obtained from various Sources which help you Level Up; In Combat, Experience is gained only from Defeated Hostile Entities at the end of Combat; Experience is shared equally split between all Entities which can receive Experience and are not capped.</t>
  </si>
  <si>
    <t>Level</t>
  </si>
  <si>
    <t>Stat which increases when Experience reaches a certain Threshold; Maximum Level is 12.</t>
  </si>
  <si>
    <t>Conditions: </t>
  </si>
  <si>
    <t>On/Off Effects; They are usually Permanent unless Overridden.</t>
  </si>
  <si>
    <t>Absorber</t>
  </si>
  <si>
    <t>Dispersion is now percentage based and each Dispersion point counts as 3%; Capped at 100%.</t>
  </si>
  <si>
    <t>Adaptive</t>
  </si>
  <si>
    <t>Reduce the first Type of Damage that first affects by 5 until End of Day.</t>
  </si>
  <si>
    <t>Aetheric</t>
  </si>
  <si>
    <t>Leveling up restores 25% Missing Health and Resource.</t>
  </si>
  <si>
    <t>Agile</t>
  </si>
  <si>
    <t>Gain 2 Mobility; Does not Require to roll to Flee as long as Stamina is available.</t>
  </si>
  <si>
    <t>Ambitious</t>
  </si>
  <si>
    <t>Winning Combats against Entities with higher level grants you 1 Attribute Point.</t>
  </si>
  <si>
    <t>Ambusher</t>
  </si>
  <si>
    <t>Gain +2 Initiative; If you enter Combat from Stealth you gain +5 Initiave instead.</t>
  </si>
  <si>
    <t>Amphibious </t>
  </si>
  <si>
    <t>Allows you to Traverse and Rest in Water Hexes; Overrides Mechanical.</t>
  </si>
  <si>
    <t>Animated</t>
  </si>
  <si>
    <t>Immune to Damage over Time Statuses.</t>
  </si>
  <si>
    <t>Armored</t>
  </si>
  <si>
    <t>Defense is now Percentage based, and each Defense point counts as 3%; Capped at 100%.</t>
  </si>
  <si>
    <t>Banished</t>
  </si>
  <si>
    <t>You can no Longer Interact with any Zone</t>
  </si>
  <si>
    <t>Blessed by the Gods</t>
  </si>
  <si>
    <t>(P): If the Incoming Damage or Health Loss would prove lethal, Consume 1 Faith and Block up to 50 Damage or 50 Lost Health; This Stacks up to 150 Damage/Health Loss Prevented (At 3 Faith).</t>
  </si>
  <si>
    <t>Brawn</t>
  </si>
  <si>
    <t>Critical Strikes on Melee weapons will apply from a dice roll of 14-20.</t>
  </si>
  <si>
    <t>Clarity</t>
  </si>
  <si>
    <t>Immune to Confusion.</t>
  </si>
  <si>
    <t>Cold Blooded</t>
  </si>
  <si>
    <t>Immune to Frostbite and Chilled.</t>
  </si>
  <si>
    <t>Coward</t>
  </si>
  <si>
    <t>You can no longer hire Mercanaries, companions or Fight in the Arena</t>
  </si>
  <si>
    <t>Cursed</t>
  </si>
  <si>
    <t>You are suffering from a curse. Curses can only be broken by either the Death of the Entity that caused it or using a special Item/Scroll.</t>
  </si>
  <si>
    <t>Damned by the Gods</t>
  </si>
  <si>
    <t>(P): For each Negative Faith all your D20 Rolls will have a -1 Modifier; You may choose to Lose 50 Health to gain 1 Faith whilst this Condition is active.</t>
  </si>
  <si>
    <t>Disciplined</t>
  </si>
  <si>
    <t>If your basic Attack misses your next Basic Attack has +3 on its roll against the same Target; This effect Stacks.</t>
  </si>
  <si>
    <t>Ethereal</t>
  </si>
  <si>
    <t>You have 50% Chance for Physical Damage to be negated.</t>
  </si>
  <si>
    <t>Fearless</t>
  </si>
  <si>
    <t>Immune to Fear.</t>
  </si>
  <si>
    <t>Fierce</t>
  </si>
  <si>
    <t>Your Basic Attack has +5 Base Damage.</t>
  </si>
  <si>
    <t>Fireborn</t>
  </si>
  <si>
    <t>Immune to Burning and Scorched.</t>
  </si>
  <si>
    <t>Foresight</t>
  </si>
  <si>
    <t>At the start of your Turn in Combat you roll a D20, that roll may be used for your first Basic Attack this round.</t>
  </si>
  <si>
    <t>Gating</t>
  </si>
  <si>
    <t>Replaces Channel and Prepare with their Combined Form.</t>
  </si>
  <si>
    <t>Heavy</t>
  </si>
  <si>
    <t>Gain -2 Mobility; -5 Initiative Roll.</t>
  </si>
  <si>
    <t>Hope</t>
  </si>
  <si>
    <t>Upon taking Lethal Damage Survive on 1 Health, Cleanse all Statuses and consume this Condition.</t>
  </si>
  <si>
    <t>Incorporated</t>
  </si>
  <si>
    <t>Immune to Magnetized and Corroded.</t>
  </si>
  <si>
    <t>Infernal</t>
  </si>
  <si>
    <t>Immune to Fire and Frost Damage; Wet Status also deals 25 True Damage per Tick to you.</t>
  </si>
  <si>
    <t>Insane</t>
  </si>
  <si>
    <t>Immune to Tormented and Drunk.</t>
  </si>
  <si>
    <t>Ionized</t>
  </si>
  <si>
    <t>Damage will be dealt to Mana first; When Mana Reaches 0 you start losing Health; This does not work with alternative Resources.</t>
  </si>
  <si>
    <t>Mechanical</t>
  </si>
  <si>
    <t>Immune to Poison and Bleed Damage; Can't Swim; Cannot go above 0 Mobility.</t>
  </si>
  <si>
    <t>Reflector</t>
  </si>
  <si>
    <t>Gain 10% Deflection; Your Deflection is replaced by Reflection; Reflection reflects Non-Ultimate Projectiles at 50% of their original Damage.</t>
  </si>
  <si>
    <t>Nocturnal</t>
  </si>
  <si>
    <t>Immune to Sleeping.</t>
  </si>
  <si>
    <t>Pathfinder</t>
  </si>
  <si>
    <t>You retain Hex Vision in Forests and are able to see through Forests and Mountains when having a higher Hex Vision.</t>
  </si>
  <si>
    <t>Psionic</t>
  </si>
  <si>
    <t>Hostile entities on your Hex have -1 on their Rolls; Does not affect natural 20's.</t>
  </si>
  <si>
    <t>Regeneration</t>
  </si>
  <si>
    <t>Restore an extra 10 Health and Resource at Start of Day.</t>
  </si>
  <si>
    <t>Resolute</t>
  </si>
  <si>
    <t>When Casting Abilities without enough Resource it still casts unless the roll is a 1. (Following the Damage Chart from "Casting Abilities without enough Resource)</t>
  </si>
  <si>
    <t>Rich</t>
  </si>
  <si>
    <t>At the start of each Vendal gain 500 Gold; this triggers on the first Day of a Campaign as well.</t>
  </si>
  <si>
    <t>Rotting</t>
  </si>
  <si>
    <t>Grants you a Stack of Rot at the Start of each Day; Having the Condition Removed does not Remove the Rotting Stacks; at 3 Stacks of Rotting you will Gain -30% Elemental Resistance; At 5 Stacks of Rotting you will no longer Regenerate Health and Mana on Day Start; At 7 Stacks you will Die and the Stacks will Decrease by 2.</t>
  </si>
  <si>
    <t>Rusting</t>
  </si>
  <si>
    <t>Your Mobility is Locked at -2; All Entities on your Hex are also Locked at -2 Mobility.</t>
  </si>
  <si>
    <t>Voidstain</t>
  </si>
  <si>
    <t>Upon Engaging Combat your Current Health and Current Mana are Randomized between 0 and your Maximum Health and Maximum Mana.</t>
  </si>
  <si>
    <t>Wise</t>
  </si>
  <si>
    <t>Gain 2 Wisdom; You may Roll your D10s with +1 or -1 Roll Modifier on Events.</t>
  </si>
  <si>
    <t>Mighty</t>
  </si>
  <si>
    <t>Gain 2 Might; Throwables now scale with your Might when throwing them gaining +1 Roll Modifier per Might rounded up.</t>
  </si>
  <si>
    <t>Tempered</t>
  </si>
  <si>
    <t>All your D20 Rolls are set to 10; Roll Modifiers still affect the Roll.</t>
  </si>
  <si>
    <t>Large</t>
  </si>
  <si>
    <t>You occupy a 2x2 Tile Area in Combat; Flux Abilities that Target multiple Tiles you are on will deal their Damage for each Tile, however Non-Damaging Effects won't stack.</t>
  </si>
  <si>
    <t>Titanic</t>
  </si>
  <si>
    <t>You occupy a 3x3 Tile Area in Combat; Flux Abilities that Target multiple Tiles you are on will deal their Damage for each Tile, however Non-Damaging Effects won't stack.</t>
  </si>
  <si>
    <t>Resistant</t>
  </si>
  <si>
    <t>Gain 10% Magic Damage Reduction and 10% Physical Damage Reduction.</t>
  </si>
  <si>
    <t>Nimble</t>
  </si>
  <si>
    <t>Gain 1 Extra Counter Action per Turn which can only be used for Dodging.</t>
  </si>
  <si>
    <t>Indomitable</t>
  </si>
  <si>
    <t>Scaled</t>
  </si>
  <si>
    <t>Gain 10% Deflect; Strikes are now also affected by your Deflect Chance but instead of being fully negated they are only reduced by 50% of their Total Damage.</t>
  </si>
  <si>
    <t>Seducer</t>
  </si>
  <si>
    <t>50% Chance to Charm Entity for 2 Turns when Initiating Dialogue. (1/Entity)</t>
  </si>
  <si>
    <t>Skeletal</t>
  </si>
  <si>
    <t>Immune to Bleeding and Poisoned Statuses.</t>
  </si>
  <si>
    <t>Solid</t>
  </si>
  <si>
    <t>Immune to Slow and Root.</t>
  </si>
  <si>
    <t>Stealth</t>
  </si>
  <si>
    <t>You are no longer Visible on the Map towards hostile Entities. </t>
  </si>
  <si>
    <t>Thick-furred</t>
  </si>
  <si>
    <t>Reduce all Damage you are about to take by 2.</t>
  </si>
  <si>
    <t>Underdweller</t>
  </si>
  <si>
    <t>You are able to Traverse Mountains; Gain Stealth while on Mountain Hexes.</t>
  </si>
  <si>
    <t>Unstable</t>
  </si>
  <si>
    <t>At the Start of Combat you roll a d10 to become Vulnerable or Surged for 3 Turns at random.</t>
  </si>
  <si>
    <t>Vigilent</t>
  </si>
  <si>
    <t>You are able to see Stealth Objects and Entities.</t>
  </si>
  <si>
    <t>Vile</t>
  </si>
  <si>
    <t>Immune to Charmed; Gain +1 to Basic Attack Rolls.</t>
  </si>
  <si>
    <t>Winged </t>
  </si>
  <si>
    <t>No longer Take Damage from Traversing Hexes; Spend 0.5 Stamina to gain 1 Hex Vision until Movement.</t>
  </si>
  <si>
    <t>Weapon Type</t>
  </si>
  <si>
    <t>Crit Multiplier</t>
  </si>
  <si>
    <t>Scaling</t>
  </si>
  <si>
    <t>Miss</t>
  </si>
  <si>
    <t>Throwing Penalty</t>
  </si>
  <si>
    <t>If in Off-Hand</t>
  </si>
  <si>
    <t>Damage Calculation:</t>
  </si>
  <si>
    <t>Unarmed</t>
  </si>
  <si>
    <t>Highest Attribute</t>
  </si>
  <si>
    <t>1-3</t>
  </si>
  <si>
    <t>N/A</t>
  </si>
  <si>
    <t>You Hit yourself at 50% Damage/Drop Weapon/Hit another Target</t>
  </si>
  <si>
    <t>Sword: (Sharp)</t>
  </si>
  <si>
    <t>1 Dexterity [+1 Strength If Two-Handed]</t>
  </si>
  <si>
    <t>1-5</t>
  </si>
  <si>
    <t>30%</t>
  </si>
  <si>
    <t>0.5 Dexterity Scaling</t>
  </si>
  <si>
    <t>You Miss. (0%)</t>
  </si>
  <si>
    <t>Spear:  (Sharp)</t>
  </si>
  <si>
    <t>1 Strength [+1 Dexterity If Two-Handed]</t>
  </si>
  <si>
    <t>0%</t>
  </si>
  <si>
    <t>Axe: (Sharp)</t>
  </si>
  <si>
    <t>1 Strength</t>
  </si>
  <si>
    <t>0.5 Strength Scaling</t>
  </si>
  <si>
    <t>Scythe: (Sharp)</t>
  </si>
  <si>
    <t>2 Dexterity</t>
  </si>
  <si>
    <t>1</t>
  </si>
  <si>
    <t>70%</t>
  </si>
  <si>
    <t>Forces Basic Miss Range to 1.</t>
  </si>
  <si>
    <t>Glaive (Sharp)</t>
  </si>
  <si>
    <t>1.5 Strength</t>
  </si>
  <si>
    <t>60%</t>
  </si>
  <si>
    <t>10%</t>
  </si>
  <si>
    <t>Halberd (Sharp)</t>
  </si>
  <si>
    <t>1-7</t>
  </si>
  <si>
    <t>90%</t>
  </si>
  <si>
    <t>20%</t>
  </si>
  <si>
    <t>Knife: (Sharp)</t>
  </si>
  <si>
    <t>1.5 Dexterity</t>
  </si>
  <si>
    <t>Forces Basic Miss Range to 1-3; Scales when Thrown</t>
  </si>
  <si>
    <t>Warhammer: (Blunt)</t>
  </si>
  <si>
    <t>40%</t>
  </si>
  <si>
    <t>Mace: (Blunt)</t>
  </si>
  <si>
    <t>Average Damage Range(50%)</t>
  </si>
  <si>
    <t>Flail: (Blunt)</t>
  </si>
  <si>
    <t>Club (Blunt)</t>
  </si>
  <si>
    <t>Staff: (Blunt/Impact)</t>
  </si>
  <si>
    <t>1 Strength/Power</t>
  </si>
  <si>
    <t>80%</t>
  </si>
  <si>
    <t>Bow: (Impact) [Requires Arrows]</t>
  </si>
  <si>
    <t>1 Dexterity</t>
  </si>
  <si>
    <t>Crossbow: (Impact) [Requires Arrows]</t>
  </si>
  <si>
    <t>Shoot on Basic Attack / Seperate Reload</t>
  </si>
  <si>
    <t>Highest Damage Range(100%)</t>
  </si>
  <si>
    <t>Pistol: (Impact) [Requires Pellets]</t>
  </si>
  <si>
    <t>Lowest Damage Range Crit.</t>
  </si>
  <si>
    <t>Rifle: (Impact) [Requirres Pellets]</t>
  </si>
  <si>
    <t>25%</t>
  </si>
  <si>
    <t>Wand: (Impact)</t>
  </si>
  <si>
    <t>1 Power</t>
  </si>
  <si>
    <t>Shoot on Basic Attack</t>
  </si>
  <si>
    <t>75%</t>
  </si>
  <si>
    <t>Scepter: (Impact)</t>
  </si>
  <si>
    <t>Highest Damage Range Crit.</t>
  </si>
  <si>
    <t>Whip: (Impact/Blunt)</t>
  </si>
  <si>
    <t>Highest Damage Range Crit + Vital(+1 Crit Multiplier)</t>
  </si>
  <si>
    <t>Damage Diff</t>
  </si>
  <si>
    <t>Orb: (Impact)</t>
  </si>
  <si>
    <t>1.5 Power</t>
  </si>
  <si>
    <t>Empower Main Hand with 50% of its Base Damage</t>
  </si>
  <si>
    <t>Dmg Range %</t>
  </si>
  <si>
    <t>Throwables Guide:</t>
  </si>
  <si>
    <t>Dagger (Sharp) (&gt;)</t>
  </si>
  <si>
    <t>Hatchet (Sharp) (&gt;)</t>
  </si>
  <si>
    <t>Basic Attack Damage Calculator:</t>
  </si>
  <si>
    <t>Javelin (Sharp) (&gt;)</t>
  </si>
  <si>
    <t>1 Strength/Dexterity</t>
  </si>
  <si>
    <t>Explosive (Impact) (&gt;:o)</t>
  </si>
  <si>
    <t>1-2</t>
  </si>
  <si>
    <t>Potion (Impact) (&gt;)</t>
  </si>
  <si>
    <t>Basic Attack Min</t>
  </si>
  <si>
    <t>Basic Attack Max</t>
  </si>
  <si>
    <t>Dual Wield Guide: (Attacking with Both weapons at the Same time)</t>
  </si>
  <si>
    <t>On Melee: 1 Basic Attack = 2 Strikes, both tanking Defense individually.</t>
  </si>
  <si>
    <t>Target Flat Resistance</t>
  </si>
  <si>
    <t xml:space="preserve">The D20 </t>
  </si>
  <si>
    <t>Target % Resistance</t>
  </si>
  <si>
    <t>Off Hand does not Scale unless specified.</t>
  </si>
  <si>
    <t>Raw Damage</t>
  </si>
  <si>
    <t>If two weapons have different Miss Ranges, the higher one is taken unless overriden.</t>
  </si>
  <si>
    <t>Damage post Res.</t>
  </si>
  <si>
    <t>(E.g. if 1-7 and 1-5 the Basic attack will have 1-7 miss range)</t>
  </si>
  <si>
    <t>Abilities which Mention Strike Target will use only Main Hand, (If that is not possible then Off-Hand)</t>
  </si>
  <si>
    <t>Extra Information:</t>
  </si>
  <si>
    <t>Everything in the Game will be Rounded up unless Specified!</t>
  </si>
  <si>
    <t>Critical Strike Damage will be Calculated as (Normal Damage) x Crit Multiplier.</t>
  </si>
  <si>
    <t>All Alteration and Projectile Abilities have a 2 Crit Multiplier. (For Dodging reference)</t>
  </si>
  <si>
    <t>NEUTRAL ROLLS</t>
  </si>
  <si>
    <t>You Lose 10% of Max Health per 0.5 Missing Stamina.</t>
  </si>
  <si>
    <t>You Lose 20% of Current Health per 0.5 Missing Stamina.</t>
  </si>
  <si>
    <t>You Lose 15% of Current Health per 0.5 Missing Stamina.</t>
  </si>
  <si>
    <t>You Lose 10% of Current Health per 0.5 Missing Stamina.</t>
  </si>
  <si>
    <t>You Lose 5% of Current Health per 0.5 Missing Stamina.</t>
  </si>
  <si>
    <t>You lose 20 Health per 0.5 Missing Stamina.</t>
  </si>
  <si>
    <t>You lose 15 Health per 0.5 Missing Stamina.</t>
  </si>
  <si>
    <t>You lose 10 Health per 0.5 Missing Stamina.</t>
  </si>
  <si>
    <t>You lose 5 Health per 0.5 Missing Stamina.</t>
  </si>
  <si>
    <t>You Fail to Move unless you are Missing just 0.5 Stamina.</t>
  </si>
  <si>
    <t>You Move and Lose 15 Health per 0.5 Missing Stamina.</t>
  </si>
  <si>
    <t>You Move and Lose 10 Health per 0.5 Missing Stamina.</t>
  </si>
  <si>
    <t>You Move and Lose 5 Health per 0.5 Missing Stamina.</t>
  </si>
  <si>
    <t>You Move.</t>
  </si>
  <si>
    <t>You Move and Gain 1 Stamina.</t>
  </si>
  <si>
    <t>MIGHT ROLLS (Benefit from Might)</t>
  </si>
  <si>
    <t>End up on a Random Adjacent Hex; Lose 50 Health.</t>
  </si>
  <si>
    <t>You become Stunned for 1 Turn.</t>
  </si>
  <si>
    <t>You permanently lose your ability to Talk. (Including 1 Hex Range)</t>
  </si>
  <si>
    <t>You Fail and become Stunned for 1 Turn.</t>
  </si>
  <si>
    <t>End up on a Random Adjacent Hex; Lose 25 Health.</t>
  </si>
  <si>
    <t>You Fail.</t>
  </si>
  <si>
    <t>Lose 20 Health.</t>
  </si>
  <si>
    <t>You and Target both take the Damage.</t>
  </si>
  <si>
    <t>End up on a Random Adjacent Hex; Lose 20 Health.</t>
  </si>
  <si>
    <t>Lose 15 Health.</t>
  </si>
  <si>
    <t>End up on a Random Adjacent Hex; Lose 15 Health.</t>
  </si>
  <si>
    <t>Lose 10 Health.</t>
  </si>
  <si>
    <t>End up on a Random Adjacent Hex; Lose 10 Health.</t>
  </si>
  <si>
    <t>Lose 5 Health</t>
  </si>
  <si>
    <t>Fail to Traverse; Lose 20 Health.</t>
  </si>
  <si>
    <t>Nothing Happens.</t>
  </si>
  <si>
    <t>Fail to Traverse; Lose 15 Health.</t>
  </si>
  <si>
    <t>Fail to Traverse; Lose 10 Health.</t>
  </si>
  <si>
    <t>Fail to Traverse; Lose 5 Health.</t>
  </si>
  <si>
    <t>You Fail to Traverse</t>
  </si>
  <si>
    <t>Traverse; Lose 25 Health.</t>
  </si>
  <si>
    <t>Message is Communicated but you Lose 15 Health.</t>
  </si>
  <si>
    <t>Traverse; Lose 20 Health.</t>
  </si>
  <si>
    <t>Message is Communicated but you Lose 10 Health.</t>
  </si>
  <si>
    <t>Traverse; Lose 15 Health.</t>
  </si>
  <si>
    <t>Traverse; Lose 10 Health.</t>
  </si>
  <si>
    <t>Message is Communicated but you Lose 5 Health.</t>
  </si>
  <si>
    <t>Traverse; Lose 5 Health.</t>
  </si>
  <si>
    <t>You Traverse.</t>
  </si>
  <si>
    <t>You Stager Target for 1 Turn.</t>
  </si>
  <si>
    <t>Message is Communicated.</t>
  </si>
  <si>
    <t>You Tank the Damage instead.</t>
  </si>
  <si>
    <t>You Push Target 1 Tile Away.</t>
  </si>
  <si>
    <t>You Traverse gain 1 Stamina.</t>
  </si>
  <si>
    <t>You Stun Target for 1 Turn.</t>
  </si>
  <si>
    <t>All future Communication works until Traversal of another Hex.</t>
  </si>
  <si>
    <t>You tank the Damage at 50% of its original value.</t>
  </si>
  <si>
    <t>You Push Target 2 Tiles Away.</t>
  </si>
  <si>
    <t>MOBILITY ROLLS (Benefit from Mobility)</t>
  </si>
  <si>
    <t>You get Stunned for a Turn.</t>
  </si>
  <si>
    <t>You Lose 50% Of Current Health.</t>
  </si>
  <si>
    <t>You Lose 25 Health.</t>
  </si>
  <si>
    <t>You Lose 25% of Max Health.</t>
  </si>
  <si>
    <t>You Lose 20 Health.</t>
  </si>
  <si>
    <t>You Lose 20% Of Max Health. </t>
  </si>
  <si>
    <t>You Lose 15 Health.</t>
  </si>
  <si>
    <t>You Lose 15% Of Max Health.</t>
  </si>
  <si>
    <t>You Lose 10 Health.</t>
  </si>
  <si>
    <t>You Lose 10% Of Max Health.</t>
  </si>
  <si>
    <t>You Flee and lose 25 Health.</t>
  </si>
  <si>
    <t>You Lose 25% Of Current Health.</t>
  </si>
  <si>
    <t>You Flee and lose 20 Health.</t>
  </si>
  <si>
    <t>You Lose 20% Of Current Health.</t>
  </si>
  <si>
    <t>You Flee and lose 15 Health.</t>
  </si>
  <si>
    <t>You Lose 15% Of Current Health.</t>
  </si>
  <si>
    <t>You Flee and lose 10 Health.</t>
  </si>
  <si>
    <t>You Lose 10% Of Current Health.</t>
  </si>
  <si>
    <t>You Flee but lose 5 Health.</t>
  </si>
  <si>
    <t>You Fail To Flee.</t>
  </si>
  <si>
    <t>You Flee.</t>
  </si>
  <si>
    <t>You Flee and Lose 25% Current Health.</t>
  </si>
  <si>
    <t>You Flee and Lose 20% Current Health.</t>
  </si>
  <si>
    <t>You Flee and Lose 15% Current Health.</t>
  </si>
  <si>
    <t>You Flee and Lose 10% Current Health.</t>
  </si>
  <si>
    <t>You Flee and Lose 5% Current Health.</t>
  </si>
  <si>
    <t>You Flee and it is your Turn.</t>
  </si>
  <si>
    <t>You Flee without Consuming Stamina.</t>
  </si>
  <si>
    <t>WISDOM ROLLS (Benefit from Wisdom)</t>
  </si>
  <si>
    <t>Entering Forests</t>
  </si>
  <si>
    <t>Meditating</t>
  </si>
  <si>
    <t>Fatal Damage = 2x  Missing Resource.</t>
  </si>
  <si>
    <t>Accidentally Rest / Skip Turn</t>
  </si>
  <si>
    <t>Lose Health = 2x  Missing Resource.</t>
  </si>
  <si>
    <t>You find an Elite.</t>
  </si>
  <si>
    <t>You Lose 5 Health.</t>
  </si>
  <si>
    <t>Lose Health = 1.5x  Missing Resource.</t>
  </si>
  <si>
    <t>You Fail to Cast it.</t>
  </si>
  <si>
    <t>It Casts; Lose Health = 1x  Missing Resource.</t>
  </si>
  <si>
    <t>Restore 5 Health.</t>
  </si>
  <si>
    <t>You find 1 Common Fabric.</t>
  </si>
  <si>
    <t>Restore 10 Health.</t>
  </si>
  <si>
    <t>You find Gold.</t>
  </si>
  <si>
    <t>Restore 15 Health.</t>
  </si>
  <si>
    <t>You Retain your Hex Vision.</t>
  </si>
  <si>
    <t>Restore 20 Health.</t>
  </si>
  <si>
    <t>You find 1 Rare Fabric.</t>
  </si>
  <si>
    <t>Restore 25 Health.</t>
  </si>
  <si>
    <t>It Casts; Lose Health = 0.5  Missing Resource.</t>
  </si>
  <si>
    <t>You gain 200 Xp.</t>
  </si>
  <si>
    <t>Restore 30 Health and Resource.</t>
  </si>
  <si>
    <t>You find a Chest</t>
  </si>
  <si>
    <t>Restore 35 Health and Resource.</t>
  </si>
  <si>
    <t>You gain an Epic Fabric.</t>
  </si>
  <si>
    <t>Restore 40 Health and Resource.</t>
  </si>
  <si>
    <t>You find a Treasure Chest.</t>
  </si>
  <si>
    <t>Restore 45 Health and Resource.</t>
  </si>
  <si>
    <t>You Cast it at 0 Cost.</t>
  </si>
  <si>
    <t>You find 1 Legendary Fabric.</t>
  </si>
  <si>
    <t>Restore 50% Missing Health and Resource.</t>
  </si>
  <si>
    <t>Status Roll</t>
  </si>
  <si>
    <t>Random Status Roll</t>
  </si>
  <si>
    <t>Negative Status Roll</t>
  </si>
  <si>
    <t>TYPE</t>
  </si>
  <si>
    <t>Positive Status D6</t>
  </si>
  <si>
    <t>Positive Status + OT D7</t>
  </si>
  <si>
    <t>Negative Status D24</t>
  </si>
  <si>
    <t>Negative Status + OT D29</t>
  </si>
  <si>
    <t>Burning: </t>
  </si>
  <si>
    <t>KIN</t>
  </si>
  <si>
    <t>RACES</t>
  </si>
  <si>
    <t>SUBTYPES</t>
  </si>
  <si>
    <t>HEALTH</t>
  </si>
  <si>
    <t>MANA</t>
  </si>
  <si>
    <t>CONDITIONS</t>
  </si>
  <si>
    <t>CONDITION EFFECTS</t>
  </si>
  <si>
    <t>DEFENSE</t>
  </si>
  <si>
    <t>DISPERSION</t>
  </si>
  <si>
    <t>STRENGTH</t>
  </si>
  <si>
    <t>DEXTERITY</t>
  </si>
  <si>
    <t>POWER</t>
  </si>
  <si>
    <t>STAMINA</t>
  </si>
  <si>
    <t>FORTITUDE</t>
  </si>
  <si>
    <t>LIGHT RESISTANCE</t>
  </si>
  <si>
    <t>DARK RESISTANCE</t>
  </si>
  <si>
    <t>FIRE RESISTANCE</t>
  </si>
  <si>
    <t>FROST RESISTANCE</t>
  </si>
  <si>
    <t>WIND RESISTANCE</t>
  </si>
  <si>
    <t>EARTH RESISTANCE</t>
  </si>
  <si>
    <t>LIGHTNING RESISTANCE</t>
  </si>
  <si>
    <t>BLEED RESISTANCE</t>
  </si>
  <si>
    <t>POISON RESISTANCE</t>
  </si>
  <si>
    <t>Race Description</t>
  </si>
  <si>
    <t>Subtype Description</t>
  </si>
  <si>
    <t>LIVING</t>
  </si>
  <si>
    <t>Human</t>
  </si>
  <si>
    <t>Dunian</t>
  </si>
  <si>
    <t>Hope; Adaptive</t>
  </si>
  <si>
    <t>Hope: Upon taking Lethal Damage Survive on 1 Health, Cleanse all Statuses and consume this Condition.
Adaptive: Reduce the first Type of Damage that first affects by 5 until End of Day.</t>
  </si>
  <si>
    <t>3</t>
  </si>
  <si>
    <t>ORIGIN: Old-Worlders; One of the first Races to arrive from the "Old World" into the Planes, they stand as the most numerous amongst all races. They stand at the basis of most wars as well as most creations.</t>
  </si>
  <si>
    <t>The Dunians settled eastward in the Sundunian Region on the Main Planic and formed the Domos Republic. Their skin has grown darker over generations due to the need to adapt to the radical climate. Their incredible Adaptiveness has transcended landscape, they are quick learners.</t>
  </si>
  <si>
    <t>Altreidian</t>
  </si>
  <si>
    <t>Hope; Ambitious</t>
  </si>
  <si>
    <t>Hope: Upon taking Lethal Damage Survive on 1 Health, Cleanse all Statuses and consume this Condition.
Ambitious: Winning Combats against Entities with higher level grants you 1 Attribute Point.</t>
  </si>
  <si>
    <t>Some Altreidians settled South in the Midlands whilst most settled where they arrived, right next to the portal that brought them there. Despite its closure, they founded Rasonia around this monument in hopes that one day their way home will be rebirthed. Their Ambition to has lead to many wars, as well as the "New" leading trading capital of the Plains.</t>
  </si>
  <si>
    <t>Yserian</t>
  </si>
  <si>
    <t>Hope; Disciplined</t>
  </si>
  <si>
    <t>Hope: Upon taking Lethal Damage Survive on 1 Health, Cleanse all Statuses and consume this Condition.
Disciplined: If your basic Attack misses your next Basic Attack has +3 on its roll against the same Target; This effect Stacks.</t>
  </si>
  <si>
    <t>The Western settlers founded 2 large cities, Uyser and Serevin, which later grew into Provinces. Their Disciplined nature was forced by their environment and enemies. After driving out the Divine from Prazos they took the region as their own and formed the Trialance, a single State combining the 3 to benefit all Sentients.</t>
  </si>
  <si>
    <t>Reptilion</t>
  </si>
  <si>
    <t>Lurker</t>
  </si>
  <si>
    <t>Scaled; Underdweller</t>
  </si>
  <si>
    <t>Scaled: Gain 10% Deflect; Strikes are now also affected by your Deflect Chance but instead of being fully negated they are only reduced by 50% of their Total Damage.
Underdweller: You are able to Traverse Mountains; Gain Stealth while on Mountain Hexes.</t>
  </si>
  <si>
    <t xml:space="preserve">ORIGIN: Planian
Planic born beings, they were mere tribal creatures when the Portal of the old world first opened, however, in more recent times they've adapted themselves to using weapons, armor and learnt the common tongue.
</t>
  </si>
  <si>
    <t>The Lurkers are a solidary Reptilion strain. It is believed they were thrown into the depts of the Planes after the Troglodytes banished them. They don't often resurface, but when they do, it's a bad omen.</t>
  </si>
  <si>
    <t>Kobold</t>
  </si>
  <si>
    <t>Scaled; Fireborn</t>
  </si>
  <si>
    <t>Scaled: Gain 10% Deflect; Strikes are now also affected by your Deflect Chance but instead of being fully negated they are only reduced by 50% of their Total Damage.
Fireborn: Immune to Burning and Scorched.</t>
  </si>
  <si>
    <t>The Kobolds, originaly from the Volcanic regions of the main Planic, joined the other races and were fully accepted in their communities due to their quick mastery of magic and language. Their resistance to fire forged them renoun among the Dwarven Population.</t>
  </si>
  <si>
    <t>Troglodyte</t>
  </si>
  <si>
    <t>Scaled; Cold Blooded</t>
  </si>
  <si>
    <t>Scaled: Gain 10% Deflect; Strikes are now also affected by your Deflect Chance but instead of being fully negated they are only reduced by 50% of their Total Damage.
Cold Blooded: Immune to Frostbite and Chilled.</t>
  </si>
  <si>
    <t>Reptilion cavedwellers found in the Midlands. Unexpectedly fierce, the Troglodytes live in tribes and outcast themselves from the general populus of the Planes.</t>
  </si>
  <si>
    <t>Nari</t>
  </si>
  <si>
    <t>Felinari</t>
  </si>
  <si>
    <t>Agile; Ambusher</t>
  </si>
  <si>
    <t>Agile: Gain 2 Mobility; Does not Require to roll to Flee as long as Stamina is available.
Ambusher: Gain +2 Initiative; If you enter Combat from Stealth you gain +5 Initiave instead.</t>
  </si>
  <si>
    <t>ORIGIN: Created
The 'Nari were created by a group of corrupted Soulmancers and Druids which merged the bodies and souls of Humans with various species from the Old-World. Their cult was stopped, but the many specimens were allowed to live in the sacred grove. Their population quickly rose and are now found in many States across the Planes.</t>
  </si>
  <si>
    <t>The result of the interspecies merging between the Felines and Humans. They are masters at hunting their prey.</t>
  </si>
  <si>
    <t>Vulpinari</t>
  </si>
  <si>
    <t>Agile; Pathfinder</t>
  </si>
  <si>
    <t>Agile: Gain 2 Mobility; Does not Require to roll to Flee as long as Stamina is available.
Pathfinder: You retain Hex Vision in Forests and are able to see through Forests and Mountains when having a higher Hex Vision.</t>
  </si>
  <si>
    <t>The result of the interspecies merging between the Foxes and Humans. They master the art of mana sensing and are able to easily find their tracks in forests.</t>
  </si>
  <si>
    <t>Lupinari</t>
  </si>
  <si>
    <t>Agile; Thick-furred</t>
  </si>
  <si>
    <t>Agile: Gain 2 Mobility; Does not Require to roll to Flee as long as Stamina is available.
Thick-furred: Reduce all Damage you are about to take by 2.</t>
  </si>
  <si>
    <t>The result of the interspecies merging between the Wolves and Humans. They are deadly warriors engulfed in layers of thick fur and even deadlier teeth.</t>
  </si>
  <si>
    <t>Avian</t>
  </si>
  <si>
    <t>Harpy</t>
  </si>
  <si>
    <t>Winged; Fierce</t>
  </si>
  <si>
    <t>Winged: No longer Take Damage from Traversing Hexes; Spend 0.5 Stamina to gain 1 Hex Vision until Movement.
Fierce: Your Basic Attack has +5 Base Damage.</t>
  </si>
  <si>
    <t>ORIGIN: Planian
Avians were the leaders of the skies, dominating all the mountain ranges. They were the first to meet the Old-Worlders in combat and almost got completey wiped out because of it. They were not prepared for the advanced users of arcane that invaded their lands. After the Trialance was established they made peace with most Old-Worlders.
LIBRARIAN NOTE: "We have attempted to force the Harpy incubation with eggs of all species. Lots of new Avian types have been created in this process and afterwards exterminated, however Harpy's do not hatch naturally eggs other than those of owls and ravens."</t>
  </si>
  <si>
    <t>The Harpy is a Fierce Winged Sentient. They live in packs and hunt together using their numbers to their advantage. They are known to steal other bird eggs and incubate them in order to hatch other Avians. This may happen due to a Tribes necessity at specific skills. They are the most common Avians.</t>
  </si>
  <si>
    <t>Strix</t>
  </si>
  <si>
    <t>Winged; Vigilent</t>
  </si>
  <si>
    <t>Winged: No longer Take Damage from Traversing Hexes; Spend 0.5 Stamina to gain 1 Hex Vision until Movement.
Vigilent: You are able to see Stealth Objects and Entities.</t>
  </si>
  <si>
    <t xml:space="preserve">The Strix is an Owl-type Avian which hatches only from an Owls Egg which is incubated by a Harpy. Their eyes allow them to see what most can not, additionaly they have a higher affinity to magic. </t>
  </si>
  <si>
    <t>Ravian</t>
  </si>
  <si>
    <t>Winged; Fearless</t>
  </si>
  <si>
    <t>Winged: No longer Take Damage from Traversing Hexes; Spend 0.5 Stamina to gain 1 Hex Vision until Movement.
Fearless: Immune to Fear.</t>
  </si>
  <si>
    <t xml:space="preserve">The Ravian is a Raven-type Avian which hatches only from a Ravens Egg which is incubated by a Harpy. They are fearless hunters with incredible reflexes. </t>
  </si>
  <si>
    <t>Brazen</t>
  </si>
  <si>
    <t>Minotaur</t>
  </si>
  <si>
    <t>Brawn; Thick-furred</t>
  </si>
  <si>
    <t>Brawn: Critical Strikes on Melee weapons will apply from a dice roll of 14-20.
Thick-furred: Reduce all Damage you are about to take by 2.</t>
  </si>
  <si>
    <t>3.5</t>
  </si>
  <si>
    <t xml:space="preserve">ORIGIN:Old-Worlder/Created
Brazen were Half-orcs that got immediately cursed by the Planic Gods once they stepped through the portal.
The curse caused some to get the upper body of a bull, some the lower body of a bull and others were completely unaffected, those were called the Forgotten.
</t>
  </si>
  <si>
    <t>Horns of fury, thichk fur and raging eyes. This absolute unit not short of a monster will tear through the toughest enemies without much care.</t>
  </si>
  <si>
    <t>Forgotten</t>
  </si>
  <si>
    <t>Brawn; Solid</t>
  </si>
  <si>
    <t>Brawn: Critical Strikes on Melee weapons will apply from a dice roll of 14-20.
Solid: Immune to Slow and Root.</t>
  </si>
  <si>
    <t>The true Half-orcs that originally came from the Old-World were bread with Humans, trolls and even Dwarves. If there is something that they all have in common it is their Solid build.</t>
  </si>
  <si>
    <t>Satyr</t>
  </si>
  <si>
    <t>Brawn; Agile</t>
  </si>
  <si>
    <t>Brawn: Critical Strikes on Melee weapons will apply from a dice roll of 14-20.
Agile: Gain 2 Mobility; Does not Require to roll to Flee as long as Stamina is available.</t>
  </si>
  <si>
    <t>Even though it looks like the Satyrs drew the short end of the stick, their upper strength never changed and their improved hoves allowed them for higher agility. They are cunning and never let their guard down, they know very well which fights to take and which not to.</t>
  </si>
  <si>
    <t>Orc</t>
  </si>
  <si>
    <t>Goblin</t>
  </si>
  <si>
    <t>Fierce; Coward</t>
  </si>
  <si>
    <t>Fierce: Your Basic Attack has +5 Base Damage.
Coward: You can no longer hire Mercanaries, companions or Fight in the Arena</t>
  </si>
  <si>
    <t>4</t>
  </si>
  <si>
    <t>Grunt</t>
  </si>
  <si>
    <t>Fierce; Brawn</t>
  </si>
  <si>
    <t>Fierce: Your Basic Attack has +5 Base Damage.
Brawn: Critical Strikes on Melee weapons will apply from a dice roll of 14-20.</t>
  </si>
  <si>
    <t>Corrupted</t>
  </si>
  <si>
    <t>Fierce; Vile</t>
  </si>
  <si>
    <t>Fierce: Your Basic Attack has +5 Base Damage.
Vile: Immune to Charmed; Gain +1 to Basic Attack Rolls.</t>
  </si>
  <si>
    <t>Dwarf</t>
  </si>
  <si>
    <t>Delver</t>
  </si>
  <si>
    <t>Rich; Underdweller</t>
  </si>
  <si>
    <t>Rich: At the start of each Vendal gain 500 Gold; this triggers on the first Day of a Campaign as well.
Underdweller: You are able to Traverse Mountains; Gain Stealth while on Mountain Hexes.</t>
  </si>
  <si>
    <t>2.5</t>
  </si>
  <si>
    <t>Landzwerger</t>
  </si>
  <si>
    <t>Rich; Heavy</t>
  </si>
  <si>
    <t>Rich: At the start of each Vendal gain 500 Gold; this triggers on the first Day of a Campaign as well.
Heavy: Gain -2 Mobility; -5 Initiative Roll.</t>
  </si>
  <si>
    <t>Gnome</t>
  </si>
  <si>
    <t>Rich; Stealth</t>
  </si>
  <si>
    <t>Rich: At the start of each Vendal gain 500 Gold; this triggers on the first Day of a Campaign as well.
Stealth: You are no longer Visible on the Map towards hostile Entities.</t>
  </si>
  <si>
    <t>Troll</t>
  </si>
  <si>
    <t>Mountain</t>
  </si>
  <si>
    <t>Heavy; Solid</t>
  </si>
  <si>
    <t>Heavy: Gain -2 Mobility; -5 Initiative Roll.
Solid: Immune to Slow and Root.</t>
  </si>
  <si>
    <t>2</t>
  </si>
  <si>
    <t>Forest</t>
  </si>
  <si>
    <t>Heavy; Regeneration</t>
  </si>
  <si>
    <t>Heavy: Gain -2 Mobility; -5 Initiative Roll.
Regeneration: Restore an extra 10 Health and Resource at Start of Day.</t>
  </si>
  <si>
    <t>Cave</t>
  </si>
  <si>
    <t>Heavy; Fierce</t>
  </si>
  <si>
    <t>Heavy: Gain -2 Mobility; -5 Initiative Roll.
Fierce: Your Basic Attack has +5 Base Damage.</t>
  </si>
  <si>
    <t>Hivespawn</t>
  </si>
  <si>
    <t>Mothrin</t>
  </si>
  <si>
    <t>Nocturnal; Winged</t>
  </si>
  <si>
    <t>Nocturnal: Immune to Sleeping.
Winged: No longer Take Damage from Traversing Hexes; Spend 0.5 Stamina to gain 1 Hex Vision until Movement.</t>
  </si>
  <si>
    <t>Arachnian</t>
  </si>
  <si>
    <t>Nocturnal; Ambusher</t>
  </si>
  <si>
    <t>Nocturnal: Immune to Sleeping.
Ambusher: Gain +2 Initiative; If you enter Combat from Stealth you gain +5 Initiave instead.</t>
  </si>
  <si>
    <t>Arkaden</t>
  </si>
  <si>
    <t>Nocturnal; Skeletal</t>
  </si>
  <si>
    <t>Nocturnal: Immune to Sleeping.
Skeletal: Immune to Bleeding and Poisoned Statuses.</t>
  </si>
  <si>
    <t>Naga</t>
  </si>
  <si>
    <t>Siren</t>
  </si>
  <si>
    <t>Amphibious; Seducer</t>
  </si>
  <si>
    <t>Amphibious: Allows you to Traverse and Rest in Water Hexes; Overrides Mechanical.
Seducer: 50% Chance to Charm Entity for 2 Turns when Initiating Dialogue. (1/Entity)</t>
  </si>
  <si>
    <t>Triton</t>
  </si>
  <si>
    <t>Amphibious; Scaled</t>
  </si>
  <si>
    <t>Amphibious: Allows you to Traverse and Rest in Water Hexes; Overrides Mechanical.
Scaled: Gain 10% Deflect; Strikes are now also affected by your Deflect Chance but instead of being fully negated they are only reduced by 50% of their Total Damage.</t>
  </si>
  <si>
    <t>Nixie</t>
  </si>
  <si>
    <t>Amphibious; Foresight</t>
  </si>
  <si>
    <t>Amphibious: Allows you to Traverse and Rest in Water Hexes; Overrides Mechanical.
Foresight: At the start of your Turn in Combat you roll a D20, that roll may be used for your first Basic Attack this round.</t>
  </si>
  <si>
    <t>Sporian</t>
  </si>
  <si>
    <t>Rotcap</t>
  </si>
  <si>
    <t>Underdweller; Rotting</t>
  </si>
  <si>
    <t>Underdweller: You are able to Traverse Mountains; Gain Stealth while on Mountain Hexes.
Rotting: Grants you a Stack of Rot at the Start of each Day; Having the Condition Removed does not Remove the Rotting Stacks; at 3 Stacks of Rotting you will Gain -30% Elemental Resistance; At 5 Stacks of Rotting you will no longer Regenerate Health and Mana on Day Start; At 7 Stacks you will Die and the Stacks will Decrease by 2.</t>
  </si>
  <si>
    <t>Deathcap</t>
  </si>
  <si>
    <t>Underdweller; Resolute</t>
  </si>
  <si>
    <t>Underdweller: You are able to Traverse Mountains; Gain Stealth while on Mountain Hexes.
Resolute: When Casting Abilities without enough Resource it still casts unless the roll is a 1. (Following the Damage Chart from "Casting Abilities without enough Resource)</t>
  </si>
  <si>
    <t>Redcap</t>
  </si>
  <si>
    <t>Underdweller; Disciplined</t>
  </si>
  <si>
    <t>Underdweller: You are able to Traverse Mountains; Gain Stealth while on Mountain Hexes.
Disciplined: If your basic Attack misses your next Basic Attack has +3 on its roll against the same Target; This effect Stacks.</t>
  </si>
  <si>
    <t>Ratfolk</t>
  </si>
  <si>
    <t>Sewerspawn</t>
  </si>
  <si>
    <t>Adaptive; Ambusher</t>
  </si>
  <si>
    <t>Adaptive: Reduce the first Type of Damage that first affects by 5 until End of Day.
Ambusher: Gain +2 Initiative; If you enter Combat from Stealth you gain +5 Initiave instead.</t>
  </si>
  <si>
    <t>Vermin</t>
  </si>
  <si>
    <t>Adaptive; Insane</t>
  </si>
  <si>
    <t>Adaptive: Reduce the first Type of Damage that first affects by 5 until End of Day.
Insane: Immune to Tormented and Drunk.</t>
  </si>
  <si>
    <t>Legislated</t>
  </si>
  <si>
    <t>Adaptive; Thick-furred</t>
  </si>
  <si>
    <t>Adaptive: Reduce the first Type of Damage that first affects by 5 until End of Day.
Thick-furred: Reduce all Damage you are about to take by 2.</t>
  </si>
  <si>
    <t>FAE</t>
  </si>
  <si>
    <t>Dryad</t>
  </si>
  <si>
    <t>Nymph</t>
  </si>
  <si>
    <t>Regeneration; Seducer</t>
  </si>
  <si>
    <t>Regeneration: Restore an extra 10 Health and Resource at Start of Day.
Seducer: 50% Chance to Charm Entity for 2 Turns when Initiating Dialogue. (1/Entity)</t>
  </si>
  <si>
    <t>Frostleaf</t>
  </si>
  <si>
    <t>Regeneration; Cold Blooded</t>
  </si>
  <si>
    <t>Regeneration: Restore an extra 10 Health and Resource at Start of Day.
Cold Blooded: Immune to Frostbite and Chilled.</t>
  </si>
  <si>
    <t>Naturian</t>
  </si>
  <si>
    <t>Regeneration; Adaptive</t>
  </si>
  <si>
    <t>Regeneration: Restore an extra 10 Health and Resource at Start of Day.
Adaptive: Reduce the first Type of Damage that first affects by 5 until End of Day.</t>
  </si>
  <si>
    <t>Elf</t>
  </si>
  <si>
    <t>Shadow</t>
  </si>
  <si>
    <t>Vigilent; Nocturnal</t>
  </si>
  <si>
    <t>Vigilent: You are able to see Stealth Objects and Entities.
Nocturnal: Immune to Sleeping.</t>
  </si>
  <si>
    <t>Crimson</t>
  </si>
  <si>
    <t>Vigilent; Unstable</t>
  </si>
  <si>
    <t>Vigilent: You are able to see Stealth Objects and Entities.
Unstable: At the Start of Combat you roll a d10 to become Vulnerable or Surged for 3 Turns at random.</t>
  </si>
  <si>
    <t>Sylvan</t>
  </si>
  <si>
    <t>Vigilent; Agile</t>
  </si>
  <si>
    <t>Vigilent: You are able to see Stealth Objects and Entities.
Agile: Gain 2 Mobility; Does not Require to roll to Flee as long as Stamina is available.</t>
  </si>
  <si>
    <t>Sprite</t>
  </si>
  <si>
    <t>Pixie</t>
  </si>
  <si>
    <t>Absorber; Stealth</t>
  </si>
  <si>
    <t>Absorber: Dispersion is now percentage based and each Dispersion point counts as 3%; Capped at 100%.
Stealth: You are no longer Visible on the Map towards hostile Entities.</t>
  </si>
  <si>
    <t>Faery</t>
  </si>
  <si>
    <t>Absorber; Ethereal</t>
  </si>
  <si>
    <t>Absorber: Dispersion is now percentage based and each Dispersion point counts as 3%; Capped at 100%.
Ethereal: You have 50% Chance for Physical Damage to be negated.</t>
  </si>
  <si>
    <t>Wildian</t>
  </si>
  <si>
    <t>Absorber; Regeneration</t>
  </si>
  <si>
    <t>Absorber: Dispersion is now percentage based and each Dispersion point counts as 3%; Capped at 100%.
Regeneration: Restore an extra 10 Health and Resource at Start of Day.</t>
  </si>
  <si>
    <t>Nemesian</t>
  </si>
  <si>
    <t>Azurebound</t>
  </si>
  <si>
    <t>Aetheric; Foresight</t>
  </si>
  <si>
    <t>Aetheric: Leveling up restores 25% Missing Health and Resource.
Foresight: At the start of your Turn in Combat you roll a D20, that roll may be used for your first Basic Attack this round.</t>
  </si>
  <si>
    <t>Verdant</t>
  </si>
  <si>
    <t>Aetheric; Clarity</t>
  </si>
  <si>
    <t>Aetheric: Leveling up restores 25% Missing Health and Resource.
Clarity: Immune to Confusion.</t>
  </si>
  <si>
    <t>Gloomveiled</t>
  </si>
  <si>
    <t>Aetheric; Psionic</t>
  </si>
  <si>
    <t>Aetheric: Leveling up restores 25% Missing Health and Resource.
Psionic: Hostile entities on your Hex have -1 on their Rolls; Does not affect natural 20's.</t>
  </si>
  <si>
    <t>CONSTRUCT</t>
  </si>
  <si>
    <t>Gear-Forged</t>
  </si>
  <si>
    <t>Automaton</t>
  </si>
  <si>
    <t>Mechanical; Fearless</t>
  </si>
  <si>
    <t>Mechanical: Immune to Poison and Bleed Damage; Can't Swim; Cannot go above 0 Mobility.
Fearless: Immune to Fear.</t>
  </si>
  <si>
    <t>Clockwork</t>
  </si>
  <si>
    <t>Mechanical; Brawn</t>
  </si>
  <si>
    <t>Mechanical: Immune to Poison and Bleed Damage; Can't Swim; Cannot go above 0 Mobility.
Brawn: Critical Strikes on Melee weapons will apply from a dice roll of 14-20.</t>
  </si>
  <si>
    <t>Steam Walker</t>
  </si>
  <si>
    <t>Mechanical; Heavy</t>
  </si>
  <si>
    <t>Mechanical: Immune to Poison and Bleed Damage; Can't Swim; Cannot go above 0 Mobility.
Heavy: Gain -2 Mobility; -5 Initiative Roll.</t>
  </si>
  <si>
    <t>Sentinel</t>
  </si>
  <si>
    <t>Hardwired</t>
  </si>
  <si>
    <t>Armored; Pathfinder</t>
  </si>
  <si>
    <t>Armored: Defense is now Percentage based, and each Defense point counts as 3%; Capped at 100%.
Pathfinder: You retain Hex Vision in Forests and are able to see through Forests and Mountains when having a higher Hex Vision.</t>
  </si>
  <si>
    <t>50%</t>
  </si>
  <si>
    <t>Replicant</t>
  </si>
  <si>
    <t>Armored; Fierce</t>
  </si>
  <si>
    <t>Armored: Defense is now Percentage based, and each Defense point counts as 3%; Capped at 100%.
Fierce: Your Basic Attack has +5 Base Damage.</t>
  </si>
  <si>
    <t>Sentry</t>
  </si>
  <si>
    <t>Armored; Solid</t>
  </si>
  <si>
    <t>Armored: Defense is now Percentage based, and each Defense point counts as 3%; Capped at 100%.
Solid: Immune to Slow and Root.</t>
  </si>
  <si>
    <t>Anima</t>
  </si>
  <si>
    <t>Crystalite</t>
  </si>
  <si>
    <t>Animated; Unstable</t>
  </si>
  <si>
    <t>Animated: Immune to Damage over Time Statuses.
Unstable: At the Start of Combat you roll a d10 to become Vulnerable or Surged for 3 Turns at random.</t>
  </si>
  <si>
    <t>Obisidiante</t>
  </si>
  <si>
    <t>Animated; Amphibious</t>
  </si>
  <si>
    <t>Animated: Immune to Damage over Time Statuses.
Amphibious: Allows you to Traverse and Rest in Water Hexes; Overrides Mechanical.</t>
  </si>
  <si>
    <t>Carbonite</t>
  </si>
  <si>
    <t>Animated; Fireborn</t>
  </si>
  <si>
    <t>Animated: Immune to Damage over Time Statuses.
Fireborn: Immune to Burning and Scorched.</t>
  </si>
  <si>
    <t>Golem</t>
  </si>
  <si>
    <t>Mana-Tech</t>
  </si>
  <si>
    <t>Incorporated; Ionized</t>
  </si>
  <si>
    <t>Incorporated: Immune to Magnetized and Corroded.
Ionized: Damage will be dealt to Mana first; When Mana Reaches 0 you start losing Health; This does not work with alternative Resources.</t>
  </si>
  <si>
    <t>Metal</t>
  </si>
  <si>
    <t>Incorporated; Solid</t>
  </si>
  <si>
    <t>Incorporated: Immune to Magnetized and Corroded.
Solid: Immune to Slow and Root.</t>
  </si>
  <si>
    <t>Bone</t>
  </si>
  <si>
    <t>Incorporated; Skeletal</t>
  </si>
  <si>
    <t>Incorporated: Immune to Magnetized and Corroded.
Skeletal: Immune to Bleeding and Poisoned Statuses.</t>
  </si>
  <si>
    <t>UNDEAD</t>
  </si>
  <si>
    <t>Wight</t>
  </si>
  <si>
    <t>Skeleton</t>
  </si>
  <si>
    <t>Fearless; Skeletal</t>
  </si>
  <si>
    <t>Fearless: Immune to Fear.
Skeletal: Immune to Bleeding and Poisoned Statuses.</t>
  </si>
  <si>
    <t>Ghoul</t>
  </si>
  <si>
    <t>Fearless; Rotting</t>
  </si>
  <si>
    <t>Fearless: Immune to Fear.
Rotting: Grants you a Stack of Rot at the Start of each Day; Having the Condition Removed does not Remove the Rotting Stacks; at 3 Stacks of Rotting you will Gain -30% Elemental Resistance; At 5 Stacks of Rotting you will no longer Regenerate Health and Mana on Day Start; At 7 Stacks you will Die and the Stacks will Decrease by 2.</t>
  </si>
  <si>
    <t>Revenant</t>
  </si>
  <si>
    <t>Fearless; Cold Blooded</t>
  </si>
  <si>
    <t>Fearless: Immune to Fear.
Cold Blooded: Immune to Frostbite and Chilled.</t>
  </si>
  <si>
    <t>Bane</t>
  </si>
  <si>
    <t>Watcher</t>
  </si>
  <si>
    <t>Vile; Armored</t>
  </si>
  <si>
    <t>Vile: Immune to Charmed; Gain +1 to Basic Attack Rolls.
Armored: Defense is now Percentage based, and each Defense point counts as 3%; Capped at 100%.</t>
  </si>
  <si>
    <t>Grimglider</t>
  </si>
  <si>
    <t>Vile; Winged</t>
  </si>
  <si>
    <t>Vile: Immune to Charmed; Gain +1 to Basic Attack Rolls.
Winged: No longer Take Damage from Traversing Hexes; Spend 0.5 Stamina to gain 1 Hex Vision until Movement.</t>
  </si>
  <si>
    <t>Lich</t>
  </si>
  <si>
    <t>Vile; Absorber</t>
  </si>
  <si>
    <t>Vile: Immune to Charmed; Gain +1 to Basic Attack Rolls.
Absorber: Dispersion is now percentage based and each Dispersion point counts as 3%; Capped at 100%.</t>
  </si>
  <si>
    <t>Wraith</t>
  </si>
  <si>
    <t>Shade</t>
  </si>
  <si>
    <t>Ethereal; Nocturnal</t>
  </si>
  <si>
    <t>Ethereal: You have 50% Chance for Physical Damage to be negated.
Nocturnal: Immune to Sleeping.</t>
  </si>
  <si>
    <t>Banshee</t>
  </si>
  <si>
    <t>Ethereal; Amphibious</t>
  </si>
  <si>
    <t>Ethereal: You have 50% Chance for Physical Damage to be negated.
Amphibious: Allows you to Traverse and Rest in Water Hexes; Overrides Mechanical.</t>
  </si>
  <si>
    <t>Spectre</t>
  </si>
  <si>
    <t>Ethereal; Stealth</t>
  </si>
  <si>
    <t>Ethereal: You have 50% Chance for Physical Damage to be negated.
Stealth: You are no longer Visible on the Map towards hostile Entities.</t>
  </si>
  <si>
    <t>Necronian</t>
  </si>
  <si>
    <t>Dawnfallen</t>
  </si>
  <si>
    <t>Reflector; Adaptive</t>
  </si>
  <si>
    <t>Reflector: Gain 10% Deflection; Your Deflection is replaced by Reflection; Reflection reflects Non-Ultimate Projectiles at 50% of their original Damage.
Adaptive: Reduce the first Type of Damage that first affects by 5 until End of Day.</t>
  </si>
  <si>
    <t>Helltaken</t>
  </si>
  <si>
    <t>Reflector; Gating</t>
  </si>
  <si>
    <t>Reflector: Gain 10% Deflection; Your Deflection is replaced by Reflection; Reflection reflects Non-Ultimate Projectiles at 50% of their original Damage.
Gating: Replaces Channel and Prepare with their Combined Form.</t>
  </si>
  <si>
    <t>Forsaken</t>
  </si>
  <si>
    <t>Reflector; Agile</t>
  </si>
  <si>
    <t>Reflector: Gain 10% Deflection; Your Deflection is replaced by Reflection; Reflection reflects Non-Ultimate Projectiles at 50% of their original Damage.
Agile: Gain 2 Mobility; Does not Require to roll to Flee as long as Stamina is available.</t>
  </si>
  <si>
    <t>DEMON</t>
  </si>
  <si>
    <t>Cambion</t>
  </si>
  <si>
    <t>Wingborn</t>
  </si>
  <si>
    <t>Fireborn; Winged</t>
  </si>
  <si>
    <t>Fireborn: Immune to Burning and Scorched.
Winged: No longer Take Damage from Traversing Hexes; Spend 0.5 Stamina to gain 1 Hex Vision until Movement.</t>
  </si>
  <si>
    <t>Wrathian</t>
  </si>
  <si>
    <t>Fireborn; Gating</t>
  </si>
  <si>
    <t>Fireborn: Immune to Burning and Scorched.
Gating: Replaces Channel and Prepare with their Combined Form.</t>
  </si>
  <si>
    <t>Darktale</t>
  </si>
  <si>
    <t>Fireborn; Insane</t>
  </si>
  <si>
    <t>Fireborn: Immune to Burning and Scorched.
Insane: Immune to Tormented and Drunk.</t>
  </si>
  <si>
    <t>Devil</t>
  </si>
  <si>
    <t>Twin Tailed</t>
  </si>
  <si>
    <t>Gating; Agile</t>
  </si>
  <si>
    <t>Gating: Replaces Channel and Prepare with their Combined Form.
Agile: Gain 2 Mobility; Does not Require to roll to Flee as long as Stamina is available.</t>
  </si>
  <si>
    <t>Horned</t>
  </si>
  <si>
    <t>Gating; Brawn</t>
  </si>
  <si>
    <t>Gating: Replaces Channel and Prepare with their Combined Form.
Brawn: Critical Strikes on Melee weapons will apply from a dice roll of 14-20.</t>
  </si>
  <si>
    <t>Primordial</t>
  </si>
  <si>
    <t>Gating; Vile</t>
  </si>
  <si>
    <t>Gating: Replaces Channel and Prepare with their Combined Form.
Vile: Immune to Charmed; Gain +1 to Basic Attack Rolls.</t>
  </si>
  <si>
    <t>Aetherkan</t>
  </si>
  <si>
    <t>Flare</t>
  </si>
  <si>
    <t>Infernal; Gating</t>
  </si>
  <si>
    <t>Infernal: Immune to Fire and Frost Damage; Wet Status also deals 25 True Damage per Tick to you.
Gating: Replaces Channel and Prepare with their Combined Form.</t>
  </si>
  <si>
    <t>Sear</t>
  </si>
  <si>
    <t>Infernal; Fierce</t>
  </si>
  <si>
    <t>Infernal: Immune to Fire and Frost Damage; Wet Status also deals 25 True Damage per Tick to you.
Fierce: Your Basic Attack has +5 Base Damage.</t>
  </si>
  <si>
    <t>Lilian</t>
  </si>
  <si>
    <t>Infernal; Vile</t>
  </si>
  <si>
    <t>Infernal: Immune to Fire and Frost Damage; Wet Status also deals 25 True Damage per Tick to you.
Vile: Immune to Charmed; Gain +1 to Basic Attack Rolls.</t>
  </si>
  <si>
    <t>Fiend</t>
  </si>
  <si>
    <t>Imp</t>
  </si>
  <si>
    <t>Winged; Agile</t>
  </si>
  <si>
    <t>Winged: No longer Take Damage from Traversing Hexes; Spend 0.5 Stamina to gain 1 Hex Vision until Movement.
Agile: Gain 2 Mobility; Does not Require to roll to Flee as long as Stamina is available.</t>
  </si>
  <si>
    <t>5</t>
  </si>
  <si>
    <t>Succubus</t>
  </si>
  <si>
    <t>Winged; Seducer</t>
  </si>
  <si>
    <t>Winged: No longer Take Damage from Traversing Hexes; Spend 0.5 Stamina to gain 1 Hex Vision until Movement.
Seducer: 50% Chance to Charm Entity for 2 Turns when Initiating Dialogue. (1/Entity)</t>
  </si>
  <si>
    <t>Blanc</t>
  </si>
  <si>
    <t>Winged; Banished</t>
  </si>
  <si>
    <t>Winged: No longer Take Damage from Traversing Hexes; Spend 0.5 Stamina to gain 1 Hex Vision until Movement.
Banished: You can no Longer Interact with any Zone</t>
  </si>
  <si>
    <t>DIVINE</t>
  </si>
  <si>
    <t>Angel</t>
  </si>
  <si>
    <t>Exiled</t>
  </si>
  <si>
    <t>Winged; Insane</t>
  </si>
  <si>
    <t>Winged: No longer Take Damage from Traversing Hexes; Spend 0.5 Stamina to gain 1 Hex Vision until Movement.
Insane: Immune to Tormented and Drunk.</t>
  </si>
  <si>
    <t>Highsky</t>
  </si>
  <si>
    <t>Winged; Pathfinder</t>
  </si>
  <si>
    <t>Winged: No longer Take Damage from Traversing Hexes; Spend 0.5 Stamina to gain 1 Hex Vision until Movement.
Pathfinder: You retain Hex Vision in Forests and are able to see through Forests and Mountains when having a higher Hex Vision.</t>
  </si>
  <si>
    <t>Valkyr</t>
  </si>
  <si>
    <t>Winged; Clarity</t>
  </si>
  <si>
    <t>Winged: No longer Take Damage from Traversing Hexes; Spend 0.5 Stamina to gain 1 Hex Vision until Movement.
Clarity: Immune to Confusion.</t>
  </si>
  <si>
    <t>Deva</t>
  </si>
  <si>
    <t>Goldalcon</t>
  </si>
  <si>
    <t>Ambitious; Resolute</t>
  </si>
  <si>
    <t>Ambitious: Winning Combats against Entities with higher level grants you 1 Attribute Point.
Resolute: When Casting Abilities without enough Resource it still casts unless the roll is a 1. (Following the Damage Chart from "Casting Abilities without enough Resource)</t>
  </si>
  <si>
    <t>Sevascon</t>
  </si>
  <si>
    <t>Ambitious; Disciplined</t>
  </si>
  <si>
    <t>Ambitious: Winning Combats against Entities with higher level grants you 1 Attribute Point.
Disciplined: If your basic Attack misses your next Basic Attack has +3 on its roll against the same Target; This effect Stacks.</t>
  </si>
  <si>
    <t>Planicon</t>
  </si>
  <si>
    <t>Ambitious; Vigilent</t>
  </si>
  <si>
    <t>Ambitious: Winning Combats against Entities with higher level grants you 1 Attribute Point.
Vigilent: You are able to see Stealth Objects and Entities.</t>
  </si>
  <si>
    <t>Servion</t>
  </si>
  <si>
    <t>Celestial</t>
  </si>
  <si>
    <t>Psionic; Foresight</t>
  </si>
  <si>
    <t>Psionic: Hostile entities on your Hex have -1 on their Rolls; Does not affect natural 20's.
Foresight: At the start of your Turn in Combat you roll a D20, that roll may be used for your first Basic Attack this round.</t>
  </si>
  <si>
    <t>Empyrian</t>
  </si>
  <si>
    <t>Psionic; Ethereal</t>
  </si>
  <si>
    <t>Psionic: Hostile entities on your Hex have -1 on their Rolls; Does not affect natural 20's.
Ethereal: You have 50% Chance for Physical Damage to be negated.</t>
  </si>
  <si>
    <t>Cosmic</t>
  </si>
  <si>
    <t>Psionic; Unstable</t>
  </si>
  <si>
    <t>Psionic: Hostile entities on your Hex have -1 on their Rolls; Does not affect natural 20's.
Unstable: At the Start of Combat you roll a d10 to become Vulnerable or Surged for 3 Turns at random.</t>
  </si>
  <si>
    <t>Aspect</t>
  </si>
  <si>
    <t>Patagan</t>
  </si>
  <si>
    <t>Absorber; Armored</t>
  </si>
  <si>
    <t>Absorber: Dispersion is now percentage based and each Dispersion point counts as 3%; Capped at 100%.
Armored: Defense is now Percentage based, and each Defense point counts as 3%; Capped at 100%.</t>
  </si>
  <si>
    <t>Orion</t>
  </si>
  <si>
    <t>Absorber; Resolute</t>
  </si>
  <si>
    <t>Absorber: Dispersion is now percentage based and each Dispersion point counts as 3%; Capped at 100%.
Resolute: When Casting Abilities without enough Resource it still casts unless the roll is a 1. (Following the Damage Chart from "Casting Abilities without enough Resource)</t>
  </si>
  <si>
    <t>Electis</t>
  </si>
  <si>
    <t>Absorber; Ionized</t>
  </si>
  <si>
    <t>Absorber: Dispersion is now percentage based and each Dispersion point counts as 3%; Capped at 100%.
Ionized: Damage will be dealt to Mana first; When Mana Reaches 0 you start losing Health; This does not work with alternative Resources.</t>
  </si>
  <si>
    <t>ELDRITCH</t>
  </si>
  <si>
    <t>Voidborn</t>
  </si>
  <si>
    <t>Nameless</t>
  </si>
  <si>
    <t>Voidstain; Banished</t>
  </si>
  <si>
    <t>Voidstain: Upon Engaging Combat your Current Health and Current Mana are Randomized between 0 and your Maximum Health and Maximum Mana.
Banished: You can no Longer Interact with any Zone</t>
  </si>
  <si>
    <t>Amalgam</t>
  </si>
  <si>
    <t>Voidstain; Large</t>
  </si>
  <si>
    <t>Voidstain: Upon Engaging Combat your Current Health and Current Mana are Randomized between 0 and your Maximum Health and Maximum Mana.
Large: You occupy a 2x2 Tile Area in Combat; Flux Abilities that Target multiple Tiles you are on will deal their Damage for each Tile, however Non-Damaging Effects won't stack.</t>
  </si>
  <si>
    <t>Eraser</t>
  </si>
  <si>
    <t xml:space="preserve">Voidstain; Ethereal </t>
  </si>
  <si>
    <t>Voidstain: Upon Engaging Combat your Current Health and Current Mana are Randomized between 0 and your Maximum Health and Maximum Mana.
Ethereal: You have 50% Chance for Physical Damage to be negated.</t>
  </si>
  <si>
    <t>Anrotten</t>
  </si>
  <si>
    <t>Aberrant</t>
  </si>
  <si>
    <t>Rotting; Tempered</t>
  </si>
  <si>
    <t>Rotting: Grants you a Stack of Rot at the Start of each Day; Having the Condition Removed does not Remove the Rotting Stacks; at 3 Stacks of Rotting you will Gain -30% Elemental Resistance; At 5 Stacks of Rotting you will no longer Regenerate Health and Mana on Day Start; At 7 Stacks you will Die and the Stacks will Decrease by 2.
Tempered: All your D20 Rolls are set to 10; Roll Modifiers still affect the Roll.</t>
  </si>
  <si>
    <t>Spreader</t>
  </si>
  <si>
    <t>Rotting; Adaptive</t>
  </si>
  <si>
    <t>Rotting: Grants you a Stack of Rot at the Start of each Day; Having the Condition Removed does not Remove the Rotting Stacks; at 3 Stacks of Rotting you will Gain -30% Elemental Resistance; At 5 Stacks of Rotting you will no longer Regenerate Health and Mana on Day Start; At 7 Stacks you will Die and the Stacks will Decrease by 2.
Adaptive: Reduce the first Type of Damage that first affects by 5 until End of Day.</t>
  </si>
  <si>
    <t>Calinthian</t>
  </si>
  <si>
    <t>Rotting; Mighty</t>
  </si>
  <si>
    <t>Rotting: Grants you a Stack of Rot at the Start of each Day; Having the Condition Removed does not Remove the Rotting Stacks; at 3 Stacks of Rotting you will Gain -30% Elemental Resistance; At 5 Stacks of Rotting you will no longer Regenerate Health and Mana on Day Start; At 7 Stacks you will Die and the Stacks will Decrease by 2.
Mighty: Gain 2 Might; Throwables now scale with your Might when throwing them gaining +1 Roll Modifier per Might rounded up.</t>
  </si>
  <si>
    <t>Verubian</t>
  </si>
  <si>
    <t>Inkveined</t>
  </si>
  <si>
    <t>Indomitable; Nimble</t>
  </si>
  <si>
    <t>Severed</t>
  </si>
  <si>
    <t>Indomitable; Wise</t>
  </si>
  <si>
    <t>Spinner</t>
  </si>
  <si>
    <t>Indomitable; Winged</t>
  </si>
  <si>
    <t>4.5</t>
  </si>
  <si>
    <t>Meledian</t>
  </si>
  <si>
    <t>Scourer</t>
  </si>
  <si>
    <t>Rusting; Scaled</t>
  </si>
  <si>
    <t>Rusting: Your Mobility is Locked at -2; All Entities on your Hex are also Locked at -2 Mobility.
Scaled: Gain 10% Deflect; Strikes are now also affected by your Deflect Chance but instead of being fully negated they are only reduced by 50% of their Total Damage.</t>
  </si>
  <si>
    <t>Rusthead</t>
  </si>
  <si>
    <t>Rusting; Resistant</t>
  </si>
  <si>
    <t>Rusting: Your Mobility is Locked at -2; All Entities on your Hex are also Locked at -2 Mobility.
Resistant: Gain 10% Magic Damage Reduction and 10% Physical Damage Reduction.</t>
  </si>
  <si>
    <t>Tarnished</t>
  </si>
  <si>
    <t>Rusting; Hope</t>
  </si>
  <si>
    <t>Rusting: Your Mobility is Locked at -2; All Entities on your Hex are also Locked at -2 Mobility.
Hope: Upon taking Lethal Damage Survive on 1 Health, Cleanse all Statuses and consume this Condition.</t>
  </si>
  <si>
    <t>CONDITION</t>
  </si>
  <si>
    <t>EFFECT</t>
  </si>
  <si>
    <t>    </t>
  </si>
  <si>
    <t>CREATURE</t>
  </si>
  <si>
    <t>KIN/DIFFICULTY</t>
  </si>
  <si>
    <t>BIOMES</t>
  </si>
  <si>
    <t>WEAKLINGS</t>
  </si>
  <si>
    <t>Primes</t>
  </si>
  <si>
    <t>Surface</t>
  </si>
  <si>
    <t>Demon</t>
  </si>
  <si>
    <t>Underground</t>
  </si>
  <si>
    <t>Undead</t>
  </si>
  <si>
    <t>Grasslands</t>
  </si>
  <si>
    <t>Fae</t>
  </si>
  <si>
    <t>Frostreach</t>
  </si>
  <si>
    <t>Divine</t>
  </si>
  <si>
    <t>Sakura</t>
  </si>
  <si>
    <t>6</t>
  </si>
  <si>
    <t>Construct</t>
  </si>
  <si>
    <t>Sundune</t>
  </si>
  <si>
    <t>7</t>
  </si>
  <si>
    <t>Living</t>
  </si>
  <si>
    <t>Bloodgrounds</t>
  </si>
  <si>
    <t>8</t>
  </si>
  <si>
    <t>Volcanica</t>
  </si>
  <si>
    <t>9</t>
  </si>
  <si>
    <t>Desolation</t>
  </si>
  <si>
    <t>10</t>
  </si>
  <si>
    <t>Grimwall</t>
  </si>
  <si>
    <t>11</t>
  </si>
  <si>
    <t>Elysian</t>
  </si>
  <si>
    <t>12</t>
  </si>
  <si>
    <t>Underspread</t>
  </si>
  <si>
    <t>13</t>
  </si>
  <si>
    <t>14</t>
  </si>
  <si>
    <t>15</t>
  </si>
  <si>
    <t>16</t>
  </si>
  <si>
    <t>17</t>
  </si>
  <si>
    <t>18</t>
  </si>
  <si>
    <t>19</t>
  </si>
  <si>
    <t>20</t>
  </si>
  <si>
    <t>SENTIENT</t>
  </si>
  <si>
    <t>Character name</t>
  </si>
  <si>
    <t>Frostbitten Corpse</t>
  </si>
  <si>
    <t>Bloomed Deceased</t>
  </si>
  <si>
    <t>Mummified Remains</t>
  </si>
  <si>
    <t>Walking Flesh</t>
  </si>
  <si>
    <t>Charred Walker</t>
  </si>
  <si>
    <t>Stonehusk Skeleton</t>
  </si>
  <si>
    <t>Corrupted Corpse</t>
  </si>
  <si>
    <t>Lost Soul</t>
  </si>
  <si>
    <t>Fungal Corpse</t>
  </si>
  <si>
    <t>Location</t>
  </si>
  <si>
    <t>Kin</t>
  </si>
  <si>
    <t>25/25</t>
  </si>
  <si>
    <t>Mana/Resource</t>
  </si>
  <si>
    <t>50/50</t>
  </si>
  <si>
    <t>Light R</t>
  </si>
  <si>
    <t>Dark R</t>
  </si>
  <si>
    <t>Fire R</t>
  </si>
  <si>
    <t>Frost R</t>
  </si>
  <si>
    <t>Wind R</t>
  </si>
  <si>
    <t>Earth R</t>
  </si>
  <si>
    <t>Lightning R</t>
  </si>
  <si>
    <t>Bleed R</t>
  </si>
  <si>
    <t>Poison R</t>
  </si>
  <si>
    <t>Claws 12 P.D. (16 Crit)</t>
  </si>
  <si>
    <t>3/3</t>
  </si>
  <si>
    <t>1/1</t>
  </si>
  <si>
    <t>Deflect</t>
  </si>
  <si>
    <t>Bone Marrow + Common Ore</t>
  </si>
  <si>
    <t>Bone Marrow + Whistling Sap + Common Ore</t>
  </si>
  <si>
    <t>Bone Marrow</t>
  </si>
  <si>
    <t>Experience Gained</t>
  </si>
  <si>
    <t>Passive</t>
  </si>
  <si>
    <t>(P) Immune to Bleed/Poison</t>
  </si>
  <si>
    <t>(P) Immune to Poison</t>
  </si>
  <si>
    <t>(P) Immune to Frost</t>
  </si>
  <si>
    <t>(P) Immune to Lightning</t>
  </si>
  <si>
    <t>(P) Immune to Wind</t>
  </si>
  <si>
    <t>(P) Immune to Bleed</t>
  </si>
  <si>
    <t>(P) Immune to Earth</t>
  </si>
  <si>
    <t>(P) Immune to Darkness</t>
  </si>
  <si>
    <t>(P) Immune to Light</t>
  </si>
  <si>
    <t>Immune to Darkness</t>
  </si>
  <si>
    <t>Tier I</t>
  </si>
  <si>
    <t>(≈) Bite: 10 Poison Damage (50 mana)</t>
  </si>
  <si>
    <t>(≈) Bite: 10 Frost Damage (50 mana)</t>
  </si>
  <si>
    <t>(≈) Bite: 10 Lightning Damage (50 mana)</t>
  </si>
  <si>
    <t>(≈) Bite: 10 Wind Damage (50 mana)</t>
  </si>
  <si>
    <t>(≈) Bite: 10 Bleed Damage (50 mana)</t>
  </si>
  <si>
    <t>(≈) Bite: 10 Fire Damage (50 mana)</t>
  </si>
  <si>
    <t>(≈) Bite: 10 Earth Damage (50 mana)</t>
  </si>
  <si>
    <t>(≈) Bite: 10 Dark Damage (50 mana)</t>
  </si>
  <si>
    <t>(≈) Bite: 10 Light Damage (50 mana)</t>
  </si>
  <si>
    <t>Bite: 10 Dark Damage (50 mana)</t>
  </si>
  <si>
    <t>Giant Hog</t>
  </si>
  <si>
    <t>Wild Boar</t>
  </si>
  <si>
    <t>Frost Boar</t>
  </si>
  <si>
    <t>Crystalian</t>
  </si>
  <si>
    <t>Dry Hog</t>
  </si>
  <si>
    <t>Cannibal Boar</t>
  </si>
  <si>
    <t>Fire Boar</t>
  </si>
  <si>
    <t>Withered Boar</t>
  </si>
  <si>
    <t>Grim Boar</t>
  </si>
  <si>
    <t>Prismatic Boar</t>
  </si>
  <si>
    <t>Fungal Boar</t>
  </si>
  <si>
    <t>55/55</t>
  </si>
  <si>
    <t>Maul 7 P.D. (14 Crit)</t>
  </si>
  <si>
    <t>Maul 8 P.D. (16 Crit)</t>
  </si>
  <si>
    <t>Maul 6 P.D. (12 Crit)</t>
  </si>
  <si>
    <t>Bone Marrow + Common Fabric</t>
  </si>
  <si>
    <t>Bone Marrow + Soul Essence</t>
  </si>
  <si>
    <t>Resistant: +1 Defense</t>
  </si>
  <si>
    <t>(≈) Rage: Requires 50% Hp or Less: Flash; Become Enraged.</t>
  </si>
  <si>
    <t>(≈) Counter, Reduce Attacks Damage by 50% and Deal 10 L.D. (50 Mana)</t>
  </si>
  <si>
    <t>Atix</t>
  </si>
  <si>
    <t>Giant Wasp</t>
  </si>
  <si>
    <t>Frolix</t>
  </si>
  <si>
    <t>Soul Butterfly</t>
  </si>
  <si>
    <t>Sulix</t>
  </si>
  <si>
    <t>Bloodsucker</t>
  </si>
  <si>
    <t>Volix</t>
  </si>
  <si>
    <t>Stinger</t>
  </si>
  <si>
    <t>Black Leech</t>
  </si>
  <si>
    <t>Pure Butterfly</t>
  </si>
  <si>
    <t>River Leech</t>
  </si>
  <si>
    <t>20/20</t>
  </si>
  <si>
    <t>Sting 10 P.D. (20 Crit)</t>
  </si>
  <si>
    <t>Ranged Warp 8 M.D. (16 Crit)</t>
  </si>
  <si>
    <t>Sting 15 P.D. (30 Crit)</t>
  </si>
  <si>
    <t>Ranged Warp 5 L.D. (20 Crit)</t>
  </si>
  <si>
    <t>Slithering Oil + Common Fabric</t>
  </si>
  <si>
    <t>Pure Blood + Poison Gland</t>
  </si>
  <si>
    <t>(P) 50% To Deal Double Damage.</t>
  </si>
  <si>
    <t>(P) 50% To Poison for 5 DPT Over 2 Turns</t>
  </si>
  <si>
    <t>(P) Deals 10 Frost Damage On Hit.</t>
  </si>
  <si>
    <t>(P) Magic Warping: Basic Attacks Have Warp but consume 10 Mana.</t>
  </si>
  <si>
    <t>(P) Every Five Turns in Combat, summon another Sulix</t>
  </si>
  <si>
    <t>(P) 50% To Bleed for 5 DPT Over 2 Turns</t>
  </si>
  <si>
    <t>(P) 10 Fire Damage On Hit</t>
  </si>
  <si>
    <t>(P) Basic Attacks have 50% Life Drain</t>
  </si>
  <si>
    <t>Basic Attacks have 50% Life Drain</t>
  </si>
  <si>
    <t>(P) If out of Mana, Channel to gain 10 Mana.</t>
  </si>
  <si>
    <t>Passive: +1 Mobility</t>
  </si>
  <si>
    <t>Natural Wisp</t>
  </si>
  <si>
    <t>Swamp Wisp</t>
  </si>
  <si>
    <t>Frost Wisp</t>
  </si>
  <si>
    <t>Charged Wisp</t>
  </si>
  <si>
    <t>Wind Whisp</t>
  </si>
  <si>
    <t>Blood Whisp</t>
  </si>
  <si>
    <t>Fire Whisp</t>
  </si>
  <si>
    <t>Stone Whisp</t>
  </si>
  <si>
    <t>Dark Whisp</t>
  </si>
  <si>
    <t>Light Whisp</t>
  </si>
  <si>
    <t>Fungal Wisp</t>
  </si>
  <si>
    <t>40/40</t>
  </si>
  <si>
    <t>60/60</t>
  </si>
  <si>
    <t>Soul Essence + Common Ore</t>
  </si>
  <si>
    <t>Gravity Fragment + Soul Essence</t>
  </si>
  <si>
    <t>(o) Deal 12 Magic damage per Turn</t>
  </si>
  <si>
    <t>(o) Deal 6 Poison damage per Turn</t>
  </si>
  <si>
    <t>(o) Deal 6 Frost damage per Turn</t>
  </si>
  <si>
    <t>(o) Deal 6 Lightning damage per Turn</t>
  </si>
  <si>
    <t>(o) Deal 6 Wind damage per Turn</t>
  </si>
  <si>
    <t>(o) Deal 6 Bleed damage per Turn</t>
  </si>
  <si>
    <t>(o) Deal 6 Fire damage per Turn</t>
  </si>
  <si>
    <t>(o) Deal 6 Earth damage per Turn</t>
  </si>
  <si>
    <t>(o) Deal 6 Dark damage per Turn</t>
  </si>
  <si>
    <t>(o) Deal 6 Light damage per Turn</t>
  </si>
  <si>
    <t>Flux: Deal 3 Poison damage per Turn</t>
  </si>
  <si>
    <t>25% Chance Turn Start dealing 20 Poison</t>
  </si>
  <si>
    <t>Stone Golem</t>
  </si>
  <si>
    <t>Plant Golem</t>
  </si>
  <si>
    <t>Frost Golem</t>
  </si>
  <si>
    <t>Crystal Golem</t>
  </si>
  <si>
    <t>Sand Golem</t>
  </si>
  <si>
    <t>Blood Golem</t>
  </si>
  <si>
    <t>Molten Golem</t>
  </si>
  <si>
    <t>Bone Golem</t>
  </si>
  <si>
    <t>Corrupted Golem</t>
  </si>
  <si>
    <t>Obsidian Golem</t>
  </si>
  <si>
    <t>Fungal Golem</t>
  </si>
  <si>
    <t>NA</t>
  </si>
  <si>
    <t>Punch 8 P.D. (16 Crit)</t>
  </si>
  <si>
    <t>1/1.</t>
  </si>
  <si>
    <t>Hardened Powder + Common Ore</t>
  </si>
  <si>
    <t>Slithering Oil + Vile Mushroom</t>
  </si>
  <si>
    <t>(≈) Prepare 1 T and Smashes Head for 20 P.D.</t>
  </si>
  <si>
    <t>Prepare 1 T and Smashes Head for 40 P.D. (50)</t>
  </si>
  <si>
    <t>(P) -2 Mobility</t>
  </si>
  <si>
    <t>Familiar</t>
  </si>
  <si>
    <t>Charred Treant</t>
  </si>
  <si>
    <t>Frostheart Familiar</t>
  </si>
  <si>
    <t>Demonic Crystalian</t>
  </si>
  <si>
    <t>Dunic Curse</t>
  </si>
  <si>
    <t>Lesser Hellspawn Wormlane</t>
  </si>
  <si>
    <t>Volcanic Familiar</t>
  </si>
  <si>
    <t>Dawner</t>
  </si>
  <si>
    <t>Corrupted Imp</t>
  </si>
  <si>
    <t>Highsky Familiar</t>
  </si>
  <si>
    <t>Sea Scurge</t>
  </si>
  <si>
    <t>35/35</t>
  </si>
  <si>
    <t>70/70</t>
  </si>
  <si>
    <t>80/80</t>
  </si>
  <si>
    <t>30/30</t>
  </si>
  <si>
    <t>10 Physical Damage (20 Crit)</t>
  </si>
  <si>
    <t>8 Physical Damage (14 Crit)</t>
  </si>
  <si>
    <t>Pierce 6 P.D. (12 Crit)</t>
  </si>
  <si>
    <t>10 Physical Damage (15 Crit)</t>
  </si>
  <si>
    <t>15 Physical Damage (20 Crit)</t>
  </si>
  <si>
    <t>20 Magic Damage Ranged</t>
  </si>
  <si>
    <t>Power Sand + Common Fabric</t>
  </si>
  <si>
    <t>(P) 3 Fire Damage in Melee on Turn Start</t>
  </si>
  <si>
    <t>(P) Ethereal</t>
  </si>
  <si>
    <t>(P) Moves to a Random Tile on Turn Start and Deals 20 Physical Damage in Melee Range.</t>
  </si>
  <si>
    <t>(P) 1 Mobility</t>
  </si>
  <si>
    <t>(P) Basic Attacks Ignore 50% of Defense.</t>
  </si>
  <si>
    <t xml:space="preserve"> (&gt;) Fire Spit: 20 Fire Damage. (50 Mana)</t>
  </si>
  <si>
    <t xml:space="preserve"> (&gt;) Frost Spit: 20 Frost Damage. (50 Mana)</t>
  </si>
  <si>
    <t>(≈) Counter, Reduce Attacks Damage by 50% and Deal 10 F.D.</t>
  </si>
  <si>
    <t>(P) 6 Fire Damage On Hit.</t>
  </si>
  <si>
    <t>Light Ray: (&gt;) 20 Light Damage. (50 Mana)</t>
  </si>
  <si>
    <t>Wingless Angeling</t>
  </si>
  <si>
    <t>Brimming Snowform</t>
  </si>
  <si>
    <t>Blooming Garden</t>
  </si>
  <si>
    <t>Praying Swallower</t>
  </si>
  <si>
    <t>Heavenly Waste</t>
  </si>
  <si>
    <t>Lost and Branded Angeling</t>
  </si>
  <si>
    <t>Winged Wolf</t>
  </si>
  <si>
    <t>Discarded Spawn</t>
  </si>
  <si>
    <t>Radiating Warrior</t>
  </si>
  <si>
    <t>Formless Mushroom</t>
  </si>
  <si>
    <t>Starts with 35/45</t>
  </si>
  <si>
    <t>10/10 10/10 10/10 10/10 10/10</t>
  </si>
  <si>
    <t>Melee 8 PD (16 Crit)</t>
  </si>
  <si>
    <t>Melee 6 PD (12 Crit)</t>
  </si>
  <si>
    <t>Melee 8 Frost DMG (16 Crit)</t>
  </si>
  <si>
    <t>Ranged 10 MD each (Can't Crit); They do nothing until 1 is Killed</t>
  </si>
  <si>
    <t>5 Earth Damage Melee (10 Crit) (Can't BA a Swallowed Target)</t>
  </si>
  <si>
    <t>Melee 10 Bleed DMG (20 Crit)</t>
  </si>
  <si>
    <t>Ranged 7 Magic Damage (14 Crit)</t>
  </si>
  <si>
    <t>Melee 10 PD (20 Crit)</t>
  </si>
  <si>
    <t>Melee 8 PD (16 crit)</t>
  </si>
  <si>
    <t>Melee 10 Light Damage (20 Crit)</t>
  </si>
  <si>
    <t>Moves 1 Random Tile then shoots Basic Attack at Random Target.</t>
  </si>
  <si>
    <t>Mending Salve + Common Fabric</t>
  </si>
  <si>
    <t>Mending Salve + Common Ore</t>
  </si>
  <si>
    <t>5x Vile Mushroom + Common Fabric</t>
  </si>
  <si>
    <t>(&gt;) Life Drain 10 HP from Target in Melee (25 Mana)</t>
  </si>
  <si>
    <t>(&gt;) Shoot Frost for 12 Frost Damage (25 Mana)</t>
  </si>
  <si>
    <t>(P) This Enemy is a Garden of 5 randomly placed Divine Flowers</t>
  </si>
  <si>
    <t xml:space="preserve">(≈) Swallow (Stun) Target in Melee dealing 5 Earth and 5 Physical DMG until End of Combat; They can roll for a Crit every Turn to escape (50 Mana) </t>
  </si>
  <si>
    <t>(o) Explode Dealing 20 Fire Damage in Melee Range (25 Mana)</t>
  </si>
  <si>
    <t>(P) Winged</t>
  </si>
  <si>
    <t>Hallucinator: 50% Chance for Basic Attacks to Confuse for 1 Day.</t>
  </si>
  <si>
    <t>(≈) Counter; Dodge a Strike or Projectile with +5 Modifier (25 Mana)</t>
  </si>
  <si>
    <t>(&gt;) Mana Drain 10 Mana from Target in Melee (25 Mana)</t>
  </si>
  <si>
    <t>(&gt;) Slow Target for 2 Turns (25 Mana)</t>
  </si>
  <si>
    <t>(≈) Flies into Melee Range of Target (25 Mana)</t>
  </si>
  <si>
    <t>(&gt;) Vomit on Target in Melee Inflicting Corroded for 3 Turns (25 Mana)</t>
  </si>
  <si>
    <t>(+) Blind Target for 2 Turns (25 Mana)</t>
  </si>
  <si>
    <t>Immune to Confusion</t>
  </si>
  <si>
    <t>Pale Screamer</t>
  </si>
  <si>
    <t>Acidic Vorka</t>
  </si>
  <si>
    <t>Frosthawk</t>
  </si>
  <si>
    <t>White Aragana</t>
  </si>
  <si>
    <t>Oasis Dragonfly</t>
  </si>
  <si>
    <t xml:space="preserve">Rotten </t>
  </si>
  <si>
    <t>Volcan Terminus</t>
  </si>
  <si>
    <t>Bone Vulture</t>
  </si>
  <si>
    <t>Corrupted Wall</t>
  </si>
  <si>
    <t>Divine Beacon</t>
  </si>
  <si>
    <t>Infectious Mushroom</t>
  </si>
  <si>
    <t>Giant Mushroom</t>
  </si>
  <si>
    <t>Shroomlings</t>
  </si>
  <si>
    <t>Fungal Swallower</t>
  </si>
  <si>
    <t>living</t>
  </si>
  <si>
    <t xml:space="preserve">40/40 </t>
  </si>
  <si>
    <t>15/15 15/15 15/15</t>
  </si>
  <si>
    <t xml:space="preserve"> </t>
  </si>
  <si>
    <t>Scream: Ranged Projectile 10 Pulse Damage. (20 Crit)</t>
  </si>
  <si>
    <t>Ranged: 10 (20 Crit)Poison Damage Basic Attack</t>
  </si>
  <si>
    <t>Claw: 15 P.D (30 Crit)</t>
  </si>
  <si>
    <t>Swipe with hand: 15 Ps.D (30 Crit)</t>
  </si>
  <si>
    <t>Projectile: Wind Slash: 20 Wind Damage</t>
  </si>
  <si>
    <t>Spit: 15 P.D. (30 Crit)</t>
  </si>
  <si>
    <t>Bone Impale: Ranged Warp; Deals 20 Earth Damage.</t>
  </si>
  <si>
    <t>Melee Flux 20 Dark Damage / Turn</t>
  </si>
  <si>
    <t>Projectile: 15 Light Damage.</t>
  </si>
  <si>
    <t xml:space="preserve">Smash 15 PD </t>
  </si>
  <si>
    <t>Flux: Deal 10 Poison Damage Per Turn</t>
  </si>
  <si>
    <t>(3 Shrooms) Spore Breath: 8 Magic (16 Crit) Per Shroom</t>
  </si>
  <si>
    <t>Digestion: Lose 15 Health.</t>
  </si>
  <si>
    <t>4x Bone Marrow</t>
  </si>
  <si>
    <t>Mending Salve + Rare Fabric</t>
  </si>
  <si>
    <t>Rare Fabric + Mana Berries</t>
  </si>
  <si>
    <t>Soul Essence + Divine Feather</t>
  </si>
  <si>
    <t>Slithering Oil + Rare Fabric</t>
  </si>
  <si>
    <t>Black Cobweb + Rotten Flesh</t>
  </si>
  <si>
    <t>Ashen Weeds + Flaming Spirits</t>
  </si>
  <si>
    <t>rol</t>
  </si>
  <si>
    <t>Deaths Touch + Power Sand</t>
  </si>
  <si>
    <t>Hardened Powder + Rare Ore</t>
  </si>
  <si>
    <t>Gravity Fragment + Poison Gland</t>
  </si>
  <si>
    <t>Ingredients</t>
  </si>
  <si>
    <t>(P) 50% Chance to Fear all other Entities for 2 Turns on Combat Start</t>
  </si>
  <si>
    <t>(P) 3 Mobility</t>
  </si>
  <si>
    <t>(P) Aragana Shield: Start Game with 10 Barrier)</t>
  </si>
  <si>
    <t>(P) 8 Mobility</t>
  </si>
  <si>
    <t>(P) 50% Res to Physical Damage</t>
  </si>
  <si>
    <t>(o) When in Melee Explode dealing 50 Fire Damage; killing itself.</t>
  </si>
  <si>
    <t>(P) Immobile/Can not move</t>
  </si>
  <si>
    <t>(P) When below 50% hp, deal True Damage.</t>
  </si>
  <si>
    <t>50% Res to Magic Damage</t>
  </si>
  <si>
    <t>50% Res to Physical Damage</t>
  </si>
  <si>
    <t>(≈) Pale Grab: Grab Target Causing them to lose 20% of Current HP.</t>
  </si>
  <si>
    <t>(&gt;) Deal 25 Acid Damage to Target. (50 Mana)</t>
  </si>
  <si>
    <t>(+) Frozen Coffin: Freeze Target for 3 Turns. (50 Mana)</t>
  </si>
  <si>
    <t>(+) Mana Burn: Burn 25 Mana from Target. (25 Mana)</t>
  </si>
  <si>
    <t>(+) Blinding Dust: Blind Target for 3 Turns. (50 Mana)</t>
  </si>
  <si>
    <t>(≈) Strike Target with 50% Chance to Inflict Rotting. (1/Day)</t>
  </si>
  <si>
    <t>(≈) Deal 40 Earth Damage. (50 Mana)</t>
  </si>
  <si>
    <t>(^) Wall growth: Channel 1 Turn; Summon a Corrupted Wall with 25 Health and 50 Mana. (50 Mana)</t>
  </si>
  <si>
    <t>(P) If the Beacon misses three times, basic 5 Times in a row</t>
  </si>
  <si>
    <t>Curse: 50% Target will lose 10% Elemental resistance per day for 7 days  (1/Day)</t>
  </si>
  <si>
    <t>Spore: Confuse target for 3 Turns. (50 Mana)</t>
  </si>
  <si>
    <t>Burning Body: 50% Chance for Target to loose 1 mobility permanently (1/Day)</t>
  </si>
  <si>
    <t>Deadly Digestion: Each Turn you are in combat 50% to  loose 1 gear equipment.</t>
  </si>
  <si>
    <t>ELITES</t>
  </si>
  <si>
    <t>Giant Skeleton</t>
  </si>
  <si>
    <t>Crypt Guard</t>
  </si>
  <si>
    <t>White Revenant</t>
  </si>
  <si>
    <t>Grove Wanderer</t>
  </si>
  <si>
    <t>Pyramid Defender</t>
  </si>
  <si>
    <t>Crimson Seeker</t>
  </si>
  <si>
    <t>Scorched Screamer</t>
  </si>
  <si>
    <t>Grave Collector</t>
  </si>
  <si>
    <t>Corrupted Lurker</t>
  </si>
  <si>
    <t>Highsky Spectre</t>
  </si>
  <si>
    <t>Spore Infector</t>
  </si>
  <si>
    <t>75/75</t>
  </si>
  <si>
    <t>100/100</t>
  </si>
  <si>
    <t>140/140</t>
  </si>
  <si>
    <t>s</t>
  </si>
  <si>
    <t xml:space="preserve"> Claws: 15 P.D. (25 Crit) </t>
  </si>
  <si>
    <t>Deflect C</t>
  </si>
  <si>
    <t>2x Bone Marrow + Rare Ore</t>
  </si>
  <si>
    <t>2x Bone marrow + Vile Mushroom</t>
  </si>
  <si>
    <t>Immune to Poison</t>
  </si>
  <si>
    <t>(P) Landing 5 Attacks Deals 30 Poison Damage.</t>
  </si>
  <si>
    <t>(P) All Entities on Tile are Chilled</t>
  </si>
  <si>
    <t>(P) Aftermath; Summon a Grave Wanderer on an Adjacent Hex at the start of the next day.</t>
  </si>
  <si>
    <t>(P) If on Desert Tile, Deal 50% More Damage.</t>
  </si>
  <si>
    <t>(P) 7 Fire Damage On Hit.</t>
  </si>
  <si>
    <t>(P) Aftermath; Revive with 20 Health.</t>
  </si>
  <si>
    <t>(P) 50% Chance to Seal for 1 Turn on Attack</t>
  </si>
  <si>
    <t>50% Chance to Confuse for 1 Turn on Attack</t>
  </si>
  <si>
    <t>Tier 2</t>
  </si>
  <si>
    <t>(P) For Every Grave Wanderer that Died this Game they all gain 10 Health and 2 Base Damage.</t>
  </si>
  <si>
    <t>Gray Wolf</t>
  </si>
  <si>
    <t>Alpha Lynx</t>
  </si>
  <si>
    <t>White Wolf</t>
  </si>
  <si>
    <t>Spirit Feline</t>
  </si>
  <si>
    <t>Royal Sandcat</t>
  </si>
  <si>
    <t>Three-Tailed Bloodfox</t>
  </si>
  <si>
    <t>Flame Hound</t>
  </si>
  <si>
    <t>Stoneskin Predator</t>
  </si>
  <si>
    <t>Corrupted Rat</t>
  </si>
  <si>
    <t>Spectral Wolf</t>
  </si>
  <si>
    <t>Infected Rat</t>
  </si>
  <si>
    <t>120/120</t>
  </si>
  <si>
    <t>Maul: 17 P.D. (34 Crit)</t>
  </si>
  <si>
    <t>Maul: 20 P.D. (40 Crit)</t>
  </si>
  <si>
    <t>Maul: 10 P.D. (20 Crit)</t>
  </si>
  <si>
    <t>Pounce: 10 P.D. (20 Crit)</t>
  </si>
  <si>
    <t>Greyshade Bark + Rare Fabric</t>
  </si>
  <si>
    <t>Poison Gland + Rare Fabric</t>
  </si>
  <si>
    <t xml:space="preserve"> Ice Lotus + Rare Fabric</t>
  </si>
  <si>
    <t xml:space="preserve"> Sparking Solution + Rare Fabric</t>
  </si>
  <si>
    <t xml:space="preserve"> Whistling Sap + Rare Fabric</t>
  </si>
  <si>
    <t>Pure Blood + Rare Fabric</t>
  </si>
  <si>
    <t xml:space="preserve"> Burning Ichor + Rare Fabric</t>
  </si>
  <si>
    <t xml:space="preserve"> Rich Soil + Rare Fabric</t>
  </si>
  <si>
    <t xml:space="preserve"> Nightmare Fuel + Rare Fabric</t>
  </si>
  <si>
    <t xml:space="preserve"> White Obsidian + Rare Fabric</t>
  </si>
  <si>
    <t>(P) 2 Mobility</t>
  </si>
  <si>
    <t>(P) Critical Strikes Frostbite for 10 Frost Damage over 2 Turns.</t>
  </si>
  <si>
    <t>4 Mobility</t>
  </si>
  <si>
    <t>(P) 50% Chance to Start Combat with 1 Channel</t>
  </si>
  <si>
    <t>Basic Attacks have 50% Chance to deal Fire Damage instead</t>
  </si>
  <si>
    <t>(P) Increased Armor</t>
  </si>
  <si>
    <t>(P) 30% Chance to Summon another Corrupted Rat on Death.</t>
  </si>
  <si>
    <t>30% Chance to Summon another Infected Rat on Death</t>
  </si>
  <si>
    <t>(≈) Howl: Increase Basic Attack by 3 until EOC</t>
  </si>
  <si>
    <t>(^) Channel 1 Turn; Summon a Spirit Feline with 50 Mana. (100 Mana)</t>
  </si>
  <si>
    <t>(≈) Sandwall: Counter; Block 50% Damage from projectile. (40 Mana)</t>
  </si>
  <si>
    <t>(&gt;) 20 Bleed Damage. (30 Mana)</t>
  </si>
  <si>
    <t>50% Chance at start of combat to move 1 Tile closer Instnatly</t>
  </si>
  <si>
    <t>(P) If Target is below 50% Max Hp; Attacks deal 10 Earth on Hit</t>
  </si>
  <si>
    <t>(≈) Miracle Claws: Precise; Basic Attack dealing Magic Damage. (25 Mana)</t>
  </si>
  <si>
    <t>(+) Stone Spike: Deal 20 Earth Damage. (40 Mana)</t>
  </si>
  <si>
    <t>(≈) Blood Regeneration: Gain 30 Mana. (20 Health)</t>
  </si>
  <si>
    <t>Savage Harpy</t>
  </si>
  <si>
    <t>Highland Elk</t>
  </si>
  <si>
    <t>Frost Spinner</t>
  </si>
  <si>
    <t>Giant Centipede</t>
  </si>
  <si>
    <t>Sundune Scorpion</t>
  </si>
  <si>
    <t>Crimson Spiderqueen</t>
  </si>
  <si>
    <t>Scorching Scorpion</t>
  </si>
  <si>
    <t>Giant Ant</t>
  </si>
  <si>
    <t>Grim Tarantula</t>
  </si>
  <si>
    <t>Pegasus</t>
  </si>
  <si>
    <t>Fungal Tarantula</t>
  </si>
  <si>
    <t>125/125</t>
  </si>
  <si>
    <t>150/150</t>
  </si>
  <si>
    <t>Claw: 12 P.D. (24 Crit)</t>
  </si>
  <si>
    <t>Strike: 15 P.D. (30 Crit)</t>
  </si>
  <si>
    <t>Bite: 15 P.D (25 Crit)</t>
  </si>
  <si>
    <t>Claw: 15 P.D (25 Crit)</t>
  </si>
  <si>
    <t>Bite: 10 Fire Damage (20 Crit)</t>
  </si>
  <si>
    <t>Bite: 17 P.D (34 Crit)</t>
  </si>
  <si>
    <t>Stomp: 20 P.D (30 Crit)</t>
  </si>
  <si>
    <t>2x Slithering Oil + Rare Fabric</t>
  </si>
  <si>
    <t>Lifeforce Extract + Bone Marrow + Rare Fabric</t>
  </si>
  <si>
    <t>Power Sand + Black Cobweb + Rare Fabric</t>
  </si>
  <si>
    <t>Salt Crystals + Rare Fabric</t>
  </si>
  <si>
    <t>Demonic Tissue + Rare Fabric</t>
  </si>
  <si>
    <t>Slithering Oil + Ashen Weeds + Rare Fabric</t>
  </si>
  <si>
    <t>Black Cobweb + Slithering Oil + Rare Fabric</t>
  </si>
  <si>
    <t>2x Black Cobweb + Rare Fabric</t>
  </si>
  <si>
    <t>Star Dust + Rare Fabric</t>
  </si>
  <si>
    <t xml:space="preserve"> Black Cobweb + Voilet Mushroom</t>
  </si>
  <si>
    <t>(P) Tough: 20% Damage Reduction</t>
  </si>
  <si>
    <t>(P) Black Web: Basic Attacks Inflict Weaken on Target for 1 Turn.</t>
  </si>
  <si>
    <t>(P): Paralysing Venom: Critical Strikes Stun for 1 Turn.</t>
  </si>
  <si>
    <t>(P) Paralysing Venom: Critical Strikes Stun for 1 Turn.</t>
  </si>
  <si>
    <t>(≈) Black Web: Basic Attacks Inflict Weaken on Target for 1 Turn.</t>
  </si>
  <si>
    <t>Black Web: Basic Attacks Inflict Weaken on Target for 1 Turn.</t>
  </si>
  <si>
    <t>(&gt;) Feather Throw: 3x 10 P.d. each (50 mana)</t>
  </si>
  <si>
    <t>(P) Trample: Ignores your Defense.</t>
  </si>
  <si>
    <t>(+) Frost Web: Root Target until End of Combat. (100 Mana)</t>
  </si>
  <si>
    <t xml:space="preserve">(P): Electric Skin: Being Striked causes enemy to take 10 Lightning Damage </t>
  </si>
  <si>
    <t>(≈) Tail of Death: Deal 10 Fatal Damage (100 Mana)</t>
  </si>
  <si>
    <t>(^) Summon 2 Spiderlings. 10 hp, 15 Physical Damage each. (100 Mana)</t>
  </si>
  <si>
    <t>(≈) Tail of Suffering: Scorch Target for 2 Turns; if Scorched Inflict Vulnerable for 2 Turns. (50 Mana)</t>
  </si>
  <si>
    <t>(≈) Weaken and Seal for 3 Turns. (100 Mana)</t>
  </si>
  <si>
    <t>(≈) Headbutt (stun for 1 turn+15 P.D) - (50 Mana)</t>
  </si>
  <si>
    <t>Weaken and Confuse for 3 Turns. (100 Mana)</t>
  </si>
  <si>
    <t>(&gt;) Lightning Bolt: 25 Lightning Damage. (50 Mana)</t>
  </si>
  <si>
    <t>(≈) Light charge into melee + 20 L.D (50mana)</t>
  </si>
  <si>
    <t>Faerian Spirit</t>
  </si>
  <si>
    <t>Nature's Protecter</t>
  </si>
  <si>
    <t>Faerian Well</t>
  </si>
  <si>
    <t>Ancient Treant</t>
  </si>
  <si>
    <t>Aerial Sunfish</t>
  </si>
  <si>
    <t>Vermilion Sinker</t>
  </si>
  <si>
    <t>Vengeful Spirit</t>
  </si>
  <si>
    <t>Winged Eel</t>
  </si>
  <si>
    <t>Corrupted Faerian</t>
  </si>
  <si>
    <t>Unicorn</t>
  </si>
  <si>
    <t>Spore Growth</t>
  </si>
  <si>
    <t>10/10 [10 Barrier]</t>
  </si>
  <si>
    <t>200/200</t>
  </si>
  <si>
    <t>0/0 [100 Mana Locked]</t>
  </si>
  <si>
    <t>(&gt;) Magic Bolt: 15 Magic Damage (25 Crit)</t>
  </si>
  <si>
    <t>Strike: 20 Physical Damage (30 Crit)</t>
  </si>
  <si>
    <t>(&gt;) 10 Light Damage; (20 Crit)</t>
  </si>
  <si>
    <t>Strike: 15 Bleed Damage. (30 Crit)</t>
  </si>
  <si>
    <t>Strike: 20 Physical Damage (40 Crit)</t>
  </si>
  <si>
    <t>(&gt;): 15 Magic Damage (20 Crit)</t>
  </si>
  <si>
    <t>(&gt;) Magic Bolt: 10 Dark Damage (30 Crit)</t>
  </si>
  <si>
    <t>2x Soul Essence + Rare Ore</t>
  </si>
  <si>
    <t>2x Living Root + Rare Fabric</t>
  </si>
  <si>
    <t>Star Dust + Rare Ore</t>
  </si>
  <si>
    <t>Soul Essence + Mana Berries + Rare Fabric</t>
  </si>
  <si>
    <t>Diamond Grain + Rare Fabric</t>
  </si>
  <si>
    <t>Vile Mushroom + Rare Ore</t>
  </si>
  <si>
    <t>2x Soul Essence + Rare Fabric</t>
  </si>
  <si>
    <t>2x Soul Essence + Nightmare Fuel + Rare Fabric</t>
  </si>
  <si>
    <t>3x Soul Essence + 3x Rare Fabric</t>
  </si>
  <si>
    <t>2x Poison Gland + Epic Fabric</t>
  </si>
  <si>
    <t>(P) Regenerate all Mana on Day Start</t>
  </si>
  <si>
    <t>(P) Regeneration Condition</t>
  </si>
  <si>
    <t>(P) Upon Combat Start Consume 50 Mana to Summon a Random Wisp.</t>
  </si>
  <si>
    <t>(P) Flying</t>
  </si>
  <si>
    <t>(P) Each Strike has a 50% Chance to Lifedrain on Hit.</t>
  </si>
  <si>
    <t>(P) Regenerate all Health on Day Start</t>
  </si>
  <si>
    <t>Regeneration Condition</t>
  </si>
  <si>
    <t>(≈) Counter; Gain 10 Barrier. (50 Mana)</t>
  </si>
  <si>
    <t>(+) Ancient Roots: Root Target for 3 Turns. (50 Mana)</t>
  </si>
  <si>
    <t>(^) Summon a Random Wisp (50 Mana)</t>
  </si>
  <si>
    <t>(≈) Gain 40% Damage Reduction until End of Combat. (100 Mana)</t>
  </si>
  <si>
    <t>(&gt;) Lens Redirection: Redirects the Sun to deal 25 Light Damage. (50 Mana; 2 T cooldown)</t>
  </si>
  <si>
    <t>(≈) Sinkers Dream: For the Rest of the Combat Overheal converts to Barrier. (50 Mana)</t>
  </si>
  <si>
    <t>(P) Very Vengeful: If you take more than 40 Damage in 1 Turn, Deal 20 Fire Damage to all other Targets on Hex. (Locks 100 Mana)</t>
  </si>
  <si>
    <t>(&gt;) Electric Burst: 20 Lightning Damage on Hex (50 Mana)</t>
  </si>
  <si>
    <t>(&gt;) Flash; Basic Attack. (50 Mana)</t>
  </si>
  <si>
    <t>Release Spres: Deal 20 Dark Damage when Damaged in Melee Range.</t>
  </si>
  <si>
    <t>(P) Start the Game with 10 Barrier.</t>
  </si>
  <si>
    <t>(≈) Counter; Dodge Target Non-Ult Projectile (25 Mana)</t>
  </si>
  <si>
    <t>(≈) Abundance of Sink Material: Heal 30 Health. (50 Mana)</t>
  </si>
  <si>
    <t>(≈) Light charge into melee + 20 L.D (50 Mana)</t>
  </si>
  <si>
    <t>IN LOVING MEMORY OF 81...</t>
  </si>
  <si>
    <t>Giant Undershroom</t>
  </si>
  <si>
    <t>Field Sentry</t>
  </si>
  <si>
    <t>Walking Woodwork</t>
  </si>
  <si>
    <t>Towering Gatekeeper</t>
  </si>
  <si>
    <t>Crystal Quadder</t>
  </si>
  <si>
    <t>Crushed Steamwalker</t>
  </si>
  <si>
    <t>Blood Elemental</t>
  </si>
  <si>
    <t>Gearforged Pyrocleanser</t>
  </si>
  <si>
    <t>Bone Amalgam</t>
  </si>
  <si>
    <t>Viktor's Line</t>
  </si>
  <si>
    <t>Fourhanded Spectral Armor</t>
  </si>
  <si>
    <t>200/400</t>
  </si>
  <si>
    <t>5/5 5 Barrier</t>
  </si>
  <si>
    <t>i used to have a stat sheet..</t>
  </si>
  <si>
    <t>i miss my home :(</t>
  </si>
  <si>
    <t>Fist: 20 Physical Damage (25 Crit)</t>
  </si>
  <si>
    <t>Strike: 25 Physical Damage (40 Crit)</t>
  </si>
  <si>
    <t>(+) Ranged Siphon: 10 Bleed Damage. (20 Crit)</t>
  </si>
  <si>
    <t>Strike: 25 Physical Damage (30 Crit)</t>
  </si>
  <si>
    <t>20 Physical Damage 25 (Crit); 20 Dark Damage On Hit.</t>
  </si>
  <si>
    <t>2x Hardened Powder + Rare Ore</t>
  </si>
  <si>
    <t>2x Hardened Powder + Rare Fabric</t>
  </si>
  <si>
    <t>2x Poison Gland + Rare Fabric</t>
  </si>
  <si>
    <t>(P) Hardwood: -3 Damage from any Source</t>
  </si>
  <si>
    <t>(P) Mechanical</t>
  </si>
  <si>
    <t>20% Deflect</t>
  </si>
  <si>
    <t>(P) Convert Damage to Sanguined when below 50% HP</t>
  </si>
  <si>
    <t>(P) Immune to Poison and Bleed</t>
  </si>
  <si>
    <t>(P) 2 Counter Actions; 5 Mobility</t>
  </si>
  <si>
    <t>(≈) Counter; Gain 20 Barrier for 2 Turns. (50 Mana)</t>
  </si>
  <si>
    <t>(≈) Ice Shield: Gain 20 Barrier. (50 Mana)</t>
  </si>
  <si>
    <t>(&gt;) Crystal Shard: Deal 20 Magic Damage (50 Mana)</t>
  </si>
  <si>
    <t>(P) Lose Half HP at start of Combat.</t>
  </si>
  <si>
    <t>(+) Flamestorm: Burn Target for 25 F.D. (50 Mana)</t>
  </si>
  <si>
    <t>(^) Skeleton Friendship: Summon a Skeleton. (50 Mana)</t>
  </si>
  <si>
    <t>(P) 50% Chance to strike twice.</t>
  </si>
  <si>
    <t>(&gt;) Frost Shard: 20 Frost Damage (25 Mana)</t>
  </si>
  <si>
    <t>(≈) Initiate Repairs: Channel 4 Turns, Restore to full HP. (100 Mana)</t>
  </si>
  <si>
    <t>Harrier</t>
  </si>
  <si>
    <t>Frost Tormentor</t>
  </si>
  <si>
    <t>Kerdant</t>
  </si>
  <si>
    <t>Sand Fright</t>
  </si>
  <si>
    <t>Scarlet Raven</t>
  </si>
  <si>
    <t>Hellcharger</t>
  </si>
  <si>
    <t>Spire Boneworm</t>
  </si>
  <si>
    <t>Black Sphere Underhand</t>
  </si>
  <si>
    <t>Outlander</t>
  </si>
  <si>
    <t>Bladewing Bat</t>
  </si>
  <si>
    <t>90/90</t>
  </si>
  <si>
    <t xml:space="preserve">Strike: 20 P.D. (30 Crit)    </t>
  </si>
  <si>
    <t>Strike: 10 Frost Damage; 10 Physical Damage (20 Crit Each)</t>
  </si>
  <si>
    <t>Peck: 18 P.D. (26 Crit)</t>
  </si>
  <si>
    <t>Crush: 20 P.D (30 Crit)</t>
  </si>
  <si>
    <t>Gash: 15 P.D (30 Crit)</t>
  </si>
  <si>
    <t>Slash: 20 P.D (30 Crit)</t>
  </si>
  <si>
    <t>2x Demonic Tissue + Burning Ichor + Diamond Sand + Bone Marrow</t>
  </si>
  <si>
    <t>(P) Weakening Aura: All Hostile Entities in Combat are Weakend</t>
  </si>
  <si>
    <t>(P) Frost Attacks: 5 Frost Damage on Hit</t>
  </si>
  <si>
    <t>(P) Agile Fox Form: 2 Mobility</t>
  </si>
  <si>
    <t>(P) 50% Elemental Resistance</t>
  </si>
  <si>
    <t>(P) Will Flee if its HP is lower than Enemy</t>
  </si>
  <si>
    <t>(P) On Combat Start Slow Entities for 7 Turns.</t>
  </si>
  <si>
    <t>(≈) Counter: Dodge Basic Attack, while gaining +4 Defense/Dispersion depending on the damage Type; Does not work on Elemental Damage. (50 Mana)</t>
  </si>
  <si>
    <t>(&gt;) Fire bolt: 20 Fire Damage. (25 Mana)</t>
  </si>
  <si>
    <t>(o) Poison Nova: 50% Chance to deal 30 P.D. on all Hex. (100 Mana)</t>
  </si>
  <si>
    <t>(+) Torment Target for 3 Turns. (100 Mana)</t>
  </si>
  <si>
    <t>(P) when striken deal 10 Lightning Damage. AOE in Melee</t>
  </si>
  <si>
    <t>(o) Aoe Sand Pool: Slow + 10 E.D. DPT 3 turns in 3/3 Tile(25 mana)</t>
  </si>
  <si>
    <t>(≈) Dark Beak: Basic Attacks Inflict Fear for 1 Turn.</t>
  </si>
  <si>
    <t>(P) Every 7 Turns deal 50 True Damage on Tile.</t>
  </si>
  <si>
    <t>(&gt;) Outlandish stagger: Stagger entity, while also gaining a preparation stack (25 Mana)</t>
  </si>
  <si>
    <t>Become Invisible for 2 Turns. (50 Mana)</t>
  </si>
  <si>
    <t>(≈) Fire Claws: Next 2 Attacks Deal 20 F.D. on Hit. (50 Mana)</t>
  </si>
  <si>
    <t>(≈) Skydive: Dive at Target coming into Melee Range and dealing 20 Bleed Damage. (30 Mana)</t>
  </si>
  <si>
    <t>(≈) Fire charge into melee + 20 F.D (50mana)</t>
  </si>
  <si>
    <t>(&gt;) Grand Bone Impaling: Impale other Entities for 50 Earth Damage. (100 Mana)</t>
  </si>
  <si>
    <t>(P) Triggers 1 Turn Faster each time it Triggers.</t>
  </si>
  <si>
    <t>(P) Deal 7 Light damage on hit</t>
  </si>
  <si>
    <t>Slice and Dice: Basic attack twice.(50 Mana)</t>
  </si>
  <si>
    <t>Aspect of Magic</t>
  </si>
  <si>
    <t>Aspect of Poison</t>
  </si>
  <si>
    <t>Aspect of Frost</t>
  </si>
  <si>
    <t>Aspect of Lightning</t>
  </si>
  <si>
    <t>Aspect of Wind</t>
  </si>
  <si>
    <t>Aspect of Blood</t>
  </si>
  <si>
    <t>Aspect of Fire</t>
  </si>
  <si>
    <t>Aspect of Earth</t>
  </si>
  <si>
    <t>Aspect of Dark</t>
  </si>
  <si>
    <t>Aspect of Light</t>
  </si>
  <si>
    <t>Aspect of Strength</t>
  </si>
  <si>
    <t>Projectile: 15 Magic Damage (25 Crit)</t>
  </si>
  <si>
    <t>Projectile: 10 Poison Damage (20 Crit)</t>
  </si>
  <si>
    <t>Projectile: 10 Frost Damage (20 Crit)</t>
  </si>
  <si>
    <t>Projectile: 10 Lightning Damage (20 Crit)</t>
  </si>
  <si>
    <t>Projectile: 10 Wind Damage (20 Crit)</t>
  </si>
  <si>
    <t>Projectile: 10 Bleed Damage (20 Crit)</t>
  </si>
  <si>
    <t>Projectile: 10 Fire Damage (20 Crit)</t>
  </si>
  <si>
    <t>Projectile: 10 Earth Damage (20 Crit)</t>
  </si>
  <si>
    <t>Projectile: 10 Dark Damage (20 Crit)</t>
  </si>
  <si>
    <t>Projectile: 10 Light Damage (20 Crit)</t>
  </si>
  <si>
    <t>Projectile: 15 Physical Damage (25 Crit)</t>
  </si>
  <si>
    <t>Poison Gland + Rare Ore</t>
  </si>
  <si>
    <t xml:space="preserve"> Ice Lotus + Rare Ore</t>
  </si>
  <si>
    <t xml:space="preserve"> Sparking Solution + Rare Ore</t>
  </si>
  <si>
    <t>Whislting Sap + Rare Ore</t>
  </si>
  <si>
    <t>Pure Blood + Rare Ore</t>
  </si>
  <si>
    <t xml:space="preserve"> Burning Ichor + Rare Ore</t>
  </si>
  <si>
    <t xml:space="preserve"> Rich Soil + Rare Ore</t>
  </si>
  <si>
    <t xml:space="preserve"> Nightmare Fuel + Rare Ore</t>
  </si>
  <si>
    <t xml:space="preserve"> White Obsidian + Rare Ore</t>
  </si>
  <si>
    <t>2x Hardened Powder + Epic Ore</t>
  </si>
  <si>
    <t>(&gt;) Laser Beam: Shoot a beam in any direction covering all Tiles in a line for 35 Magic Damage (50 Mana)</t>
  </si>
  <si>
    <t>(&gt;) Laser Beam: Shoot a beam in any direction covering all Tiles in a line for 30 Poison Damage (50 Mana)</t>
  </si>
  <si>
    <t>(&gt;) Laser Beam: Shoot a beam in any direction covering all Tiles in a line for 30 Frost Damage (50 Mana)</t>
  </si>
  <si>
    <t>Laser Beam: (&gt;) Shoot a beam in any direction covering all Tiles in a line for 30 Lightning Damage (50 Mana)</t>
  </si>
  <si>
    <t>Laser Beam: (&gt;) Shoot a beam in any direction covering all Tiles in a line for 30 Wind Damage (50 Mana)</t>
  </si>
  <si>
    <t>Laser Beam: (&gt;) Shoot a beam in any direction covering all Tiles in a line for 30 Bleed Damage (50 Mana)</t>
  </si>
  <si>
    <t>Laser Beam: (&gt;) Shoot a beam in any direction covering all Tiles in a line for 30 Fire Damage (50 Mana)</t>
  </si>
  <si>
    <t>Laser Beam: (&gt;) Shoot a beam in any direction covering all Tiles in a line for 30 Earth Damage (50 Mana)</t>
  </si>
  <si>
    <t>Laser Beam: (&gt;) Shoot a beam in any direction covering all Tiles in a line for 30 Dark Damage (50 Mana)</t>
  </si>
  <si>
    <t>Laser Beam: (&gt;) Shoot a beam in any direction covering all Tiles in a line for 30 Light Damage (50 Mana)</t>
  </si>
  <si>
    <t>Laser Beam: (&gt;) Shoot a beam in any direction covering all Tiles in a line for 35 Physical Damage (50 Mana)</t>
  </si>
  <si>
    <t>(+) Eradication: Target in Melee Range loses 50% Dispersion for 2 Turns (50 Mana)</t>
  </si>
  <si>
    <t>(+) Eradication: Target in Melee Range loses 50% Poison R for 2 Turns (50 Mana)</t>
  </si>
  <si>
    <t>(+) Eradication: Target in Melee Range loses 50% Frost R for 2 Turns (50 Mana)</t>
  </si>
  <si>
    <t>(+) Eradication: Target in Melee Range loses 50% Lightning R for 2 Turns (50 Mana)</t>
  </si>
  <si>
    <t>(+) Eradication: Target in Melee Range loses 50% Wind R for 2 Turns (50 Mana)</t>
  </si>
  <si>
    <t>(+) Eradication: Target in Melee Range loses 50% Bleed R for 2 Turns (50 Mana)</t>
  </si>
  <si>
    <t>(+) Eradication: Target in Melee Range loses 50% Fire R for 2 Turns (50 Mana)</t>
  </si>
  <si>
    <t>(+) Eradication: Target in Melee Range loses 50% Earth R for 2 Turns (50 Mana)</t>
  </si>
  <si>
    <t>(+) Eradication: Target in Melee Range loses 50% Dark R for 2 Turns (50 Mana)</t>
  </si>
  <si>
    <t>(+) Eradication: Target in Melee Range loses 50% Light R for 2 Turns (50 Mana)</t>
  </si>
  <si>
    <t>(+) Eradication: Target in Melee Range loses 50% Defense for 2 Turns (50 Mana)</t>
  </si>
  <si>
    <t>Mimic</t>
  </si>
  <si>
    <t>Gnalna</t>
  </si>
  <si>
    <t>Ursine Mawler</t>
  </si>
  <si>
    <t>Owler</t>
  </si>
  <si>
    <t>Golden Scarab</t>
  </si>
  <si>
    <t>Devourer</t>
  </si>
  <si>
    <t>Pheonix</t>
  </si>
  <si>
    <t>Basiliskling</t>
  </si>
  <si>
    <t>Giant Corrupted Wall</t>
  </si>
  <si>
    <t>Highsky Tiger</t>
  </si>
  <si>
    <t>Spore Hive</t>
  </si>
  <si>
    <t>Pile of Mud</t>
  </si>
  <si>
    <t>Rabid Rabbit</t>
  </si>
  <si>
    <t>Devouring Sprite</t>
  </si>
  <si>
    <t>NeUNDERthal</t>
  </si>
  <si>
    <t>Filthy Rodent</t>
  </si>
  <si>
    <t>Deceitful Sprite</t>
  </si>
  <si>
    <t>Rock Mole</t>
  </si>
  <si>
    <t>?</t>
  </si>
  <si>
    <t xml:space="preserve">100/100 </t>
  </si>
  <si>
    <t>50/100 (Starts at 50hp)</t>
  </si>
  <si>
    <t>80/80 (Appears to have 180hp)</t>
  </si>
  <si>
    <t>110/110</t>
  </si>
  <si>
    <t>Bite: 20 P.D. (30 Crit)</t>
  </si>
  <si>
    <t>(Ranged) Spit: 20 PD (30 Crit) + 40% Root for 1T</t>
  </si>
  <si>
    <t>Maul: 25 Physical Damage. (50 Crit)</t>
  </si>
  <si>
    <t>Bite: 20 Physical Damage, can;t Crit</t>
  </si>
  <si>
    <t>Ranged 20 Fire Damage can't crit</t>
  </si>
  <si>
    <t>Bite: 13 P.D. (26 Crit)</t>
  </si>
  <si>
    <t>Melee Deal 25 Dark Damage Per Turn</t>
  </si>
  <si>
    <t>Claw: 20 Physical Damage</t>
  </si>
  <si>
    <t>Bite: 10 P.D. (20 Crit) / Each bite inflicts 2 turns of Bleeding for 5 Bl.D.</t>
  </si>
  <si>
    <t>BONK 15 PD. (40 Crit)</t>
  </si>
  <si>
    <t>Bite 20 PD + 5 Poison (30 Crit / 10 Crit)</t>
  </si>
  <si>
    <t xml:space="preserve">Ranged 15 MD </t>
  </si>
  <si>
    <t>Melee 15 PD + 5 Earth on Hit</t>
  </si>
  <si>
    <t>0/0</t>
  </si>
  <si>
    <t>750 Gold + Epic Gear</t>
  </si>
  <si>
    <t>Evergreen Ivy + Epic Ore</t>
  </si>
  <si>
    <t>Arctic Core + Epic Fabric</t>
  </si>
  <si>
    <t>Oldworld Spices + Epic Fabric</t>
  </si>
  <si>
    <t>Sundunes Bloom Epic Ore</t>
  </si>
  <si>
    <t>Rotten Flesh + Epic Ore</t>
  </si>
  <si>
    <t>Flaming Spirits + Epic Fabric</t>
  </si>
  <si>
    <t>Gravity Fragment + Epic Ore</t>
  </si>
  <si>
    <t>Deaths Touch + Epic Ore</t>
  </si>
  <si>
    <t>Divine Feather + Epic Fabric</t>
  </si>
  <si>
    <t>x3 Bone Marrow + x2 Poison Gland + Epic Fabric</t>
  </si>
  <si>
    <t>(P) Is displayed as a Chest on the Map.</t>
  </si>
  <si>
    <t>(P) Immune to Stun, Root</t>
  </si>
  <si>
    <t>(P) Target Suffers 10 True Damage Per turn.</t>
  </si>
  <si>
    <t>(P) Curses last until end of combat</t>
  </si>
  <si>
    <t>(P) 20% To trigger Life Drain Twice.</t>
  </si>
  <si>
    <t>(P) Revive Aftermath (1/Day)</t>
  </si>
  <si>
    <t>(P) When Struck, blind all Entities on Hex</t>
  </si>
  <si>
    <t>(o) Whenever you Take Damage, if there is a Target in Melee, Strike it.</t>
  </si>
  <si>
    <t>Every 2 Turns Summon a Fungal Corpse</t>
  </si>
  <si>
    <t>Immune to Stun, Root</t>
  </si>
  <si>
    <t>Runs in to strike then pulls back, always keeping 1 Tile away from Target</t>
  </si>
  <si>
    <t>(P) 30% for drain to trigger twice</t>
  </si>
  <si>
    <t>P: +4 Mobility</t>
  </si>
  <si>
    <t>P: Gains 1 stack of Preparation when entering Combat</t>
  </si>
  <si>
    <t>P: Will attack from 2 Hex Range if Target Flees from Combat</t>
  </si>
  <si>
    <t>On death get 20hp; Melee strikes will be retaliated with 5 E.D.</t>
  </si>
  <si>
    <t>(≈) Munch: Eat target random non-legendary Gear. (no penalty dodge) (25 Mana)</t>
  </si>
  <si>
    <t>(&gt;) Ptui: Spit in Target's eyes for 20 P.D. blinding them for 2 Turns (33 mana)</t>
  </si>
  <si>
    <t>(P) Fear Target for 1 Turn At the Start of Combat.</t>
  </si>
  <si>
    <t>(+) Owlers Mind: Mind Control Entity for 2 Turns. (100 Mana)</t>
  </si>
  <si>
    <t>(+) Curse Target: Channel 2: You can no longer Basic Attack.</t>
  </si>
  <si>
    <t>(P) Life Drain: Life Steal 10 HP Per Turn</t>
  </si>
  <si>
    <t>(o) Fire Wall: Create a wall of fire covering 4 Tiles in a line; It deals 20 Fire Damage to target passing through or standing on it; Lasts 3 Turns. (20 Mana)</t>
  </si>
  <si>
    <t>(P) Immune to Blind, Charm, Fear</t>
  </si>
  <si>
    <t>(^) Wall growth: Channel 1 Turn; Summon a Corrupted Wall with  50 Health and 50 Mana. (50 Mana)</t>
  </si>
  <si>
    <t>Ptui: Spit in Target's eyes for 20 E.D. blinding them for 2 Turns (33 mana)</t>
  </si>
  <si>
    <t>Immune to Blind, Charm, Fear</t>
  </si>
  <si>
    <t xml:space="preserve">(P) Life Drain: Life Steal 10 HP Per Turn </t>
  </si>
  <si>
    <t>Strike; Can't miss (15 mana)</t>
  </si>
  <si>
    <t>(Can't miss + Vital) Pierce Target's chest (30 mana)</t>
  </si>
  <si>
    <t>P: Critting will instantly launch another Basic</t>
  </si>
  <si>
    <t>Poison shard 25md (30mana)</t>
  </si>
  <si>
    <t>(≈) Devour: Dismember target random Limb. (no penalty dodge)75 Mana)</t>
  </si>
  <si>
    <t>(P) Chase: Enemies have -4 on flee rolls</t>
  </si>
  <si>
    <t>(+) Curse Target: Channel 2: You can no longer Cast Abilities.</t>
  </si>
  <si>
    <t>(≈) Restore 40 Health. (100 Mana)</t>
  </si>
  <si>
    <t>(&gt;) Fireball: Launch a Fireball Dealing 40 Fire Damage to Target and all Entities in its melee Range. (50 Mana)</t>
  </si>
  <si>
    <t>(≈) Basilisks Skin: Gain 10 Defense and Dispersion until end of Combat. (100 Mana)</t>
  </si>
  <si>
    <t>Dodge: Counter; Dodge an Attack/Projectile (50 mana)</t>
  </si>
  <si>
    <t>(P)  Mana Drain: Mana Drain 10 Mana Per Turn</t>
  </si>
  <si>
    <t>Strike; Guaranteed Hit (25 mana)</t>
  </si>
  <si>
    <t>Summon a giant Rat with 50 Health and 10 P.D. (20 Crit) (35 mana)</t>
  </si>
  <si>
    <t>Next attack will Crit (if it hits) (50 mana)</t>
  </si>
  <si>
    <t>Root opponent for 2 turns and deal 10 earth dmg (30mana)</t>
  </si>
  <si>
    <t>Strike; Guaranteed Crit (35 mana)</t>
  </si>
  <si>
    <t>Melee Shockwave 50 Earth + confuse 2 turns(70mana)</t>
  </si>
  <si>
    <t>BOSSES</t>
  </si>
  <si>
    <t>Grifin</t>
  </si>
  <si>
    <t>Manticore</t>
  </si>
  <si>
    <t>Elderwhite</t>
  </si>
  <si>
    <t>Oni</t>
  </si>
  <si>
    <t>Giant</t>
  </si>
  <si>
    <t>Tarasque</t>
  </si>
  <si>
    <t>Lava Elemental</t>
  </si>
  <si>
    <t>Bonelord</t>
  </si>
  <si>
    <t>Chimera</t>
  </si>
  <si>
    <t>Azure Hippogriff</t>
  </si>
  <si>
    <t>Future Boss</t>
  </si>
  <si>
    <t xml:space="preserve">Construct </t>
  </si>
  <si>
    <t>300/300</t>
  </si>
  <si>
    <t>400/400</t>
  </si>
  <si>
    <t>450/450</t>
  </si>
  <si>
    <t>250/250</t>
  </si>
  <si>
    <t>4/2/2 (8 on Ult)</t>
  </si>
  <si>
    <t>Deispersion</t>
  </si>
  <si>
    <t>2/4/2 (8 on Ult)</t>
  </si>
  <si>
    <t>0% (50% on Ult)</t>
  </si>
  <si>
    <t>Strike: 15 Physical Damage</t>
  </si>
  <si>
    <t>15 PD and 5 Bleed on Hit</t>
  </si>
  <si>
    <t xml:space="preserve"> Warp 10 Frost Damage</t>
  </si>
  <si>
    <t>Strike: 10 Physical Damage</t>
  </si>
  <si>
    <t>10 Earth Damage and 10 Physical Melee</t>
  </si>
  <si>
    <t>(&gt;) 15 Fire Damage</t>
  </si>
  <si>
    <t>Strike 15 Dark Damage</t>
  </si>
  <si>
    <t>Depends on Stance</t>
  </si>
  <si>
    <t>Strike 15 Physical Damage</t>
  </si>
  <si>
    <t>(P) Retaliation: Counter; Retaliate with a Basic Attack when hit with a Strike.</t>
  </si>
  <si>
    <t>(P) Release Illusion: Upon Starting Combat current Hex becomes Permafrost and triggers its Traversal Effect on all Entities.</t>
  </si>
  <si>
    <t>(P) Prepare for Pain: Basic Damage is increased by +5 for every 25% Missing HP of your Target; Boss has Gating.</t>
  </si>
  <si>
    <t>(P) Recoil: Being dealt 60 or more Damage in 1 Turn from a Target will Stun the attacker for 1 Turns; Boss has Mechanical.</t>
  </si>
  <si>
    <t>(P) Home Shell Crack: Once you've received 3 critical hits, become Enraged and Unstoppable.</t>
  </si>
  <si>
    <t>No Innate</t>
  </si>
  <si>
    <t>(P) For every Undead on the Hex gain +1 Lifedrain on your Basic Attack; Skeletal</t>
  </si>
  <si>
    <t xml:space="preserve">(P) Can take a Turn to shapeshift into one of its 3 Stances:                                                                              Lion Stance: 
20 PD Melee
4 Defense
2 Dispersion
Has Brawn, Agile. 
Attacks have a 10% chance to inflict Vulnerable for 2 Turns. 
Fox Stance:
15 Magic Damage Ranged
2 Defense
4 Dispersion
+30 % Deflect Chance 
Drains 10 Mana on every successful hit. 
Snake Stance: 10 Dark Damage Ranged. 
2 defense
2 Dispersion
+50% Elemental Resistance
Store all Elemental Damage received converting it to On Hit Damage of that element on the next Attack. </t>
  </si>
  <si>
    <t>(P) Highsky Training: Flying; 2 Mobility.</t>
  </si>
  <si>
    <t>(o) Scream: Scream dealing 15 MD and Sealing all other Entities for 2 Turns. (30 Mana)</t>
  </si>
  <si>
    <t>(^) Call Hawk: Summon a 25 Health Hawk that is flying in the air and will dive every 2 Turns attacking Target for 10 Physical Damage with 20% chance to Blind for 2 Turns. Lasts until end of combat or Target death. (50 Mana) (1/Combat)</t>
  </si>
  <si>
    <t>(P) Negative Furnace: If 3 Turns pass without your Tier II Ability being Cast you Die.</t>
  </si>
  <si>
    <t>(+) Malicious Intent: Make Target Vulnerable for 2 Turns.  (50 mana)</t>
  </si>
  <si>
    <t>(≈) Stomp: Stomp Target for 25 Physical Damage with a 20% chance to Stun for 2 Turns (25 mana)</t>
  </si>
  <si>
    <t>(o) Outburst: Enter a protective stance Stunning yourself for 2 Turns after which you burst out dealing 20 Bleed Damage to all other Entities on the Hex and Stagger them and gain a Barrier for 50% of the damage you received (75% barrier and 30 Bleed Damage if Enraged) (50 Mana)</t>
  </si>
  <si>
    <t>(o) Cone Fire Spit: Spit fire in a cone in front of you across 8 Tiles for 30 Fire Damage. (25 Mana)</t>
  </si>
  <si>
    <t>(^) Skeleton Summoning: Summon a 50 hp 2 def 2 disp 12 pd 16 crit Skeleton in your melee range. (50 Mana) (3 max)</t>
  </si>
  <si>
    <t>(≈) Double Strike: Attack Target with 2 Basic Attacks. (50 Mana)</t>
  </si>
  <si>
    <t>(≈) Mana Vortex: [Channel for 1 Turn] Cause all other Entities to lose 50 Mana. (50 Mana; 1/Day)</t>
  </si>
  <si>
    <t>Tier II</t>
  </si>
  <si>
    <t>(≈) Flight Lunge: Take flight into the air and lounge down into the ground after 1 Turn landing on any 4 Tiles in a square for 25 Physical damage and Staggering. (30 Mana)</t>
  </si>
  <si>
    <t xml:space="preserve"> (&gt;) Poison Bone: Launch Poisoned bone shards at Target for 20 Physical and 20 Poison Damage. (50 Mana)</t>
  </si>
  <si>
    <t xml:space="preserve"> (o) Frost Core Balancing: Deal 10 Magic Damage to all other Entities on Hex. (25 Mana)</t>
  </si>
  <si>
    <t>(&gt;) Malicious Stare: Stare
menacingly at Target Inflicting 20 Terror Damage. (25 Mana)</t>
  </si>
  <si>
    <t>(≈) Clap: Clap Target for 20 Physical damage. 50% chance to Confuse them for 1 Turn. (25 Mana)</t>
  </si>
  <si>
    <t>(≈) Demonic Swipe: Swipe at up to 2 Targets dealing 20 Dark Damage. (Damage becomes Corrosive if Enranged) (50 Mana)</t>
  </si>
  <si>
    <t>(o) Lava Pool: Summon a lava pool in a square across 4 Tiles dealing 20 Fire Damage every turn. It remains there for 4 Turns. (50 Mana)</t>
  </si>
  <si>
    <t>(^) Giant Skeleton Summoning: Summon a Giant Skeleton in your melee range. 75 hp 4 def 4 disp 15pd (25 crit) (75 mana) (2 max)</t>
  </si>
  <si>
    <t>(≈) Quick Dash: Dash up to 3 Tiles away. (30 mana)</t>
  </si>
  <si>
    <t>(≈) Magic Beak: Toggle; Convert Basic Attack Damage to  Magic Damage.</t>
  </si>
  <si>
    <t>Tier III</t>
  </si>
  <si>
    <t>(o) Claw Spin: Target 3 Tiles in Melee Range dealing 30 PD and Staggering Entities. (30 Mana)</t>
  </si>
  <si>
    <t>(≈) Take Flight: Fly up, For 2 Turns you cannot be Targeted by Melee Attacks; You can swiftly dive for a Basic Attack with your claws during this time. (50 Mana)</t>
  </si>
  <si>
    <t>(P) Elderwhite Spirit: Upon reaching 0 Mana Immediately Lower the Frost Resistance of all Entities on Hex by 50% and Restore your Mana to full.</t>
  </si>
  <si>
    <t>(≈) Malicious Preparation: Gain 2 stacks of Gating (50 Mana)</t>
  </si>
  <si>
    <t>(≈) Slap: Slap Target for 33 Physical Damage. If the Target is Stunned deal double the damage and remove Stunned. If Target is Stunned and Confused deal triple the damage. (50 Mana).</t>
  </si>
  <si>
    <t>(≈) Harden the Husk: Gain Resilient for 2 Turns. (If Enraged gain it for 3 Turns instead) (50 Mana)</t>
  </si>
  <si>
    <t>(^) Volcanic Rock: Summon a boulder of volcanic rock to push Target 1 Tile in any direction dealing 20 Earth Damage. The boulder remains on Tile until end of combat. If a Target is pushed into the boulder it will break dealing another 20 Earth Damage. (25 Mana)</t>
  </si>
  <si>
    <t>(o) Bone Impaling: Flash; Toggle; Every turn start impale 4 random tiles other than your own on the inner layer with bones, dealing 30 Physical Damage to any Entity hit.  (15 mana/turn)</t>
  </si>
  <si>
    <t xml:space="preserve">(≈) Stance Switch: Powerplay; Counter; Switch Stance. </t>
  </si>
  <si>
    <t>(&gt;) Magic Feathers: Launch 3 Feathers to 3 Different Tiles for 20 Magic Damage each. (50 Mana)</t>
  </si>
  <si>
    <t>Ultimate</t>
  </si>
  <si>
    <t>(≈) Bird Bite: Take a bite out of Target's leg Dealing 30 Physical and 10 Bleed Damage Per Tick Over 3 Turns and Root them for 2 Turns. (100 Mana)</t>
  </si>
  <si>
    <t xml:space="preserve"> (≈) Manticores Signature: Lunge into Melee Range of Target ripping them with your claws for 40 Physical Damage and 25 Poison Damage. (100 Mana) 
</t>
  </si>
  <si>
    <t xml:space="preserve">(^) White Bark: Powerplay; Summon a wall of Frozen Branches around yourself pushing all Entities in Melee Range 1 Tile and dealing 10 Frost Damage; The Wall covers 8 Tiles around the Elderwhite and has 100 Health. (75 Mana)
</t>
  </si>
  <si>
    <t xml:space="preserve">(o) MALICE: Terrorize every other Entity on the Hex dealing 40 Terror Damage. (100 mana) </t>
  </si>
  <si>
    <t>(≈) Dead and burried: Body Slam Target for 20 Earth Damage. 50% chance to Stun and Confuse for 1 Turn.  (100 Mana)</t>
  </si>
  <si>
    <t>(o) Outrage: Channel for 2 Turns after which you slash all Tiles in your melee range for 80 Bleed Damage. If Enraged the Ability Deals Kinetic Damage. (100 Mana)</t>
  </si>
  <si>
    <t>(o) Lava Explosion: [Requires below 50% HP] Create a massive lava explosion around yourself hitting everyone in Melee in 50 Scorch Damage and knocking Entities back 1 Tile. (100 Mana)</t>
  </si>
  <si>
    <t>(o) Clap Sacrifice: [1 Channel Stack] Kill every Skeleton you summoned. For every Skeleton you killed gain +2 Lifedrain on Hit and +25 Mana (50 Mana)</t>
  </si>
  <si>
    <t xml:space="preserve">(≈) Stance Morph: Once at or below 100 HP you can Combine into all 3 Stances,  gaining all their Stats and bonuses and the ability to choose the type of Basic Attack you deal every Turn out of the 3. (100 Mana) </t>
  </si>
  <si>
    <t>(≈) Claw and Carry: You and Target in Melee Range both roll a d20; If yours is higher Claw Target for 20 Physical Damage and Lift them out of combat dropping them on a Random Hex within the same Biome causing them to lose 50 Health from Fall Damage. (100 Mana)</t>
  </si>
  <si>
    <t>Bone Marrow + Divine Feather + Legendary Fabric</t>
  </si>
  <si>
    <t>Slithering Oil + Everlife Ivy + Legendary Fabric</t>
  </si>
  <si>
    <t>Mana Berries + Arctic Core + Legendary Fabric</t>
  </si>
  <si>
    <t>Soul Essence + Oldworld Spices + Legendary Fabric</t>
  </si>
  <si>
    <t>Power Sand + Sundunes Bloom + Legendary Ore</t>
  </si>
  <si>
    <t>Lifeforce Extract + Rotten Flesh + Legendary Ore</t>
  </si>
  <si>
    <t>Hardened Powder + Flaming Spirits + Legendary Ore</t>
  </si>
  <si>
    <t>Ashen Weed + Gravity Fragment + Legendary Ore</t>
  </si>
  <si>
    <t>Black Cobweb  + Deaths Touch + Legendary Ore</t>
  </si>
  <si>
    <t>Mending Salve + Divine Feather + Legendary Fabric</t>
  </si>
  <si>
    <t>Ogre</t>
  </si>
  <si>
    <t>Gorgon</t>
  </si>
  <si>
    <t>Exiled Legion</t>
  </si>
  <si>
    <t>Cherubim</t>
  </si>
  <si>
    <t>Sun Eater</t>
  </si>
  <si>
    <t>Vermilion Skull</t>
  </si>
  <si>
    <t>Magmorian</t>
  </si>
  <si>
    <t>Gargoyle</t>
  </si>
  <si>
    <t>Corruptor</t>
  </si>
  <si>
    <t>Sphinx</t>
  </si>
  <si>
    <t>350/350</t>
  </si>
  <si>
    <t>50/50 50/50 50/50 50/50 50/50 50/50 50/50 50/50 50/50 50/50</t>
  </si>
  <si>
    <t>225/225</t>
  </si>
  <si>
    <t>Melee 15 Physical Damage 1-7 Miss Range</t>
  </si>
  <si>
    <t>(&gt;) 15 Magic Damage</t>
  </si>
  <si>
    <t xml:space="preserve"> Strike 10 Physical Damage each</t>
  </si>
  <si>
    <t>15 Physical Damage Melee</t>
  </si>
  <si>
    <t>Bite: 15 Physical Damage (+5 while sun up)</t>
  </si>
  <si>
    <t>Bite: 15 Physical Damage; 5 Bleed Damage</t>
  </si>
  <si>
    <t>Punch: 15 Physical Damage; 5 Fire Damage</t>
  </si>
  <si>
    <t>Ranged 10 Dark Damage and 10 Poison Damage</t>
  </si>
  <si>
    <t>(o) Pulse: 7 Light Dmg 7 Earth and 7 Wind on the Hex (No Crits)</t>
  </si>
  <si>
    <t>2/2</t>
  </si>
  <si>
    <t>0% (+30 when ult)</t>
  </si>
  <si>
    <t>(P) They were there when I got here: Spawn 6 Random Corpses on Random Tiles in Combat.</t>
  </si>
  <si>
    <t>(P) Once youre at or below 50 HP can attempt to Root a Target for 2 Turns with 50% success</t>
  </si>
  <si>
    <t>(P) Legion will spawn on 10 random Tiles</t>
  </si>
  <si>
    <t>(P) Angelic Swiftness: +2 Mobility</t>
  </si>
  <si>
    <t>(P) While the Sun is up, you have Fierce and Vile. Once the Sun is swallowed, you lose those but gain Agile.</t>
  </si>
  <si>
    <t xml:space="preserve">(P) Immune to Bleed, Poison, Rooted, Stunned, Mind Control. </t>
  </si>
  <si>
    <t>(P) Immune to Fear, Blind, Charmed, Rooted</t>
  </si>
  <si>
    <t>(P) Obsidian Layer: Is Flying; Being struck with a crit grants Resilient for 2 Turns.</t>
  </si>
  <si>
    <t>(P) On your first turn you become Invisible for 2 Turns.</t>
  </si>
  <si>
    <t xml:space="preserve">(P) Cannot Move or be Moved by any means. </t>
  </si>
  <si>
    <t>(≈) Corpse-o-mace: Pick up Corpse; Corpses are used as a Weapon, grants Basic Attack +5 Base Damage; They Break after 3 Landed Hits.</t>
  </si>
  <si>
    <t>(&gt;) Throw Snakes at Target for 15 Physical Damage and 10 Poison Damage that have a 30% chance to Root them for 2 Turns. (25 mana)</t>
  </si>
  <si>
    <t>(P) Panic: When a member of the Legion Dies, the Legion will become Unstable for 1 Turn (50/50 between Vulnerable and Surged)</t>
  </si>
  <si>
    <t>(≈) Watch This: Counter; Parry Target Strike, Converting its Damage total to Lightning Damage on hit for your next Strike. (50 Mana)</t>
  </si>
  <si>
    <t>(≈) Infuriated Strike: If you missed an attack, you can Prepare for 1 Turn to strike with a Guaranteed Crit. (50 Mana)</t>
  </si>
  <si>
    <t>(≈) Bite or Flight: Fly in melee range of Target and take a bite out of them for 20 Physical Damage and 10 Bleed Damage Per Tick Over 2 Turns. (50 Mana)</t>
  </si>
  <si>
    <t>(≈) Magma Shield: Increases both its defense and dispersion by 3 (50 Mana), also becoming resilient for the next 2 turns.</t>
  </si>
  <si>
    <t>(P) Bound by Kin: For each adjacent Gargoyle gain +2 Roll modifier.</t>
  </si>
  <si>
    <t>(P) After exiting Invisibility, you have a +2 Crit Multiplier for 2 Turns</t>
  </si>
  <si>
    <t>(P) Immune to all forms of CC.</t>
  </si>
  <si>
    <t>(&gt;) Corpse Hurl: Hurl Corpse in Melee Range at Target for 30 PD (25 mana)</t>
  </si>
  <si>
    <t>(o) Cast a puddle of Poison on Target Tile that lasts until end of combat. If theres a Target on it it deals 15 Poison Damage at the end of Target's turn every Turn. (1/Tile) (25 mana)</t>
  </si>
  <si>
    <t>(P) When 7 Remain: Strengthen: Strikes will deal a bonus 2 Physical Damage</t>
  </si>
  <si>
    <t>(P) Divine Intervention: The first d1 you roll per Combat will count as a  nat 20.</t>
  </si>
  <si>
    <t>(+) Transposition: Teleport all Entities including yourself on the Hex to random Tiles and up into the air, dealing 30 Kinetic Damage to each. (50 Mana)</t>
  </si>
  <si>
    <t>(o) Skull Screech: Let out a piercing screech, inflicting 25 Insanity Damage to all Targets on Hex. (25 Health)</t>
  </si>
  <si>
    <t>(o) Earthquake: Disintegrate the ground below the selected entity rank, dealing 25 Earth Damage to anyone standing on that specific rank (35 Mana)</t>
  </si>
  <si>
    <t>(P) Wheep thy Brothers: When another Gargoyle dies, gain Surge for 2 Turns.</t>
  </si>
  <si>
    <t>(≈) Fair Exchange: Offer the Hero 800 Gold. If he takes it instantly land a Critical strike on them. (50 Mana) (1/Combat)</t>
  </si>
  <si>
    <t>(o) Angry Roar: Increase Crit Multiplier of all Ogres on hex by +1 (50 mana)</t>
  </si>
  <si>
    <t>(≈) Self-petrify: Counter; Stun self for 1 Turn negating all incoming Damage. (75 Mana)</t>
  </si>
  <si>
    <t>(P) When 6 Remain: Frosted Blade: Strikes Will deal a bonus 3 Frost damage on Hit</t>
  </si>
  <si>
    <t>(^) Divine Pillars:  Summon a 25 Health Pillar Object on an Adjacent Tile; For each Pillar on the Hex you gain +1 Crit Multiplier (50 Mana)</t>
  </si>
  <si>
    <t>(≈) Swallow the Sun: Swallow the Sun (Triggers passive), Blinding all Hostile Entities for 3 Turns or until Ult is cast. (100 Mana) (1/ Combat)</t>
  </si>
  <si>
    <t>(&gt;) Red Lasers: Shoot lasers out of your eyes at Target dealing 30 Insanity Damage (25 mana)</t>
  </si>
  <si>
    <t xml:space="preserve">
(&gt;) Rock Storm: Send rocks flying towards selected entity, dealing 30 Kinetic Damage to enemy (25 Mana)</t>
  </si>
  <si>
    <t>(≈)Forward Lunge: Lunge in Melee range of Target, Dealing 20 Physical damage. (25 mana)</t>
  </si>
  <si>
    <t>(o) Mass Confusion?:Powerplay; Everyone in Combat becomes confused for 4 Turns. (50 Mana)</t>
  </si>
  <si>
    <t>(P) Alright That's it: If a Hero flees after casting your ult, chase him until losing Vision of them.</t>
  </si>
  <si>
    <t>(^) Mistress callout: [Requires below 50% Health] Summon another full Hp female Ogre which does not have this ability on Target Outer Tile. (100 Mana)</t>
  </si>
  <si>
    <t>(+) Gaze into my eyes: Stun (petrify) a Rooted Target. Target can roll a d5 every turn and needs a d1 to wake up. (100 Mana)</t>
  </si>
  <si>
    <t>(≈) Angelic Armaggedon: [Requires Channel for 2 Turns] Teleport into Melee Range of Target slashing them with 5 Precise Basics. (100 Mana)</t>
  </si>
  <si>
    <t>[Requires Sun to be Swallowed(T3)] (o) Spit out the Sun: Burn all Entities in a straight line for 80 Pyro Damage. (100 Mana) (1/Combat)</t>
  </si>
  <si>
    <t>(o) Crimson Whirlwind: [Requires 50% Health or less and 1 Channel Stack] Conjure a whirlwind of Blood on current tile for the rest of the combat. The whirlwind chases the closest Target by 1 Tile per Turn and deals 20 Vacuum Damage per Turn on its current Tile. (100 mana)</t>
  </si>
  <si>
    <t>(o) Volcanic Erruption: [Requires 25% Health or less and 1 Preparation Stack] Deal 20 Blast damage caused by exploding volcanoes on the enemy tile if they ever repeat any action (75 mana)</t>
  </si>
  <si>
    <t xml:space="preserve"> (^) Obsidian Backup: [2 Stacks of Channel] Powerplay; Summon 2 Gargoyles on the Outer Layer with identical starting stats, without this ability 
(50 Mana)</t>
  </si>
  <si>
    <t>(≈) Welp: Requires below 150 Health and 1 Turn Channel You will deal 30 Physical Damage to the Player and Poison him for 10 Poison DPT until end of combat. (100/Mana)</t>
  </si>
  <si>
    <t>(o) SIKE, I CAN MOVE: [Requires 100 Health or lower], The Sphinx will awaken dealing 50 Light Damage to all hostile Entities; Your innate Ability is Removed; Your Basic Attack now is Melee 30 Physical Damage.</t>
  </si>
  <si>
    <t>2x Bone Marrow + Greyshade Bark  + Legendary Ore</t>
  </si>
  <si>
    <t>Poison Gland + Deaths Touch + Legendary Fabric</t>
  </si>
  <si>
    <t>2x Bone Marrow + ice Lotus + Legendary Fabric</t>
  </si>
  <si>
    <t>Star Dust + Sparking Solution + Legendary Fabric</t>
  </si>
  <si>
    <t>Salt Crystals + Whistling Sap + Legendary Ore</t>
  </si>
  <si>
    <t>2x Pure Blood + Legendary Ore</t>
  </si>
  <si>
    <t>Burning Ichor + Demonic Husk + Legendary Ore</t>
  </si>
  <si>
    <t>Diamond Grain + Fresh Soil + Legendary Ore</t>
  </si>
  <si>
    <t>Greyshade Bark + Nightmare Fuel + Legendary Fabric</t>
  </si>
  <si>
    <t>2x White Obsidian + Legendary Ore</t>
  </si>
  <si>
    <t>Drake</t>
  </si>
  <si>
    <t>Lindwurm</t>
  </si>
  <si>
    <t>Leviathan</t>
  </si>
  <si>
    <t>Quartzel</t>
  </si>
  <si>
    <t>Wyrm</t>
  </si>
  <si>
    <t>Serpent</t>
  </si>
  <si>
    <t>Salamander</t>
  </si>
  <si>
    <t>Whyvern</t>
  </si>
  <si>
    <t>Basilisk</t>
  </si>
  <si>
    <t>Amphitere</t>
  </si>
  <si>
    <t>Future Prime Boss</t>
  </si>
  <si>
    <t>500/500</t>
  </si>
  <si>
    <t>600/600</t>
  </si>
  <si>
    <t>700/700</t>
  </si>
  <si>
    <t>Melee 20 Physical Damage</t>
  </si>
  <si>
    <t>(&gt;) Ranged: 20 Magic Damage</t>
  </si>
  <si>
    <t>Melee 20 Physical Damage +10 Earth Damage on Hit</t>
  </si>
  <si>
    <t>Melee 15 Physical Damage</t>
  </si>
  <si>
    <t>(P) Fiery Aura: Deal 5 Fire Damage on Turn Start on Adjacent Tiles; Gain Winged Condition.</t>
  </si>
  <si>
    <t>(P) Slithering Body: +2 Mobility</t>
  </si>
  <si>
    <t>(P) As soon as the Combat Begins the Hex Crumbles into a Water Hex; If Entities can't swim they are forced to roll a Swim Roll.</t>
  </si>
  <si>
    <t>(P) Mirror Scales: Gain 20% Deflection; Gain Winged Condition.</t>
  </si>
  <si>
    <t>(P) The Worm starts on a completely Random Tile in Combat.</t>
  </si>
  <si>
    <t>(P) Volcanic Body: Taking Physical Damage causes you to deal 10 Fire Damage on all Entities in Melee Range.</t>
  </si>
  <si>
    <t>(P) Quick Winged: Gain 1 Mobility and Winged Condition.</t>
  </si>
  <si>
    <t>(P) Resilience: Increased Defensive Stats.</t>
  </si>
  <si>
    <t>(&gt;) Fire Breath: Deal 30 Fire Damage. (50 Mana)</t>
  </si>
  <si>
    <t>(&gt;) Poison Spit: Deal 20 Poison Damage. (25 Mana)</t>
  </si>
  <si>
    <t>(+) Freezing Coil: Deal Target 20 Frost Damage; if they take more than 30 Frost Damage from this Attack they are Frozen for 1 Turn. (25 Mana)</t>
  </si>
  <si>
    <t>(o) Lightning Envelopment: All Entities in Melee Rage take 20 Lightning Damage. (25 Mana)</t>
  </si>
  <si>
    <t>(o) Shattering Winds: Deal 25 Wind Damage to all Entities on selected Row or Collumn. (25 Mana)</t>
  </si>
  <si>
    <t>(≈) Blood Bite: Deal 20 Physical Damage and 20 Bleed Damage. (35 Mana)</t>
  </si>
  <si>
    <t>(&gt;) Greater Fire Breath: Deal 50 Fire Damage. (50 Mana)</t>
  </si>
  <si>
    <t>(≈) Fly: Raise up in the air becoming immune to Strikes and Alterations for 3 Turns. (25 Mana)</t>
  </si>
  <si>
    <t>(+) Black Gaze: Inflict a Random Negative Non DOT Status to Target Entity for 2 Turns. (25 Mana)</t>
  </si>
  <si>
    <t>(≈) Sweep Strike: Deal 25 Physical Damage to all Entities in Meele. (50 Mana)</t>
  </si>
  <si>
    <t>(≈) Lesser Sweep Strike: Deal 15 Physical Damage to all Entities in Meele. (25 Mana)</t>
  </si>
  <si>
    <t>(P) If you are on a Permafrost Hex your Basic Attacks gain 5 Frost Damage on Hit.</t>
  </si>
  <si>
    <t>(≈) Crystal Barrier: Gain 20 Barrier; If you have any amount of Barrier this Ability has Flash. (25 Mana)</t>
  </si>
  <si>
    <t>(P) Mana Eater: Whenever a Spell is Cast restore 10 Health.</t>
  </si>
  <si>
    <t>(P) Seeping Blood Oil: When below 50% Max Health your Innate Ability gives you +4 Mobility Instead.</t>
  </si>
  <si>
    <t>(o) Magma Boom: Cause Magma to errupt from 3 Random Tiles dealing 50 Fire Damage; If this Ability deals Damage to you become Enraged until End of Combat. (100 Mana)</t>
  </si>
  <si>
    <t>(≈) Aerial Sweep Strike: [Requires Fly to be Active] Fly Down to Target Tile and Deal 30 Physical Damage and 10 Earth Damage on Hit to all Entities in Meele. (25 Mana)</t>
  </si>
  <si>
    <t>(P) You may not lose more than 200 Health in 1 Attack.</t>
  </si>
  <si>
    <t>(≈) Aerial Annoyance: [Requires Fly to be Active] Basic Attack Target Twice. (25 Mana)</t>
  </si>
  <si>
    <t>(P) Deflective Scales: Gain 20% Deflection when below 50% Max Health.</t>
  </si>
  <si>
    <t>(P) Sharp Approach: When Moving in Melee Range of other Entities immediately deal them 10 Poison Damage and 10 Physical Damage.</t>
  </si>
  <si>
    <t>(≈) Submerge: Take Target in Melee Range underwater and deal it 20 Hydro Damage. (25 Mana)</t>
  </si>
  <si>
    <t>(≈) Shocking Touch: Touch Target Entity; They Take 10 or 40 Lightning Damage at Random. (50 Mana)</t>
  </si>
  <si>
    <t>(≈) Burrow: Counter; Dodge Target Non-Ultimate Projectile. (25 Mana)</t>
  </si>
  <si>
    <t>(≈) Accute Fangs: For the Next 3 Turns your Basic Attacks have Blitz and deal 20 Bleed Damage On Hit against Bleeding Targets. (30 Mana)</t>
  </si>
  <si>
    <t>(&gt;) Molten Wall: Block Target Non-Ultimate Projectile. (50 Mana)</t>
  </si>
  <si>
    <t>(P) Petrified Bone Claws: Your Basic Attacks deal 10 Earth Damage on Hit.</t>
  </si>
  <si>
    <t>(≈) Deaths Teeth: Your next 4 Basic Attacks are Converted to Dark Damage. (25 Mana)</t>
  </si>
  <si>
    <t>(&gt;) Light Sphere: Launch a Sphere of light blinding Target for 3 Turns and dealing 40 Light Damage. (50 Mana)</t>
  </si>
  <si>
    <t>(o) Lesser Scorch the Earth: Deal 100 Scorch Damage on2 Tile Grid. (100 Mana)</t>
  </si>
  <si>
    <t>(≈) Surround Prey: Ensnare Target in Melee Range Rooting them for 5 Turns. (25 Mana)</t>
  </si>
  <si>
    <t>Hypothermic Induction: Convert Hex Into a Permafrost, Remove any Wet Status on all Entities and Inflict Hypothermia in all Entities for 2 Turns. (75 Mana)</t>
  </si>
  <si>
    <t>Crystal Erruption: Cause 7 Crystals to Spawn on Random Tiles outside of your current one; If it Spawns on top of Entities it immediately breaks and deals 20 Lightning Damage and 20 Magic Damage. (100 Mana)</t>
  </si>
  <si>
    <t xml:space="preserve">(≈) Devour: Swallow Target Entity; Target Remains Stunned until they roll above a 10 to escape; Whilst Devoured they are untargetable; Target will take 20 Physical Damage at the start of their Turn until they Escape. (100 Mana) </t>
  </si>
  <si>
    <t>(+) Fear the Snake Gaze: Target Entity becomes Feared for 2 Turns and take 5 Bleed Damage per Tick over 3 Turns. (100 Mana)</t>
  </si>
  <si>
    <t>(P) Unmoldened Split: Aftermath; Spawn 2 Lesser Salamanders with no Mana, No Abilities and 75 health Each.</t>
  </si>
  <si>
    <t>(≈) Raging Whirl: [Requires Fly to be Active] Dive Down to Tile and Basic Attack Target 3 Times. (100 Mana)</t>
  </si>
  <si>
    <t>(≈) Grimwalls Toughest: Gain Resilient for 3 Turns. (50 Mana)</t>
  </si>
  <si>
    <t>(≈) Greater Raging Whirl: [Requires Fly to be Active] Dive Down to Tile and Basic Attack Target 5 Times. (100 Mana)</t>
  </si>
  <si>
    <t>Bone Marrow + 2x Diamond Grain + Common Fabric + Legendary Ore</t>
  </si>
  <si>
    <t>Poison Gland + Everlife Ivy + Common Fabric + Legendary Ore</t>
  </si>
  <si>
    <t>Ice Lotus + Arctic Core + Common Fabric + Legendary Ore</t>
  </si>
  <si>
    <t>Sparking Solution + Oldworld Spices + Common Fabric + Legendary Ore</t>
  </si>
  <si>
    <t>Whistling Sap + Sundunes Bloom + Common Fabric + Legendary Ore</t>
  </si>
  <si>
    <t>Pure Blood + Rotten Flesh + Common Fabric + Legendary Ore</t>
  </si>
  <si>
    <t>Burning Ichor + Flaming Spirits + Common Fabric + Legendary Ore</t>
  </si>
  <si>
    <t>Fresh Soil + Gravity Fragment + Common Fabric + Legendary Ore</t>
  </si>
  <si>
    <t>Nightmare Fuel + Deaths Touch + Common Fabric + Legendary Ore</t>
  </si>
  <si>
    <t>White Obsidian + Divine Feather + Common Fabric + Legendary Ore</t>
  </si>
  <si>
    <t>GUARDIANS</t>
  </si>
  <si>
    <t>Dragon</t>
  </si>
  <si>
    <t>Centaurion</t>
  </si>
  <si>
    <t>Sleepless Frost</t>
  </si>
  <si>
    <t>Crystal Outbounder</t>
  </si>
  <si>
    <t xml:space="preserve">End Walker </t>
  </si>
  <si>
    <t>Mutant Rat</t>
  </si>
  <si>
    <t>Cerberus</t>
  </si>
  <si>
    <t>Behemoth</t>
  </si>
  <si>
    <t>Grim Mirror</t>
  </si>
  <si>
    <t>Holy Reckoner</t>
  </si>
  <si>
    <t>Future Guardian</t>
  </si>
  <si>
    <t>300/400</t>
  </si>
  <si>
    <t>Claw 30 Physical Damage Melee / Bite: 5% Current Health Lifedrain</t>
  </si>
  <si>
    <t>25 PD</t>
  </si>
  <si>
    <t>20 PD Melee</t>
  </si>
  <si>
    <t>Ranged 20 Blast Damage 1-7 Miss</t>
  </si>
  <si>
    <t>10% of Target's Current HP PD + 10 Bleed on Hit</t>
  </si>
  <si>
    <t>20 Physical Damage 1-7 Miss</t>
  </si>
  <si>
    <t>Claw Attack: 20 Physical Damage</t>
  </si>
  <si>
    <t>Ranged 20 Magic Damage</t>
  </si>
  <si>
    <t>20 Light Damage Melee OR 20 PD Melee</t>
  </si>
  <si>
    <t>5/5</t>
  </si>
  <si>
    <t>4/4</t>
  </si>
  <si>
    <t>Fiery Aura: Deal 10 Fire Damage per Turn on Hex.</t>
  </si>
  <si>
    <t>(P) Strong Bones: 20% Damage Reduction</t>
  </si>
  <si>
    <t>Immune to all forms of CC</t>
  </si>
  <si>
    <t>(P) Casting your Abilities can never Kill you.</t>
  </si>
  <si>
    <t xml:space="preserve">Beast: Critical strikes deal bonus damage equal to 10% Current Health True Damage
</t>
  </si>
  <si>
    <t xml:space="preserve">(P) Gain 1 strength for every 50 hp you lose </t>
  </si>
  <si>
    <t>(P) Large Stature: +0.5 Critical Multiplier.</t>
  </si>
  <si>
    <t>(P): Artificial Silence: Immune to all statuses except for Torment</t>
  </si>
  <si>
    <t>Holy Favour: deal 50% more damage to entities with positive faith, deal 50% less damage to entities with negative faith.</t>
  </si>
  <si>
    <t>Fire Breath: Deal 40 Fire Damage. (&gt;) (50 Mana)</t>
  </si>
  <si>
    <t>Quick Jab: Flash; Attack once but with a 20% damage reduction. (20 mana)</t>
  </si>
  <si>
    <t xml:space="preserve">(+) Watch it your sleeping: 30 Frost damage then put enemy to sleep for 1 Turn (30 mana) </t>
  </si>
  <si>
    <t>Leg Stomp: Stomp Target in Melee for 25 Physical Damage and 1 Turn Stun (20 Health)</t>
  </si>
  <si>
    <t xml:space="preserve">T1: Rush; TP to Melee range of a Target ( 25 Health )
</t>
  </si>
  <si>
    <t>Roar: For 2 turns gain 5 strength (50 Mana)</t>
  </si>
  <si>
    <t>(o) The Shake: Deal 25 Earth Damage to all other Entities on Hex (50 Mana)</t>
  </si>
  <si>
    <t>(❖:^) The Awakening: Conjure the last Elite that the player has fought against. (once/battle - 50 Mana)</t>
  </si>
  <si>
    <t>God Mercy: Basic Attack, if you deal more than 30 damage, give the target entity a faith. (30 Mana)</t>
  </si>
  <si>
    <t>Sweep Strike: Deal 30 Physical Damage to all in Meele. (50 Mana)</t>
  </si>
  <si>
    <t>Gallop: Move 3 Tiles in a line stopping in front of the first target. if there is an Entity in your way, Stun them for the amount of Tiles between you and them. (50 Mana)</t>
  </si>
  <si>
    <t>One holy night: Gain the Brawn, Agile and Hope Conditions. (100 Mana)</t>
  </si>
  <si>
    <t xml:space="preserve">Groundbreak: Smash your fists into the ground in front of you, causing a fissure to form on your Hex (straight line of tiles), pushing all Entities 1 move back. Any Targets caught in the attack will take 25 Physical Damage and end up on the other side of the fissure. The fissure will deal 30 True Damage upon stepping on it. (50 Health) </t>
  </si>
  <si>
    <t>T2: Powerful size; ; gain 1 Defence and Dispersion for every 50 Current Health for 3 Turns. (50 Health)</t>
  </si>
  <si>
    <t>Power Strike: The next strike will have an extra 50 damage. (50 Mana)</t>
  </si>
  <si>
    <t>(P) Whenever you become affected by a Status also become Enraged for 1 Turn; Whilst Enraged Your Abilities have Flash and Reflex.</t>
  </si>
  <si>
    <t>(❖:&gt;) Elemental Bolt: Fire a bolt of your Chosen Element that will deal 40 Chosen Element Damage. (50 Mana)</t>
  </si>
  <si>
    <t>Faith in your Demise: For the next 3 turns your attacks have a +2 Roll Modifier, if you crit Blind Target for 1 Turn. (50 Mana)</t>
  </si>
  <si>
    <t>Reflection Scales: Counter; Reflect nonultimate Spell. (100 Mana)</t>
  </si>
  <si>
    <t>Trample: Kick Target with your Hooves dealing 20 PD ignoring 50% defense. (30 mana)</t>
  </si>
  <si>
    <t>Dark side:  Summon a Random Prime Creature Elite (100 Mana)</t>
  </si>
  <si>
    <t>Meteorfall: Summon down meteorites to drop on the Hex, causing all other Entities 50 Earth Damage and 2 Turns of Confusion (50 Health)</t>
  </si>
  <si>
    <t>T2: Furious Slashes; P: Critical Strikes have a 50% chance of adding 1 stack to Furious Slash
Active: Attack once for each stack, then reset the stacks. (30 Health)</t>
  </si>
  <si>
    <t>That Hurts: Flash, For a turn the effects from your passive are doubled (50 mana)</t>
  </si>
  <si>
    <t>(≈) Behemoths Rage: Become Enraged for 3 Turns.</t>
  </si>
  <si>
    <t>(P) Mind cloning: When the elite drops below 50% both of you gain 5 Defense and 5 Dispersion, upon elite death inherit his Defense and Dispersion</t>
  </si>
  <si>
    <t xml:space="preserve"> (P) Gods Encouragement: if you take more than 40 damage in one turn give the entity who damaged you 1 faith.  Each time a Hostile entity uses faith on the current hex they take 10 True Damage.</t>
  </si>
  <si>
    <t>Scorch the Earth: [Channel for 2 turns] Deal 200 Scorch Damage on Hex. (200 Mana)</t>
  </si>
  <si>
    <t>Stampede: [Requires Below 50% Health] Summon 2 Centaur Minions on adjacent Tiles with your Tier 2 and Tier 3 ability; 50 Health 15 Rasnged PD Basic Attack , 80 Mana 5 def/dis. (150 Mana)</t>
  </si>
  <si>
    <t>North pole blizzard: Cause a blizzard to happen on the Hex, lasting until end of Combat causing 20 Frost Damage and Chilled every Turn to ALL Entities (100 mana)</t>
  </si>
  <si>
    <t>The End: [Requires Below 50% Health]; Block out the Sun with your gigantic stature, blinding all other Entities on your Hex until end of Combat (100 Mana)</t>
  </si>
  <si>
    <t>T4: Drawn from living blood; Prepare for 1 Turn then Heal 30% Missing Health. (The Rat bites itself.) (10% Max Health)</t>
  </si>
  <si>
    <t>Last Strike: (Prepare 1 turn) Your next Strike will deal True Damage. (50 Mana)</t>
  </si>
  <si>
    <t>(P) Indomitability: Powerplay; Aftermath; Revive at 100 Health; Your Kin is now undead; If you were Enraged when this ability triggered Gain 100 Barrier.</t>
  </si>
  <si>
    <t>Reflection Menace: Creates a indestructible mirrorwall for 3 Turns, across 3 Tiles in a line, hostile entities are dealt 30 Terror Damage and pushed 1 move back if in melee range while you and your Elite will gain +50% Damage while active. (100 Mana)</t>
  </si>
  <si>
    <t xml:space="preserve">Retribution for the gods: Deal 30 true damage per faith to target, then  convert all positive faith to negative  (100 Mana) </t>
  </si>
  <si>
    <t>Bone Marrow + Diamond Grain + Mythic Ore</t>
  </si>
  <si>
    <t>Everlife Ivy + Mythic Ore</t>
  </si>
  <si>
    <t>Arctic Core + Mythic Fabric</t>
  </si>
  <si>
    <t>Oldworld Spices + Mythic Fabric</t>
  </si>
  <si>
    <t>Sundunes Bloom Mythic Ore</t>
  </si>
  <si>
    <t>Rotten Flesh + Mythic Ore</t>
  </si>
  <si>
    <t>Flaming Spirits + Mythic Fabric</t>
  </si>
  <si>
    <t>Gravity Fragment + Mythic Ore</t>
  </si>
  <si>
    <t>Deaths Touch + Mythic Ore</t>
  </si>
  <si>
    <t>Divine Feather + Mythic Fabric</t>
  </si>
  <si>
    <t>DONT TOUCH THESE</t>
  </si>
  <si>
    <t>The Prophet</t>
  </si>
  <si>
    <t>The Centaurion</t>
  </si>
  <si>
    <t>The Sleepless Frost</t>
  </si>
  <si>
    <t>The Passivist</t>
  </si>
  <si>
    <t xml:space="preserve">The End Walker </t>
  </si>
  <si>
    <t>The Mutant Rat</t>
  </si>
  <si>
    <t>The Unbreakable Bulwark</t>
  </si>
  <si>
    <t>The Writer</t>
  </si>
  <si>
    <t>The Grim Mirror</t>
  </si>
  <si>
    <t>The Holy Reckoner</t>
  </si>
  <si>
    <t>Whatever</t>
  </si>
  <si>
    <t xml:space="preserve">Frog </t>
  </si>
  <si>
    <t>433/500</t>
  </si>
  <si>
    <t>15 Ranged Magic Damage</t>
  </si>
  <si>
    <t>He Channels Every Turn</t>
  </si>
  <si>
    <t>No Basic Attack</t>
  </si>
  <si>
    <t>15 + 5 *(Movement Distnace) PD Ranged</t>
  </si>
  <si>
    <t>(P) For each Stack of Predict Gain 10% Elemental Resistance</t>
  </si>
  <si>
    <t>(P) Leave me alone: Every 3 Stacks of Channel Stagger all other entities, When taking any instance of Damage, deal 5 True damage to all Hostile Entities.</t>
  </si>
  <si>
    <t xml:space="preserve">The Writers Pen: Either cast an ability with flash or at 50% mana cost. </t>
  </si>
  <si>
    <t xml:space="preserve">Predict: Counter; Guess if your roll will be Higher or lower than Opponents d20 if he rolled one on his turn, if Correct gain a Stack of Predict. </t>
  </si>
  <si>
    <t>(P) No more: Once per Combat, if you lose more than 100 Health in 1 Turn, Gain 100 Health.</t>
  </si>
  <si>
    <t>Comedy: Counter; Enemy will cast a Base Ability of theirs on a random Target but The Writer. (50)</t>
  </si>
  <si>
    <t>Poison Skin: Striking the Frog will deal 5 poison Damage per hit.</t>
  </si>
  <si>
    <t>Mind Scramble : Deal 10 + 10 *(Stacks of Predict) magic Damage (25)</t>
  </si>
  <si>
    <t>(P) Please stop: once you drop below 300, 200HP, 100HP you gain an additional 5 True Damage each on your first Passive.</t>
  </si>
  <si>
    <t xml:space="preserve">Groundbreak: Smash your fists into the ground in front of you, causing a fissure to form on your Hex (straight line of tiles), pushing all Entities 1 move back. Any Targets caught in the attack will take 25 Physical Damage and end up on the other side of the fissure. The fissure will deal 30 True Damage upon stepping on it. ( 50 Health) </t>
  </si>
  <si>
    <t>Power Strike: The next strike will have an extra 0,5 strength scaling. (50 Mana)</t>
  </si>
  <si>
    <t>Tragedy: Inflict any status of your choice on the target for 1 Turn; any DPT effect will deal 25 damage per Tick of the respective status Over 2 turns. (50)</t>
  </si>
  <si>
    <t>Battle Croak: Let out a Load croak, fearing all entities for 2 turns, entities in melee range take 15 PD (25 Mana)</t>
  </si>
  <si>
    <t>Twist of Fate: Counter; Flash; Add or Subtract +3 to your or your targets roll (50 mana, and a stack of Predict)</t>
  </si>
  <si>
    <t>(P) I can't take it: For every 3 basic attacks that you take gain (2 defense/dispersion)</t>
  </si>
  <si>
    <t>History: Subtract 5 Strength, Dex or Power until End of Combat from Target (60 Mana)</t>
  </si>
  <si>
    <t>Leap: Either Leep forward 2 movement spaces or leep high up vertically and crash back down deal 15 PD and stuning for 1 turn. (35 Mana)</t>
  </si>
  <si>
    <t>Revelation: Roll 6 d20 and choose 3 of the rolls, these will be your next rolls in whichever order you choose, your opponent gets the the other 3 rolls. (100 mana)</t>
  </si>
  <si>
    <t>Stampede: [Requires Below 50% Health] Summon 2 Centaurs on adjacent Tiles with your Tier 2 and Tier 3 ability; 50 Health 15 PD PD, 80 Mana 5 def/dis. (150 Mana)</t>
  </si>
  <si>
    <t xml:space="preserve">Passivatron: [Requires Below 50% Health]; Activate all of your passives 1 times each Unconditionally. (5 true damage, 100 health and 2 def/dis) </t>
  </si>
  <si>
    <t>Outside Inspiration: Roll a d5: 1-3 will cast yours or your opponents t1-t3 abilities at random (roll d6), rolling 4 will allow to cast any ability for free, rolling a 5 will allow you to mind control control a target for 1 turn. (100 Mana)</t>
  </si>
  <si>
    <t>Assume all players are brain dead horses.</t>
  </si>
  <si>
    <t>Sticky Tounge : Launch forward the frog tounge at a target , cannot attack while it is launched, prevent the target for using any abilities and deal 10 PD per turn. 30% chance for target to escape tounge. (30 Mana)</t>
  </si>
  <si>
    <t>Regurtitate Stomach: Channel 1 turn: You cannot move for 2 turns, and you take 50% extra damage, you deal 30 corrosive damage per turn for 3 turns. (100 mana)</t>
  </si>
  <si>
    <t>FINAL BOSSES/OTHERS</t>
  </si>
  <si>
    <t>Majora (needs work?)</t>
  </si>
  <si>
    <t>Player Punishment</t>
  </si>
  <si>
    <t xml:space="preserve">The  Mechanical Minotuar </t>
  </si>
  <si>
    <t>Azir (needs work)</t>
  </si>
  <si>
    <t>Loli (needs work)</t>
  </si>
  <si>
    <t>Kai</t>
  </si>
  <si>
    <t>Sentient Guardian</t>
  </si>
  <si>
    <t>Killer King Kai</t>
  </si>
  <si>
    <t>Anywhere</t>
  </si>
  <si>
    <t>aviuan/human</t>
  </si>
  <si>
    <t>66/500</t>
  </si>
  <si>
    <t xml:space="preserve">600 HP ( 100 per Limb) </t>
  </si>
  <si>
    <t>100/300</t>
  </si>
  <si>
    <t>50/300</t>
  </si>
  <si>
    <t>**</t>
  </si>
  <si>
    <t xml:space="preserve">spear;14 phasical 10 dark wand; 45 dark </t>
  </si>
  <si>
    <t>Doesn't Matter</t>
  </si>
  <si>
    <t xml:space="preserve">20-30 PD </t>
  </si>
  <si>
    <t>doesent attack</t>
  </si>
  <si>
    <t xml:space="preserve">Melee 15 MD </t>
  </si>
  <si>
    <t>20 MD Ranged</t>
  </si>
  <si>
    <t>18 Magic Damage Ranged</t>
  </si>
  <si>
    <t>Each summons with shield has 10% to deflect for him</t>
  </si>
  <si>
    <t>starts the turn with one gate</t>
  </si>
  <si>
    <t>The Combat Area starts out with 1500 HP pillars the block Line of sight and fire, The Mechanical Minatuar always Knows where you are.</t>
  </si>
  <si>
    <t>(P) Sand Carrier: When Engaging in Combat, Transform Current Tile into a Dessert Tile and summons 3 sand knights(sand knights have 100HP, can tank for him, each 3 turns spawn another knight)</t>
  </si>
  <si>
    <t>Shadow Weapons: Summon a Mythic Copy of a weapon at the start of each turn, it does dark damage instead.</t>
  </si>
  <si>
    <t>(P) In Map Phase survive Death and immediately TP back to kingdom 1/day; Can tp from kingdom potal to any portal 1 STAMINA; Can tp to Kingdom from anywhere 1 STAMINA; Will move towards closest player; No entity is hostile towards K; K takes no loot. Upon encountering a Hero, offer them a duel with a reward if they win. If they "kill" K, K will give them an Epic ore and Greater Regeneration Potion then tp to Kingdom; If the heroe loses K leaves them on low hp and does the same but only gives a Common Ore and Health Potion. K will not chase the same Hero again. After "dying" and teleporting back to Kingdom, transform into KK.</t>
  </si>
  <si>
    <t>(P) In Map Phase survive Death and immediately TP back to kingdom 1/day; Can tp from kingdom portal to any portal 1 STAMINA; Can tp to Kingdom from anywhere 1 STAMINA; Will move towards closest player; No entity is hostile towards K; K takes no loot. Upon encountering a Hero, offer them a duel with a reward if they win. If they "kill" K, K will give them a Legendary ore and a Supreme Regeneration Potion and tp to Kingdom; If the heroe loses K leaves them on low hp and does the same but only gives a Rare Ore and Greater Health Potion. K will not chase the same Hero again. After "dying" and teleporting back to Kingdom, transform into KKK.</t>
  </si>
  <si>
    <t>1/combat Upon losing more than 100 Health in 1 Turn, go back in time 1 Turn restoring your stats. at 0 hp trigger minigame. practice lasts until correct answer</t>
  </si>
  <si>
    <t>unraveled mask, Fast reaction: 3 command spells, Gain command spell is fired back at player 40% chance 50 mana half the damage</t>
  </si>
  <si>
    <t xml:space="preserve">Passive: Wo alle Straßen enden : Set all entities stamina to 0,  and mobility to -4 while on No Mans Land.
</t>
  </si>
  <si>
    <t xml:space="preserve">Lay Trap: The mechanical minataur places explosive trap onto a tile  that deals 15 blast damage when stepped on, traps traps can be spoted from afar with a above 10 perception check roll.(30) </t>
  </si>
  <si>
    <t>(P)  Sand Shield Knight: Requires Desert Tile; blocks 50% of the imcome projectile, (each income damage lovers the shielf for 10%)(takes 20 mana for each shot)</t>
  </si>
  <si>
    <t>2 Second Prediction of the future: Counter: A missed basic attack is now hits a vital / Any projectile or hit is now a miss. 25/50 Mana</t>
  </si>
  <si>
    <t>(+) Unseen Force: Push Target 1 Move in any direction, dealing 20 Kinetic Damage (40 mana)</t>
  </si>
  <si>
    <t>(+) Unseen Force: Push Target 1 Move in any direction, dealing 30 Kinetic Damage (40 mana)</t>
  </si>
  <si>
    <t>(o) Energy OutBurst: Push all Targets 1 move away from K, dealing 50 Wind Damage to all ( 50 Mana)</t>
  </si>
  <si>
    <t>Double thrust chaged flash; it moves them two times and does a half crit hit on each move 50 mana. if ult Turns into polymorph stun player and confused after 100</t>
  </si>
  <si>
    <t xml:space="preserve">Tier 1:  Graue Niemandsland: Turn this tile into a No Mans land, which applies the following debuff: set all resistances, dispersion and defense to 0 . ( 40 Mana) 
</t>
  </si>
  <si>
    <t>Corner Strike: Counter; If any hostile entity enters melee range of you from out of line of sight, Basic attack them once.  (30)</t>
  </si>
  <si>
    <t>(+) Sand Coffin: [Channel for 1 Turn] Burry Target Entity in Sand, and Harden the Sand Causing Massive Damage; 80 Earth Damage; 60 Physical Damage and Stunning them for 2 turns. (100 Mana)</t>
  </si>
  <si>
    <t>Shadow Armor: Passive  you take 20 Less damage from all sources, But each subsequent instance of damage lowers this value by 1.</t>
  </si>
  <si>
    <t>(&gt;) Cosmic Orb: Hurl an orb made of cosmic matter at target, dealing 20 Dark Damage. (30 Mana)</t>
  </si>
  <si>
    <t>(&gt;) Cosmic Orb: Hurl an orb made of cosmic matter at target, dealing 30 Dark Damage. (30 Mana)</t>
  </si>
  <si>
    <t>(o) Embrace the Void: Create a 3x3 surface of void tiles that will deal 40 Dark Damage per Turn until End of Combat. (50 Mana)</t>
  </si>
  <si>
    <t>Shed skin; lose 35 hp and o dispell any status currently afflicted at start of turn.</t>
  </si>
  <si>
    <t xml:space="preserve">Tier 2: Das Herz verbrannt: For the rest of combat any rolls below 5 by any entity add the following Permanent  debuff to No Mans Land : -1 to all Rolls.  (30)
</t>
  </si>
  <si>
    <t>(P) Fluid Movement: If you end your turn adjacent to atleast 4 walls, on the following turn gain 1 free movement action</t>
  </si>
  <si>
    <t xml:space="preserve">summons 4 weaklings (50hp)(deal 15 earth damage) in enemy range;They have 10% chance to grab the enemy and stun them for a turn) </t>
  </si>
  <si>
    <t>Precitable enemies: Passive: If target does 2 of the same action in a row, basic attack him/ Force target to make 4 of the same actions in a row ( 50 Mana)</t>
  </si>
  <si>
    <t>(≈) Pull of the Void: Create a gravity ring on a Tile that lasts until end of Combat, it Roots for 1 Turn per Entity the first time it is touched; It deals 20 Dark Damage per turn. (30 Mana)</t>
  </si>
  <si>
    <t>(≈) Pull of the Void: Create a gravity ring on a Tile that lasts until end of Combat, it Roots for 1 Turn per Entity the first time it is touched; It deals 30 Dark Damage per turn. (30 Mana)</t>
  </si>
  <si>
    <t>(&gt;) See the Light: Shoot a Laser at every Hostile entity for 50 Radiation Damage. (50 Mana)</t>
  </si>
  <si>
    <t>Time warp; restore hp of the hp of itself people near but also full mana  150 mana only once</t>
  </si>
  <si>
    <t xml:space="preserve">Tier 3:Im Schmerz verbannt For the rest of combat, if entity rolls a 1, add debuff to No mans tile: They are banished if they stand on a No Mans Land ; if they are banished gain -1 faith.  (30 Mana) 
</t>
  </si>
  <si>
    <t>Mechanical beast: Your 600 HP is divided amongst 6 limbs, at most any 1 limb can take 100 damage; Active: Transfer any amount of HP from any other limb to target limb. (3 turn cooldown) 50 Mana</t>
  </si>
  <si>
    <t>Summons 3(channel for 2 turns) (Elite Sand knights, with sword and shield, 125hp/mana) 15PD+ 15ED; They can cast (≈) Shield Bash:[Requires Shield] Bash Target with your shield dealing 10 Physical damage and stunning target for 1 turn. (25 Mana),,,(150 mana)</t>
  </si>
  <si>
    <t>Shadow Ally:Take a Screenshot of the enemy hero, you can spawn a copy of them that will dissapear upon taking the first instance of damage, Aftermath of the copy restore 50% max HP. (100 Mana 10% current HP)</t>
  </si>
  <si>
    <t>(≈) Time Travel: HIDDEN; Go back in time 1 Turn, restoring yourself to previous Stats. (40 Mana)</t>
  </si>
  <si>
    <t>(≈) Time Travel: HIDDEN; Go back in time 2 Turns, restoring yourself to previous Stats. (40 Mana)</t>
  </si>
  <si>
    <t>(+) Wither: all Hostile Entities lose 25  Health and are Slowed forever. (50 Mana)</t>
  </si>
  <si>
    <t>Dark Sparrow: One-Handed Melee Spear; Flexible; 8 Physical Damage; 6 Dark Damage on hit; Active:[Consumes Dark Sparrow] Throw the Spear into the Sky, at the start if your next turn rain Dark Spears on Target for a total of 30 Dark Damage. Shadownull: One-handed Ranged Wand; Unscalled 30 Dark Damage; +10% Reflect Chance</t>
  </si>
  <si>
    <t xml:space="preserve">Ult: uns keiner mehr zurück ins Heimatland: : All other Entities cast upon themselves: Curse: You have to roll for all movements as if you have no stamina, instead of Health loss if roll is a fail  turn the tile into a No Mans Land Tile. ( 10 Mana)
</t>
  </si>
  <si>
    <t>Warcry: Two-Handed Melee Axe; 14-20 Physical Damage; Active: 1 Hex Range; Move into Melee range of Target and Basic Attack them. (1/Day)</t>
  </si>
  <si>
    <t>Mindbreaker: Two-handed Ranged Scepter; 12 Magic Damage; +100 Mana; Active: (+) Pierce Target's mind, dealing 30 Magic Damage and Confusing them for 3 Turns. (1/Day)</t>
  </si>
  <si>
    <t>Root All Hostile Entities for 2 Turns, spawning a Cosmic Orb underneath them all that deals 30 True Damage per turn. (100 Mana)</t>
  </si>
  <si>
    <t>Blacksmith</t>
  </si>
  <si>
    <t>Knowledge</t>
  </si>
  <si>
    <t>(≈) My Fathers Ore: Powerplay; Gain a Mythic Ore.</t>
  </si>
  <si>
    <t>(P) Mid-War Commission: Gain a Salary of 250 Gold per Day.</t>
  </si>
  <si>
    <t>Leadership</t>
  </si>
  <si>
    <t>(P) Trust the Smith: You may equip your Mercenaries.</t>
  </si>
  <si>
    <t>Combat</t>
  </si>
  <si>
    <t>(P) A blacksmiths Eye: Detect imperfections in other entities Defense, allowing you to hit weak spots; +0.25 crit Multiplier.</t>
  </si>
  <si>
    <t>Utility</t>
  </si>
  <si>
    <t>(P) Living Anvil: You may Craft Gear out of Ore at any time.</t>
  </si>
  <si>
    <t>Survival</t>
  </si>
  <si>
    <t>(≈) Dismantle: Turn Gear into Material of equivalent Rarity. (2/Day)</t>
  </si>
  <si>
    <t>Cultist</t>
  </si>
  <si>
    <t>(≈) Sacrificial Knowledge: Lose 20 Health, Choose Hero Color and Immediately Inspect them and their Banner; You may also see their Resource.</t>
  </si>
  <si>
    <t>(P) Adept of the Ungodly: Unable to trigger negative Faith Effects.</t>
  </si>
  <si>
    <t>(≈) Heretic Tiles: Convert Hex; Gain Power for each 1 converted. (0.5 Stamina)</t>
  </si>
  <si>
    <t>(P) Outside Gods Reach: Blocks all Faith consumption for all Entities during Combat.</t>
  </si>
  <si>
    <t>(P) Unfortunate Luck: Your d1 Rolls become d20 Rolls.</t>
  </si>
  <si>
    <t>(P) Occultic Transcendace: When your Hero dies, someone else under your banner becomes the Hero.</t>
  </si>
  <si>
    <t>Librarian</t>
  </si>
  <si>
    <t>(≈) Knowledge from the Grand Archive: Powerplay; Level up.</t>
  </si>
  <si>
    <t>(P) Librarians Eye: You can see all Hidden Abilities.</t>
  </si>
  <si>
    <t>(P) Slight Thought Bending: All Merchant prices reduced by 25%.</t>
  </si>
  <si>
    <t>(P) The Patient Observer: You are able to see all of Targets Stats in Combat.</t>
  </si>
  <si>
    <t>(P) Refined Hearing: You will be notified when something is moving around; 2 Hex Range.</t>
  </si>
  <si>
    <t>(P) The many Sudies: You are able to see Targets Equipped Gear.</t>
  </si>
  <si>
    <t>Commander</t>
  </si>
  <si>
    <t>(^) For Hire: You may hire Prime Sentient Elites into your Banner at the cost of 750 gold; They Consume 1 Supply per Day to maintain.</t>
  </si>
  <si>
    <t>(P) Convincing: Your army will leave you in 2 days instead of instantly if you go into negative supplies.</t>
  </si>
  <si>
    <t>(P) Expanded Army: +4 Banner Slots</t>
  </si>
  <si>
    <t>(P) Resitant: Your Banner gains 10% Elemental Resistance and 4 Armor and Dispersion.</t>
  </si>
  <si>
    <t>(P) Expanded Inventory: Your Banner can now has 3 Bonus Inventory Slots and Mercenaries can be equipped.</t>
  </si>
  <si>
    <t>(P) Survival: Upon receiving fatal damage, your Banner has a 50% chance to become Weakened until End of Combat instead, If they are already Weakened they Die.</t>
  </si>
  <si>
    <t>Jester</t>
  </si>
  <si>
    <t>(P) Original Tricks: You can see Stealth entities and can always see which Entity is the real Hero.</t>
  </si>
  <si>
    <t>(≈) Theatrical Exit: Switch Your Hero Title with one of your Companions.</t>
  </si>
  <si>
    <t>(P) Comedy: All Entities on Hex regen 20 Extra Mana on Rest.</t>
  </si>
  <si>
    <t>(≈) Finale: Deal 10 True Damage for Each Different Action you've done this Combat; The Attempting Action counts itself once. (Remaining Mana; At Least 1 Mana)</t>
  </si>
  <si>
    <t>(P) Caravan: Appear as a Market Zone on the Map.</t>
  </si>
  <si>
    <t>(P) Deaths Dance: 30% Chance for Basic Attacks to miss you.</t>
  </si>
  <si>
    <t>Bard</t>
  </si>
  <si>
    <t>(≈) Persuasive Charisma: Roll d20 if the Roll is critical then Convert Non-Hero Entity to your Banner; Once per Day.</t>
  </si>
  <si>
    <t>(P) Never Ending Story: Everyone under your Banner has +1 Stamina.</t>
  </si>
  <si>
    <t>(P) The Party: Lose Game when everyone under Banner Dies.</t>
  </si>
  <si>
    <t>(P) High Strum: First time you play cello in combat stun hostile entities for 1 turn.</t>
  </si>
  <si>
    <t>(≈) Inspire the Audience: Play Celo to give Target 1 Attribute Point. (1/Day)</t>
  </si>
  <si>
    <t>(≈) Music to their Ears: Play Cello to give all Entities on Hex 20 Health. (1/Day)</t>
  </si>
  <si>
    <t>Paladin</t>
  </si>
  <si>
    <t>(P) Rasonian Tribute: All Zones may also be used as a Shrine.</t>
  </si>
  <si>
    <t>(P) Inhuman Reactions: You can do two Actions in Map Phase before giving turn over.</t>
  </si>
  <si>
    <t>(≈) Holy Tiles: Convert Current Hex into a Holy Hex; Gain 1 Strength for each Holy Hex under your Control. (0.5 Stamina)</t>
  </si>
  <si>
    <t>(P) Blessed with Light: Your Basic Attacks deal 10 Light Damage On Hit.</t>
  </si>
  <si>
    <t>(P) Faithful: Unable to go below 0 Faith.</t>
  </si>
  <si>
    <t>(P) Magical Defense: Gain Dispersion equal to Points in Survival.</t>
  </si>
  <si>
    <t>Pyromancer</t>
  </si>
  <si>
    <t>Start the Game with the Fire Wavelength.</t>
  </si>
  <si>
    <t>(≈) Resonantial Refreshness: Refresh 4 Resonance. (1/Day)</t>
  </si>
  <si>
    <t>(P) Fiery Spirit: Everyone under banner immune to Burning.</t>
  </si>
  <si>
    <t>(P) Weapons Ablaze: Your weapons deals 10 Extra Fire Damage on Hit.</t>
  </si>
  <si>
    <t>(P) Evaporator: You can Traverse Water Hexes Transforming them into Simple Plain Hexes.</t>
  </si>
  <si>
    <t>(P) Hellborn: You Regenerate 20 Extra Health if you Rest in the Volcanica Biome.</t>
  </si>
  <si>
    <t>Barbarian</t>
  </si>
  <si>
    <t>(P) Natural Second Guessing: You may Subtract 1 from any Dice roll you make.</t>
  </si>
  <si>
    <t>(≈) Critical Convenience: Flash; You gain the Brawn Condition Until End of Combat. (20 Rage)</t>
  </si>
  <si>
    <t>(^) Barbarian Camp: Set up a Camp on Current Hex; Every 3 Days it produces a Mercenary.</t>
  </si>
  <si>
    <t>(P) Infuriating Opponents: Your Basic Attacks Grant you an additional 10 Rage.</t>
  </si>
  <si>
    <t>(P) Wild Grounds: You may Explore the same Hex up to 3 Times.</t>
  </si>
  <si>
    <t>(P) Undying Rage: When your Health Reaches 0 you Start losing Rage Instead; If there is no Rage to be lost you Die.</t>
  </si>
  <si>
    <t>Alchemist</t>
  </si>
  <si>
    <t>Start the Game with 1 Skill Point in Potion Crafting.</t>
  </si>
  <si>
    <t>(≈) Philosopher's Stone: Powerplay; Gain The Philosopher's Stone Artifact; This counts as a Creation.</t>
  </si>
  <si>
    <t>(+) Alchemical Process - Multiplication: Create a copy of Target Common, Uncommon, Rare or Epic Gear/Item. (30 Mana)</t>
  </si>
  <si>
    <t>(+) Alchemical Process - Conjunction: Give Target Max Health equivalent to 50% of Max Mana or Vice Versa.</t>
  </si>
  <si>
    <t>(+) Alchemical Process - Separation: Target Entity's Dexterity, Strength or Power is removed until End of Day. (30 Mana)</t>
  </si>
  <si>
    <t>(P) Alchemical Process - Projection: Upon Looting Gear/Items, you can choose to transform them into Gold for 100% of their gold Value instead.</t>
  </si>
  <si>
    <t>(+) Alchemical Process - Distillation: Target Entity's Mana/Health are equally balanced between each other; This counts as a Transformation. (30 Mana)</t>
  </si>
  <si>
    <t>Warrior</t>
  </si>
  <si>
    <t>(P) Skill Guaging: You can see the Level of all Entities you have Vision of.</t>
  </si>
  <si>
    <t>(P) To be a Warrior: You gain actions per turn equal to the difference between Your Banner and Hostile Entities on Hex.</t>
  </si>
  <si>
    <t>(P) Warriors Pride: If you have no one under your Banner, gain 20% Increased Total Damage.</t>
  </si>
  <si>
    <t>(P) Extra Strength: Gain Strength equal to skills in Combat.</t>
  </si>
  <si>
    <t>(P) Set Camp: Everyone on your hex has the Regenerative Condition.</t>
  </si>
  <si>
    <t>(P) Tactical Retreat: Fleeing combat successfully allows you to do an action afterwards.</t>
  </si>
  <si>
    <t>Ranger</t>
  </si>
  <si>
    <t>(≈) Pre-Scout: Powerplay: Gain 2 3-Hex Range Vision of Random Hexes until End of Day.</t>
  </si>
  <si>
    <t>(P) Hawk-like Eyes: Your Throwables have Precise.</t>
  </si>
  <si>
    <t>(P) Multiple Angles: As long as you have a Follower under your Banner you can see Invisible Entities.</t>
  </si>
  <si>
    <t>(P) Dexterous Fighter: Gain Dexterity equal to skills in Combat.</t>
  </si>
  <si>
    <t>(P) All Natural: For each Empty Equipment Slot, gain 3 Dexterity.</t>
  </si>
  <si>
    <t>(≈) Quick Healing Herbs: Restore 20 Health to Entity. (1/Day)</t>
  </si>
  <si>
    <t>Mage</t>
  </si>
  <si>
    <t>(P) Magus of the Fourth Circle: You may Overcast Flux and Warp Spells.</t>
  </si>
  <si>
    <t>(P) Magus of the Second Circle: Your Spells Deal 20% More Damage.</t>
  </si>
  <si>
    <t>(P) Arcanite Siphon: You may use Followers Mana to cast your abilities.</t>
  </si>
  <si>
    <t>(P) Agressive Mage: Gain Power equal to skills in the Combat.</t>
  </si>
  <si>
    <t>(P) Magus of the First Circle: Your Spells Cost 25% less.</t>
  </si>
  <si>
    <t>(P) Magus of the Third Circle: Gain 5 Dispersion and 10% Deflection.</t>
  </si>
  <si>
    <t>Rogue</t>
  </si>
  <si>
    <t>(≈) Anatomical Expert: All Critical Hits will become Vital Hits.</t>
  </si>
  <si>
    <t>(P) Quiet Movement: Walking in Range of another Entity will no longer announce or wait for their action.</t>
  </si>
  <si>
    <t>(P) Applauding Distraction: As long as you have a Follower under your Banner you may enter Combat in melee range of Hostile Entities.</t>
  </si>
  <si>
    <t>(P) Rogues do it From Behind: First Basic Attack in Combat will have Blitz, Precise and will Critical Strike.</t>
  </si>
  <si>
    <t>(≈) Tools of Patience: End turn; During the next Day your Basic attacks deal double Damage. (3 Stamina)</t>
  </si>
  <si>
    <t>(≈) Into the Shadows: Gain Stealth for 1 Turn/Traversal. (1/Day)</t>
  </si>
  <si>
    <t>Knight</t>
  </si>
  <si>
    <t>(P) Experienced on the Field: Gain 2 Strength, 2 Dexterity, 2 Power, 2 Defense, 2 Dispersion.</t>
  </si>
  <si>
    <t>(≈) Knightly Duel: Powerplay; Force Target Entity to enter a Duel with you where you Basic Attack each other 3 times alternatively and you go first.</t>
  </si>
  <si>
    <t>(≈) Rally Call: Flash; All Followers Under your Banner Move Closer to Target. (1/Day)</t>
  </si>
  <si>
    <t>(≈) Rasonian Protection: Gain a 25 Health Barrier until End of Combat. (1/Combat)</t>
  </si>
  <si>
    <t>(≈) Shield Bash: [Requires Shield] Bash Target with your shield dealing 20 Physical Damage and Stunning Target for 1 Turn. (1/Combat)</t>
  </si>
  <si>
    <t>(P) Strong Defense: Gain Defense equal to Points in Survival.</t>
  </si>
  <si>
    <t>Druid</t>
  </si>
  <si>
    <t>(≈) Blooming Forest: Create a Forest on Target Non-Forest Hex within Hex Vision. (1/Day)</t>
  </si>
  <si>
    <t>(P) Natures Gift: While in Forests abilities cost 50% Less.</t>
  </si>
  <si>
    <t>(^) Tree of Life: Powerplay; Summon a 200 Health Giant Tree Object on Target Tile until End of Combat with Passive: Entities in Combat can not take Damage.</t>
  </si>
  <si>
    <t>(+) Poison Vines: Counter; Spiked Poisoned Vines Errupt from the ground and Root Target Entity for 2 Turns, Dealing 10 Poison Damage Per Tick Over 2 Turns. (25 Mana)</t>
  </si>
  <si>
    <t>(P) Natures Call: Forests no longer Obstruct Vision when inside of them.</t>
  </si>
  <si>
    <t>(P) Natural Enrichment: Traversing Forests will Restore 10 Health and Mana.</t>
  </si>
  <si>
    <t>Shaman</t>
  </si>
  <si>
    <t>(≈) Ancestral Visions: Know Direction and distance of Target Landmark. (40 mana)</t>
  </si>
  <si>
    <t>(P) Shamanic Trance: You draw Energy from your Ancestral Plane, You Regenerate 25 Extra Mana Per Day.</t>
  </si>
  <si>
    <t>(≈) Ancestral Connection/(^) Meet my Ancestors: Active: Powerplay; Create a Level 4 Entity(Choosing its Class; Race; 2 Rare Armor Gear; 1 Rare Weapon Type) Active: Summon Entity Until End of Combat. (50 Mana; 1/Day)</t>
  </si>
  <si>
    <t>(o) Earthshake: Shake the ground on your current Hex, causing all Hostile Entities to take 20 Earth Damage and become Staggered for 1 Turn. (1/Combat)</t>
  </si>
  <si>
    <t>(≈) Passed down from Generations: Powerplay; Gain 1 Unbreakable Lucky Charm and 500 Gold.</t>
  </si>
  <si>
    <t>(≈) To Take is To Give: Burry Target Gear/Item into the Ground destroying it in the process; Restoring 10 Health per rarity. (1/Day)</t>
  </si>
  <si>
    <t>Healer</t>
  </si>
  <si>
    <t>(P) Protect the weak spots: Critical Basic Attacks you receive deal 50% less Total Damage.</t>
  </si>
  <si>
    <t>(≈) Restoration Seal: Powerplay; Restore Target to Full Health. (50 Mana)</t>
  </si>
  <si>
    <t>(P) After a successful Combat Heal all Followers 20 Health.</t>
  </si>
  <si>
    <t>(≈) The Healing Channel: [Channel for 1 Turn] Convert all Mana to Health.</t>
  </si>
  <si>
    <t>(≈) Medical Supplies: Powerplay; Gain 3 Salt Crystals and 3 Mending Salves.</t>
  </si>
  <si>
    <t>(P) Healing Expert: Restore Twice as much Health from stamina upon Resting.</t>
  </si>
  <si>
    <t>Summoner</t>
  </si>
  <si>
    <t>(^) Argoeanameoanangael: Powerplay; Summon a Copy of a Random Heroes Follower until End of Day.</t>
  </si>
  <si>
    <t>(P) Mind Projection: Minions you summon can cast your other Abilities.</t>
  </si>
  <si>
    <t>(P) Fearsome Minions: Increase the Damage of your Minions by 20%</t>
  </si>
  <si>
    <t>(^) Gate of Wild Summoning: Powerplay; Summon a Boss Creature from current biome. (100 Mana)</t>
  </si>
  <si>
    <t>(^) Unsummoning: You may unsommen Minions to gain 50% of the Mana Back. (This automatically casts at the end of Combat)</t>
  </si>
  <si>
    <t>(P) Tampirian Armor: Your Minions Gain 5 Defense.</t>
  </si>
  <si>
    <t>Sorcerer</t>
  </si>
  <si>
    <t>(≈) Spell Empowerment: Raise the Rank of Your Next Non-Ultimate Spell by 1. (20 Mana)</t>
  </si>
  <si>
    <t>(P) Ranged Spells: Your Projectile Spells gain 1 Hex Range.</t>
  </si>
  <si>
    <t>(P) Mana Balance: The Spells of All Followers Under your banner cost 10 Less Resource.</t>
  </si>
  <si>
    <t>(+) Hexmorph: Transform Target Entity Into an Invulnerable Actionless Object for 2 Turns. (1/Day)</t>
  </si>
  <si>
    <t>(P) Mana Hunger: Gain 100 max Mana, but your mana-costing abilities cost 10 more.</t>
  </si>
  <si>
    <t>(P) Elemental Mana: 20% Elemental Resistance.</t>
  </si>
  <si>
    <t>Warlock</t>
  </si>
  <si>
    <t>(P) Heartgaze: Whenever you make a Pact or Curse with an Entity gain their Stats and Equipped Gear sheets.</t>
  </si>
  <si>
    <t>(o) Maleficent Hunger: Drain all other Entities on Hex for 20 Mana. (1/Day)</t>
  </si>
  <si>
    <t>(o) Sacrificial Ritual: Powerplay; Destroy all other Entities under your Banner; Gain 1 Attunement Point for each Destroyed.</t>
  </si>
  <si>
    <t>(P) Coiling Skulls: Whenever an Entity Dies in Combat you may immediately choose to launch its Skull at Target Entity for 25(+100% Power) Dark Damage.</t>
  </si>
  <si>
    <t>(P) Handlock Tricks: Exploring Hexes Restores 10 Mana.</t>
  </si>
  <si>
    <t>(≈) Black Haze: Counter; Become Ethereal Until the Start of your Turn; If you are Ethereal already then have 100% Chance to Negate the Physical Damage instead Until the Start of your Turn. (1/Combat)</t>
  </si>
  <si>
    <t>Inquisitor</t>
  </si>
  <si>
    <t>(P) Sanctimonious Offerings: Shrines Offer you 1000 Gold the first time you Traverse them.</t>
  </si>
  <si>
    <t>(P) Master Inquisitor: A Holy Relic appears on a Random Hex; It is only visible to you and other Inquisitors; You gain 2 Hex Vision of it; Collecting it Grants you 2000 Xp; If you are Level 12 you gain 20% Elemental Resistance instead.</t>
  </si>
  <si>
    <t>(≈) Guided Plot: Powerplay; At the Start of the next Day Convert all Shrines from the Planes into Mercenaries under your Control.</t>
  </si>
  <si>
    <t>(+) Triangle Cross: [Requires Undead, Eldritch, Demon or Fae Target] Reduce the Light, Fire and Lightning Resistance of Target by 50% and Root them for 2 Turns. (1/Day)</t>
  </si>
  <si>
    <t>(P) Inquisitions Request: You may purchase 1 Epic or lower Gear or Item from Zones at no cost. (1/Zone)</t>
  </si>
  <si>
    <t>(P) Higher Protection: When your drop below 25% Health Gain 25 Barrier Until End of Day. (1/Day)</t>
  </si>
  <si>
    <t>Monk</t>
  </si>
  <si>
    <t>(P) Look into the tea leaves: Roll 2 d20's and choose 1 of the results, this will be your next roll. (2/Day)</t>
  </si>
  <si>
    <t>(≈) Aid from the Past: Flash; Powerplay; Restore your Focus.</t>
  </si>
  <si>
    <t>(≈) Teaching the way: Convert Target Companion To a Random Monk Class.</t>
  </si>
  <si>
    <t>(P) Regenera: +10 Focus Restored at start of your  Turn in combat.</t>
  </si>
  <si>
    <t>(P) High Focus: Gain 50 Max Focus.</t>
  </si>
  <si>
    <t>(P) Meditating Guru: Gain +5 to meditation rolls, you can meditate twice per day.</t>
  </si>
  <si>
    <t>Deprived</t>
  </si>
  <si>
    <t>Start the Game with nothing.</t>
  </si>
  <si>
    <t>(≈) True Absurdity: Become one of the Gods(You are becoming a GM, you forfeit the campaign as a player). (9999 Health; 9999 Mana)</t>
  </si>
  <si>
    <t>(≈) Natural Talent: Powerplay; Unlock 4 Random Unowned Skills.</t>
  </si>
  <si>
    <t>(P) Outstanding Personality: Your Banner is immune to Mind Control and Charm.</t>
  </si>
  <si>
    <t>(≈) Possessiveness: Steal Target Armor Gear from Target. (1/Combat)</t>
  </si>
  <si>
    <t>(P) Boundless: Gain 2 Dexterity/Power/Strength for each Empty Equipment Slot.</t>
  </si>
  <si>
    <t>(≈) Hard Work: Spend 1 Stamina for 1 Stat Point.</t>
  </si>
  <si>
    <t>Ravager</t>
  </si>
  <si>
    <t>(P) Forgiveness Through Pain: While below 0 Faith you can always lose 20 Health Gain 1 Faith.</t>
  </si>
  <si>
    <t>(+) Order of Goddess M'riah: Powerplay; The Skin of All Entities Starts rupturing, inflicting Bleeding for 20 Damage per Tick over 5 Turns. (100 Health; 100 Mana)</t>
  </si>
  <si>
    <t>(≈) Sanctimony: Powerplay; Gain -1 Faith and grant your entire banner 20 Barrier until End of Day.</t>
  </si>
  <si>
    <t>(+) M'riah's Sentence: Target Entities Skin ruptures, Bleeding for 10 Bleed Damage over 5 Turns. (1/Day)</t>
  </si>
  <si>
    <t>(P) Hidden Shrines: You may do a Prayer for Light anywhere.</t>
  </si>
  <si>
    <t>(P) Silent Atonement: You become unable to Talk; You gain the Regeneration Trait.</t>
  </si>
  <si>
    <t>Gunslinger</t>
  </si>
  <si>
    <t>(≈) Ammosmith: Active: Convert Quiver into Pouch of equal Rarity; Passive: Your Pouches give +1 Base Damage per Rarity to your Main Hand.</t>
  </si>
  <si>
    <t>(P) Gungliding: Basic Attacks and Reloads now have Flash.</t>
  </si>
  <si>
    <t>(≈) Gunswap: Flash; Swap Weapons with a Companion in Melee Range; You may also switch your weapons with Flash.</t>
  </si>
  <si>
    <t>(&gt;) Rapidfire: [Requires Gun/Rifle] Empty your Main and Off-hands Weapons Magazine in Target quickly firing with a 30% Damage Pentalty. (1/Day)</t>
  </si>
  <si>
    <t>(≈) Teleporting Pelets: Instant; Reload your Main Hand. (1/Day)</t>
  </si>
  <si>
    <t>(≈) Kicking Tumble: Flash; Kick Target dealing True Damage Equal to your Dexterity and Using it as your launchpad to move 1 Tile away from your Target. (1/Day)</t>
  </si>
  <si>
    <t>Juggernaut</t>
  </si>
  <si>
    <t>(P) Proper Gearing: Gain 2 Extra Defense For Each Equiped Armor Gear.</t>
  </si>
  <si>
    <t>(P) Fierce Resistance: Gain 10% Damage Reduction. (Locks 20 mana)</t>
  </si>
  <si>
    <t>(P) Standing Tall: Enemy Projectiles will Hit you if you are inbetween Caster and Target.</t>
  </si>
  <si>
    <t>(≈) The Juggerplex:[Requires Empty Weapon Slots] Grab Target Entity and Suplex them, dealing 50(+20% of your Max Health) Physical Damage; If the Target Took more than 100 Damage, they are Stunned for 2 Turns. (100 Mana)</t>
  </si>
  <si>
    <t xml:space="preserve">(≈) One Man Drop-Pod: Powerplay; Launch yourself in the air, Gaining the Layout of the Map and choose a Location to Drop to. </t>
  </si>
  <si>
    <t>(P) Bulwark Body: You gain 50 Max Health.</t>
  </si>
  <si>
    <t>Artisan</t>
  </si>
  <si>
    <t>(P) Applied Knowledge: Gain +1 Roll Modifier on your D20 Rolls outside of Combat.</t>
  </si>
  <si>
    <t>(P) Master Artisan: You may use your Innates Twice per Day.</t>
  </si>
  <si>
    <t>(P) Family Business: Gain 500 Gold Per Day.</t>
  </si>
  <si>
    <t>(P) Monetary Convincing: You may pay Hostile Sentient Non-Hero Entities to become Peaceful; 250 Weakling; 500 Elite; 750 Boss; 1000 Guardian.</t>
  </si>
  <si>
    <t>(≈) Skillwork: Powerplay; Rank up your Innate Ability.</t>
  </si>
  <si>
    <t>(P) Not work, a Passion: Restore 10 Health or Mana Randomly whenever you use your Innate.</t>
  </si>
  <si>
    <t>Marauder</t>
  </si>
  <si>
    <t>Start the Game with +1 Might.</t>
  </si>
  <si>
    <t>(P) Bend it Inwards: After 3 Successful Strikes, Targets Defense is reduced to 0; Your Basic Attack will Scale with the amount of Defense Reduced until End of Combat.</t>
  </si>
  <si>
    <t>(P) Muscle Breaker: Gain 1 Crit Multiplier on Melee Weapons.</t>
  </si>
  <si>
    <t xml:space="preserve">(≈) Pillagers Warcry: Powerplay; Inspire your followers to deal 50% More Damage; Lasts Until End of Day. </t>
  </si>
  <si>
    <t>(P) Born in the North: Gain the Brawn Trait.</t>
  </si>
  <si>
    <t>(≈) Forgotten Trove: Powerplay; Gain a Chest and Treasure Chest.</t>
  </si>
  <si>
    <t>(P) Seaborn: You gain Stealth while in Water Hexes.</t>
  </si>
  <si>
    <t>Oracle</t>
  </si>
  <si>
    <t>Start the Game with +1 Wisdom.</t>
  </si>
  <si>
    <t>(≈) Celestial Visions: Powerplay; Reveal the Entire Map including Stealthed Entities until End of Day.</t>
  </si>
  <si>
    <t>(≈) A change of Fate: Flash; Trigger a Correct Prediction. (1/Day)</t>
  </si>
  <si>
    <t>(≈) Heroes Prophecy: Tell a Prophecy Transfering the Hero Characteristic to Target Companion and swapping Levels.</t>
  </si>
  <si>
    <t>(≈) The Oracle: Flash; Predict Targets Next Action, If you are Correct, You are Granted a Turn of Preparation. (1/Day)</t>
  </si>
  <si>
    <t>(P) Worshippers Hunch: When Entering combat, Predict Targets Level; If you are Correct Gain 2 Turns of Preparation.</t>
  </si>
  <si>
    <t xml:space="preserve">(≈) A strange feeling: Instant; Predict if your next D20 roll is below or above 10, if you predict correctly gain +5 on the roll. (1/Day) </t>
  </si>
  <si>
    <t>Necromancer</t>
  </si>
  <si>
    <t>Start the Game with a Skeleton Weakling under your Banner.</t>
  </si>
  <si>
    <t>(P) Sight Taking: Killing Heroes or Guardians Increases your Hex Vision by 1 Until End of Day.</t>
  </si>
  <si>
    <t>(≈) Necrosis: Reduce Targets Elemental Resistances by 50%; If the Target Reaches -200% in one Resistance they Instantly Die. (80 Mana)</t>
  </si>
  <si>
    <t>(P) Skeleton Summoning: When entering Combat Summon a Skeleton with 25 Health; 25 Physical Damage Basic Attack under your Banner Until End of Combat.</t>
  </si>
  <si>
    <t>(P) Dark Aura: Everyone Under your Banner Deals 10 Extra Dark Damage On Hit.</t>
  </si>
  <si>
    <t>(P) Enchanced Perception: You know how much Damage Attacks will deal during Combat.</t>
  </si>
  <si>
    <t>(P) Misunderstood Immortality: You may go into Negative Health up to -50 during Combat; While below 0 Health Killing Entities Restores 50 Health.</t>
  </si>
  <si>
    <t>Soulmancer</t>
  </si>
  <si>
    <t>(≈) The Forbidden Ritual: [1 Channel Stack] Powerplay; Lose Health Equal to 50% of Targets Current Mana; Reduce Targets Mana to 0.</t>
  </si>
  <si>
    <t>(≈) Soul Materialisation: Convert x Soul to x Health.</t>
  </si>
  <si>
    <t>(≈) Soul Seething: Drain the Soul of your Followers Killing them in the process and Gaining Max Soul equal to their Base Health.</t>
  </si>
  <si>
    <t>(P) The Stronger the Soul: Gain 1 Attribute of each kind for Each 20 Max Soul.</t>
  </si>
  <si>
    <t>(≈) Soul Enforce: Gain 20 Soul. (10 Health)</t>
  </si>
  <si>
    <t>(P) Soul Barrier: Your Soul becomes a Barrier that stops Damage before it reaches your Health.</t>
  </si>
  <si>
    <t>Chronomancer</t>
  </si>
  <si>
    <t>Start the Game with an Hourglass Artifact.</t>
  </si>
  <si>
    <t>(P) I've been here Before: You may see the Abilities of Entities you enter Combat with.</t>
  </si>
  <si>
    <t>(≈) Sand Turning: You may turn your Hourglass to refresh all other Cooldowns. (1/Day)</t>
  </si>
  <si>
    <t>(P) Unparalleled Experience: Mercenaries may now Level up.</t>
  </si>
  <si>
    <t>(P) Tidal Time Turn: Turning your Hourglass can deal 10 True Damage to Target of your Choice.</t>
  </si>
  <si>
    <t>(P) Fused with Time: Gain an Extra Artifact Slot.</t>
  </si>
  <si>
    <t>(P) Life Leap: Powerplay, Aftermath; Go back in time to the beginning of Combat, if you died in Map phase, go back in time to the tile where you Started the Day.</t>
  </si>
  <si>
    <t>Inventor</t>
  </si>
  <si>
    <t>(≈) Experimental Race Replication Technology: Powerplay; Gain 2 Random Conditions.</t>
  </si>
  <si>
    <t>(≈) Surpassing the Limits of Creativity: Create your own Invention. (GM Decides; At least 1 Scrap)</t>
  </si>
  <si>
    <t>(≈) Tinkward Companions: Consume 2 Scraps to Craft a 2 Hex Vision Ward.</t>
  </si>
  <si>
    <t>(≈) Blackpowder Surprise: Powerplay; Detonate all your Inventions dealing 20 Blast Damage in their Melee Range per Invention.</t>
  </si>
  <si>
    <t>(P) You Learn from your Mistakes: Upon the Making and the Destruction of your Creations you gain 200 Xp.</t>
  </si>
  <si>
    <t xml:space="preserve">(^) Mechanical Bear: Powerplay; Create a 125 Health Mechanical Bear with 20 Physical Damage Melee Basic Attack and 3/3 Stamina. </t>
  </si>
  <si>
    <t>Aristocrat</t>
  </si>
  <si>
    <t>Strider</t>
  </si>
  <si>
    <t>(≈) Terrain Mastership: Spend 3 Stamina to learn Hex, learnt Hexes take 0.5 Stamina less to Traverse.</t>
  </si>
  <si>
    <t>(P) Marathon: Gain 2 Max Stamina</t>
  </si>
  <si>
    <t>(P) Striding Partners: Your Banner has Max Stamina equal to yours.</t>
  </si>
  <si>
    <t>(P) Calculated Approach: Moving in Melee Range of Hostile Entities gives 1 Preparation Stack at the start of your next Turn.</t>
  </si>
  <si>
    <t>(P) Leg Training: Gain Dexterity equal to Max Stamina.</t>
  </si>
  <si>
    <t>(P) More Mobility: Gain 2 Mobility.</t>
  </si>
  <si>
    <t>Common:</t>
  </si>
  <si>
    <t>Uncommon:</t>
  </si>
  <si>
    <t>**Insert**</t>
  </si>
  <si>
    <t>Type</t>
  </si>
  <si>
    <t>Effect</t>
  </si>
  <si>
    <t>Cost</t>
  </si>
  <si>
    <t>THROWABLES</t>
  </si>
  <si>
    <t>1) Throwables</t>
  </si>
  <si>
    <t>Dagger</t>
  </si>
  <si>
    <t>Scale with Dexterity; Miss Range: 1-3; Metal Type</t>
  </si>
  <si>
    <t xml:space="preserve">Throwing Knives: Throwable Dagger; Deals 5 Physical Damage.  </t>
  </si>
  <si>
    <t>50 Gold</t>
  </si>
  <si>
    <t>Chakram: Throwable Dagger; Deals 6 Physical Damage; Recoverable.</t>
  </si>
  <si>
    <t>100 Gold</t>
  </si>
  <si>
    <t>Shuriken: Throwable Dagger; Deals 3 Physical Damage; Scales with 1.5 Extra Dexterity; Passive: Tanks Defense of Targets Twice.</t>
  </si>
  <si>
    <t>Rare:</t>
  </si>
  <si>
    <t>Poisoned Shivs: Throwable Dagger; Deals 3 Physical Damage; Inflict 3 Poison Damage over 5 turns.</t>
  </si>
  <si>
    <t>150 Gold</t>
  </si>
  <si>
    <t>Needles: Throwable Dagger; Deals 4 Physical damage; Scaling is Doubled.</t>
  </si>
  <si>
    <t>Epic:</t>
  </si>
  <si>
    <t>Trackers: Throwable Dagger; Deals 10 Physical Damage; Targets hit by it will always be revealed on the map for you.</t>
  </si>
  <si>
    <t>200 Gold</t>
  </si>
  <si>
    <t>Legendary:</t>
  </si>
  <si>
    <t>Serrated Dirk: Throwable Dagger; Deals 20 Physical Damage; Ignores Defense; Recovarable.</t>
  </si>
  <si>
    <t>400 Gold</t>
  </si>
  <si>
    <t>Arkadian Mysteries:  Throwable Dagger; Blitz; Deal 20 Magic Damage; Passive: After being thrown, you automatically spend 15 Mana to Recover.</t>
  </si>
  <si>
    <t>Mythic:</t>
  </si>
  <si>
    <t>Sealing Kunai: Throwable Dagger; Deals 15 Physical Damage; Seals Targets for 4 Turns, blocking them from using Mana, Recovarble if combat ends before seal expires.</t>
  </si>
  <si>
    <t>1000 Gold</t>
  </si>
  <si>
    <t>Astral:</t>
  </si>
  <si>
    <t>Hatchet</t>
  </si>
  <si>
    <t>Scale with Strength; Miss Range: 1-5; Metal Type</t>
  </si>
  <si>
    <t>Hatchets: Throwable Hatchet: Deals 9 Physical Damage.</t>
  </si>
  <si>
    <t>Drainers: Throwable hatchet; Deals 10 Physical Damage; 20% Lifedrain.</t>
  </si>
  <si>
    <t>Tomahawks: Throwable Hatchet: Deals 16 Physical Damage.</t>
  </si>
  <si>
    <t>Splitting Mauls: Throwable Hatchet; Deals 24 Physical Damage; Shreds Targets Defense by 50% For the Rest of the Combat; Recovarable if you crit.</t>
  </si>
  <si>
    <t>Double-Bit Opposite: Throwable Hatchet; Deals 20 Physical Damage; Deals 20 Fire Damage on hit; 50% Chance to Deal 20 Frost Damage on hit instead; Recovarable.</t>
  </si>
  <si>
    <t>Gjallarhorni: Throwable Hatchet; Can not Crit; Consumes all stacks of preperation when using; Deal 50 Unscallable True Damage Per Preperation stack consumed.</t>
  </si>
  <si>
    <t>Javelin</t>
  </si>
  <si>
    <t>Scale with Strength/Dexterity: Miss Range: 1-4; Metal Type.</t>
  </si>
  <si>
    <t>Unbalanced Javelin: Throwable Javelin; Deals 7 Physical Damage.</t>
  </si>
  <si>
    <t>Landplax: Throwable Javelin; Deals 4 Physical Damage; Passive: This Throwable deals +6 Base Damage per Tile between yourself and Target.</t>
  </si>
  <si>
    <t>Piercer: Throwable Javelin;10 Physical Damage; Ignores 50% of Targets Defense.</t>
  </si>
  <si>
    <t>Aggravators: Throwable Javelin; 10 Physical Damage; 1 Hex Range.</t>
  </si>
  <si>
    <t>Impaler: Throwable Javelin; Deals 14 Physical Damage with 50% Chance of Inflicting Bleeding for 10 Bleed Damage Per Tick Over 3 Turns, Recover if bleed is not inflicted.</t>
  </si>
  <si>
    <t>Thunder Spear: Throwable Javelin; Transforms into a Lightning Bolt upon being Thrown Dealing 40 Unscallable Lightning Damage.</t>
  </si>
  <si>
    <t>Harpooner: Recovarable; Throwable Javelin; Deals 20 Physical Damage and Pulls Target into Melee Range.</t>
  </si>
  <si>
    <t>For whom the Bell Tolls: Throwable Javelin: When thrown consume x Mana to deal x/3 Fatal Damage.</t>
  </si>
  <si>
    <t>Soul Slayer: Recovarable; Throwable Javelin; Deals 40 True Damage; On Hit: Root Target for 5 Turns.</t>
  </si>
  <si>
    <t>Explosive</t>
  </si>
  <si>
    <t>Do not Scale; Can't Crit; Miss Range: 1-2; Can't be crafted.</t>
  </si>
  <si>
    <t>Firecrackers: Throwable Explosive; Stagger Target for 1 Turn.</t>
  </si>
  <si>
    <t>Thunderflash: Throwable Explosive; Stun Target for 1 Turn.</t>
  </si>
  <si>
    <t>Bombs: Throwable Explosive; Deals 20 Blast Damage.</t>
  </si>
  <si>
    <t>Smoke Bombs: Throwable Explosive; Allows you to instantly Flee Combat if used on yourself. (It still has to land)</t>
  </si>
  <si>
    <t>Incinerators: Throwable Explosive; Deals 15 Blast Damage and Inflicts Burning for 5 Fire Damage Per Tick Over 3 Turns.</t>
  </si>
  <si>
    <t>Frostners: Throwable Explosive; Deals 15 Blast Damage and Inflicts Frostburning for 5 Frost Damage Per Tick Over 3 Turns.</t>
  </si>
  <si>
    <t>Fragmentatators: Throwable Explosive; Deals 15 Blast Damage and has Shrapnel Pierce Target for 5 Bleed Damage Per Tick Over 3 Turns.</t>
  </si>
  <si>
    <t>Dynamite: Throwable Explosive; Deals 50 Blast Damage.</t>
  </si>
  <si>
    <t>Flaming Spirits Deluxe: Throwable Explosive; Deals 50 Fire Damag; 50% Chance to Inflict Burning for 10 Fire Damage per Tick over 5 Turns.</t>
  </si>
  <si>
    <t>Gods Tears: Throwable Explosive: Deals 50 Holy damage to your target and all other entities within melee range of your target, give your target 1 Faith.</t>
  </si>
  <si>
    <t>Star Fragment: Throwable Explosive; Deals 30 Blast Damage; 30 Radiation Damage; 30 Arcane Damage; Evaporates Tile into a Simple Plains Tile.</t>
  </si>
  <si>
    <t>Concentrated Black Hole: Throwable Explosive; Deals 100 Dark Damage and Destroys Hex.</t>
  </si>
  <si>
    <t>3000 Gold</t>
  </si>
  <si>
    <t>CONSUMBALES</t>
  </si>
  <si>
    <t>2) Ingredients</t>
  </si>
  <si>
    <t>Lifeforce Extract: Resistance Properties</t>
  </si>
  <si>
    <t>Soul Essence: Magic Properties</t>
  </si>
  <si>
    <t>Slithering Oil: Dexterity Properties</t>
  </si>
  <si>
    <t>Hardened Powder: Strength Properties</t>
  </si>
  <si>
    <t>Ashen Weed: Withering Properties</t>
  </si>
  <si>
    <t>Vile Mushroom: Confusing Properties</t>
  </si>
  <si>
    <t>Living Root: Curing Properties</t>
  </si>
  <si>
    <t>Mending Salve: Healing Properties</t>
  </si>
  <si>
    <t>Bone Marrow: Regenerative Properties</t>
  </si>
  <si>
    <t>Mana Berries: Mana Properties</t>
  </si>
  <si>
    <t>Black Cobweb: Weakening Properties</t>
  </si>
  <si>
    <t>Power Sand: Empowering Properties</t>
  </si>
  <si>
    <t>Ice Lotus: Freezing Properties (Frost)</t>
  </si>
  <si>
    <t>Pure Blood: Life Properties (Bleed)</t>
  </si>
  <si>
    <t>Poison Gland: Toxic Properties (Poison)</t>
  </si>
  <si>
    <t>Rich Soil: Earthly Properties (Earth)</t>
  </si>
  <si>
    <t>Burning Ichor: Firey Properties (Fire)</t>
  </si>
  <si>
    <t>Sparking Solution: Electric Properties (Lightning)</t>
  </si>
  <si>
    <t>Whistling Sap: Breezing Properties (Wind)</t>
  </si>
  <si>
    <t>White Obsidian: Reflective Properties (Light)</t>
  </si>
  <si>
    <t>Nightmare Fuel: Unsettling Properties (Dark)</t>
  </si>
  <si>
    <t>Salt Crystals: Advanced Healing Properties</t>
  </si>
  <si>
    <t>Spirit Leaf: Advanced Regenerative Properties</t>
  </si>
  <si>
    <t>Star Dust: Advanced Mana Properties</t>
  </si>
  <si>
    <t>Diamond Grain: Advanced Empowering Properties</t>
  </si>
  <si>
    <t>Demonic Tissue: Advanced Resistance Properties</t>
  </si>
  <si>
    <t>Greyshade Bark: Advanced Weakening Properties</t>
  </si>
  <si>
    <t>Gravity Fragment: Wavelength Properties</t>
  </si>
  <si>
    <t>600 Gold</t>
  </si>
  <si>
    <t>Sundunes Bloom: Pilfering Properties</t>
  </si>
  <si>
    <t>Flaming Spirits: Alchoholic Properties</t>
  </si>
  <si>
    <t>Oldworld Spices: Exotic Properties</t>
  </si>
  <si>
    <t>Rotten Flesh: Rotting Properties</t>
  </si>
  <si>
    <t>Divine Feather: Divine Properties</t>
  </si>
  <si>
    <t>Deaths Touch: Deadly Properties</t>
  </si>
  <si>
    <t>Everlife Ivy: Growth Properties</t>
  </si>
  <si>
    <t>Arctic Core: Nullifying Properties</t>
  </si>
  <si>
    <t>3) Drugs</t>
  </si>
  <si>
    <t>D8</t>
  </si>
  <si>
    <t>Cossar: Your Spells deal 50% more Total Damage.</t>
  </si>
  <si>
    <t>Adam: Statuses last 1 Turn less on you.</t>
  </si>
  <si>
    <t>Barok: Increase Max Health by 100.</t>
  </si>
  <si>
    <t>Mugno: Increase Max Stamina by 1.</t>
  </si>
  <si>
    <t>Lucio: Gain an Ultimate Ability Point.</t>
  </si>
  <si>
    <t>Rogna: Increase Maximum Mana by 100.</t>
  </si>
  <si>
    <t>Zone: Your Basic Attacks Gain Precise.</t>
  </si>
  <si>
    <t>Paramount: Increase Hex Vision by 1.</t>
  </si>
  <si>
    <t>4) Scrolls</t>
  </si>
  <si>
    <t>Scroll of Relearning: Relearn Innate, Tier I, II or III Ability. (≈)</t>
  </si>
  <si>
    <t>Scroll of Doubting: Target Entity Loses 1 Faith. (+)</t>
  </si>
  <si>
    <t xml:space="preserve">Scroll of Healing Light: Restores 20 Health to Target.  (+) </t>
  </si>
  <si>
    <t>Scroll of Dark Touch: Deal 25 Dark Damage up to 3 Different Targets. (+)</t>
  </si>
  <si>
    <t>Scroll of Fireball: Launch a Fireball Dealing 25 Fire Damage to Target and all Entities in its melee Range. (&gt;)</t>
  </si>
  <si>
    <t>Scroll of Frostshard: Deal 25 Frost Damage with a 50% Chance to inflict Frostburn for 5 Damage Per Tick over 3 turns. (&gt;)</t>
  </si>
  <si>
    <t>Scroll of Wind Slash: Deal 25 Wind Damage; 20% Chance to Trigger again on Cast. (&gt;)</t>
  </si>
  <si>
    <t>Scroll of Stone Spike: Cause spikes to emerge from beneath the Targets ground, impaling them for 25 Earth Damage; 20% Chance to inflict Stun for 1 turn. (+)</t>
  </si>
  <si>
    <t>Scroll of Lightning Bolt: Launch a Lightning Bolt dealing 25 Lightning Damage at Target and Stagger them for 1 Turn. (&gt;)</t>
  </si>
  <si>
    <t>Scroll of Deep Wound: Cause Target in Melee Range Bleeding for 10 Bleed Damage Per Tick Over 4 Turns. (+)</t>
  </si>
  <si>
    <t>Scroll of Poisoning Needle: Inflict Target with Poison for 5 Damage Per Tick Over 6 Turns. (&gt;)</t>
  </si>
  <si>
    <t>Scroll of Challenge: [Requires Map Phase] Roll a Random landmark. (≈)</t>
  </si>
  <si>
    <t xml:space="preserve">Scroll of Elemental Resistance: Gain 10% Elemental Resistance until End of Day.  (≈) </t>
  </si>
  <si>
    <t>Scroll of the Forest: 1 Hex Range; Create Forest on Target Grass Type Hex. (+)</t>
  </si>
  <si>
    <t>Scroll of Trolling: Force Target to Prepare or Channel at random on their next turn. (+)</t>
  </si>
  <si>
    <t>Scroll of Riches: Gain at Random 100 Gold, 200 Gold, 300 Gold or 400 Gold. (≈)</t>
  </si>
  <si>
    <t>Scroll of the Mantis: Gain the Ability to Move 1 Extra Tile during your Movement Actions; Lasts Until End of Combat. (≈)</t>
  </si>
  <si>
    <t>Scroll of Flowers: Convert current Hex to a Simple Hex of the same Biome. (+)</t>
  </si>
  <si>
    <t>Scroll of Lesser Protection: Gain 25 Barrier until End of Combat. (≈)</t>
  </si>
  <si>
    <t>Scroll of Lesser Channeling: Gain 2 Stacks of Channel. (≈)</t>
  </si>
  <si>
    <t>Scroll of the Sandman: Cause Target to Sleep for 2 Turns. (+)</t>
  </si>
  <si>
    <t>Scroll of Simple Alchemy: Convert Target Fabric into Ore or Target Ore into Fabrtic of equivalent Rarity. (+)</t>
  </si>
  <si>
    <t>Scroll of Channeling: Gain 3 Stacks of Channel. (≈)</t>
  </si>
  <si>
    <t>300 Gold</t>
  </si>
  <si>
    <t>Scroll of Gating: Gain 2 Stacks of Gating. (≈)</t>
  </si>
  <si>
    <t>Scroll of Recall: Teleports you to the Previous Hex you Traversed. (≈)</t>
  </si>
  <si>
    <t>Scroll of Skeleton Summon: Summons a 50 Health; 15 Physical Attack Skeleton to Fight for you until End of Day. (^)</t>
  </si>
  <si>
    <t>Scroll of Fire Wall: Create a wall of fire covering a Horizontal or Vertical line of 4 Tiles; It deals 25 Fire Damage Per Tick and Interrupts targets inside it; Lasts 3 Turns. (o)</t>
  </si>
  <si>
    <t>Scroll of Teleportation: 1 Hex Range; Teleports you to Target Hex. (+)</t>
  </si>
  <si>
    <t>Scroll of Fury: For The Next 2 turns, your Melee Basic Attacks Trigger Twice. (≈)</t>
  </si>
  <si>
    <t>Scroll of Ultimate Relearning: Relearn Ultimate Ability. (≈)</t>
  </si>
  <si>
    <t>Scroll of Gods Curse: Target Entity Loses 1 Faith. (+)</t>
  </si>
  <si>
    <t>Scroll of Bugs: Target Entity is surrounded by bugs and gets a Random Non-DOT Negative Status for 1 Turn.  (+)</t>
  </si>
  <si>
    <t>Scroll of Blink: Teleport in Melee Range of Target. (+)</t>
  </si>
  <si>
    <t>Scroll of Holy Smite: Deal 40 Holy Damage to Target. (+)</t>
  </si>
  <si>
    <t xml:space="preserve">Scroll of Casting: Cast a random Spell with Random Targets. (≈) </t>
  </si>
  <si>
    <t>Scroll of Mana Drain: Drain 50 Mana from Target. (+)</t>
  </si>
  <si>
    <t>Scroll of Life Drain: Drain 50 Health from Target. (+)</t>
  </si>
  <si>
    <t>Scroll of Holy Nova: Deals 20 Holy Damage and 10 Light Damage to all other Entities. (o)</t>
  </si>
  <si>
    <t xml:space="preserve">Scroll of Self Immolation: Set yourself Ablaze, dealing yourself 20 Fire Damage and 40 Fire Damage to everyone in melee Range. (≈) </t>
  </si>
  <si>
    <t>Scroll of Haste: Gain 1 Mobility Until End of Day and Restore 1 Stamina. (≈)</t>
  </si>
  <si>
    <t>Scroll of Evolution: Gain 2 Stat Points. (≈)</t>
  </si>
  <si>
    <t>Scroll of Smokescreen: Blind all Entities on Hex for 3 Turns. (o)</t>
  </si>
  <si>
    <t>Scroll of Weakness: Inflict Target with Weakness for 3 Turns. (+)</t>
  </si>
  <si>
    <t>Scroll of Vulnerability: Inflict Target with Vulnerable for 3 Turns. (+)</t>
  </si>
  <si>
    <t>Scroll of Surge: Inflict Target with Surge for 3 Turns. (+)</t>
  </si>
  <si>
    <t>Scroll of Enlightment: Inflict Target with Enlightment for 3 Turns. (+)</t>
  </si>
  <si>
    <t>Scroll of Torment: Inflict Target with Torment for 3 Turns. (+)</t>
  </si>
  <si>
    <t>Scroll of Rage: Inflict Target with Enraged for 3 Turns. (+)</t>
  </si>
  <si>
    <t>Scroll of Chill: Inflict Target with Chilled for 3 Turns. (+)</t>
  </si>
  <si>
    <t>Scroll of Resilience: Inflict Target with Resilient for 3 Turns. (+)</t>
  </si>
  <si>
    <t>Scroll of Invisibility: Become Invisible for 2 Turns. (≈)</t>
  </si>
  <si>
    <t>Scroll of Protection: Gain 50 Barrier Until End of Day. (≈)</t>
  </si>
  <si>
    <t>Scroll of Pathmaking: Shows the Direction and Distance of chosen Landmark. (≈)</t>
  </si>
  <si>
    <t>Scroll of Accelerated Learning: Gain 50% more Xp until end of day. (≈)</t>
  </si>
  <si>
    <t>Scroll of Rebirth: You may Reinvest all your Attunement Points. (≈)</t>
  </si>
  <si>
    <t>Scroll of Advanced Alchemy: Transform Target Item into one of the same Type bu</t>
  </si>
  <si>
    <t>Scroll of Ultimate Casting: [Channel for 1 turn] Cast a Random Ultimate Spell on Target. (≈)</t>
  </si>
  <si>
    <t>Scroll of Revival: Revive Target Dead Entity/Gravestone. (^)</t>
  </si>
  <si>
    <t>Scroll of Hyperblade: [Channel for 1 turn] Unleash a Sharp Edge Arcane Blade That Slices in front of you Dealing 50 Arcane Damage, which Dismembers on Crits. (&gt;)</t>
  </si>
  <si>
    <t>Scroll of Night: Reduce or Increase Targets Dark Resistance by 50% until End of Day. (+)</t>
  </si>
  <si>
    <t>Scroll of Truce: You and Target can no Longer fight each other Until End of Day; If you two were the only participants in Combat then the Combat automaitcally Ends. (+)</t>
  </si>
  <si>
    <t>Scroll of Misfortune: Hidden; Your Targets Next D20 Roll is will be exactly 1. (+)</t>
  </si>
  <si>
    <t>Scroll of Razorfen: Unleash a Powerful Bolt of Arcane, that Explodes Dealing 100 Magic Damage. (&gt;)</t>
  </si>
  <si>
    <t>Scroll of Chaos: Everyone Casts Random Abilities with Random Targets Until they are out of Mana. (o)</t>
  </si>
  <si>
    <t>Scroll of Fortune: Your Next D20 Roll will be exactly 20. (≈)</t>
  </si>
  <si>
    <t>Scroll of Hellfire: 1 Hex Range; Burn an entire Hex for 70 Fire Damage. (o)</t>
  </si>
  <si>
    <t>Scroll of Arcane Missles: Launch 4 Magic Projectiles at target, each dealing 20 Arcane Damage. (&gt;)</t>
  </si>
  <si>
    <t>Scroll of Vision: Gain 1 Hex Vision until end of Day. (≈)</t>
  </si>
  <si>
    <t>Scroll of Meteorite Fall: 1 Hex Range; Causes Meteorites to fall on Hex, dealing 70 Earth Damage. (o)</t>
  </si>
  <si>
    <t>Scroll of Death: [Channel for 5 Turns] Kill Target Entity. (+)</t>
  </si>
  <si>
    <t>Scroll of Doom: Deal 100 Dark Damage to all Entities on Current Hex. (o)</t>
  </si>
  <si>
    <t>Scroll of Curse Unbinding: Remove Target Curse from Target Entiy. (≈)</t>
  </si>
  <si>
    <t>Scroll of Polymorph: Transform Target Entity into an Animal Creature with the same Current and Max Health as Target; All other Stats are 0; Lasts 2 Turns. (+)</t>
  </si>
  <si>
    <t>Scroll of Toxicity: Intoxicate Target, making them Take 10 Poison Damage per Tick until end of Combat. (+)</t>
  </si>
  <si>
    <t>Scroll of Prime Summoning: Summon a Prime Boss under your Banner. (^)</t>
  </si>
  <si>
    <t>2000 Gold</t>
  </si>
  <si>
    <t>Scroll of Pain: Curse Target; Curse: Become inflicted with 2 Random Negative Status Effects that last 1 Turn at the Start of your every Turn in Combat. (+)</t>
  </si>
  <si>
    <t>Scroll of Illuminance: Remove all Curses, Conditions and Statuses of Target; If the Target is Non-Hostile restore them to full Health and Mana. (≈)</t>
  </si>
  <si>
    <t>Scroll of Destruction: [Channel for 4 Turns] Completely Destroy Target. (+)</t>
  </si>
  <si>
    <t>5) Runes:</t>
  </si>
  <si>
    <t>Extraction Tool: Can be used on Gear; Remove Target Rune from Gear.</t>
  </si>
  <si>
    <t>Expansion Tool: Can be used on Gear; Target Gear Gains an Extra 1 Rune Slot. (All Gear has 1 Slot by default)</t>
  </si>
  <si>
    <t>Strength Rune: Can be applied to Gear; Armor Piece Gains 4 Defense; Weapons Gain +4 Strength.</t>
  </si>
  <si>
    <t>Power Rune: Can be applied to Gear; Armor Piece Gains 4 Dispersion; Weapons Gain +4 Power.</t>
  </si>
  <si>
    <t>Dexterity Rune: Can be applied to Gear; Armor Piece Gains 1 Mobility; Weapons Gain +4 Dexterity.</t>
  </si>
  <si>
    <t>Light Rune: Can be applied to Gear; Armor Piece Gains 20% Light Resistance; Weapons Gain 8 Light Damage On Hit.</t>
  </si>
  <si>
    <t>Dark Rune: Can be applied to Gear; Armor Piece Gains 20% Dark Resistance; Weapons Gain 8 Dark Damage On Hit.</t>
  </si>
  <si>
    <t>Fire Rune: Can be applied to Gear; Armor Piece Gains 20% Fire Resistance; Weapons Gain 8 Fire Damage On Hit.</t>
  </si>
  <si>
    <t>Frost Rune: Can be applied to Gear; Armor Piece Gains 20% Frost Resistance; Weapons Gain 8 Frost Damage On Hit.</t>
  </si>
  <si>
    <t>Wind Rune: Can be applied to Gear; Armor Piece Gains 20% Wind Resistance; Weapons Gain 8 Wind Damage On Hit.</t>
  </si>
  <si>
    <t>Earth Rune: Can be applied to Gear; Armor Piece Gains 20% Earth Resistance; Weapons Gain 8 Earth Damage On Hit.</t>
  </si>
  <si>
    <t>Lightning Rune: Can be applied to Gear; Armor Piece Gains 20% Lightning Resistance; Weapons Gain 8 Lightning Damage On Hit.</t>
  </si>
  <si>
    <t>Blood Rune: Can be applied to Gear; Armor Piece Gains 20% Bleed Resistance; Weapons Gain 8 Bleed Damage On Hit.</t>
  </si>
  <si>
    <t>Poison Rune: Can be applied to Gear; Armor Piece Gains 20% Poison Resistance; Weapons Gain 8 Poison Damage On Hit.</t>
  </si>
  <si>
    <t>Wisdom Rune: Can be applied to Gear; Armor Piece Gains 10% Magic Damage Reduction; Weapons Gain +1 Wisdom.</t>
  </si>
  <si>
    <t>Might Rune: Can be applied to Gear; Armor Piece Gains 10% Physical Damage Reduction; Weapons Gain +1 Might.</t>
  </si>
  <si>
    <t>Colorful Rune: Can be applied to Gear; Armor Piece Gains 10% Lightning Resistance, 10% Wind Resistance and 10% Earth Resistance ; Weapons Gain Passive: Alteration Abilities cost 10 Resource Less.</t>
  </si>
  <si>
    <t>Greater Strength Rune: Can be applied to Gear; Armor Piece Gains 8 Defense; Weapons Gain +8 Strength.</t>
  </si>
  <si>
    <t>Greater Power Rune: Can be applied to Gear; Armor Piece Gains 8 Dispersion; Weapons Gain +8 Power.</t>
  </si>
  <si>
    <t>Greater Dexterity Rune: Can be applied to Gear; Armor Piece Gains 2 Mobility; Weapons Gain +8 Dexterity.</t>
  </si>
  <si>
    <t>Hairy Rune: Can be applied to Gear; Armor Piece Gains Passive: Take 1 Less Damage from any source; Weapons Gain +4 Base Damage.</t>
  </si>
  <si>
    <t>Allsoul Rune: Can be applied to Gear; Armor Piece Gains 10% Fortitude; Weapons Gain Active: (+) Deal 30 Arcane Damage to Target Entity. (1/Day)</t>
  </si>
  <si>
    <t>800 Gold</t>
  </si>
  <si>
    <t>Nullifix Rune: Can be applied to Gear; Armor Piece Gains 10% Deflection; Weapons Gain Active: (+) Counter; Nullify Target Non-Ultimate Projectile. (1/Day)</t>
  </si>
  <si>
    <t>Hunters Rune: Can be applied to Gear; Armor Piece Gains Passive: Detect Invisible Entities on your Hex; Weapons Gain Passive: Basic Attacks are now Precise.</t>
  </si>
  <si>
    <t>Silver Rune: Can be applied to Gear; Armor Piece Gains 10% Elemental Resistance; Weapons Gain 20% Extra Damage to Non-Living Entities.</t>
  </si>
  <si>
    <t>Transmutation Rune: Can be applied to Gear; Armor Piece now belongs to any chosen Set; Weapons are transformed into a Different Weapon of the same Type and Rarity.</t>
  </si>
  <si>
    <t>Ancient Rune: Can be applied to Gear; Armor Piece Gains +25 Mana; +25 Health; Weapons Gain +1 Dex/Str/Pwr Scaling.</t>
  </si>
  <si>
    <t>Star Rune: Can be applied to Gear; Armor Piece 10% Damage Reduction; Weapons Gain 10 Solar Damage on Hit.</t>
  </si>
  <si>
    <t>Arcanic Rune: Can be applied to Gear; Armor Piece Gains 20% Magic Damage Reduction; Weapons Gain Passive: Your Basic Attack Damage is now Arcane.</t>
  </si>
  <si>
    <t>Dragons Rune: Can be applied to Gear; Armor Piece Gains 20% Physical Damage Reduction; Weapons Gain Passive: Your Basic Attacks have +1 Crit Multiplier.</t>
  </si>
  <si>
    <t>Mana-Tech Rune: Can be applied to Gear; Armor Piece Gains +100 Mana; Weapons Gain Passive: The First Spell in Combat costs 50% Less Mana.</t>
  </si>
  <si>
    <t>Coldflame Rune: Can be applied on Gear; On Armor: Gain 30% Frost and 30% Fire Resistance; On Weapons: On Hit: 50% Chance to deal 10 Fire Damage or 10 Frost Damage</t>
  </si>
  <si>
    <t>Raxa's Rune: Can be applied to Gear; Armor Piece Gains Passive: You can Traverse Lava Tiles; Weapons Gain 15 Scorch Damage on Hit.</t>
  </si>
  <si>
    <t>Fury Rune: Can be applied to Gear; Armor Piece Gains +100 Heath; Weapons Gain +100% More Base Damage.</t>
  </si>
  <si>
    <t>1500 Gold</t>
  </si>
  <si>
    <t>6) Materials</t>
  </si>
  <si>
    <t>Common Ore: Results in a Metal Type Common Gear.</t>
  </si>
  <si>
    <t>250 Gold</t>
  </si>
  <si>
    <t>Common Fabric: Results in a Cloth Type Common Gear.</t>
  </si>
  <si>
    <t>Uncommon Ore: Results in a Metal Type Uncommon Gear.</t>
  </si>
  <si>
    <t>500 Gold</t>
  </si>
  <si>
    <t>Uncommon Fabric: Results in a Cloth Type Uncommon Gear.</t>
  </si>
  <si>
    <t>Rare Ore: Results in a Metal Type rare Gear.</t>
  </si>
  <si>
    <t>750 Gold</t>
  </si>
  <si>
    <t>Rare Fabric: Results in a Cloth Type rare Gear.</t>
  </si>
  <si>
    <t>Epic Ore: Results in a Metal Type Epic Gear.</t>
  </si>
  <si>
    <t>Epic Fabric: Results in a Cloth Type Epic Gear.</t>
  </si>
  <si>
    <t>Legendary Ore: Results in a Metal Type Legendary Gear.</t>
  </si>
  <si>
    <t>Legendary Fabric: Results in a Cloth Type Legendary Gear.</t>
  </si>
  <si>
    <t>Mythic Ore: Results in a Metal Type Mythic Gear.</t>
  </si>
  <si>
    <t>2500 Gold</t>
  </si>
  <si>
    <t>Mythic Fabric: Results in a Cloth Type Mythic Gear.</t>
  </si>
  <si>
    <t>CONSUMBALES/THROWABLES</t>
  </si>
  <si>
    <t>7) Potions</t>
  </si>
  <si>
    <t>Lesser Resistance Potion: Gain 2 Defense and Dispersion Until End of Day. (≈)</t>
  </si>
  <si>
    <t>Lesser Power Potion: Gain +3 Power Until End of Day. (≈)</t>
  </si>
  <si>
    <t>Lesser Dexterity Potion: Gain +3 Dexterity Until End of Day. (≈)</t>
  </si>
  <si>
    <t>Lesser Strength Potion: Gain +3 Strength Until End of Day. (≈)</t>
  </si>
  <si>
    <t>Lesser Withering Flask: Inflict Vulnerable for 1 Turn. (&gt;)</t>
  </si>
  <si>
    <t>Lesser Infliction Flask: Inflict a Random Non-DOT Status for 1 Turn. (&gt;)</t>
  </si>
  <si>
    <t>Lesser Antidote: Cure 1 Random Negative Status. (≈)</t>
  </si>
  <si>
    <t>Lesser Health Potion: Restore 25 Health. (≈)</t>
  </si>
  <si>
    <t>Lesser Regeneration Potion: Restore 10 Health and 10 Mana (≈)</t>
  </si>
  <si>
    <t>Lesser Mana Potion: Restore 25 Mana. (≈)</t>
  </si>
  <si>
    <t>Lesser Weakening Flask: Inflict Weakened for 1 Turn. (&gt;)</t>
  </si>
  <si>
    <t>Lesser Empowering Potion: +2 To all Attributes; Lasts Until End of Day. (≈)</t>
  </si>
  <si>
    <t>Frost Flask: Deal 25 Frost Damage. (&gt;)</t>
  </si>
  <si>
    <t>Poison Flask: Deal 25 Poison Damage. (&gt;)</t>
  </si>
  <si>
    <t>Soil Flask: Earth 25 Eartrh Damage. (&gt;)</t>
  </si>
  <si>
    <t>Fire Flask: Deal 25 Fire Damage. (&gt;)</t>
  </si>
  <si>
    <t>Ligthning Flask: Deal 25 Lightning Damage. (&gt;)</t>
  </si>
  <si>
    <t>Wind Flask: Deal 25 Wind Damage. (&gt;)</t>
  </si>
  <si>
    <t>Light Flask: Deal 25 Light Damage. (&gt;)</t>
  </si>
  <si>
    <t>Dark Flask: Deal 25 Dark Damage. (&gt;)</t>
  </si>
  <si>
    <t>Health Potion: Restore 50 Health. (≈)</t>
  </si>
  <si>
    <t>Regeneration Potion: Restore 20 Health and Mana (≈)</t>
  </si>
  <si>
    <t>Mana Potion: Restore 50 Mana. (≈)</t>
  </si>
  <si>
    <t>Empowering Potion: +4 To all Attributes; Lasts Until End of Day. (≈)</t>
  </si>
  <si>
    <t>Resistance Potion: Gain 4 Defense and Dispersion Until End of Day. (≈)</t>
  </si>
  <si>
    <t>Snare Flask: Inflict Rooting for 2 Turns. (&gt;)</t>
  </si>
  <si>
    <t>Spellshield Potion: Gain 6 Dispersion Until End of Day. (≈)</t>
  </si>
  <si>
    <t>Mobility Potion: Gain 1 Mobility Until End of Day. (≈)</t>
  </si>
  <si>
    <t>Metalskin Potion: Gain 6 Defense Until End of Day. (≈)</t>
  </si>
  <si>
    <t>Lifeforce Withering Flask: Lose 10% Max Health. (&gt;)</t>
  </si>
  <si>
    <t>Lifeshroom Potion: Gain 20% Damage Reduction; Each instance of Damage you take Inflicts Confusion for 1 Turn; Lasts Until End of Combat. (≈)</t>
  </si>
  <si>
    <t>Protective Agent Potion: Removes the first Status that is Placed upon you; Lasts Until End of the Day. (≈)</t>
  </si>
  <si>
    <t>Lesser Barrier Potion: Gain 15% of Max Health as a Barrier that expires at the End of the Day. (≈)</t>
  </si>
  <si>
    <t>Lesser Lifeforce Rejuvenation Potion: Restore 0(+400% Level) Health and Mana. (≈)</t>
  </si>
  <si>
    <t>Lesser Mana Barrier Potion: Gain 15% of Max Mana as a Barrier that expires at the End of the Day. (≈)</t>
  </si>
  <si>
    <t>Defensive Elixir: Lose 2 of Each Attribute; Gain 4 Defense and 4 Dispersion. (≈)</t>
  </si>
  <si>
    <t>Lesser Enhancing Potion: Gain +2 to all Attributes; Gain +2 Defense and Dispersion; Lasts Until End of Day. (≈)</t>
  </si>
  <si>
    <t>Magic Flask: Deal 40 Magic Damage. (&gt;)</t>
  </si>
  <si>
    <t>Magic Oil: Apply to Weapon; On Hit: Deal 10 Magic Damage; Lasts Until End of Day. (≈)</t>
  </si>
  <si>
    <t>Soul Hardening Potion: Gain Power Equal to Strength and Strength Equal to Power Until End of Day. (≈)</t>
  </si>
  <si>
    <t>Magic Weakspot Flask: Take 20% More Magic Damage Until End of Day. (&gt;)</t>
  </si>
  <si>
    <t>Magic Cure: Remove 2 Statuses of your choice. (≈)</t>
  </si>
  <si>
    <t>Power Based Health Potion: Restore 0(+600% Power) Health. (≈)</t>
  </si>
  <si>
    <t>Power Based Regeneration Potion: Gain 0(+300% Power) Health and Mana. (≈)</t>
  </si>
  <si>
    <t>Power Based Mana Potion: Restore 0(+600% Power) Mana. (≈)</t>
  </si>
  <si>
    <t>Soul Weakening Flask: -8 Power. (&gt;)</t>
  </si>
  <si>
    <t>Power Potion: Gain +6 Power Until End of Day. (≈)</t>
  </si>
  <si>
    <t>Manuevering Potion: Successfully Dodging Basic Attacks Retaliates with a Basic Attack; Lasts Until End of Day. (≈)</t>
  </si>
  <si>
    <t>Withering Venom: Apply to Weapon; On Hit: Deal 10% of Targets Current Health as True Damage; Lasts until End of Day. (≈)</t>
  </si>
  <si>
    <t>Movement Triggered Cure: Dodging Succsesfully Removes a Random Status; Lasts Until End of Combat. (≈)</t>
  </si>
  <si>
    <t>Dexterity Based Health Potion: Restore 0(+600% Dexterity) Health. (≈)</t>
  </si>
  <si>
    <t>Dexterity Based Regeneration Potion: Restore 0(+300% Dexterity) Health and Mana. (≈)</t>
  </si>
  <si>
    <t>Dexterity Based Mana Potion: Restore 0(+600% Dexterity) Mana. (≈)</t>
  </si>
  <si>
    <t>Sticky Oil Flask: -8 Dexterity. (&gt;)</t>
  </si>
  <si>
    <t>Dexterity Potion: Gain +6 Dexterity Until End of Day. (≈)</t>
  </si>
  <si>
    <t>Blind Rage Potion: Your Basic Attacks have 50% Chance to miss but Hits become Critical; Lasts Until End of Day Combat. (≈)</t>
  </si>
  <si>
    <t>Withering Muscles Flask: Take 20% More Physical Damage until End of Day. (&gt;)</t>
  </si>
  <si>
    <t>Forceful Cure Flask: Remove all Statuses; Lose 10 Health Per Status Removed. (&gt;)</t>
  </si>
  <si>
    <t>Strength Based Health Potion: Restore 0(+600% Strength) Health. (≈)</t>
  </si>
  <si>
    <t>Strength Based Regeneration Potion: Gain 0(+300% Strength) Health and Mana. (≈)</t>
  </si>
  <si>
    <t>Strength Based Mana Potion: Restore 0(+600% Strength) Mana. (≈)</t>
  </si>
  <si>
    <t>Softening Flask: -8 Strength. (&gt;)</t>
  </si>
  <si>
    <t>Strength Potion: Gain +6 Strength Until End of Day. (≈)</t>
  </si>
  <si>
    <t>Negativity Flask: Confuse, Torment and Blind for 1 Turn. (&gt;)</t>
  </si>
  <si>
    <t>Flask of Ashen Roots: Target can no longer be affected by Statuses until End of Combat. (&gt;)</t>
  </si>
  <si>
    <t>Health Withering Potion: Lose 20% of Current Health. (&gt;)</t>
  </si>
  <si>
    <t>Withering Flask: Critical Hits you take have +0.5 Crit Multiplier; Lasts Until End of Combat. (&gt;)</t>
  </si>
  <si>
    <t>Mana Withering Potion: Lose 20% of Current Mana. (&gt;)</t>
  </si>
  <si>
    <t>Exhaustion Flask: -2 To all Attributes; -10 Health; -10 Mana; -10% Elemental Resistance; -1 Mobility; Lasts Until End of Combat. (&gt;)</t>
  </si>
  <si>
    <t>Balancing Potion: Sets all your Elemental Resistances to 0% Until End of Day. (≈)</t>
  </si>
  <si>
    <t>Infliction Flask: Inflict a Random Non-DOT Status for 2 Turns. (&gt;)</t>
  </si>
  <si>
    <t>Living Mushroom: Does Nothing. (≈)</t>
  </si>
  <si>
    <t>Vile Health Potion: Restore 75 Health; At End of Day Lose 25 Health. (≈)</t>
  </si>
  <si>
    <t>Vile Regeneration Potion: Restore 50 Health and Mana; At End of Day Lose 25 Health and Mana. (≈)</t>
  </si>
  <si>
    <t>Vile Mana Potion: Restore 75 Mana; At End of Day Lose 25 Mana. (≈)</t>
  </si>
  <si>
    <t>Confusion Flask: Inflict Confuse for 2 Turns. (&gt;)</t>
  </si>
  <si>
    <t>Berzerker Potion: 25% Chance to Trigger your Basic Attack Twice; Lasts Until End of Combat. (≈)</t>
  </si>
  <si>
    <t>Antidote: Remove 2 Random Negative Status. (≈)</t>
  </si>
  <si>
    <t>Living Syrup Bottle: Remove 1 Random Negative Status and Restore 25 Health. (≈)</t>
  </si>
  <si>
    <t>Healthy Soup Bottle: Remove 1 Random Negative Status and Restore 10 Health and Mana. (≈)</t>
  </si>
  <si>
    <t>Mana Berry Jam Bottle: Remove 1 Random Negative Status and Restore 25 Mana. (≈)</t>
  </si>
  <si>
    <t>Sleep Cure Flask: [Requires Entity to have at least 1 Status] Replace a Random Status with Asleep for 1 Turn. (&gt;)</t>
  </si>
  <si>
    <t>Painkiller: Become Immune to all Status Effects until the End of your next Turn. (≈)</t>
  </si>
  <si>
    <t>Health Regeneration Potion: Restore 20% Max Health. (≈)</t>
  </si>
  <si>
    <t>Rejuvenation Potion: Restore 20 Health and 20 Mana. (≈)</t>
  </si>
  <si>
    <t>Potion of Slow Healing: Heal 7 Health Per Tick Over 8 Turns. (≈)</t>
  </si>
  <si>
    <t>Mana Regeneration Potion: Restore 20% Max Mana. (≈)</t>
  </si>
  <si>
    <t>Critless Flask: Can No Longer Critical Hit; Lasts Until End of Combat. (&gt;)</t>
  </si>
  <si>
    <t>Lesser Potion of Slow Rejuvenation: Restore 3 Health and Mana Over 8 Turns. (≈)</t>
  </si>
  <si>
    <t>Flask of Heart Weakness: Reduce Ability Damage by 20% Until End of Day. (&gt;)</t>
  </si>
  <si>
    <t>Weakening Flask: Inflict Weakened for 2 Turns. (&gt;)</t>
  </si>
  <si>
    <t>Bleeding Flask: Deal 25 Bleed Damage. (&gt;)</t>
  </si>
  <si>
    <t>Waterwalking Potion: Able to Traverse Water Hexes until End of Day. (≈)</t>
  </si>
  <si>
    <t>Original Flaming Spirits: Become Surged and Drunk for 2 Turns. (≈)</t>
  </si>
  <si>
    <t>Lesser Potion of Refreshness: Refresh 1 Stamina. (≈)</t>
  </si>
  <si>
    <t>Divine Potion: Gain 1 Faith. (≈)</t>
  </si>
  <si>
    <t>Potion of Death: 50% Chance to Die. (≈)</t>
  </si>
  <si>
    <t>Elixir of Growth: At the Start of the next Day Increase your Max Health and Mana by 25%. (≈)</t>
  </si>
  <si>
    <t>Potion of Nullification: Nullify the next Non-Ultimate Attack Targeting you; Lasts until End of Day. (≈)</t>
  </si>
  <si>
    <t>Frost Resisitance Potion: +50% Frost Resistance Until End of The Day. (≈)</t>
  </si>
  <si>
    <t>Blood Resisitance Potion: +50% Bleed Resistance Until End of The Day. (≈)</t>
  </si>
  <si>
    <t>Poison Resisitance Potion: +50% Poison Resistance Until End of The Day. (≈)</t>
  </si>
  <si>
    <t>Earth Resisitance Potion: +50% Earth Resistance Until End of The Day. (≈)</t>
  </si>
  <si>
    <t>Fire Resistance Potion: +50% Fire Resistance Until End of Day. (≈)</t>
  </si>
  <si>
    <t>Lightning Resistance Potion: +50% Lightning Resistance Until End of Day. (≈)</t>
  </si>
  <si>
    <t>Wind Resistance Potion: +50% Wind Resistance Until End of Day. (≈)</t>
  </si>
  <si>
    <t>Light Resistance Potion: +50% Light Resistance Until End of Day. (≈)</t>
  </si>
  <si>
    <t>Dark Resistance Potion: +50% Dark Resistance Until End of Day. (≈)</t>
  </si>
  <si>
    <t>Barrier Potion: Gain 30% of Max Health as a Barrier that expires at the end of the Day. (≈)</t>
  </si>
  <si>
    <t>Lifeforce Rejuvenation Potion: Gain 0(+800% Level) Health and Mana. (≈)</t>
  </si>
  <si>
    <t>Mana Barrier Potion: Gain 30% of Max Mana as a Barrier that expires at the end of the Day. (≈)</t>
  </si>
  <si>
    <t>Enhancing Potion: Gain +3 to all Attributes; Gain +3 Defense and Dispersion; Lasts Until End of Day. (≈)</t>
  </si>
  <si>
    <t>Greater Resistance Potion: Gain 6 Defense and Dispersion Until End of Day. (≈)</t>
  </si>
  <si>
    <t>Lesser Anchoring Potion: Become Unstoppable for 3 Turns. (≈)</t>
  </si>
  <si>
    <t>Chaotic Frost Potion: Cast a Random Frost Wavelength Non-Ultimate Active Ability on Target. (≈)</t>
  </si>
  <si>
    <t>Chaotic Bleed Potion: Cast a Random Bleed Wavelength Non-Ultimate Active Ability on Target. (≈)</t>
  </si>
  <si>
    <t>Chaotic Poison Potion: Cast a Random Poison Wavelength Non-Ultimate Active Ability on Target. (≈)</t>
  </si>
  <si>
    <t>Chaotic Earth Potion: Cast a Random Earth Wavelength Non-Ultimate Active Ability on Target. (≈)</t>
  </si>
  <si>
    <t>Chaotic Fire Potion: Cast a Random Fire Wavelength Non-Ultimate Active Ability on Target. (≈)</t>
  </si>
  <si>
    <t>Chaotic Lightning Potion: Cast a Random Lightning Wavelength Non-Ultimate Active Ability on Target. (≈)</t>
  </si>
  <si>
    <t>Chaotic Wind Potion: Cast a Random Wind Wavelength Non-Ultimate Active Ability on Target. (≈)</t>
  </si>
  <si>
    <t>Chaotic Light Potion: Cast a Random Light Wavelength Non-Ultimate Active Ability on Target. (≈)</t>
  </si>
  <si>
    <t>Chaotic Dark Potion: Cast a Random Dark Wavelength Non-Ultimate Active Ability on Target. (≈)</t>
  </si>
  <si>
    <t>Greater Power Based Health Potion: Restore 0(+800% Power) Health. (≈)</t>
  </si>
  <si>
    <t>Greater Power Based Regeneration Potion: Gain 0(+400% Power) Health and Mana. (≈)</t>
  </si>
  <si>
    <t>Greater Power Based Mana Potion: Restore 0(+800% Power) Mana. (≈)</t>
  </si>
  <si>
    <t>Greater Power Potion: Gain +9 Power Until End of Day. (≈)</t>
  </si>
  <si>
    <t>Greater Spellshield Potion: Gain 8 Dispersion Until End of Day. (≈)</t>
  </si>
  <si>
    <t>Sealing Flask: Seal Target for 3 Turns. (&gt;)</t>
  </si>
  <si>
    <t>Freezing Oil: Apply to Weapon; On Hit: Deal 10 Frost Damage; Lasts until End of Day. (≈)</t>
  </si>
  <si>
    <t>Serration Oil: Apply to Weapon; On Hit: +5 Bleed Damage; +0.5 Critical Multiplier; Lasts until End of Day. (≈)</t>
  </si>
  <si>
    <t>Slithering Venom: Apply to Weapon; On Hit: Inflict Poison for 3 Damage per Tick Over 3 Turns; +0.5 Dexterity Scaling; Lasts until End of Day. (≈)</t>
  </si>
  <si>
    <t>Slithering Soil Flask: Precise; Deal 40 Earth Damage. (&gt;)</t>
  </si>
  <si>
    <t>Fiery Oil: Apply to Weapon; On Hit: Deal 10 Fire Damage; Lasts until End of Day. (≈)</t>
  </si>
  <si>
    <t>Godspeed Potion: Gain 1(+10% Dexterity) Mobility Until End of Day. (≈)</t>
  </si>
  <si>
    <t>Afterimage Potion: Gain 10%(+500% Dexterity) Chance to Strike with Main Hand again for 50% of the Total Damage; Lasts until End of Combat. (≈)</t>
  </si>
  <si>
    <t>Reflective Oil: Apply to Weapon; On Hit: Deal 10 Light Damage; Lasts until End of Day. (≈)</t>
  </si>
  <si>
    <t>Black Serpents Oil: Apply to Weapon; On Hit: Deal 10 Dark Damage; Lasts until End of Day. (≈)</t>
  </si>
  <si>
    <t>Greater Dexterity Based Health Potion: Restore 10(+800% Dexterity) Health. (≈)</t>
  </si>
  <si>
    <t>Greater Dexterity Based Regeneration Potion: Restore 5(+400% Dexterity) Health and Mana. (≈)</t>
  </si>
  <si>
    <t>Greater Dexterity Based Mana Potion: Restore 10(+800% Dexterity) Mana. (≈)</t>
  </si>
  <si>
    <t>Greater Dexterity Potion: Gain +9 Dexterity Until End of Day. (≈)</t>
  </si>
  <si>
    <t>Sticky Flask: Inflict Slow for 3 Turns. (&gt;)</t>
  </si>
  <si>
    <t>Frost Sacrifice Elixir: Set your Frost Resistance to 0%; Gain/Lose 1 Strength for every 10% Frost Resistance Lost/Gained. (≈)</t>
  </si>
  <si>
    <t>Bleed Sacrifice Elixir: Set your Bleed Resistance to 0%; Gain/Lose 1 Strength for every 10% Bleed Resistance Lost/Gained. (≈)</t>
  </si>
  <si>
    <t>Poison Sacrifice Elixir: Set your Poison Resistance to 0%; Gain/Lose 1 Strength for every 10% Poison Resistance Lost/Gained. (≈)</t>
  </si>
  <si>
    <t>Earth Sacrifice Elixir: Set your Earth Resistance to 0%; Gain/Lose 1 Strength for every 10% Earth Resistance Lost/Gained. (≈)</t>
  </si>
  <si>
    <t>Fire Sacrifice Elixir: Set your Fire Resistance to 0%; Gain/Lose 1 Strength for every 10% Fire Resistance Lost/Gained. (≈)</t>
  </si>
  <si>
    <t>Lightning Sacrifice Elixir: Set your Lightning Resistance to 0%; Gain/Lose 1 Strength for every 10% Lightning Resistance Lost/Gained. (≈)</t>
  </si>
  <si>
    <t>Wind Sacrifice Elixir: Set your Wind Resistance to 0%; Gain/Lose 1 Strength for every 10% Wind Resistance Lost/Gained. (≈)</t>
  </si>
  <si>
    <t>Light Sacrifice Elixir: Set your Light Resistance to 0%; Gain/Lose 1 Strength for every 10% Light Resistance Lost/Gained. (≈)</t>
  </si>
  <si>
    <t>Dark Sacrifice Elixir: Set your Dark Resistance to 0%; Gain/Lose 1 Strength for every 10% Dark Resistance Lost/Gained. (≈)</t>
  </si>
  <si>
    <t>Greater Strength Based Health Potion: Restore 0(+800% Strength) Health. (≈)</t>
  </si>
  <si>
    <t>Greater Fortitude Potion: Gain 0(+400% Strength) Health and Mana. (≈)</t>
  </si>
  <si>
    <t>Greater Strength Based Mana Potion: Restore 0(+800% Strength) Mana. (≈)</t>
  </si>
  <si>
    <t>Greater Strength Potion: Gain 9 Strength Until End of Day. (≈)</t>
  </si>
  <si>
    <t>Greater Defenseskin Potion: Gain 8 Defense Until End of Day. (≈)</t>
  </si>
  <si>
    <t>Shakening Flask: Inflict Stagger for 3 Turns. (&gt;)</t>
  </si>
  <si>
    <t>Flask of Withering Frost: -50% Frost Resistance. (&gt;)</t>
  </si>
  <si>
    <t>Flask of Withering Blood: -50% Bleed Resistance. (&gt;)</t>
  </si>
  <si>
    <t>Flask of Withering Poison: -50% Poison Resistance. (&gt;)</t>
  </si>
  <si>
    <t>Flask of Withering Earth: -50% Earth Resistance. (&gt;)</t>
  </si>
  <si>
    <t>Flask of Withering Fire: -50% Fire Resistance. (&gt;)</t>
  </si>
  <si>
    <t>Flask of Withering Lightning: -50% Lightning Resistance. (&gt;)</t>
  </si>
  <si>
    <t>Flask of Withering Wind: -50% Wind Resistance. (&gt;)</t>
  </si>
  <si>
    <t>Flask of Withering Light: -50% Light Resistance. (&gt;)</t>
  </si>
  <si>
    <t>Flask of Withering Darkness: -50% Dark Resistance. (&gt;)</t>
  </si>
  <si>
    <t>Greater Health Withering Potion: Lose 40% of Current Health. (&gt;)</t>
  </si>
  <si>
    <t>Critical Vulnerability Flask: Critical Hits you take have +1 Crit Multiplier; Lasts Until End of Day. (&gt;)</t>
  </si>
  <si>
    <t>Greater Mana Withering Potion: Lose 40% of Current Mana. (&gt;)</t>
  </si>
  <si>
    <t>Greater Balancing Elixir: Set all your Resistances to 20%. (≈)</t>
  </si>
  <si>
    <t>Greater Lifeforce Withering Flask: Lose 20% Max Health. (&gt;)</t>
  </si>
  <si>
    <t>Flask of Frostburn: Frostburn for 10 Damage Per Tick Over 5 Turns. (&gt;)</t>
  </si>
  <si>
    <t>Flask of Bleeding: Bleeding for 10 Damage Per Tick Over 5 Turns. (&gt;)</t>
  </si>
  <si>
    <t>Flask of Poison: Poison for 10 Damage Per Tick Over 5. (&gt;)</t>
  </si>
  <si>
    <t>Flask of Rooting: Inflict Root for 3 Turns. (&gt;)</t>
  </si>
  <si>
    <t>Flask of Immolition: Burn for 10 Fire Damage Per Tick Over 5 Turns. (&gt;)</t>
  </si>
  <si>
    <t>Flask of Strange Spark: Stun for 2 Turns. (&gt;)</t>
  </si>
  <si>
    <t>Flask of Sleepiness: Inflict Sleep for 2 Turns. (&gt;)</t>
  </si>
  <si>
    <t>Flask of Blinding: Inflict Blind for 3 Turns. (&gt;)</t>
  </si>
  <si>
    <t>Greater Vile Health Potion: Restore 125 Health; At End of Day Lose 50 Health. (≈)</t>
  </si>
  <si>
    <t>Greater Vile Regeneration Potion: Restore 100 Health and Mana; At End of Day Lose 75 Health and 50 Mana. (≈)</t>
  </si>
  <si>
    <t>Greater Vile Mana Potion: Restore 125 Mana; At End of Day Lose 50 Mana. (≈)</t>
  </si>
  <si>
    <t>Greater Berzerker Potion: 50% Chance to Trigger your Basic Attack Twice; Lasts Until End of Combat. (≈)</t>
  </si>
  <si>
    <t>Greater Lifeshroom Potion: Gain 40% Damage Reduction; Each instance of Damage you take Inflicts Confusion for 2 Turns; Lasts Until End of Combat. (≈)</t>
  </si>
  <si>
    <t>Vileshade Flask: Inflict 2 Turns of Stun/Fear/Torment/Confusion at Random. (&gt;)</t>
  </si>
  <si>
    <t>Frost Veil Potion: Become Immune to Chilled, Freezing and Frostbite Statuses until End of Day. (≈)</t>
  </si>
  <si>
    <t>Blood Veil Potion: Become Immune to Tormented, Bleeding and Hypothermia Statuses until End of Day. (≈)</t>
  </si>
  <si>
    <t>Poison Veil Potion: Become Immune to Corroded, Acidic and Infected Statuses until End of Day. (≈)</t>
  </si>
  <si>
    <t>Earth Flow Potion: Become Immune to Rooted, Slowed and Stun Statuses until End of Day. (≈)</t>
  </si>
  <si>
    <t>Fire Flow Potion: Become Immune to Scorched, Burning and Wet Statuses until End of Day. (≈)</t>
  </si>
  <si>
    <t>Lightning Flow Potion: Become Immune to Staggered, Magnetized and Mind Control until End of Day. (≈)</t>
  </si>
  <si>
    <t>Wind Flow Potion: Become Immune to Asleep, Vulnerable and Sealed Statuses until End of Day. (≈)</t>
  </si>
  <si>
    <t>Light Flow Potion: Become Immune to Charmed, Drunk and Blinded Statuses until End of Day. (≈)</t>
  </si>
  <si>
    <t>Dark Flow Potion: Become Immune to Feared, Confused and Weakened Statuses until End of Day. (≈)</t>
  </si>
  <si>
    <t>Greater Living Syrup Bottle: Remove 1 Random Negative Status and Restore 50 Health. (≈)</t>
  </si>
  <si>
    <t>Greater Healthy Soup Bottle: Remove 1 Random Negative Status and Restore 20 Health and Mana. (≈)</t>
  </si>
  <si>
    <t>Greater Mana Berry Jam Bottle: Remove 1 Random Negative Status and Restore 50 Mana. (≈)</t>
  </si>
  <si>
    <t>Greater Painkiller: Become Immune to all Status Effects for 3 Turns. (≈)</t>
  </si>
  <si>
    <t>Greater Protective Agent Potion: Removes the First 2 Statuses that are Placed upon you; Lasts Until End of the Day. (≈)</t>
  </si>
  <si>
    <t>Potion of Unrest: Remove all Action Impairing Statuses. (≈)</t>
  </si>
  <si>
    <t>Frost Healing Potion: Restore Health equal to your Frost Resistance where 10% Frost Resistance is 10 Health. (≈)</t>
  </si>
  <si>
    <t>Bleed Healing Potion: Restore Health equal to your Bleed Resistance where 10% Bleed Resistance is 10 Health. (≈)</t>
  </si>
  <si>
    <t>Poison Healing Potion: Restore Health equal to your Poison Resistance where 10% Poison Resistance is 10 Health. (≈)</t>
  </si>
  <si>
    <t>Earth Healing Potion: Restore Health equal to your Earth Resistance where 10% Earth Resistance is 10 Health. (≈)</t>
  </si>
  <si>
    <t>Fire Healing Potion: Restore Health equal to your Fire Resistance where 10% Fire Resistance is 10 Health. (≈)</t>
  </si>
  <si>
    <t>Lightning Healing Potion: Restore Health equal to your Lightning Resistance where 10% Lightning Resistance is 10 Health. (≈)</t>
  </si>
  <si>
    <t>Wind Healing Potion: Restore Health equal to your Wind Resistance where 10% Wind Resistance is 10 Health. (≈)</t>
  </si>
  <si>
    <t>Light Healing Potion: Restore Health equal to your Light Resistance where 10% Light Resistance is 10 Health. (≈)</t>
  </si>
  <si>
    <t>Dark Healing Potion: Restore Health equal to your Dark Resistance where 10% Dark Resistance is 10 Health. (≈)</t>
  </si>
  <si>
    <t>Greater Health Potion: Restore 75 Health. (≈)</t>
  </si>
  <si>
    <t>Greater Health Regeneration Potion: Restore 30% Max Health. (≈)</t>
  </si>
  <si>
    <t>Greater Rejuvenation Potion: Restore 30 Health and 30 Mana. (≈)</t>
  </si>
  <si>
    <t>Greater Potion of Slow Healing: Heal 10 Health Per Tick Over 8 Turns. (≈)</t>
  </si>
  <si>
    <t>Outcasts Greytooth Healing Potion: Restore 125 Health; Become Banished. (≈)</t>
  </si>
  <si>
    <t>Potion of Frost Regeneration: Restore Health and Mana equal to your Frost Resistance/2. (≈)</t>
  </si>
  <si>
    <t>Potion of Bleed Regeneration: Restore Health and Mana equal to your Bleed Resistance/2. (≈)</t>
  </si>
  <si>
    <t>Potion of Poison Regeneration: Restore Health and Mana equal to your Poison Resistance/2. (≈)</t>
  </si>
  <si>
    <t>Potion of Earth Regeneration: Restore Health and Mana equal to your Earth Resistance/2. (≈)</t>
  </si>
  <si>
    <t>Potion of Fire Regeneration: Restore Health and Mana equal to your Fire Resistance/2. (≈)</t>
  </si>
  <si>
    <t>Potion of Lightning Regeneration: Restore Health and Mana equal to your Lightning Resistance/2. (≈)</t>
  </si>
  <si>
    <t>Potion of Wind Regeneration: Restore Health and Mana equal to your Wind Resistance/2. (≈)</t>
  </si>
  <si>
    <t>Potion of Light Regeneration: Restore Health and Mana equal to your Light Resistance/2. (≈)</t>
  </si>
  <si>
    <t>Potion of Dark Regeneration: Restore Health and Mana equal to your Darkness Resistance/2. (≈)</t>
  </si>
  <si>
    <t>Greater Regeneration Potion: Restore 30 Health and 30 Mana. (≈)</t>
  </si>
  <si>
    <t>Greater Mana Regeneration Potion: Restore 30% Max Mana. (≈)</t>
  </si>
  <si>
    <t>Potion of Slow Rejuvenation: Restore 6 Health and Mana Over 8 Turns. (≈)</t>
  </si>
  <si>
    <t>Greater Mana Potion: Restore 75 Mana. (≈)</t>
  </si>
  <si>
    <t>Mana Lock Potion: Locks 25% of Targets Max Mana until End of Day. (&gt;)</t>
  </si>
  <si>
    <t>Greater Flask of Heart Weakness: Reduce Basic Attack Damage by 30% Until End of Day. (&gt;)</t>
  </si>
  <si>
    <t>Greater Critless Flask: Can No Longer Critical Hit; Lasts Until End of Day. (&gt;)</t>
  </si>
  <si>
    <t>Greater Flask of Soul Weakness: Reduce Ability Damage by 30% Until End of Day. (&gt;)</t>
  </si>
  <si>
    <t>Enfeebling Flask: -8 To all Attributes; Lasts Until End of Day. (&gt;)</t>
  </si>
  <si>
    <t>Greater Defensive Elixir: Lose 4 of Each Attribute; Gain 10 Defense and 10 Dispersion. (≈)</t>
  </si>
  <si>
    <t>Greater Weakening Flask: Inflict Weakened for 3 Turns. (&gt;)</t>
  </si>
  <si>
    <t>Frost Empowering Potion: Gain Strength/Dexterity/Power equal to your Frost Resistance where 10% Frost Resistance equals 1 Attribute; Lasts Until End of Day. (≈)</t>
  </si>
  <si>
    <t>Blood Empowering Potion: Gain Strength/Dexterity/Power equal to your Bleed Resistance where 10% Bleed Resistance equals 1 Attribute; Lasts Until End of Day. (≈)</t>
  </si>
  <si>
    <t>Poison Empowering Potion: Gain Strength/Dexterity/Power equal to your Poison Resistance where 10% Poison Resistance equals 1 Attribute; Lasts Until End of Day. (≈)</t>
  </si>
  <si>
    <t>Earth Empowering Potion: Gain Strength/Dexterity/Power equal to your Earth Resistance where 10% Earth Resistance equals 1 Attribute; Lasts Until End of Day. (≈)</t>
  </si>
  <si>
    <t>Fire Empowering Potion: Gain Strength/Dexterity/Power equal to your Fire Resistance where 10% Fire Resistance equals 1 Attribute; Lasts Until End of Day. (≈)</t>
  </si>
  <si>
    <t>Lightning Empowering Potion: Gain Strength/Dexterity/Power equal to your Lightning Resistance where 10% Lightning Resistance equals 1 Attribute; Lasts Until End of Day. (≈)</t>
  </si>
  <si>
    <t>Wind Empowering Potion: Gain Strength/Dexterity/Power equal to your Wind Resistance where 10% Wind Resistance equals 1 Attribute; Lasts Until End of Day. (≈)</t>
  </si>
  <si>
    <t>Light Empowering Potion: Gain Strength/Dexterity/Power equal to your Light Resistance where 10% Light Resistance equals 1 Attribute; Lasts Until End of Day. (≈)</t>
  </si>
  <si>
    <t>Dark Empowering Potion: Gain Strength/Dexterity/Power equal to your Dark Resistance where 10% Dark Resistance equals 1 Attribute; Lasts Until End of Day. (≈)</t>
  </si>
  <si>
    <t>Empowered Mana Potion: Your next 3 Abilities cost 20% less Mana to Cast; Lasts Until End of Day. (≈)</t>
  </si>
  <si>
    <t>Greater Empowering Potion: +6 To all Attributes; Lasts Until End of Day. (≈)</t>
  </si>
  <si>
    <t>Status Empowerment Potioin: Status Effects you Inflict with Abilities are 1 Tick Longer; Lasts Until End of Day. (≈)</t>
  </si>
  <si>
    <t>Rot Potion: Gain the Rotting Condition. (≈)</t>
  </si>
  <si>
    <t>Elixir of Wavelength Resistance: Gain 30% Resistance in the Element of your Wavelength. (≈)</t>
  </si>
  <si>
    <t>Resistance Pilfering Potion: Drain 5 Defense and Dispersion from all Entities on Hex; Lasts Until End of Day. (≈)</t>
  </si>
  <si>
    <t>Living Spirits Potion: Become Drunk for 3 Turns; You take 20% Less Damage Until End of Combat. (≈)</t>
  </si>
  <si>
    <t>Oldworld Sacrificial Potion: Taking 75 Damage this Day Causes you to Gain 750 Experience. (≈)</t>
  </si>
  <si>
    <t>Corrupted Lifeforce Elixir: Lose 100 Max Health; Gain 25% Damage Reduction. (≈)</t>
  </si>
  <si>
    <t>Divine Order Elixir: Increase the limit at which Faith prevents Lethal Damage/Health Loss by 25. (≈)</t>
  </si>
  <si>
    <t>Death Defiance Potion: Survive Lethal Damage Once; Lasts Until End of Day. (≈)</t>
  </si>
  <si>
    <t>Resistance Acceleration Elixir: At every Start of Day Gain 1 Defense and 1 Dispersion. (≈)</t>
  </si>
  <si>
    <t>Bane of Resistance Flask: Reduce Defense and Dispersion by 12 Until End of Day. (&gt;)</t>
  </si>
  <si>
    <t>Power Elixir: Gain 5 Power. (≈)</t>
  </si>
  <si>
    <t>Power Pilfering Potions: Drain 4 Power from All Other Entities on Hex; Lasts Until End of Day. (≈)</t>
  </si>
  <si>
    <t>Arcane Spirits: Become Drunk Until End of Combat; Gain with 2 Stacks of Channel. (≈)</t>
  </si>
  <si>
    <t>Soul Potion: Gain 400 Experience. (≈)</t>
  </si>
  <si>
    <t>Elixir of the Magus: Your Magic Damage is now Arcane Damage; Gain Rotting. (≈)</t>
  </si>
  <si>
    <t>Wishing Potion: Your next Attempt has a +4 on its Roll. (≈)</t>
  </si>
  <si>
    <t>Deathspell Potion: Your Next Non-Ultimate Spell Deals Double Damage; Lasts Until End of Day. (≈)</t>
  </si>
  <si>
    <t>Power Growth Elixir: At every Start of Day Gain 2 Power. (≈)</t>
  </si>
  <si>
    <t>Flask of Power Nullification: Set Power to 0 until End of Day. (&gt;)</t>
  </si>
  <si>
    <t>Dexterity Elixir: Gain 5 Dexterity. (≈)</t>
  </si>
  <si>
    <t>Dexterity Pilfering Potions: Drain 4 Dexterity from Entities on Hex; Lasts Until End of Day. (≈)</t>
  </si>
  <si>
    <t>Monks Brew: Gain 15 Dexterity and become Drunk; Lasts Until End of Combat. (≈)</t>
  </si>
  <si>
    <t>Refined Edge Oil: Apply to Weapon; +0.5 Dexterity Scaling and Crit Multiplier; Lasts until End of Day. (≈)</t>
  </si>
  <si>
    <t>Rotten Venom: Apply to Weapon; On Hit: Inflict Rotting; Lasts Until End of Combat. (≈)</t>
  </si>
  <si>
    <t>Divine Oil: Apply to Weapon; On Hit: 20% Chance to Drain 1 Faith; Lasts Until End of Combat. (≈)</t>
  </si>
  <si>
    <t>Deathtouch Venom: On Hit: 5% Chance to Kill Target; Lasts Until End of Combat. (≈)</t>
  </si>
  <si>
    <t>Dexterity Growth Elixir: At every Start of Day Gain 2 Dexterity. (≈)</t>
  </si>
  <si>
    <t>Flask of Dexterity Nullification: Set Dexterity to 0 until End of Day. (&gt;)</t>
  </si>
  <si>
    <t>Strength Elixir: Gain 5 Strength. (≈)</t>
  </si>
  <si>
    <t>Strength Pilfering Potions: Drain 4 Strength from Entities on Hex; Lasts Until End of Day. (≈)</t>
  </si>
  <si>
    <t>Drunkards Brawl: Become Drunk and Gain 2 Critical Multiplier until End of Combat. (≈)</t>
  </si>
  <si>
    <t>Power Juice Elixir: Gain 1 Strength Scaling on Blunt Weapons; Lose 50 Max Health. (≈)</t>
  </si>
  <si>
    <t>Elixir of the World Eater: Gain 10 Strength and Rotting; Killing Entities removes 1 Stack of Rot. (≈)</t>
  </si>
  <si>
    <t>Divine Strength Elixir: You have +4 Strength for every Positive Faith.</t>
  </si>
  <si>
    <t>Elixir of the Deadly Rage: Become Enraged; Your Strikes Deal Physical Damage On Hit equal to your Strength. (≈)</t>
  </si>
  <si>
    <t>Strength Growth Elixir: At every Start of Day Gain 2 Strength. (≈)</t>
  </si>
  <si>
    <t>Flask of Strength Nullification: Set Strength to 0 until End of Day. (&gt;)</t>
  </si>
  <si>
    <t>Flask of Elemental Withering: -20% Elemental Resistance. (&gt;)</t>
  </si>
  <si>
    <t>Agility Pilfering Potion: Drain The Stamina and Mobility from Entities on Hex. (≈)</t>
  </si>
  <si>
    <t>Eightfold Curse Flaming Spirits: Become Cursed; The Source of the Curse is yourself; Curse: For the next 8 Days you Lose 20 Health on Day Start but your Mobility is Set and Capped to 8. (≈)</t>
  </si>
  <si>
    <t>Godkiller Flask: Lose 4 Health for Each Attribute Point. (&gt;)</t>
  </si>
  <si>
    <t>Flask of True Weakness: Take 50% More Damage; Lasts Until End of Day. (&gt;)</t>
  </si>
  <si>
    <t>Flask of Divine Faulter: Lose 2 Faith. (&gt;)</t>
  </si>
  <si>
    <t>Elixir of the Reaper: You take 50% More Damage; You deal 50% More Damage. (≈)</t>
  </si>
  <si>
    <t>Flask of Abandonment: Health you would Regenerate on Day Start you Lose instead. (&gt;)</t>
  </si>
  <si>
    <t>Cat got your Tongue Flask: Become Banished. (&gt;)</t>
  </si>
  <si>
    <t>Elixir of Forbidden Magic: All Magic Damage you Deal is converted to Dark Damage. (≈)</t>
  </si>
  <si>
    <t>Reversal Potion: Transfer all your Statuses to all other Entities on Hex. (≈)</t>
  </si>
  <si>
    <t>Flask of Intoxication: Inflict Drunk, Corroded and Confused for 4 Turns. (&gt;)</t>
  </si>
  <si>
    <t>Oldworld Stew: Restore D100 Health and Mana. (≈)</t>
  </si>
  <si>
    <t>Violet Rot Flask: Inflict Confusion until End of Combat. (&gt;)</t>
  </si>
  <si>
    <t>Highsky Soup: Restore 25 Health and Mana and Gain 1 Faith.</t>
  </si>
  <si>
    <t>Destructive Flask: Destroy Random Non-Unique Equipped Gear. (&gt;)</t>
  </si>
  <si>
    <t>Potion of Vile Growth: Gain 20% Increased Total Damage for each Status affecting you; Lasts until End of Combat.</t>
  </si>
  <si>
    <t>Flask of Conditional Nullification: Remove all Conditions Until End of Day. (&gt;)</t>
  </si>
  <si>
    <t>Status Transferal Potion: Transfer all your Statuses to the Closest Entity on Hex; If there are multiple at the same distance Randomly pick one. (≈)</t>
  </si>
  <si>
    <t>Potion of Hangover Salvation: Removes Drunk Status; Immunity to Drunk until End of Day. (≈)</t>
  </si>
  <si>
    <t>Status Transmutation Potion: Replace a Negative Status with a Random Positive one for the same duration. (≈)</t>
  </si>
  <si>
    <t>Rot Curing Potion: Cure Rotting. (≈)</t>
  </si>
  <si>
    <t>Curse Cure Potion: Removes 1 Random Curse.</t>
  </si>
  <si>
    <t>Unstable Revival Flask: 25% Chance to Revive Target Corpse. (&gt;)</t>
  </si>
  <si>
    <t>Unbounder Elixir: At the Start of every Day Become Immune to a Random Status. (≈)</t>
  </si>
  <si>
    <t>Elixir of True Crowd Control: Your Statuses can no longer be Removed, Overrides everything. (≈)</t>
  </si>
  <si>
    <t>Elixir of Life: Gain 50 Health. (≈)</t>
  </si>
  <si>
    <t>Potion of Lifesteal: Drain 25 Health from all other Entities on Hex. (≈)</t>
  </si>
  <si>
    <t>Purifying Solution: Remove 1 Condition except Coward or Banished. (≈)</t>
  </si>
  <si>
    <t>Deflection Potion: Gain 20% Deflection until End of Day. (≈)</t>
  </si>
  <si>
    <t>Rot Delay Potion: Heal 50 Health; If you are Rotting remove 3 Stacks of Rot. (≈)</t>
  </si>
  <si>
    <t>Holy Healing Potion: Restore or Lose 50 Health for every Positive/Negative Faith you have. (≈)</t>
  </si>
  <si>
    <t>Potion of Death Salvation: Restore 50% of Missing Health. (≈)</t>
  </si>
  <si>
    <t>Everlife Health Elixir: At the Start of Day Restore 1 Health and double this amount for the next Day. (≈)</t>
  </si>
  <si>
    <t>Flask of Health Prevention: Become unable to Restore Health until End of Combat. (&gt;)</t>
  </si>
  <si>
    <t>Resonance Restoration Potion: Restore 6 Resonance. (≈)</t>
  </si>
  <si>
    <t>Life Pilfering Potion: Drain 20 Health and Mana from Entities on your Hex. (≈)</t>
  </si>
  <si>
    <t>Drunkards Stew: If you are Drunk, Restore 70 Health and 70 Mana. (≈)</t>
  </si>
  <si>
    <t>Flesheating Potion: Gain the Skeletal Condition until End of Day. (≈)</t>
  </si>
  <si>
    <t>Ashen Fertilizer: Allows Current Hex to be Explored once more; -2 on your next Exploration Roll. (≈)</t>
  </si>
  <si>
    <t>Life Taxation Flask: Fully Restore Health and mana, then lose half of Max Health or Max Mana at Random. (≈)</t>
  </si>
  <si>
    <t>Potion of Sufference: All Damage you receive until End of Combat is tanked twice by your Resistences(Defense/Dispersion/Elemental Resistance). (≈)</t>
  </si>
  <si>
    <t>Elixir of Mana Pool: Gain 50 Mana. (≈)</t>
  </si>
  <si>
    <t>Potion of Manasteal: Drain 25 Mana from all other Entities on Hex. (≈)</t>
  </si>
  <si>
    <t>Blue Flamingo Drink: Gain a Random Condition until End of Day. (≈)</t>
  </si>
  <si>
    <t>Rot Delay Mana Potion: Restore 50 Mana; If you are Rotting remove 3 Stacks of Rot. (≈)</t>
  </si>
  <si>
    <t>Holy Mana Restoration Potion: Restore or Lose 50 Mana for every Positive/Negative Faith you have. (≈)</t>
  </si>
  <si>
    <t>Potion of Mana Pool Salvation: Restore 50% of Missing Mana. (≈)</t>
  </si>
  <si>
    <t>Everlife Mana Elixir: At the Start of Day Restore 1 Mana and double this amount for the next Day. (≈)</t>
  </si>
  <si>
    <t>Flask of Mana Prevention: Become unable to Restore Mana until End of Combat. (&gt;)</t>
  </si>
  <si>
    <t>Flask of Weakness: Lose 4 of Each Attribute and 10% Elemental Resistance. (&gt;)</t>
  </si>
  <si>
    <t>Potion of Depressive Exchange: Drain 1 Mobility, 10 Health, 10 Mana, 1 of Each Attribute, 1 Defense and 1 Dispersion from all Targets on Hex until End of Combat. (≈)</t>
  </si>
  <si>
    <t>Stomach Rampage Flask: Gain 1 Random Status except Mind Control, Stun and Frozen Until End of Combat. (&gt;)</t>
  </si>
  <si>
    <t>Soul Linking Potion: Entities on the Same Hex as you that Damage you will Take 50% of the Total Damage; Lasts Until End of Combat. (≈)</t>
  </si>
  <si>
    <t>Rotting Cocoon Flask: Gain -2 Faith. (&gt;)</t>
  </si>
  <si>
    <t>Widows Death Flask: Curse; Curse: If you are below 50% Max Health and have no other Entity under your Banner Die at the End of Day. (&gt;)</t>
  </si>
  <si>
    <t>Gravity Acceleration Flask: Root and Slow for 3 Turns. (&gt;)</t>
  </si>
  <si>
    <t>Weakness Nullification: Remove all Non-Status, Non-Condition Negative Effects. (≈)</t>
  </si>
  <si>
    <t>Wavelength Empowering Potion: Your next Wavelength Ability deals 50% more Damage. (≈)</t>
  </si>
  <si>
    <t>Force Pilfering Potion: Drain 2 of each Attributes from Entities on Hex; Lasts Until End of Day. (≈)</t>
  </si>
  <si>
    <t>Drunkards Battle Potion: Become Enraged, Drunk and gain 1 Mobility until End of Day. (≈)</t>
  </si>
  <si>
    <t>Strongspice Potion: Consume all your Attributes and for each one consumed Gain 1 Random Attribute. (≈)</t>
  </si>
  <si>
    <t>Elixir of the Destroyer: Gain 10 Attribute Points; Gain Rotting. (≈)</t>
  </si>
  <si>
    <t>Stern Belief Potion. Gain 5 Attribute Points for every Faith you have. (≈)</t>
  </si>
  <si>
    <t>Elixir of the Annihilator: You have 20% Extra Total Damage; If you don't Kill an Entity per Day, you Die. (≈)</t>
  </si>
  <si>
    <t>Attribute Growth Elixir: At the Start of Day Gain 1 Random Attribute and double this amount for the next Day. (≈)</t>
  </si>
  <si>
    <t>Nawpaw Flask: Set Target Entities Attributes to 0 Until End of Combat. (≈)</t>
  </si>
  <si>
    <t>Greater Frost Flask: Deal 75 Frost Damage. (&gt;)</t>
  </si>
  <si>
    <t>Hypothermic Flask: Deal 40 Hypothermic Damage. (&gt;)</t>
  </si>
  <si>
    <t>Viral Flask: Deal 40 Viral Damage. (&gt;)</t>
  </si>
  <si>
    <t>Ice Flask: Deal 40 Ice Damage. (&gt;)</t>
  </si>
  <si>
    <t>Waterburst Flask: Deal 40 Hydro Damage. (&gt;)</t>
  </si>
  <si>
    <t>Magnetic Flask: Deal 40 Magnetic Damage. (&gt;)</t>
  </si>
  <si>
    <t>Cryo Flask: Deal 40 Cryo Damage. (&gt;)</t>
  </si>
  <si>
    <t>Chilling Flask: Deal 40 Coldlight Damage. (&gt;)</t>
  </si>
  <si>
    <t>Terrorizing Flask: Deal 40 Terror Damage. (&gt;)</t>
  </si>
  <si>
    <t>Greater Frost Healing Potion: Restore Health equal to double your Frost Resistance where 10% Frost Resistance is 10 Health.</t>
  </si>
  <si>
    <t>Greater Potion of Frost Regeneration: Restore Health and Mana equal to your Frost Resistance. (≈)</t>
  </si>
  <si>
    <t>Frost Mana Restoration Potion: Restore Mana equal to double your Frost Resistance where 10% Frost Resistance is 10 Mana. (≈)</t>
  </si>
  <si>
    <t>Greater Frost Empowering Potion: Gain Strength/Dexterity/Power equal to double your Frost Resistance where 10% Frost Resistance equals 1 Attribute; Lasts Until End of Day. (≈)</t>
  </si>
  <si>
    <t>Greater Frost Resisitance Potion: +80% Frost Resistance Until End of The Day. (≈)</t>
  </si>
  <si>
    <t>Freezing Flask: Inflict Freeze for 2 Turns. (&gt;)</t>
  </si>
  <si>
    <t>Frost Drain Potion: Drain 30% Frost Resistance from all other Entities on Hex until End of Combat. (≈)</t>
  </si>
  <si>
    <t>Greater Bleeding Flask: Deal 75 Bleed Damage. (&gt;)</t>
  </si>
  <si>
    <t>Infecting Flask: Deal 40 Infectious Damage. (&gt;)</t>
  </si>
  <si>
    <t>Shocking Flask: Deal 40 Shock Damage. (&gt;)</t>
  </si>
  <si>
    <t>Vacuuming Flask: Deal 40 Vacuum Damage. (&gt;)</t>
  </si>
  <si>
    <t>Sanguine Flask: Deal 40 Blood Damage. (&gt;)</t>
  </si>
  <si>
    <t>Fatality Flask: Deal 40 Fatal Damage. (&gt;)</t>
  </si>
  <si>
    <t>Greater Bleed Healing Potion: Restore Health equal to double Bleed Resistance where 10% Bleed Resistance is 10 Health.(≈)</t>
  </si>
  <si>
    <t>Greater Potion of Bleed Regeneration: Restore Health and Mana equal to your Bleed Resistance. (≈)</t>
  </si>
  <si>
    <t>Bleed Mana Restoration Potion: Restore Mana equal to double your Bleed Resistance where 10% Bleed Resistance is 10 Mana. (≈)</t>
  </si>
  <si>
    <t>Greater Blood Empowering Potion: Gain Strength/Dexterity/Power equal to double your Bleed Resistance where 10% Bleed Resistance equals 1 Attribute; Lasts Until End of Day. (≈)</t>
  </si>
  <si>
    <t>Greater Blood Resisitance Potion: +80% Bleed Resistance Until End of The Day. (≈)</t>
  </si>
  <si>
    <t>Bleed Drain Potion: Drain 30% Bleed Resistance from all other Entities on Hex until End of Combat. (≈)</t>
  </si>
  <si>
    <t>Toxic Flask: Deal 20 Toxic Damage. (&gt;)</t>
  </si>
  <si>
    <t>Corrosive Flask: Deal 40 Corrosive Damage. (&gt;)</t>
  </si>
  <si>
    <t>Chemical Flask: Deal 40 Chemical Damage. (&gt;)</t>
  </si>
  <si>
    <t>Blight Flask: Deal 40 Blight Damage. (&gt;)</t>
  </si>
  <si>
    <t>Greater Poison Healing Potion: Restore Health equal to double Poison Resistance where 10% Poison Resistance is 10 Health.</t>
  </si>
  <si>
    <t>Greater Potion of Poison Regeneration: Restore Health and Mana equal to your Poison Resistance. (≈)</t>
  </si>
  <si>
    <t>Poison Mana Restoration Potion: Restore Mana equal to double your Poison Resistance where 10% Poison Resistance is 10 Mana. (≈)</t>
  </si>
  <si>
    <t>Greater Poison Empowering Potion: Gain Strength/Dexterity/Power equal to double your Poison Resistance where 10% Poison Resistance equals 1 Attribute; Lasts Until End of Day. (≈)</t>
  </si>
  <si>
    <t>Greater Poison Resisitance Potion: +80% Poison Resistance Until End of The Day. (≈)</t>
  </si>
  <si>
    <t>Acidic Flask: Inflict Acidic for 2 Turns. (&gt;)</t>
  </si>
  <si>
    <t>Poison Drain Potion: Drain 30% Poison Resistance from all other Entities on Hex until End of Combat. (≈)</t>
  </si>
  <si>
    <t>Greater Soil Flask: Deal 75 Earth Damage. (&gt;)</t>
  </si>
  <si>
    <t>Explosive Flask: Deal 40 Blast Damage. (&gt;)</t>
  </si>
  <si>
    <t>Static Flask: Deal 40 Static Damage. (&gt;)</t>
  </si>
  <si>
    <t>Impact Flask: Deal 40 Kinetic Damage. (&gt;)</t>
  </si>
  <si>
    <t>Natural Flask: Deal 40 Natural Damage. (&gt;)</t>
  </si>
  <si>
    <t>Swamp Flask: Deal 40 Unholy Damage. (&gt;)</t>
  </si>
  <si>
    <t>Greater Earth Healing Potion: Restore Health equal to double Earth Resistance where 10% Earth Resistance is 10 Health.</t>
  </si>
  <si>
    <t>Greater Potion of Earth Regeneration: Restore Health and Mana equal to your Earth Resistance. (≈)</t>
  </si>
  <si>
    <t>Earth Mana Restoration Potion: Restore Mana equal to double your Earth Resistance where 10% Earth Resistance is 10 Mana. (≈)</t>
  </si>
  <si>
    <t>Greater Earth Empowering Potion: Gain Strength/Dexterity/Power equal to double your Earth Resistance where 10% Earth Resistance equals 1 Attribute; Lasts Until End of Day. (≈)</t>
  </si>
  <si>
    <t>Greater Earth Resisitance Potion: +80% Earth Resistance Until End of The Day. (≈)</t>
  </si>
  <si>
    <t>Stunning Flask: Inflict Stun for 3 Turns. (&gt;)</t>
  </si>
  <si>
    <t>Earth Drain Potion: Drain 30% Earth Resistance from all other Entities on Hex until End of Combat. (≈)</t>
  </si>
  <si>
    <t>Greater Fire Flask: Deal 75 Fire Damage. (&gt;)</t>
  </si>
  <si>
    <t>Concentrated Arcane Flask: Deal 40 Radiation Damage. (&gt;)</t>
  </si>
  <si>
    <t>Pyro Flask: Deal 40 Pyro Damage. (&gt;)</t>
  </si>
  <si>
    <t>Solar Flask: Deal 40 Solar Damage. (&gt;)</t>
  </si>
  <si>
    <t>Shadowflame Flask: Deal 40 Shadowflame Damage. (&gt;)</t>
  </si>
  <si>
    <t>Greater Fire Healing Potion: Restore Health equal to double Fire Resistance where 10% Fire Resistance is 10 Health.</t>
  </si>
  <si>
    <t>Greater Potion of Fire Regeneration: Restore Health and Mana equal to your Fire Resistance. (≈)</t>
  </si>
  <si>
    <t>Fire Mana Restoration Potion: Restore Mana equal to double your Fire Resistance where 10% Fire Resistance is 10 Mana. (≈)</t>
  </si>
  <si>
    <t>Greater Fire Empowering Potion: Gain Strength/Dexterity/Power equal to double your Fire Resistance where 10% Fire Resistance equals 1 Attribute; Lasts Until End of Day. (≈)</t>
  </si>
  <si>
    <t>Greater Fire Resistance Potion: +80% Fire Resistance Until End of Day. (≈)</t>
  </si>
  <si>
    <t>Scorching Flask: Inflict Scorched for 5 Turns. (&gt;)</t>
  </si>
  <si>
    <t>Greater Ligthning Flask: Deal 75 Lightning Damage. (&gt;)</t>
  </si>
  <si>
    <t>Pulse Flask: Deal 40 Pulse Damage. (&gt;)</t>
  </si>
  <si>
    <t>Wave Flask: Deal 40 Wave Damage. (&gt;)</t>
  </si>
  <si>
    <t>Chaos Flask: Deal 40 Chaos Damage. (&gt;)</t>
  </si>
  <si>
    <t>Greater Lightning Healing Potion: Restore Health equal to double Lightning Resistance where 10% Lightning Resistance is 10 Health.</t>
  </si>
  <si>
    <t>Greater Potion of Lightning Regeneration: Restore Health and Mana equal to your Lightning Resistance. (≈)</t>
  </si>
  <si>
    <t>Lightning Mana Restoration Potion: Restore Mana equal to double your Lightning Resistance where 10% Lightning Resistance is 10 Mana. (≈)</t>
  </si>
  <si>
    <t>Greater Lightning Empowering Potion: Gain Strength/Dexterity/Power equal to double your Lightning Resistance where 10% Lightning Resistance equals 1 Attribute; Lasts Until End of Day. (≈)</t>
  </si>
  <si>
    <t>Greater Lightning Resistance Potion: +80% Lightning Resistance Until End of Day. (≈)</t>
  </si>
  <si>
    <t>Magnetic Corrosion Flask: Inflict Magnetised and Corroded for 4 Turns. (&gt;)</t>
  </si>
  <si>
    <t>Lightning Drain Potion: Drain 30% Lightning Resistance from all other Entities on Hex until End of Combat. (≈)</t>
  </si>
  <si>
    <t>Gas Flask: Deal 20 Gas Damage. (&gt;)</t>
  </si>
  <si>
    <t>Greater Wind Flask: Deal 75 Wind Damage. (&gt;)</t>
  </si>
  <si>
    <t>Holy Flask: Deal 40 Holy Damage. (&gt;)</t>
  </si>
  <si>
    <t>Insanity Flask: Deal 40 Insanity Damage. (&gt;)</t>
  </si>
  <si>
    <t>Greater Wind Healing Potion: Restore Health equal to double Wind Resistance where 10% Wind Resistance is 10 Health.</t>
  </si>
  <si>
    <t>Greater Potion of Wind Regeneration: Restore Health and Mana equal to your Wind Resistance. (≈)</t>
  </si>
  <si>
    <t>Wind Mana Restoration Potion: Restore Mana equal to double your Wind Resistance where 10% Wind Resistance is 10 Mana. (≈)</t>
  </si>
  <si>
    <t>Greater Wind Empowering Potion: Gain Strength/Dexterity/Power equal to double your Wind Resistance where 10% Wind Resistance equals 1 Attribute; Lasts Until End of Day. (≈)</t>
  </si>
  <si>
    <t>Greater Wind Resistance Potion: +80% Wind Resistance Until End of Day. (≈)</t>
  </si>
  <si>
    <t>Sleep Flask: Inflict Asleep for 3 Turns. (&gt;)</t>
  </si>
  <si>
    <t>Wind Drain Potion: Drain 30% Wind Resistance from all other Entities on Hex until End of Combat. (≈)</t>
  </si>
  <si>
    <t>Greater Light Flask: Deal 75 Light Damage. (&gt;)</t>
  </si>
  <si>
    <t>True Flask: Deal 40 True Damage. (&gt;)</t>
  </si>
  <si>
    <t>Greater Light Healing Potion: Restore Health equal to double Light Resistance where 10% Light Resistance is 10 Health.</t>
  </si>
  <si>
    <t>Greater Potion of Light Regeneration: Restore Health and Mana equal to your Light Resistance. (≈)</t>
  </si>
  <si>
    <t>Light Mana Restoration Potion: Restore Mana equal to double your Light Resistance where 10% Light Resistance is 10 Mana. (≈)</t>
  </si>
  <si>
    <t>Greater Light Empowering Potion: Gain Strength/Dexterity/Power equal to double your Light Resistance where 10% Light Resistance equals 1 Attribute; Lasts Until End of Day. (≈)</t>
  </si>
  <si>
    <t>Greater Light Resistance Potion: +80% Light Resistance Until End of Day. (≈)</t>
  </si>
  <si>
    <t>Blinding Flask: Inflict Blind for 5 Turns. (&gt;)</t>
  </si>
  <si>
    <t>Greater Dark Flask: Deal 75 Dark Damage. (&gt;)</t>
  </si>
  <si>
    <t>Greater Dark Healing Potion: Restore Health equal to double Dark Resistance where 10% Dark Resistance is 10 Health.</t>
  </si>
  <si>
    <t>Greater Potion of Dark Regeneration: Restore Health and Mana equal to your Darkness Resistance. (≈)</t>
  </si>
  <si>
    <t>Dark Mana Restoration Potion: Restore Mana equal to double your Dark Resistance where 10% Dark Resistance is 10 Mana. (≈)</t>
  </si>
  <si>
    <t>Greater Dark Empowering Potion: Gain Strength/Dexterity/Power equal to double your Dark Resistance where 10% Dark Resistance equals 1 Attribute; Lasts Until End of Day. (≈)</t>
  </si>
  <si>
    <t>Greater Dark Resistance Potion: +80% Dark Resistance Until End of Day. (≈)</t>
  </si>
  <si>
    <t>Fearing Flask: Inflict Fear for 5 Turns. (&gt;)</t>
  </si>
  <si>
    <t>Supreme Health Potion: Restore 100 Health. (≈)</t>
  </si>
  <si>
    <t>Supreme Health Regeneration Potion: Restore 40% Max Health. (≈)</t>
  </si>
  <si>
    <t>Supreme Rejuvenation Potion: Restore 40 Health and 40 Mana. (≈)</t>
  </si>
  <si>
    <t>Supreme Potion of Slow Healing: Heal 15 Health Per Tick Over 8 Turns. (≈)</t>
  </si>
  <si>
    <t>Greater Barrier Potion: Gain 40% of Max Health as a Barrier that expires at the end of the Day. (≈)</t>
  </si>
  <si>
    <t>Greater Outcasts Greytooth Healing Potion: Restore 175 Health; Become Banished. (≈)</t>
  </si>
  <si>
    <t>Supreme Regeneration Potion: Restore 40 Health and 40 Mana. (≈)</t>
  </si>
  <si>
    <t>Supreme Mana Regeneration Potion: Restore 40% Max Mana. (≈)</t>
  </si>
  <si>
    <t>Greater Potion of Slow Rejuvenation: Restore 9 Health and Mana Over 8 Turns. (≈)</t>
  </si>
  <si>
    <t>Greater Lifeforce Rejuvenation Potion: Gain 0(+1200% Level) Health and Mana. (≈)</t>
  </si>
  <si>
    <t>Outcasts Greytooth Restoration Potion: Restore 80 Health and 80 Mana; Become Banished. (≈)</t>
  </si>
  <si>
    <t>Supreme Mana Potion: Restore 100 Mana. (≈)</t>
  </si>
  <si>
    <t>Greater Empowered Mana Potion: Your next 4 Abilities cost 20% less Mana to Cast; Lasts Until End of Day. (≈)</t>
  </si>
  <si>
    <t>Greater Mana Barrier Potion: Gain 40% of Max Mana as a Barrier that expires at the end of the Day. (≈)</t>
  </si>
  <si>
    <t>Greater Mana Lock Potion: Locks 50% of Targets Max Mana until End of Day. (&gt;)</t>
  </si>
  <si>
    <t>Supreme Empowering Potion: +8 To all Attributes; Lasts Until End of Day. (≈)</t>
  </si>
  <si>
    <t>Greater Enhancing Potion: Gain +4 to all Attributes; Gain +4 Defense and Dispersion; Lasts Until End of Day. (≈)</t>
  </si>
  <si>
    <t>Greater Status Empowerment Potioin: Status Effects you Inflict with Abilities are 2 Ticks Longer; Lasts Until End of Day. (≈)</t>
  </si>
  <si>
    <t>Supreme Resistance Potion: Gain 8 Defense and Dispersion Until End of Day. (≈)</t>
  </si>
  <si>
    <t>Anchoring Potion: Become Unstoppable for 5 Turns. (≈)</t>
  </si>
  <si>
    <t>Greater Snare Flask: Inflict Rooting for 4 Turns. (&gt;)</t>
  </si>
  <si>
    <t>Elixir of Frost: Switch your Wavelength to the Frost Wavelength. (≈)</t>
  </si>
  <si>
    <t>Icehawk on Ice: Your Abilities gain Precise Until End of Combat. (≈)</t>
  </si>
  <si>
    <t>Frost Protection Elixir: Gain 50% Frost Resistance. (≈)</t>
  </si>
  <si>
    <t>Frostblight Flask: Set Frost Resistance to -50% Until End of Day. (&gt;)</t>
  </si>
  <si>
    <t>Frost Exima Potion: Deal 30 Frost Damage to all other Entities on Hex for every Faith you have. (≈)</t>
  </si>
  <si>
    <t>Icicle Draught: Inflict Frostbite for 20 Damage per Tick over 10 Turns. (&gt;)</t>
  </si>
  <si>
    <t>Frostgrowth Elixir: At the Start of Each Day Gain 10% Frost Resistance. (≈)</t>
  </si>
  <si>
    <t>Frost Conversion Potion: Convert your Total Damage to Frost Damage; Lasts Until End of Day. (≈)</t>
  </si>
  <si>
    <t>Elixir of Coagulation: Switch your Wavelength to the Bleed Wavelength. (≈)</t>
  </si>
  <si>
    <t>Bloodshot: Your Abilities gain 50% Lifedrain Until End of Combat. (≈)</t>
  </si>
  <si>
    <t>Bleed Protection Elixir: Gain 50% Bleed Resistance. (≈)</t>
  </si>
  <si>
    <t>Bleedblight Flask: Set Bleed Resistance to -50% Until End of Day. (&gt;)</t>
  </si>
  <si>
    <t>Bleed Exima Potion: Deal 30 Bleed Damage to all other Entities on Hex for every Faith you have. (≈)</t>
  </si>
  <si>
    <t>Vampiric Elixir: Gain 20% Lifedrain on all your Attacks. (≈)</t>
  </si>
  <si>
    <t>Bleedgrowth Elixir: At the Start of Each Day Gain 10% Bleed Resistance. (≈)</t>
  </si>
  <si>
    <t>Bleed Conversion Potion: Convert your Total Damage to Bleed Damage; Lasts Until End of Day. (≈)</t>
  </si>
  <si>
    <t>Elixir of Poison: Switch your Wavelength to the Poison Wavelength. (≈)</t>
  </si>
  <si>
    <t>Moon Viper: Your Damaging Abilities Poison their Targets On Hit for 5 Damage per Tick over 6 Turns. (≈)</t>
  </si>
  <si>
    <t>Poison Protection Elixir: Gain 50% Poison Resistance. (≈)</t>
  </si>
  <si>
    <t>Poisonblight Flask: Set Poison Resistance to -50% Until End of Day. (&gt;)</t>
  </si>
  <si>
    <t>Poison Exima Potion: Deal 30 Poison Damage to all other Entities on Hex for every Faith you have. (≈)</t>
  </si>
  <si>
    <t>Grand Serpents Poison Flask: Inflict Poison for 20 Damage per Tick over 10 Turns. (&gt;)</t>
  </si>
  <si>
    <t>Poisongrowth Elixir: At the Start of Each Day Gain 10% Poison Resistance. (≈)</t>
  </si>
  <si>
    <t>Poison Conversion Potion: Convert your Total Damage to Poison Damage; Lasts Until End of Day. (≈)</t>
  </si>
  <si>
    <t>Elixir of Earth: Switch your Wavelength to the Earth Wavelength. (≈)</t>
  </si>
  <si>
    <t>Stone-B'dke: Your Abilities gain Counter Until End of Combat. (≈)</t>
  </si>
  <si>
    <t>Earth Protection Elixir: Gain 50% Earth Resistance. (≈)</t>
  </si>
  <si>
    <t>Earthblight Flask: Set Earth Resistance to -50% Until End of Day. (&gt;)</t>
  </si>
  <si>
    <t>Earth Exima Potion: Deal 30 Earth Damage to all other Entities on Hex for every Faith you have. (≈)</t>
  </si>
  <si>
    <t>Planemothers Punishment Flask: Deal 140 Earth Damage. (&gt;)</t>
  </si>
  <si>
    <t>Earthgrowth Elixir: At the Start of Each Day Gain 10% Earth Resistance. (≈)</t>
  </si>
  <si>
    <t>Earth Conversion Potion: Convert your Total Damage to Earth Damage; Lasts Until End of Day. (≈)</t>
  </si>
  <si>
    <t>Elixir of Fire: Switch your Wavelength to the Fire Wavelength. (≈)</t>
  </si>
  <si>
    <t>Fire Drain Potion: Drain 30% Fire Resistance from all other Entities on Hex until End of Combat. (≈)</t>
  </si>
  <si>
    <t>True Flaming Spirits: Your Abilities gain Reflex Until End of Combat. (≈)</t>
  </si>
  <si>
    <t>Fire Protection Elixir: Gain 50% Fire Resistance. (≈)</t>
  </si>
  <si>
    <t>Fireblight Flask: Set Fire Resistance to -50% Until End of Day. (&gt;)</t>
  </si>
  <si>
    <t>Fire Exima Potion: Deal 30 Fire Damage to all other Entities on Hex for every Faith you have. (≈)</t>
  </si>
  <si>
    <t>Lava Swarm Flask: Transform current Hex to Scorch; Deal 100 Fire Damage to all Entities on Hex. (&gt;)</t>
  </si>
  <si>
    <t>Firegrowth Elixir: At the Start of Each Day Gain 10% Fire Resistance. (≈)</t>
  </si>
  <si>
    <t>Fire Conversion Potion: Convert your Total Damage to Fire Damage; Lasts Until End of Day. (≈)</t>
  </si>
  <si>
    <t>Elixir of Lightning: Switch your Wavelength to the Lightning Wavelength. (≈)</t>
  </si>
  <si>
    <t>Sparking Spirits: Your Abilities gain Blitz Until End of Combat. (≈)</t>
  </si>
  <si>
    <t>Lightning Protection Elixir: Gain 50% Lightning Resistance. (≈)</t>
  </si>
  <si>
    <t>Lightningblight Flask: Set Lightning Resistance to -50% Until End of Day. (&gt;)</t>
  </si>
  <si>
    <t>Lightning Exima Potion: Deal 30 Lightning Damage to all other Entities on Hex for every Faith you have. (≈)</t>
  </si>
  <si>
    <t>Electric Death Field Potion: Release a Field of Electricity that Deals 20 Lightning Damage per Tick to everyone else on Hex; Lasts unitl End of Combat. (≈)</t>
  </si>
  <si>
    <t>Lightninggrowth Elixir: At the Start of Each Day Gain 10% Lightning Resistance. (≈)</t>
  </si>
  <si>
    <t>Lightning Conversion Potion: Convert your Total Damage to Lightning Damage; Lasts Until End of Day. (≈)</t>
  </si>
  <si>
    <t>Elixir of Wind: Switch your Wavelength to the Wind Wavelength. (≈)</t>
  </si>
  <si>
    <t>Eye of the Form: Your Abilities gain Hidden Until End of Combat. (≈)</t>
  </si>
  <si>
    <t>Wind Protection Elixir: Gain 50% Wind Resistance. (≈)</t>
  </si>
  <si>
    <t>Windblight Flask: Set Wind Resistance to -50% Until End of Day. (&gt;)</t>
  </si>
  <si>
    <t>Wind Exima Potion: Deal 30 Wind Damage to all other Entities on Hex for every Faith you have. (≈)</t>
  </si>
  <si>
    <t>Tornado Flask: Creates a Tornado on Tile which Deals 80 Wind Damage and Inflicts Slow per Tick as long as Entities are on the Tile; Lasts 5 Turns. (&gt;)</t>
  </si>
  <si>
    <t>Windgrowth Elixir: At the Start of Each Day Gain 10% Wind Resistance. (≈)</t>
  </si>
  <si>
    <t>Wind Conversion Potion: Convert your Total Damage to Wind Damage; Lasts Until End of Day. (≈)</t>
  </si>
  <si>
    <t>Elixir of Light: Switch your Wavelength to the Light Wavelength. (≈)</t>
  </si>
  <si>
    <t>Light Drain Potion: Drain 30% Light Resistance from all other Entities on Hex until End of Combat. (≈)</t>
  </si>
  <si>
    <t>Diamond Hand: Your Abilities gain Flash Until End of Combat. (≈)</t>
  </si>
  <si>
    <t>Light Protection Elixir: Gain 50% Light Resistance. (≈)</t>
  </si>
  <si>
    <t>Lightblight Flask: Set Light Resistance to -50% Until End of Day. (&gt;)</t>
  </si>
  <si>
    <t>Light Exima Potion: Deal 30 Light Damage to all other Entities on Hex for every Faith you have. (≈)</t>
  </si>
  <si>
    <t>Elysian Response Potion: Summon 2 Random Elysian Elite Creatures under your Control; They last Until End of Combat. (≈)</t>
  </si>
  <si>
    <t>Lightgrowth Elixir: At the Start of Each Day Gain 10% Light Resistance. (≈)</t>
  </si>
  <si>
    <t>Light Conversion Potion: Convert your Total Damage to Light Damage; Lasts Until End of Day. (≈)</t>
  </si>
  <si>
    <t>Elixir of Dark: Switch your Wavelength to the Dark Wavelength. (≈)</t>
  </si>
  <si>
    <t>Dark Drain Potion: Drain 30% Dark Resistance from all other Entities on Hex until End of Combat. (≈)</t>
  </si>
  <si>
    <t>Black Stamp: Your Damaging Abilities gain 30% More Total Damage Until End of Combat. (≈)</t>
  </si>
  <si>
    <t>Dark Protection Elixir: Gain 50% Dark Resistance. (≈)</t>
  </si>
  <si>
    <t>Darkblight Flask: Set Dark Resistance to -50% Until End of Day. (&gt;)</t>
  </si>
  <si>
    <t>Dark Exima Potion: Deal 30 Dark Damage to all other Entities on Hex for every Faith you have. (≈)</t>
  </si>
  <si>
    <t>Expell Flask: Remove Target for Combat by sending them to a different plane of existence for 3 Turns after which they return; During this time they are unable to do any Actions. (&gt;)</t>
  </si>
  <si>
    <t>Darkgrowth Elixir: At the Start of Each Day Gain 10% Dark Resistance. (≈)</t>
  </si>
  <si>
    <t>Dark Conversion Potion: Convert your Total Damage to Dark Damage; Lasts Until End of Day. (≈)</t>
  </si>
  <si>
    <t>Greater Elixir of Life: Gain 75 Health. (≈)</t>
  </si>
  <si>
    <t>Greater Potion of Lifesteal: Drain 50 Health from all other Entities on Hex. (≈)</t>
  </si>
  <si>
    <t>Greater Purifying Solution: Remove 1 Condition of your choice. (≈)</t>
  </si>
  <si>
    <t>Greater Deflection Potion: Gain 40% Deflection until End of Day. (≈)</t>
  </si>
  <si>
    <t>Greater Rot Delay Potion: Heal 75 Health; Remove 4 Stacks of Rot. (≈)</t>
  </si>
  <si>
    <t>Greater Holy Healing Potion: Restore or Lose 75 Health for every Positive/Negative Faith you have. (≈)</t>
  </si>
  <si>
    <t>Greater Potion of Death Salvation: Restore 75% of Missing Health. (≈)</t>
  </si>
  <si>
    <t>True Everlife Health Elixir: At the Start of Day Restore 2 Health and double this amount for the next Day. (≈)</t>
  </si>
  <si>
    <t>Greater Flask of Health Prevention: Become unable to Restore Health until End of Day. (&gt;)</t>
  </si>
  <si>
    <t>Greater Resonance Restoration Potion: Restore 12 Resonance. (≈)</t>
  </si>
  <si>
    <t>Greater Life Pilfering Potion: Drain 40 Health and Mana from Entities on your Hex. (≈)</t>
  </si>
  <si>
    <t>Drunkards Perfect Stew: If you are Drunk, Restore 100 Health and 100 Mana. (≈)</t>
  </si>
  <si>
    <t>Flesheating Elixir: Gain the Skeletal Condition. (≈)</t>
  </si>
  <si>
    <t>True Ashen Fertilizer: Allows Current Hex to be Explored twice more; -3 on your next two Exploration Rolls. (≈)</t>
  </si>
  <si>
    <t>Divine Restoration Potion: Restore 50 Health and 50 Mana for every Faith you have.</t>
  </si>
  <si>
    <t>True Life Taxation Flask: Fully Restore Health and Mana, then choose to Lose either half of Max Health or Max Mana. (≈)</t>
  </si>
  <si>
    <t>Everlife Spirit Elixir: At the Start of Day Restore 1 Health and Mana and double this amount for the next Day. (≈)</t>
  </si>
  <si>
    <t>Greater Potion of Sufference: All Damage you receive until End of Day is tanked twice by your Resistences(Defense/Dispersion/Elemental Resistance). (≈)</t>
  </si>
  <si>
    <t>Greater Mana Pool Elixir: Gain 75 Mana. (≈)</t>
  </si>
  <si>
    <t>Greater Potion of Manasteal: Drain 50 Mana from all other Entities on Hex. (≈)</t>
  </si>
  <si>
    <t>Dragonspite Shot: Restore Mana equal to Damage dealt to other Entities with Spells; Lasts Until End of Combat. (≈)</t>
  </si>
  <si>
    <t>Greater Rot Delay Mana Potion: Restore 75 Mana; Remove 4 Stacks of Rot. (≈)</t>
  </si>
  <si>
    <t>Greater Holy Mana Restoration Potion: Restore or Lose 75 Mana for every Positive/Negative Faith you have. (≈)</t>
  </si>
  <si>
    <t>Greater Potion of Mana Pool Salvation: Restore 75% of Missing Mana. (≈)</t>
  </si>
  <si>
    <t>True Everlife Mana Elixir: At the Start of Day Restore 2 Mana and double this amount for the next Day. (≈)</t>
  </si>
  <si>
    <t>Greater Flask of Mana Prevention: Become unable to Restore Mana until End of Day. (&gt;)</t>
  </si>
  <si>
    <t>Greater Wavelength Empowering Potion: Your next Wavelength Ability deals 75% more Damage. (≈)</t>
  </si>
  <si>
    <t>Greater Force Pilfering Potion: Drain 4 of each Attributes from Entities on Hex; Lasts Until End of Day. (≈)</t>
  </si>
  <si>
    <t>Greater Drunkards Battle Potion: Become Enraged, Drunk and gain 3 Mobility until End of Day. (≈)</t>
  </si>
  <si>
    <t>Greater Strongspice Potion: Consume all your Attributes and for each one consumed Gain 2 Random Attributes. (≈)</t>
  </si>
  <si>
    <t>Greater Elixir of the Destroyer: Gain 10 Attribute Points; Gain Rotting. (≈)</t>
  </si>
  <si>
    <t>Greater Stern Belief Potion. Gain 7 Attribute Points for every Faith you have. (≈)</t>
  </si>
  <si>
    <t>Greater Elixir of the Annihilator: You have 40% Extra Total Damage; If you don't Kill an Entity per Day, you Die. (≈)</t>
  </si>
  <si>
    <t>Greater Attribute Growth Elixir: At the Start of Day Gain 2 Random Attributes and double this amount for the next Day. (≈)</t>
  </si>
  <si>
    <t>Greater Nawpaw Flask: Set Target Entities Attributes to -10 Until End of Day. (≈)</t>
  </si>
  <si>
    <t>Greater Elixir of Wavelength Resistance: Gain 60% Resistance in the Element of your Wavelength. (≈)</t>
  </si>
  <si>
    <t>Greater Resistance Pilfering Potion: Drain 10 Defense and Dispersion from all Entities on Hex; Lasts Until End of Day. (≈)</t>
  </si>
  <si>
    <t>Greater Living Spirits Potion: Become Drunk for 4 Turns; You take 40% Less Damage Until End of Combat. (≈)</t>
  </si>
  <si>
    <t>Greater Oldworld Sacrificial Potion: Taking 75 Damage this Day Causes you to Gain 1500 Experience. (≈)</t>
  </si>
  <si>
    <t>Greater Corrupted Lifeforce Elixir: Lose 200 Max Health; Gain 50% Damage Reduction. (≈)</t>
  </si>
  <si>
    <t>Greater Divine Order Elixir: Increase the limit at which Faith prevents Lethal Damage/Health Loss by 50. (≈)</t>
  </si>
  <si>
    <t>Greater Death Defiance Potion: Survive Lethal Damage Twice; Lasts Until End of Day. (≈)</t>
  </si>
  <si>
    <t>Greater Resistance Acceleration Elixir: At every Start of Day Gain 2 Defense and Dispersion. (≈)</t>
  </si>
  <si>
    <t>Greater Bane of Resistance Flask: Reduce Defense and Dispersion by 24 Until End of Day. (&gt;)</t>
  </si>
  <si>
    <t>Flask of Hard Staggering: Stagger Target until End of Combat. (&gt;)</t>
  </si>
  <si>
    <t>Flask of Status Absorption: Remove all Statuses from all other Entities in order to grant them to yourself. (≈)</t>
  </si>
  <si>
    <t>Flask of the Drunkard: Inflict Drunk for 8 Turns. (&gt;)</t>
  </si>
  <si>
    <t>Flask of Psych Detrimental: Upon being Attacked you will be Mind Controled for 1 Turn by the Attacker. (&gt;)</t>
  </si>
  <si>
    <t>Flask of Rot Lenghtening: Remove all Stacks of Rotting. (≈)</t>
  </si>
  <si>
    <t>Elixir of the Unfaithful: Removes Faith as a Stat. (≈)</t>
  </si>
  <si>
    <t>Flask of Banishment: Become Banished. (&gt;)</t>
  </si>
  <si>
    <t>Unknown Fertilizer: Transform current Biome into a Diferent one at Random. (≈)</t>
  </si>
  <si>
    <t>Controlled Null Potion: Gain the following Ability until End of Day: Powerplay; Reflex; Remove all Statuses. (≈)</t>
  </si>
  <si>
    <t>Flight Potion: Able to Traverse all Hexs without Penalty; +1 Hex Vision; Lasts Until End of Day. (≈)</t>
  </si>
  <si>
    <t>1200 Gold</t>
  </si>
  <si>
    <t>Deflection Pilefering Potion: Drain 20% Deflection from all other Entities on Hex Until End of Combat. (≈)</t>
  </si>
  <si>
    <t>Teleportation Potion: Randomly Teleports you somewhere on the Plains. (≈)</t>
  </si>
  <si>
    <t>Spellweaving Potion: All Abilities become Spells Until End of Day. (≈)</t>
  </si>
  <si>
    <t>Call of the Mourning Locusts: Transform all Hexes in a 3 Hex Radius into Simple Plains. (≈)</t>
  </si>
  <si>
    <t>Potion of Clairvoyance: Gain 3 Hex Range Vision of a Hex of your Choice Until End of Day. (≈)</t>
  </si>
  <si>
    <t>Potion of Destruction: Destroy Hex. (&gt;)</t>
  </si>
  <si>
    <t>Telekinetic Elixir: Gain Telekinesis, Your Alteration and Projectile Abilities become Warp Abilities. (≈)</t>
  </si>
  <si>
    <t>Flask of Resonance Killer: Set an Entities Max Resonance to 0. (&gt;)</t>
  </si>
  <si>
    <t>Lifedrain Potion: Gain 40% Life Drain on your Attacks Until End of Combat. (≈)</t>
  </si>
  <si>
    <t>Sundunic Deathgrip: 50% Chance to Die; 50% Chance to Level up. (≈)</t>
  </si>
  <si>
    <t>Worm Bait Potion: Summon a Worm Boss under your Control. (≈)</t>
  </si>
  <si>
    <t>Haste Drain Potion: Drain 2 Mobility from all other Entities on Hex. (≈)</t>
  </si>
  <si>
    <t>Blooms Call: Force all Entities in 1 Hex Range to move to your Hex. (≈)</t>
  </si>
  <si>
    <t>Reapers Gift Elixir: Temporarily enter the Reapers Domain, He will show you a Random Legendary Weapon, Armor and Jewlery, You may take 1 of the 3 before being Returned. (≈)</t>
  </si>
  <si>
    <t>Correct Attunement Elixir: Gain 4 Attunement Points. (≈)</t>
  </si>
  <si>
    <t>Sunbloom Negator Elixir: Gain the following Ability Until End of Day: Active: (+) Counter; Powerplay; Nullify Target Action. (≈)</t>
  </si>
  <si>
    <t>Strong Flaming Spirits: Become Surged and Drunk Until End of Combat. (≈)</t>
  </si>
  <si>
    <t>Blast from the Past: Convert all Statuses Active Statuses to Drunk; Whilst Drunk you are also Enlightened and Resolute; Lasts Until End of Combat. (≈)</t>
  </si>
  <si>
    <t>Perfect Doom Flask: Deal 40 Fire Damage, 40 Dark Damage and 40 Bleed Damage; This Damage can not Elementally Combine; If Target is Rotting then this Damage is Doubled. (&gt;)</t>
  </si>
  <si>
    <t>Divine Drink: If an Elysian Biome currently exists immediately gain full Vision of it Until End of Day and choose one of its Hexes to Teleport to. (≈)</t>
  </si>
  <si>
    <t>Serpents Kiss: Die. (≈)</t>
  </si>
  <si>
    <t>Everdream: The absolute best Drink the Planes has to offer; Fully Restore Health or Mana. (≈)</t>
  </si>
  <si>
    <t>Bottle of Water: Refresh Half of your Max Stamina. (≈)</t>
  </si>
  <si>
    <t>Potion of Refreshness: Refresh 2 Stamina. (≈)</t>
  </si>
  <si>
    <t>Rot Risk: If you are Rotting Randomise and set your Stacks of Rot between 1 and 7(d7); If you are not Rotting Gain 1000 Xp and Rotting. (≈)</t>
  </si>
  <si>
    <t>Can of Wings: Gain the Winged Condition. (≈)</t>
  </si>
  <si>
    <t>Elixir of the Relentless: Lose Half of your Max Stamina; Restore 1 Stamina for each Non-Summoned Entity Killed. (≈)</t>
  </si>
  <si>
    <t>Elixir of Stamina: Gain 1 Max Stamina. (≈)</t>
  </si>
  <si>
    <t>Grand Cleansing Flask: Remove all Conditions. (&gt;)</t>
  </si>
  <si>
    <t>True Rot Flask: Inflict Rotting Twice. (&gt;)</t>
  </si>
  <si>
    <t>Divine Rot Cure: Cure Rotting; If you are not Rotting Restore 50 Health and Mana instead. (≈)</t>
  </si>
  <si>
    <t>The End Flask: Destroys Non-Heroic Entity. (&gt;)</t>
  </si>
  <si>
    <t>Virulent Scourge Fertilizer: All other Entities on Current Biome Take 50 Viral Damage. (≈)</t>
  </si>
  <si>
    <t>Rot Nullification Elixir: You become permanently Immune to Rotting and all Effects from Stacks of Rot. (≈)</t>
  </si>
  <si>
    <t>Greater Divine Potion: Gain 3 Faith. (≈)</t>
  </si>
  <si>
    <t>Revival Potion: Revive Target Corpse. (&gt;)</t>
  </si>
  <si>
    <t>Bound Revival Potion: Revive Target Non-Hero/Guardian Corpse under your Banner. (&gt;)</t>
  </si>
  <si>
    <t>Flask of the Non-Believer: Gain -3 Faith. (&gt;)</t>
  </si>
  <si>
    <t>Death Tonic: 50% Chance to Die. (&gt;)</t>
  </si>
  <si>
    <t>Elixir of Everlasting Death: Entities you are about to Kill become Destroyed Instead. (≈)</t>
  </si>
  <si>
    <t>Greater Elixir of Growth: At the Start of the next Day Increase your Max Health and Mana by 50%. (≈)</t>
  </si>
  <si>
    <t>Elixir Nullifier Flask: Remove all Elixir Effects and Positive Statuses. (&gt;)</t>
  </si>
  <si>
    <t>Elixir of Nullification: Nullify the next Attack Targeting you. (≈)</t>
  </si>
  <si>
    <t>PLACEABLES</t>
  </si>
  <si>
    <t>8) Wards:</t>
  </si>
  <si>
    <t>These are Placed on the Ground; Others can Destroy them; Wards Lose their effects after being Picked after being placed; They cannot be placed in Water/Lava hexes.</t>
  </si>
  <si>
    <t>Narrowsight Ward: 1 Hex Vision Ward.</t>
  </si>
  <si>
    <t>Totemic Ward: 2 Hex Vision Ward.</t>
  </si>
  <si>
    <t>Throwing Ward: 1 Hex Vision Ward; Can be Placed at 1 hex Range.</t>
  </si>
  <si>
    <t>Ravensight Ward: 2 Hex Vision Ward; Pathfinder.</t>
  </si>
  <si>
    <t>Owlsight Ward: 2 Hex Vision Ward; Detects Invisible Entities.</t>
  </si>
  <si>
    <t>Farsight Ward: 3 Hex Vision Ward.</t>
  </si>
  <si>
    <t>Magicdart Ward: 2 Hex Vision Ward; Can be Placed at 1 Hex Range.</t>
  </si>
  <si>
    <t>Truesight Ward: 3 Hex Vision Ward; Detects Invisible Entities.</t>
  </si>
  <si>
    <t>Porting Ward: 2 Hex Vision Ward; Can be Placed at 2 Hex Range.</t>
  </si>
  <si>
    <t xml:space="preserve">Dragonscaled Ward: 3 Hex Vision; Indestructible; Detects Invisible Entities. </t>
  </si>
  <si>
    <t>Kind</t>
  </si>
  <si>
    <t>Rarity</t>
  </si>
  <si>
    <t>Name</t>
  </si>
  <si>
    <t>Gold</t>
  </si>
  <si>
    <t>Artifact</t>
  </si>
  <si>
    <t>Gear</t>
  </si>
  <si>
    <t>Common</t>
  </si>
  <si>
    <t>Uncommon</t>
  </si>
  <si>
    <t>Rare</t>
  </si>
  <si>
    <t>Epic</t>
  </si>
  <si>
    <t>Legendary</t>
  </si>
  <si>
    <t>Mythic</t>
  </si>
  <si>
    <t>Day of Decay: Legendary Two-handed Ranged Crossbow; 1 Ammo Capacity; 12-16 Physical Damage; On Hit: On Hit 8 Dark Damage; On Crit: Inflict Rotting; Passive: If you are Rotting, your Vitals inflict Rotting Twice.</t>
  </si>
  <si>
    <t>Item</t>
  </si>
  <si>
    <t>All Zones Restock at the start of each Vendal. (Day 1,6,11,16,etc)</t>
  </si>
  <si>
    <t>Market</t>
  </si>
  <si>
    <t>Sells Gear of Varying Rarities; 4 Commons, 3 Rares, 2 Epics, 1 Legendary. (200/400/600/800/1000 Gold For Common/Uncommon/Rare/Epic/Legendary)</t>
  </si>
  <si>
    <t>Sells Items of Varying Rarities; 2 Commons, 2 Uncommon, 2 Rares, 1 Epic, 1 Legendary.</t>
  </si>
  <si>
    <t>After the first Vendal Markets Sell 1 Legendary Artifact. (1500 Gold) / After the Second Vendal Markets also Sell 1 Mythic Gear (2000 Gold) and Item.</t>
  </si>
  <si>
    <t>Sells a Map Layout for 500 gold.</t>
  </si>
  <si>
    <t>You may sell Gear/Items here for 50% of its Value.</t>
  </si>
  <si>
    <t>UPON PILLAGING: You Loot all Gear and Items present, the Map and 1000 Gold.</t>
  </si>
  <si>
    <t>Foundry</t>
  </si>
  <si>
    <t>Material Processing: Turn Ore or Fabric into 1 gear of the the same rarity. (Ore for Metal Type/Fabric for Cloth Type) Throwable Crafting Amount: Common-5; Uncommon-4; Rare-3; Epic-2; Legendary/Mythic-1</t>
  </si>
  <si>
    <t>Sells 1 of each Ore per Restock: 1500 Gold for Legendary, 1000 Gold for Epic, 750 Gold for Rare; 500 Gold for Uncommon; 250 Gold for Common.</t>
  </si>
  <si>
    <t>Mythic Ore is only available for purchase after the first Vendal for 2500 Gold.</t>
  </si>
  <si>
    <t>You may Craft Runes with Ore.</t>
  </si>
  <si>
    <t>Remove Runes from Gear; Either by losing the Gear or the Rune in the process. (Hero chooses which)</t>
  </si>
  <si>
    <t>UPON PILLAGING: You Loot all the Ores being Sold, 1000 Gold and may use the Foundry.</t>
  </si>
  <si>
    <t>Port</t>
  </si>
  <si>
    <t>Buy a boat that can Traverse Water Hexes(And Water Hexes only): 500 Gold</t>
  </si>
  <si>
    <t>Travel to a Different Port: 500 Gold</t>
  </si>
  <si>
    <t>Hire a crew giving the boat itself 3 stamina: 500 Gold (Up to 1 Crew/Boat)</t>
  </si>
  <si>
    <t>Allows Heroes and Companions to Work for Gold; Gain 100 Gold Per Stamina used.</t>
  </si>
  <si>
    <t>Always Sells the Captains Pegleg and Captains Hook.</t>
  </si>
  <si>
    <t>UPON PILLAGING: You Loot a Boat with Crew; 2000 Gold and the 2 Gears being Sold.</t>
  </si>
  <si>
    <t>Tavern</t>
  </si>
  <si>
    <t>You can Rest at Double Regenaration for 100 Gold a Night.</t>
  </si>
  <si>
    <t>You can Hire a Mercenary for 500 gold; Resets every Vendal. (Sentient Elite does not level up, equip new gear or drop gold on death)</t>
  </si>
  <si>
    <t>You can Hire a Companion for 1000 gold; Resets every Vendal.. (Sentient Companion does level up and equips new gear)</t>
  </si>
  <si>
    <t>Receive a Random Quest; Resets every Vendal.</t>
  </si>
  <si>
    <t>Pay 50 Gold for a rumor about something interesting or funny that happened to another Hero.</t>
  </si>
  <si>
    <t>UPON PILLAGING: You may Rest for no Cost; Gain 1000 Gold; Gain a Quest and Hire the Mercenary/Companion at their respective Costs.</t>
  </si>
  <si>
    <t>Sells Gear of Varying Rarities; 1 Epic, 1 Legendary; 1 Legendary Artifact; 1 Mythic. (50/100/150/200 Health for Epic/Legendary/Legendary Artifact/Mythic)</t>
  </si>
  <si>
    <t>Sells Items of Varying Rarities; 1 Epic, 1 Legendary; 1 Mythic. (50/100/150 Health for Epic/Legendary/Mythic)</t>
  </si>
  <si>
    <t>After the first Vendal Black Markets Sell 1 Additional Legendary Artifact. / After the Second Vendal Black Markets also Sell 1 Additional Mythic Gear and Item.</t>
  </si>
  <si>
    <t>Purchase 1 Random Drug for 1000 Gold; Resets every Vendal.</t>
  </si>
  <si>
    <t>You may pay 25 Health to Remove 1 Stack of Rot; 1/Vendal.</t>
  </si>
  <si>
    <t>Remove a Blood Contract for 500 Gold where only you gain the Health back.</t>
  </si>
  <si>
    <t>UPON PILLAGING: You Loot all Gear and Items present as well as 1000 Gold.</t>
  </si>
  <si>
    <t>Arena</t>
  </si>
  <si>
    <t>Heroes can not complete the same challenge twice and Fleeing during a Challenge is Disabled; Up to 1 Challenge per Day. (However Teleporting, Scroll of Truce or getting out by any other means is allowed)</t>
  </si>
  <si>
    <t>Challenge of the Champion: Summon a random Hero from the map to a duel and restore both of you to full Health &amp; Mana. If the challengee refuses, summon a new Hero and the challenger receives 250 gold.</t>
  </si>
  <si>
    <t>Challenge of the Beasts: Summon 2 Elites and 2 Weakling Creatures to fight against; Winning grants you their loot as well as an extra 500 Gold.</t>
  </si>
  <si>
    <t>Challenge of the Barbarians: Summon 2 Elites and 2 Weakling Sentients to fight against; Winning grants you their loot as well as an extra 500 Gold.</t>
  </si>
  <si>
    <t>Entertainment of the Gods: Summon forth a Guardian and fight it; If you win you also gain an extra 1000 Gold.</t>
  </si>
  <si>
    <t>If Combat Ends in any of the PvE Challenges without a Victory the Hero will gain the Coward condition and will not receive the reward.</t>
  </si>
  <si>
    <t>If Combat Ends in the Champion Challenge without a Victory the challenged Hero will return and no Gold shall be attributed and the Hero that caused the draw will gain the Coward condition. </t>
  </si>
  <si>
    <t>UPON PILLAGING: You may use the Arena and Gain 1000 Gold.</t>
  </si>
  <si>
    <t>You can offer Gear/Items, Gold or Blood in order to make Prayers. (Gold Value is determined by any Monetary value of Gear + Items at Resell Value; For Blood Transfers 1 Health = 10 Gold)</t>
  </si>
  <si>
    <t>Prayer for the Light: Offer 500 Gold value to recieve 1 Faith. (8 times per Restock)</t>
  </si>
  <si>
    <t>Prayer for the Dark: Offer 1500 Gold value and ALL other Heroes will Receive -1 Faith. (Once per Restock)</t>
  </si>
  <si>
    <t>Prayer for the Truth: Offer 1000 Gold value and reveal a 3 Hex Vision Radius of Target Landmark which is closest to you.</t>
  </si>
  <si>
    <t>You may pay 250 Gold to Remove 1 Stack of Rot; 1/Vendal.</t>
  </si>
  <si>
    <t>Pay 2000 Gold for 1000 Experience. (Once per Restock)</t>
  </si>
  <si>
    <t>UPON PILLAGING: You Loot 2000 Gold and may use the Shrine.</t>
  </si>
  <si>
    <t>Sells 1 Random Helix Artifact.</t>
  </si>
  <si>
    <t>Pay 500 Gold to Relearn Base Ability to one of your choice; Pay 1000 Gold to Relearn Ultimate Ability to one of your choice.</t>
  </si>
  <si>
    <t>You may Craft Scrolls with Fabric as well as Tomes and Sigils.</t>
  </si>
  <si>
    <t>Sells 1 of each Fabric per Restock; 1500 Gold for Legendary, 1000 Gold for Epic, 750 Gold for Rare; 500 Gold for Uncommon; 250 Gold for Common.</t>
  </si>
  <si>
    <t>Mythic Fabric is only available for purchase after the first Vendal for 2500 Gold.</t>
  </si>
  <si>
    <t>UPON PILLAGING: You Loot 1000 Gold, All Gear and Items present; You may use the Library.</t>
  </si>
  <si>
    <t>Set</t>
  </si>
  <si>
    <t>Set Bonus</t>
  </si>
  <si>
    <t>Set Pieces</t>
  </si>
  <si>
    <t>Leather Set</t>
  </si>
  <si>
    <t>(3) +3 Dexterity and +1 Mobility.  (5) +7 Dexterity; +2 Mobility</t>
  </si>
  <si>
    <t>Leather Cap; Leather Tunic; Leather Boots; Leather Gloves, Leather Pants.</t>
  </si>
  <si>
    <t>Copper Set</t>
  </si>
  <si>
    <t>(4) +30% Lightning Resistance; 50% Chance to Redirect Lightning Damage to Attacker.</t>
  </si>
  <si>
    <t>Copper Helm; Copper Breastplate; Copper Bracelet; Copper Faulds.</t>
  </si>
  <si>
    <t>Rusty Set</t>
  </si>
  <si>
    <t>(4) 5 Poison Damage on Hit; +4 Defense.</t>
  </si>
  <si>
    <t>Rusty Glaive; Rusty Sword; Rusty Mace; Rusty Cleaver; Rusty Knife; Rusty Shiv; Rusty Spear; Rusty Hand Cannon; Rusty Blunderbuss; Rusty Helmet; Rusty Chainmail; Rusty Bracer</t>
  </si>
  <si>
    <t>Bronze Set</t>
  </si>
  <si>
    <t>(3) +20% Deflection</t>
  </si>
  <si>
    <t>Bronze Cap; Bronze Cuirass; Bronze Sabatons</t>
  </si>
  <si>
    <t>Steel Set</t>
  </si>
  <si>
    <t>(5) +8 Defense; -2 Mobility; You are Immune to the Physical Damage of Arrows.</t>
  </si>
  <si>
    <t>Steel Helm; Steel Plate; Steel Faulds; Steel Treads; Steel Gauntlet.</t>
  </si>
  <si>
    <t>Frost Set</t>
  </si>
  <si>
    <t>(3) Active: Frostburn target Entity for 10 Frost Damage over 5 Turns. (Once per Day)</t>
  </si>
  <si>
    <t>Frostform Scepter; Frost Gloves; Ring of Frost.</t>
  </si>
  <si>
    <t>Demonskin Set</t>
  </si>
  <si>
    <t>(3) You gain a Fiery Aura granting all Entities under your Banner +20% Fire Resistance and 5 Fire Damage on Hit. (5) When Entering Combat Summmon a Hellcharger Minion until End of Combat.</t>
  </si>
  <si>
    <t>Demonskin Cap; Demonskin Coat; Demonkin Pants; Demonskin Boots; Demonskin Gloves</t>
  </si>
  <si>
    <t>The Furry Set</t>
  </si>
  <si>
    <t>(3): Increase the Passive of the Furry Set gear by 1, if you also have Thick fur condition, increase it by 2 instead.</t>
  </si>
  <si>
    <t>Loincloth; Wolf Head; Thick Fur</t>
  </si>
  <si>
    <t>Silk Set</t>
  </si>
  <si>
    <t>(2) +3 Dexterity; +3 Power (4) Passive: All bonus Health is Gained as Mana.</t>
  </si>
  <si>
    <t>Silk Cap; Silk Gloves; Silk Shorts.</t>
  </si>
  <si>
    <t>Captains Set</t>
  </si>
  <si>
    <t>(3) Gain +7 Dexterity; (6) Gain an immortal Parrot on your Shoulder; Parrot extends your Hex vision by 2; Active: (&gt;) Flash; Send the Parrot at Target to deal 25 Physical Damage (2/Combat)</t>
  </si>
  <si>
    <t>El Capitan; Captain's Hat; Captain's Coat; Captain's Pantaloons; Captain's Hook; Captain's Pegleg</t>
  </si>
  <si>
    <t>Legionaires Set</t>
  </si>
  <si>
    <t>(3) Any Damage Below 20 Will be Negated.</t>
  </si>
  <si>
    <t>Legionaire's Galea; Legionaire's Lorica Segmentata; Legionaire's Manica</t>
  </si>
  <si>
    <t>Hoarder Set</t>
  </si>
  <si>
    <t>(4) Active: Self Destruct the whole set; gain Sabians Bag and a Random Mythic Gear.</t>
  </si>
  <si>
    <t>Hoarder Crown; Hoarder Gloves; Hoarders Cape;Hoarder Boots</t>
  </si>
  <si>
    <t>Crystal Set</t>
  </si>
  <si>
    <t>(3) You can spend Double the Mana cost of your Non-Ultimate abilities to Trigger them 1 Rank higher; (5) Gain 50% Deflect Chance.</t>
  </si>
  <si>
    <t>Crystal Cone; Crystalmail; Crystal Gloves; Crystal Pants; Crystal Boots;</t>
  </si>
  <si>
    <t>Silver Set</t>
  </si>
  <si>
    <t>(3) +20% Elemental Resistance (6) Physical Damage vs Demons/Undead/Faeries is now True Damage. (9) All Your Resistances are Capped at 100%.</t>
  </si>
  <si>
    <t>Silver Armet; Silver Chainmail; Silver Ring; Silver Necklace; Silver Sword; The Silver Barricade; Silver Treads; Silver Gauntlet; Silver Faulds</t>
  </si>
  <si>
    <t>Twin Viper Set</t>
  </si>
  <si>
    <t>(2) Gain an additional 50% Lifedrain on all Bleed and Physical Damage Dealt.</t>
  </si>
  <si>
    <t>The Blood Viper x2.</t>
  </si>
  <si>
    <t>Mordred's Set</t>
  </si>
  <si>
    <t>(3) Active: Can switch between two modes: Defensive and Offensive: Either take 25% less damage or deal 25% more damage.</t>
  </si>
  <si>
    <t>Mordred's Rebellion; Mordred's Will;Mordred's Perseverance</t>
  </si>
  <si>
    <t>Cursed Set</t>
  </si>
  <si>
    <t>(2) Equipped Set Pieces from this set lose their Passives; (3) You are immune to curses; Active: Curse Target: Lose 1% max health Health each Turn.</t>
  </si>
  <si>
    <t>Cursebearer's Robes; The Third Eye; Mantle of Sacrifice</t>
  </si>
  <si>
    <t>Karna's Set</t>
  </si>
  <si>
    <t>(2) +20% Elemental Resistance  (4) Active: Cast all of the Sets Active Abilities; Gain Barrier equal to 1.5 * Missing Health Until End of Day.</t>
  </si>
  <si>
    <t>Karna's Body Crystal; Karna's Leggings; Karna's Boots; Karna's Gauntlets.</t>
  </si>
  <si>
    <t>Stalkers Set</t>
  </si>
  <si>
    <t>(3) +2 Mobility; Dodging an Attack makes you Invisible for 1 Turn. (5) Active: Become Stalker.</t>
  </si>
  <si>
    <t>Stalkers Revenge; Stalkers Hat; Stalkers Coat; Stalkers Trackers; Stalkers Legwraps.</t>
  </si>
  <si>
    <t>Vampiric Set</t>
  </si>
  <si>
    <t>(3) Active: Drain 80 Health from Target Entity. (1/Day)</t>
  </si>
  <si>
    <t>Vampiric Codex; Vampiric Tome; The Crimson Amulet.</t>
  </si>
  <si>
    <t>Deathly Brothers Set</t>
  </si>
  <si>
    <t>(2) Your Weapons Lose Unscallable and Deal Fatal as Base Damage.</t>
  </si>
  <si>
    <t>Elvion Set</t>
  </si>
  <si>
    <t>(2) The Guns Actives trigger each other at the same time; +0.5 Dexterity Scaling</t>
  </si>
  <si>
    <t>Selvion; Belvion.</t>
  </si>
  <si>
    <t>Dragonscale Set</t>
  </si>
  <si>
    <t>(2) Active: (&gt;) Spit Dragonfire on Target Dealing 25 Scorch Damage. (5 Pieces): Transform into a Dragon.</t>
  </si>
  <si>
    <t>Dragonscale Plate; Dragonscale Armguard; Dragonscale Cuisses; Dragonscale Treads. Dragonscale Ring</t>
  </si>
  <si>
    <t>Divine Set</t>
  </si>
  <si>
    <t>(2) Set Actives have Flash. (4) Damage from your Flash Actions and Actions now can Elementally Combine. (6) Active: Deal 100 True Damage to Target Entity. (1/Day)</t>
  </si>
  <si>
    <t>Helm of the Elemental Divine; Plate of the Elemental Divine; Sabatons of the Elemental Divine; Pauldrons of the Elemental Divine; Gauntlets of the Elemental Divine; Leggings of the Elemental Divine.</t>
  </si>
  <si>
    <t>Abyssal Set</t>
  </si>
  <si>
    <t>(3) Gain 50% Dark Resistance; +10 Defense; +10 Dispersion; (6) You are Permanently Invisible.</t>
  </si>
  <si>
    <t>Abyssal Hood; Abyssal Defense; Abyssal Kicks; Abyssal Bracers; Abyssal Gloves; Abyssal Strides;</t>
  </si>
  <si>
    <t>Meme Set</t>
  </si>
  <si>
    <t>(3) Active: Powerplay; Teleport in Melee Range of Random Hero and Strike them with a Nat D20.</t>
  </si>
  <si>
    <t>Straw Hat; The Fleezes; The Time-Stopper</t>
  </si>
  <si>
    <t>Crafting</t>
  </si>
  <si>
    <t>Requirment/Recipe</t>
  </si>
  <si>
    <t>Material/Amount</t>
  </si>
  <si>
    <t>1:1 Any Rarity</t>
  </si>
  <si>
    <t>Throwables</t>
  </si>
  <si>
    <t>1:5 Common / 1:4 Uncommon / 1:3 Rare / 1:2 Epic / 1:1 Legendary/Mythic</t>
  </si>
  <si>
    <t>Rune</t>
  </si>
  <si>
    <t>Scroll</t>
  </si>
  <si>
    <t>Library</t>
  </si>
  <si>
    <t>Drug: Cossar</t>
  </si>
  <si>
    <t>Lucio + Rogna</t>
  </si>
  <si>
    <t>Drug: Adam</t>
  </si>
  <si>
    <t>Barok + Zone</t>
  </si>
  <si>
    <t>Drug: Barok</t>
  </si>
  <si>
    <t>Mugno + Adam</t>
  </si>
  <si>
    <t>Drug: Mugno</t>
  </si>
  <si>
    <t>Zone + Rogna</t>
  </si>
  <si>
    <t>Drug: Lucio</t>
  </si>
  <si>
    <t>Adam + Paramount</t>
  </si>
  <si>
    <t>Drug: Rogna</t>
  </si>
  <si>
    <t>Barok + Mugno</t>
  </si>
  <si>
    <t>Drug: Zone</t>
  </si>
  <si>
    <t>Paramount +  Cossar</t>
  </si>
  <si>
    <t>Drug: Paramount</t>
  </si>
  <si>
    <t>Cossar + Lucio</t>
  </si>
  <si>
    <t>Light </t>
  </si>
  <si>
    <t>Innate</t>
  </si>
  <si>
    <t>(P) Light Well: Gain 20% Light Resistance.</t>
  </si>
  <si>
    <t>(❖:+) Healing Light: Restore 20 Health to Target. (2 Resonance)</t>
  </si>
  <si>
    <t>(❖:o) Reveal: Cause any Entity on Hexes you have Vision of to lose their Stealth and Invisibility. (2 Resonance)</t>
  </si>
  <si>
    <t>(❖:+) Cleanse: Clears 2 Statuses of your choice on Target. (3 Resonance)</t>
  </si>
  <si>
    <t>(❖:≈) Translucent Barrier: Give Target Barrier equal to Light Resistance Until End of Day; If your Light Resistance is Negative then Target takes that amount of Light Damage. (3 Resonance)</t>
  </si>
  <si>
    <t>(❖:&gt;) Vanquishing Laser: [Channel for 2 Turns] Precise; Deal 99 Light Damage to Target. (4 Resonance)</t>
  </si>
  <si>
    <t>(❖:^) Illuminate: Summon an Untargetable and Invulnerable Ball of Light that has 3 Stamina, 1 Hex vision; Is not affected by Forests and dies at End of Day. (4 Resonance)</t>
  </si>
  <si>
    <t>(❖:+) Temporary Blindness: Target Entity becomes Blind until end of Combat. (6 Resonance; 1/Vendal)</t>
  </si>
  <si>
    <t>(❖:+) Revive: Revive Target Corpse with 40% Current Health. (12 Resonance; 1/Vendal)</t>
  </si>
  <si>
    <t>Darkness</t>
  </si>
  <si>
    <t>(P) Corrupted Well: Gain 20% Dark Resistance.</t>
  </si>
  <si>
    <t>(❖:+) Dark Touch: Deal 25 Dark Damage up to 3 Different Targets. (2 Resonance)</t>
  </si>
  <si>
    <t>(❖:≈) Black Coat: Gain Stealth Until End of Day. (2 Resonance)</t>
  </si>
  <si>
    <t>(❖:&gt;) Fear Binding: Root and Fear Target for 2 Turns. (3 Resonance)</t>
  </si>
  <si>
    <t>(❖:+) Paradoxal Visions: Cause Target to become Confused for 1 Turn. (3 Resonance)</t>
  </si>
  <si>
    <t>(❖:+) Fade to Black: Target Starts Taking 15 Dark Damage at the Start of their Turn; Lasts Until End of Combat. (4 Resonance)</t>
  </si>
  <si>
    <t>(❖:+) Endarken: Counter; Cause Target Non-Ultimate Projectile to deal Dark Damage instead. (4 Resonance)</t>
  </si>
  <si>
    <t>(❖:o) The Black Impaling: Impale Every Other Entity you have Vision of with a black spike from the ground, Dealing 75 Dark Damage. (6 Resonance; 1/Vendal)</t>
  </si>
  <si>
    <t>(❖:^) Umbral Image: Summon an identical Shadow copy of Target as a Minion which can not use Resonance Abilities or Gear Actives; The Shadow Copy has 50% Damage Penalty, takes 50% more Total Damage and can't use Gear Actives. (12 Resonance; 1/Day; 1/Entity)</t>
  </si>
  <si>
    <t>Fire </t>
  </si>
  <si>
    <t>(P) Fire Well: Gain 20% Fire Resistance.</t>
  </si>
  <si>
    <t>(❖:&gt;) Fireball: Launch a Fireball Dealing 25 Fire Damage to Target and all Entities in its melee Range. (2 Resonance)</t>
  </si>
  <si>
    <t>(❖:≈) Cauterize Wound: Flash; Deal 5 Fire Damage to Target and Remove Bleeding and Torment Statuses from it. (2 Resonance)</t>
  </si>
  <si>
    <t>(❖:o) Blazing Soul: Gain 30% Fire Resistance Until End of Combat; Deal 30 Fire Damage to yourself and all Entities in Melee Range. (3 Resonance)</t>
  </si>
  <si>
    <t>(❖:o) Fire Wall: Create a wall of fire covering a Horizontal or Vertical line of 4 Tiles; It deals 25 Fire Damage Per Tick and Interrupts targets inside it; Lasts 3 Turns. (3 Resonance)</t>
  </si>
  <si>
    <t>(❖:+) Conflagration: Set Target Forest in 1 Hex Range aflame transforming it into a Wildfire Hex; All connected Forests become Wildfires as well; If Target Forest is already a Wildfire Transform all connected Forests into Plain Hexes. (4 Resonance)</t>
  </si>
  <si>
    <t>(❖:≈) Infernal Amplifcation: Cause your next Projectile to deal 50% of its total Damage as Bonus Fire Damage on Hit; Does not Stack. (4 Resonance)</t>
  </si>
  <si>
    <t>(❖:o) Molten Rain: Target Hex in 2 Hex Range becomes bombarded with molten rain; All Entities on Target Hex take 75 Fire Damage. (6 Resonance; 1/Vendal)</t>
  </si>
  <si>
    <t>(❖:&gt;) Archdragons Flame: Launch an extremely concentrated flame at Target for a total of 150 Fire Damage; If the Projectile Lands deal them another 150 Fire Damage. (12 Resonance; 1/Day)</t>
  </si>
  <si>
    <t>Frost </t>
  </si>
  <si>
    <t>(P) Frost Well: Gain 20% Frost Resistance.</t>
  </si>
  <si>
    <t>(❖:&gt;) Frostshard: Deal 25 Frost Damage with a 50% Chance to inflict Frostbite for 5 Damage Per Tick Over 3 Turns. (2 Resonance)</t>
  </si>
  <si>
    <t>(❖:≈) Winter Aura: Toggle; All other Entities in Combat are Constantly Slowed and Chilled. (2 Resonance/Turn)</t>
  </si>
  <si>
    <t>(❖:≈) Wave Glider: Traverse Water Hexes at no Stamina Cost in Cardinal Direction until you reach Land or fall off the Map. (3 Resonance; 1 Stamina)</t>
  </si>
  <si>
    <t>(❖:o) Frost Terrforming: Transform every Hex in 1 Hex Range into their Frostreach Biome counterparts and deal all other Entities in them 10 Frost Damage. (3 Resonance)</t>
  </si>
  <si>
    <t>(❖:+) Freezing Point: Counter; Freeze Target Non-Ultimate Projectile in place causing it to never reach you. (4 Resonance)</t>
  </si>
  <si>
    <t>(❖:+) Chilling Amputation: [Channel for 1 Turn] Freeze Target for 1 Turn; If the Target already Frozen Dismember them instead. (4 Resonance)</t>
  </si>
  <si>
    <t>(❖:≈) Coldframe: Counter; Freeze yourself for 2 Turns; Gain 100 Barrier; If your Freeze is not interrupted for the 2 Turns then gain another 100 Barrier. (6 Resonance; 1/Vendal)</t>
  </si>
  <si>
    <t>(❖:o) Arctic Death: Gain 50% Frost Resistance; Encase the Hex in a Frost Wall with 500 Health preventing Fleeing; All Entities will constantly become Frostbitten for 10 Frost Damage Per Tick Over 50 Turns at the Start of their Turn. (12 Resonance)</t>
  </si>
  <si>
    <t>Wind </t>
  </si>
  <si>
    <t>(P) Wind Well: Gain 20% Wind Resistance.</t>
  </si>
  <si>
    <t>(❖:&gt;) Wind Slash: Deal 25 Wind Damage; 20% Chance to Trigger again on Cast. (2 Resonance)</t>
  </si>
  <si>
    <t>(❖:≈) Elevated Jump: Move 2 Tiles. (2 Resonance)</t>
  </si>
  <si>
    <t>(❖:+) Calm Atmosphere: Cause Target to Sleep for 2 Turns. (3 Resonance)</t>
  </si>
  <si>
    <t>(❖:≈) Aerial Sight: Get a 1 Hex Vision Map around selected Hex. (3 Resonance)</t>
  </si>
  <si>
    <t>(❖:≈) Windwalk: Traverse Target Hex as if it were a simple Plains Hex at no Stamina Cost; Can only be used in Map phase. (4 Resonance)</t>
  </si>
  <si>
    <t>(❖:≈) Levitate: Gain Winged until End of Day. (4 Resonance)</t>
  </si>
  <si>
    <t>(❖:o) Tornado: Launch a Tornado in 1 Direction, traveling over 2 Total Hexes; Entities Hit take 75 Wind Damage and have 50% Chance to be thrown on another adjacent Hex. (6 Resonance; 1/Vendal)</t>
  </si>
  <si>
    <t>(❖:o) Hurricane: Create a Hurricane on Target Hex; At Start of Day the Hurricane Deals 100 Wind Damage to Everything and Destroys all Zones in a 2 Hex Range; Once Cast you may Spend 2 Resonance to move it. (12 Resonance; 1/Vendal)</t>
  </si>
  <si>
    <t>Earth </t>
  </si>
  <si>
    <t>(P) Earth Well: Gain 20% Earth Resistance.</t>
  </si>
  <si>
    <t>(❖:+) Stone Spike: Cause spikes to emerge from beneath the Targets ground, impaling them for 25 Earth Damage; 20% Chance to inflict Stun for 1 turn. (2 Resonance)</t>
  </si>
  <si>
    <t>(❖:o) Mud Pond: Form a mud pond on a 2x2 Tile Radius; Entities inside are permanently Slowed. (2 Resonance)</t>
  </si>
  <si>
    <t>(❖:^) Prison Wall: Encase Target Tile in Walls of stone trapping Entities or Objects inside it; The walls have 50 Health; While inside the Prison Targets are Rooted; Targets that are trapped can't receive or use Projectile Abilities. (3 Resonance)</t>
  </si>
  <si>
    <t>(❖:≈) Resonating Groundwave: Explore Target Hex you are currently on. (3 Resonance)</t>
  </si>
  <si>
    <t>(❖:^) Stone Golem: Summon a Stone Golem on Target Tile that lasts Until End of Combat; It has 60 Health, 2 Defense, 2 Dispersion and 10 Physical Damage Melee Basic Attack. (4 Resonance)</t>
  </si>
  <si>
    <t>(❖:^) Land Bridge: Turn the next 3 Hexes in the same cardinal direction into plains; After any Entity Traverses off one of the Summoned Hexes, they revert back to their original Hex. (4 Resonance)</t>
  </si>
  <si>
    <t>(❖:+) Spiral Crush: [Channel for 2 Turn] Cause an Ancient Stone Spiral to suround Target extending in two directions and closing in crushing the Target inside for 100 Earth Damage. (6 Resonance)</t>
  </si>
  <si>
    <t>(❖:o) Seismic Tremor Chain: Herald(The Ground quakes) Cause a tremor across the Entire Planes; All Other Entities take 25 Earth Damage; At the Start of the next Day repeat this Ability. (12 Resonance; 1/Vendal)</t>
  </si>
  <si>
    <t>Lightning </t>
  </si>
  <si>
    <t>(P) Lightning Well: Gain 20% Lightning Resistance.</t>
  </si>
  <si>
    <t>(❖:&gt;) Lightning Bolt: Launch a Lightning Bolt dealing 25 Lightning Damage at Target and Stagger them for 1 Turn. (2 Resonance)</t>
  </si>
  <si>
    <t>(❖:≈) Lightning Footwork: Counter; Dodge incoming Strike or Projectile with +2 Mobility, If the Dodge Failed and the Attacker is in Melee Range they take 20 Lightning Damage. (2 Resonance)</t>
  </si>
  <si>
    <t>(❖:o) Thundering Release: Cause Electricity to hit all Entities on 3x3 Tile Range for 30 Lightning Damage and Staggering them for 1 Turn. (3 Resonance)</t>
  </si>
  <si>
    <t>(❖:≈) Electrify: Cause Targets Attacks to deal 10 Lightning Damage on Hit Until End of Combat. (3 Resonance)</t>
  </si>
  <si>
    <t>(❖:≈) Enter Overdrive: Toggle; Cast any Action as a Flash Action. (2 Resonance/Turn)</t>
  </si>
  <si>
    <t>(❖:≈) Energize: Gain +1 on all Rolls you do in Combat; Lasts until End of Combat. (4 Resonance)</t>
  </si>
  <si>
    <t>(❖:&gt;) Lightning Ray: Send out a Lightning Ray in 1 Direction; It Travels through 7 Hexs in the Specified Direction Dealing 75 Lightning Damage to all Entities on those Hexs. (6 Resonance; 1/Vendal)</t>
  </si>
  <si>
    <t>(❖:≈) Flash: Immediately Teleport yourself to Target Hex in 3 Hex Range; If you enter Combat with this Ability you may choose the Tile you Teleport to as well. (12 Resonance; 1/Vendal)</t>
  </si>
  <si>
    <t>Bleed </t>
  </si>
  <si>
    <t>(P) Blood Well: Gain 20% Bleed Resistance.</t>
  </si>
  <si>
    <t>(❖:+) Deep Wound: Cause Target in Melee Range Bleeding for 10 Bleed Damage Per Tick Over 4 Turns. (2 Resonance)</t>
  </si>
  <si>
    <t>(❖:≈) Perfect Circulation: Gain 1 Mobility Until End of Day. (2 Resonance)</t>
  </si>
  <si>
    <t>(❖:+) Blood Pact: Heal Target for 20% of their Missing Health. (3 Resonance; 1/Day)</t>
  </si>
  <si>
    <t>(❖:≈) Blood Deflector: Gain 10 Barrier until End of Day. (3 Resonance)</t>
  </si>
  <si>
    <t>(❖:≈) Leeching Thirst: Your next 3 Basic Attacks have 50% Life Drain. (4 Resonance)</t>
  </si>
  <si>
    <t>(❖:≈) Bloodback: Restore Health to Target equal to Physical Damage taken last Turn. (4 Resonance)</t>
  </si>
  <si>
    <t>(❖:+) The Bleedout: Cause Targets skin to rapture inflicting Bleeding for 5 Bleed Damage Per Tick Over 999 Turns. (6 Resonance; 1/Vendal)</t>
  </si>
  <si>
    <t>(❖:o) Sanguine Siphon: Drain 50 Max Health from all Targets on Hex. (12 Resonance)</t>
  </si>
  <si>
    <t>Poison </t>
  </si>
  <si>
    <t>(P) Poison Well: Gain 20% Poison Resistance.</t>
  </si>
  <si>
    <t>(❖:&gt;) Poisoning Needle: Inflict Target with Poison for 5 Damage Per Tick Over 6 Turns. (2 Resonance)</t>
  </si>
  <si>
    <t>(❖:≈) Venom: Your Weapon Inflicts Poison for 5 Damage per Tick Over 3 Turns Until End of Day. (2 Resonance)</t>
  </si>
  <si>
    <t>(❖:≈) Cure: Remove Poison/Infected/Blinded Status from Target. (3 Resonance)</t>
  </si>
  <si>
    <t>(❖:≈) Serpent's Kiss: [Requires Melee Range] Double the Damage per Tick of all Poison Ticks on Target. (2 Resonance; 1/Day)</t>
  </si>
  <si>
    <t>(❖:o) Acidic plague: Create an Acidic Plague on a 3/3 Tile Range lasting 3 Turns; All Entities Inside it take 25 Poison Damage at the start of their Turn and have their Defense and Dispersion Halved until End of Combat. (4 Resonance)</t>
  </si>
  <si>
    <t>(❖:≈) Flourishing in Filth: Gain Resilient for the same amount of Ticks as the longest Negative Status affecting you. (3 Resonance)</t>
  </si>
  <si>
    <t>(❖:o) Toxic Liquidity: Create a Poison Vapor around you that spreads all over the Hex; All Other Entities on the Hex Take 25 Poison Damage Per Tick Until End of Combat. (6 Resonance; 1/Vendal)</t>
  </si>
  <si>
    <t>(❖:+) Noxious Rot: Inflict Rotting twice and Deal 50 Poison Damage to Target per Stack of Rot that they have. (12 Resonance)</t>
  </si>
  <si>
    <t>Offense</t>
  </si>
  <si>
    <t>+1 Attribute Point</t>
  </si>
  <si>
    <t>Master Unarmed: Unarmed Type gains +1 Scaling.</t>
  </si>
  <si>
    <t>(≈) Hit Harder: Basic Attack Target with +1 Extra Scaling on your highest Scaling Attribute. (2/Day)</t>
  </si>
  <si>
    <t>+1 Might</t>
  </si>
  <si>
    <t>(≈) Shield Break: Basic Attack Target, if the Basic Attack Lands their Defense is reduced by 50% of the Damage Blocked. (2/Day)</t>
  </si>
  <si>
    <t>+2 Base Strength</t>
  </si>
  <si>
    <t>Master Dual Wield: You may Dual Wield Two Handed Weapons; Bows are excluded.</t>
  </si>
  <si>
    <t>(P) Offense is the best Defense: Basic Attacking with a Roll of 16 or Higher gives you a Preparation Stack.</t>
  </si>
  <si>
    <t>+0.5 Crit Multiplier</t>
  </si>
  <si>
    <t>Master Tactical Combat: You can select your Banners Starting Tiles in Combat up to 2 Tiles from closest Hostile Entity.</t>
  </si>
  <si>
    <t>(≈) Prominence: Archform; Gain 1 Crit Multiplier, 1 Scaling and Unstoppable; Your Attacks have Precise; Basic Attacks have +2 Roll Modifier; Lasts 5 Turns. (1/Vendal)</t>
  </si>
  <si>
    <t>-</t>
  </si>
  <si>
    <t>+1 Stat Point</t>
  </si>
  <si>
    <t>Master Shield/Buckler: Master Shield or Buckler; Mastered Type Give 50% More Stats.</t>
  </si>
  <si>
    <t>(≈) Lucky Block: [Requires Shield/Buckler] Counter; Block Target Projectile/Strike reducing Damage equal to your Defense. (2/Day)</t>
  </si>
  <si>
    <t>10% Elemental Resistance</t>
  </si>
  <si>
    <t>Master Heavy Armor: Armor Pieces no longer give negative Stats.</t>
  </si>
  <si>
    <t>(P) Tenacity: Gain 1 Extra Counter Action .</t>
  </si>
  <si>
    <t>+2 Base Defense &amp; 2 Base Dispersion</t>
  </si>
  <si>
    <t>Master Heavy Combat: Your Basic Attack now also scales with 50% of your Defense.</t>
  </si>
  <si>
    <t>(❖:≈) The Iron Dome: Toggle; Gain a Shield That gives 10 Defense, 10 Dispersion and 30% Deflect. (5% Current Health/Turn)</t>
  </si>
  <si>
    <t>+50 Max Health</t>
  </si>
  <si>
    <t>Master Protection: You may choose as Counter to redirect Projectiles or Strikes to you as long as the Original Target is in your Melee Range.</t>
  </si>
  <si>
    <t>(≈) Resilience: Archform; Gain Resilient; +50% Elemental Resistance; Defense and Dispersion are combined into 1 Stat called Resilience; Lasts 5 Turns. (1/Vendal)</t>
  </si>
  <si>
    <t>Agility</t>
  </si>
  <si>
    <t>Master Throwable Type: Throwables of that Type gain 0.5 Scaling.</t>
  </si>
  <si>
    <t>(≈) Power Dodge: Counter; Dodge with +5 Roll Modifier. (0.5 Stamina)</t>
  </si>
  <si>
    <t>+1 Mobility</t>
  </si>
  <si>
    <t>(≈) Sprint: Move up to 3 Tiles. (1 Stamina)</t>
  </si>
  <si>
    <t>+2 Base Dexterity</t>
  </si>
  <si>
    <t>Master Dodging: Your Dodges gain +2 on their Roll.</t>
  </si>
  <si>
    <t>(≈) Tempo Switch: Counter; Your next Action will have Flash or Blitz. (1/Combat)</t>
  </si>
  <si>
    <t>+1 Stamina</t>
  </si>
  <si>
    <t>Master Breathing: Your Traversal Attempt Rolls have a +2 Roll Modifier.</t>
  </si>
  <si>
    <t>(≈) Celerity: Archform; Gain 4 Mobility; Gain 1 Extra Flash Action per Turn; Your Actions have Flash; Lasts 5 Turns. (1/Day)</t>
  </si>
  <si>
    <t>Master Vital Spots: Vitals gain +0.5 Crit Multiplier.</t>
  </si>
  <si>
    <t>(❖:≈) Smoke Cloud: Become Invisible for 1 Turn. (2/Day)</t>
  </si>
  <si>
    <t>10% Deflection</t>
  </si>
  <si>
    <t>(P) Shadowboom: Everytime you Become Invisible you create a shadowy explosion dealing 10 True Damage.</t>
  </si>
  <si>
    <t>+3 Flee Roll</t>
  </si>
  <si>
    <t>Master Art of Stealth: Gain the Stealth Condition.</t>
  </si>
  <si>
    <t>(≈) Unseen Threat: Basic Attack target Dealing 10 True Damage for each turn you were invisibe previously. (1/Day)</t>
  </si>
  <si>
    <t>+0.5 Scaling</t>
  </si>
  <si>
    <t>Master Sneaking: Become Invisible for 2 Turns on Combat Start.</t>
  </si>
  <si>
    <t>(≈) Concealment: Archform; Gain Ethereal and Invisible; If Invisibility is lost it gets reapplied at the Start of your Turn; Lasts 5 Turns. (1/Vendal)</t>
  </si>
  <si>
    <t>Master Hand Catalyst: Your Unarmed Basic Attacks become Ranged, have +5 Base Damage and deal Magic Damage.</t>
  </si>
  <si>
    <t>(❖:^) Orb of Power: Summon an Orb surrounding you which constantly gives you 1 Power per Turn until end of combat. (2/Day)</t>
  </si>
  <si>
    <t>+1 Wisdom</t>
  </si>
  <si>
    <t>(❖:o) Arcane Release: Push Everything in Melee Range 1 Tile away and deal Magic Damage equal to Power. (1/Day)</t>
  </si>
  <si>
    <t>+2 Base Power</t>
  </si>
  <si>
    <t>Master Mana Pool Expansion: Gain 20 Max Mana at the Start of Day.</t>
  </si>
  <si>
    <t>(❖:≈) Arcanic Influx: Double your current Power until End of Combat. (1/Day)</t>
  </si>
  <si>
    <t>+50 Max Mana</t>
  </si>
  <si>
    <t>Master the Arcane: All Magic Damage you deal becomes Arcane Damage.</t>
  </si>
  <si>
    <t>(≈) Emergence: Archform; Gain Surge; Gain 10 Power; Refresh all other Ability Cooldowns and Restore 100 Mana Upon Cast; Lasts 5 Turns. (1/Vendal)</t>
  </si>
  <si>
    <t>Intellect</t>
  </si>
  <si>
    <t>Master Cognition: Whenever you gain Experience gain 50 more; Does not count itself.</t>
  </si>
  <si>
    <t>(≈) The Great Work: Create a Great Work; It occupies a Slot in your Inventory and may be Sold for 300 Gold. (1/Day; 1 Stamina)</t>
  </si>
  <si>
    <t>+10% Fortitude</t>
  </si>
  <si>
    <t>Master Deduction: You will always know who is the Highest Level Hero, Richest Hero, Hero with largest Banner and what Biome they are in.</t>
  </si>
  <si>
    <t>(≈) Emotional Manipulation: The next Purchase you will make at Target Zone will be 50% Cheaper. (1/Zone)</t>
  </si>
  <si>
    <t>+1 on Landmark Rolls</t>
  </si>
  <si>
    <t>Master Philosophy: Upon Engaging Combat with a Sentient Roll D20; Rolling between 16-20 will Convert Sentients up to Bosses to your Banner.</t>
  </si>
  <si>
    <t>(≈) Magnum Opus: Consume a Great Work, a Legendary Item and a Legendary Gear to Create a Random Artifact of Legendary Rarity.</t>
  </si>
  <si>
    <t>+1 Roll Modifier</t>
  </si>
  <si>
    <t>Master Rationality: You become immune to Confusion, Charm and Fear.</t>
  </si>
  <si>
    <t>(≈) Brilliance: Archform; Gain Enlightment; You are able to detect Invisible Entities; +4 Roll Modifier; Lasts 5 Turns. (1/Vendal)</t>
  </si>
  <si>
    <t>LEVEL</t>
  </si>
  <si>
    <t>YOU ARE LIVING</t>
  </si>
  <si>
    <t>YOU ARE FAE</t>
  </si>
  <si>
    <t>YOU ARE CONSTRUCT</t>
  </si>
  <si>
    <t>YOU ARE UNDEAD</t>
  </si>
  <si>
    <t>YOU ARE DEMON</t>
  </si>
  <si>
    <t>YOU ARE DIVINE</t>
  </si>
  <si>
    <t>YOU ARE ELDRITCH</t>
  </si>
  <si>
    <t>10% IN ELEMENTAL RESISTANCE OF YOUR CHOICE</t>
  </si>
  <si>
    <t>20% IN ELEMENTAL RESISTANCE OF YOUR CHOICE</t>
  </si>
  <si>
    <t>CHANGE KIN TO UNDEAD/DEMON/FAE/CONSTRUCT/DIVINE OR GAIN A RANDOM MEDIUM QUEST</t>
  </si>
  <si>
    <t>CHANGE KIN TO UNDEAD/DIVINE OR GAIN A RANDOM MEDIUM QUEST</t>
  </si>
  <si>
    <t>CHANGE KIN TO ELDRITCH/DEMON OR GAIN A RANDOM MEDIUM QUEST</t>
  </si>
  <si>
    <t>CHANGE KIN TO DEMON/ELDRITCH OR GAIN A RANDOM MEDIUM QUEST</t>
  </si>
  <si>
    <t>CHANGE KIN TO DIVINE/CONSTRUCT OR GAIN A RANDOM MEDIUM QUEST</t>
  </si>
  <si>
    <t>CHANGE KIN TO DEMON/FAE OR GAIN A RANDOM MEDIUM QUEST</t>
  </si>
  <si>
    <t>CHANGE KIN TO CONSTRUCT/UNDEAD OR GAIN A RANDOM MEDIUM QUEST</t>
  </si>
  <si>
    <t>IF KIN CHANGED TO FAE PATH IS FORCED TO SPRIGGAN AT LEVEL 6</t>
  </si>
  <si>
    <t>IF KIN CHANGED TO UNDEAD PATH IS FORCED TO VAMPIRE AT LEVEL 6</t>
  </si>
  <si>
    <t>IF KIN CHANGED TO ELDRITCH PATH IS FORCED TO ABYSSETH AT LEVEL 6</t>
  </si>
  <si>
    <t>IF KIN CHANGED TO DEMON PATH IS FORCED TO BRANDED AT LEVEL 6</t>
  </si>
  <si>
    <t>IF KIN CHANGED TO DIVINE PATH IS FORCED TO NEPHILIM AT LEVEL 6</t>
  </si>
  <si>
    <t>IF KIN CHANGED TO CONSTRUCT PATH IS FORCED TO AUGMENTATOR AT LEVEL 6</t>
  </si>
  <si>
    <t>SERVANTS CALL: POWERPLAY; PAY 500 GOLD; GAIN 1 MERCENARY OF YOUR KIN AT LEVEL 6</t>
  </si>
  <si>
    <t>SERVANTS CALL: POWERPLAY; PAY 500 GOLD; GAIN 1 MERCENARY OF YOUR KIN</t>
  </si>
  <si>
    <t>CHOOSE PATH: DRAGONBOUND / LYCAN / MAESTER</t>
  </si>
  <si>
    <t>CHOOSE PATH: SWORN / SPRIGGAN / SAGE</t>
  </si>
  <si>
    <t>CHOOSE PATH: INSTRUMENT / AUGMENTATOR / PARAGON</t>
  </si>
  <si>
    <t>CHOOSE PATH: ETERNAL / VAMPIRE / MONARCH OF RUIN</t>
  </si>
  <si>
    <t>CHOOSE PATH: DEMON LORD / BRANDED / ARCHDEMON</t>
  </si>
  <si>
    <t>CHOOSE PATH: ARCHANGEL / NEPHILIM / SERAPHIM</t>
  </si>
  <si>
    <t>CHOOSE PATH: SERVANT OF RUST / ABYSSETH / VOIDSHAPER</t>
  </si>
  <si>
    <t>DRAGONBOUND - Gain 10% Damage Reduction and 25 Health; Dragons and Prime Bosses are not Hostile towards you unless provoked.</t>
  </si>
  <si>
    <t>SWORN - Gain 2 Stat Point and 2 Attribute Points; Killing other Fae absorbs their Essence giving you 1 Faerian Essence for each Fae killed.</t>
  </si>
  <si>
    <t>INSTRUMENT - Gain 10% Elemental Resistance</t>
  </si>
  <si>
    <t>ETERNAL - Gain 70 Max Health.</t>
  </si>
  <si>
    <t>DEMON LORD - Gain 1000 Gold; Demon Creatures are no longer Hostile unless Provoked.</t>
  </si>
  <si>
    <t>ARCHANGEL - Gain 30% Light Resistance; Gain Light Damage On Hit on your Attacks equal to 10% of your Light Resistance.</t>
  </si>
  <si>
    <t>SERVANT OF RUST - Gain the Rusting Condition; If you already have it, Gain 20% Elemental Resistance.</t>
  </si>
  <si>
    <t>(P) Solid Scales: When Entering Combat gain 10 Defense and 10 Dispersion for 3 Turns.</t>
  </si>
  <si>
    <t>(P) Absolutist: All Non-Hero Entities you encounter are Fae, unless they are Prime.</t>
  </si>
  <si>
    <t>(P) Resourcefulness: You can go down to -30 Resource Max; While Resource is below 0, you are Sealed; Mana and Soul will Reset to 0 on Day End, while Rage, Insanity and Focus will reset after Combat.</t>
  </si>
  <si>
    <t>(P) Neverending Decesion: Powerplay; When your health is reduced below 0, instead of dying your are set to 1 Health.</t>
  </si>
  <si>
    <t>(P) Demonic Ladder: Gain the Gating Condition; If you you already have Gating gain Fireborn; If you already have Fireborn Gain Winged; If you already have Winged gain 100 Health.</t>
  </si>
  <si>
    <t>(P) Heavenly Hailing: All Hostile Entities you enter Combat with lose 20% Light Resistance.</t>
  </si>
  <si>
    <t>(P) Familiar Oxide: Gear from the Rusted Set grants you an extra 50 Health, 2 Defense and 2 Dispersion.</t>
  </si>
  <si>
    <t>(&gt;) Dragons Wrath: Spit Dragon Fire at Target Dealing 30 Scorch Damage. (3 Turn Cooldown)</t>
  </si>
  <si>
    <t>(&gt;) Devouring Bolt: Launch a Bolt of Faerian devouring magic at Target for 10(+1000% Faerian Essence) Magic Damage; If Target is Fae this Attack deals True Damage instead. (3 Turn Cooldown)</t>
  </si>
  <si>
    <t>(&gt;) Suppresion: Fire a flashbang at Target, Stunning them for 2 Turns. (1/Day)</t>
  </si>
  <si>
    <t>(^) Forbidden Reanimation: Powerplay; Halve the Max Health of Target Corpse and Bring it back to Life under your Control.</t>
  </si>
  <si>
    <t>(^) Impspawn Gateway: Summon a Demonic Gateway covering 2/2 Tiles, It will spawn 1 Imp at its Start of Turn which last Until End of Combat; Has 50 Health; Up to 2. (3 Turn Cooldown)</t>
  </si>
  <si>
    <t>(o) Starlight Fragmentation: (Channel for 1 Turn) Cause a Fragments of a Heavenly Star to fall on Target Tile for 80 Light Damage and Stunning them for 1 Turn. (1/Day)</t>
  </si>
  <si>
    <t>(+) Enrusten the Flesh: Cause Target to lose all their Flash Actions Until End of Combat. (1/Day)</t>
  </si>
  <si>
    <t>(P) Draconic Binding: When entering Combat Call down your bound Dragons Flames to deal 40 Scorch Damage to all Hostile Entities.</t>
  </si>
  <si>
    <t>(P) Essence Conversion: Gain 1 Attribute Point for each Faerian Essence you have.</t>
  </si>
  <si>
    <t>(P) Overload: If below 0 Resource, your Basic Attacks will deal an extra 10 Lightning Damage on Hit.</t>
  </si>
  <si>
    <t>(P) Nightless Ride: You may no longer Attempt to move without Stamina, Instead your trusted Undead Horse will be summoned beneath you to carry you at the cost of 20 Health.</t>
  </si>
  <si>
    <t>(P) Gateway Closing: If there are active Gateways in Combat when you die, destroy a random one and revive yourself at 1 Health; All Entities reroll their initiative.</t>
  </si>
  <si>
    <t>(P) Angelic Promise: Lose all Affinity Abilities; Convert all your other Resources into Health.</t>
  </si>
  <si>
    <t>(P) Rusted by the Rain: If you have the full Rused Set equipped Gain 200 Health, 20 Defense, 20 Dispersion and +20 Base Damage on your Main Hand Weapon.</t>
  </si>
  <si>
    <t>(≈) Dragon Form: Become a Dragon Hybrid Gaining Surge, Resilient and Gain +1 Crit Multiplier for 3 Turns. (1/Day)</t>
  </si>
  <si>
    <t>(≈) Faerian Preparation: Force all other Entities on Hex to choose to lose X0 Health or X0 Mana where X is your Faerian Essence, if they do not have Mana they lose Health automatically. (2 Day Cooldown)</t>
  </si>
  <si>
    <t>(≈) Discharge: If below 0 Resource, you can reset it back to 0 by causing an explosion dealing 40 Shock Damage to all Entities in Melee Range. (1/Day)</t>
  </si>
  <si>
    <t>(≈) Slumber: At the Start of the next Day you are forced to rest; If the rest is not interrupted you restore your Health and Resource to Max. (1/Vendal)</t>
  </si>
  <si>
    <t>(^) Demonic Gateways: Summon a 50 Health Resilient, Surged or Enlightened Gateway covering 2/2 Tiles until End of Combat; The Gateway grants you their respective Status; Up to 3.  (3 Turn Cooldown)</t>
  </si>
  <si>
    <t>(^) Show Salvation: Cause Target Non-Hero Entity with lower Level than you to join your Banner. (1/Day)</t>
  </si>
  <si>
    <t>(+) Enrusten the Blood: Cause Target to lose all their Counter Actions Until End of Combat. (1/Day)</t>
  </si>
  <si>
    <t>(P) Dragonbound Legacy: Survive Lethal Damage once per Day.</t>
  </si>
  <si>
    <t>(P) Sworn Legacy: Gain 10 Faerian Essence.</t>
  </si>
  <si>
    <t>(P) Instrument Legacy: If below 0 Resource, you become Surged and Unstoppable.</t>
  </si>
  <si>
    <t>(P) Eternal Legacy: At the Start of every day gain 70 Max Health.</t>
  </si>
  <si>
    <t>(P) Demon Lord Legacy: Your Gateway Abilities have Flash and Double Health.</t>
  </si>
  <si>
    <t>(P) Archangel Legacy: You are granted the Ability to consume the Souls of your Followers that died; Every Soul Consumed Increases your Light Resistance by 20%.</t>
  </si>
  <si>
    <t>(P) Rusted Legacy: Your Main-Hand and Off-Hand Weapons Gain 20 Poison Damage on Hit.</t>
  </si>
  <si>
    <t>(^) Summon Dragon: Powerplay; Summon a Dragon.</t>
  </si>
  <si>
    <t>(≈) Reunification Ritual: [Requires Faerian Preparation to have been cast 3 times this Campaign and at least 20 Faerian Essence] Powerplay; Transform yourself into the Arkafaerian; If you have 40 Faerian Essence Transform into the True Arkafaerian instead.</t>
  </si>
  <si>
    <t>(o) Propelled Nuke: Launch a Nuke at 1 Hex Range Dealing 100 Radiation Damage too all Entities on Hex. (1/Day)</t>
  </si>
  <si>
    <t>(+) Nocrian Porting: Counter; Teleport to Target Tile causing Flux, Strikes and Projectiles targeting you or your Tile to Miss. (1/Day)</t>
  </si>
  <si>
    <t>(≈) Hellforged Gift: Powerplay; Choose a Weapon Type; Gain a Mythic Weapon of chosen Type with an extra 30 Pyro Damage On Hit and Double its Base Damage.</t>
  </si>
  <si>
    <t>(≈) Archangel Evolution: Powerplay; Gain 400 Health, You become immune to Statuses; You gain 10 Defense and Dispersion; Replace this Ability with (+) Highest Light: Flash; Deal Target 100 Light Damage; Gain 20% Light Resistance. (1/Day)</t>
  </si>
  <si>
    <t>(+) Enrusten the Body: [Requires Target to be affected by both Enrusten the Flesh and Enrusten the Blood] Inflict Slow, Corroded and Weakened until End of Combat. (1/Day)</t>
  </si>
  <si>
    <t>LYCAN - Gain 1 Stamina and 1 Mobility; You may Devour the Corpses of Living Entities in order to Heal 30 Health.</t>
  </si>
  <si>
    <t>SPRIGGAN - Gain 40% Bleed Resistance, 40% Earth Resistance; 40% Poison Resistance and -40% Fire Resistance.</t>
  </si>
  <si>
    <t>AUGMENTOR - Unlock 5 Inventory Slots; At Level 7, 9, 11 gain 1 Augment Core which occupy 1 Slot each.</t>
  </si>
  <si>
    <t>VAMPIRE - Gain 20% Lifedrain on your Basic Attacks.</t>
  </si>
  <si>
    <t>BRANDED - Gain the Gating condition.</t>
  </si>
  <si>
    <t>NEPHILIM - Gain 1 Faith.</t>
  </si>
  <si>
    <t>ABYSSETH - Increase your Fortitude Cap by 10%; If you have at least 1 Stack of Rot Remove 1 Stack of Rot and Gain 10% Fortitude.</t>
  </si>
  <si>
    <t>(P) Full Moon Howl: Every 3 Days you gain 2 Gray Wolves, they drop no loot and have Max Stamina equal to yours.</t>
  </si>
  <si>
    <t>(P) Heart of Vines: Gain the Regeneration Condition and 50 Max Health; If you already have the Regeneration Condition then gain 100 Max Health instead.</t>
  </si>
  <si>
    <t>(P) Augmented Body: You may consume 1 Augment Core to gain one of the following augments: 2 Strength; 1 Defense; 50 Max Health or 2 Power; 1 Dispersion; 50 Max Mana or 2 Dexterity and 1 Mobility.</t>
  </si>
  <si>
    <t>(P) Spread the Wings: Gain the Winged Condition.</t>
  </si>
  <si>
    <t>(P) Branded Scaling: Gain 1 Attribute Point for every Combat you are Victorious in.</t>
  </si>
  <si>
    <t>(≈) Astral Awareness: Roll Target Landmark in 1 Hex Range; That outcome is set in stone for anyone who traverses it. (1/Day)</t>
  </si>
  <si>
    <t>(P) I am the Terror: Gain the Fearless and Insane Conditions; If you already have either of them Gain 2 Wisdom Instead.</t>
  </si>
  <si>
    <t>(≈) Werewolf Bite: Bite Target dealing 60 Physical Damage with 50% Lifedrain. (4 Turn Cooldown)</t>
  </si>
  <si>
    <t>(+) Thorn Growth: Surround Target in thorned vines dealing 30 Nature Damage and 30 Poison Damage to Target Entity. (4 Turn Cooldown)</t>
  </si>
  <si>
    <t>(≈) Augmented Reality: Augment the very fabric of the Hex you are standing on, Transforming it in any Hex of your choice. (1/Day)</t>
  </si>
  <si>
    <t>(≈) Bloodlust and Servitude: Bite and drink the Blood of Target in Melee Range Draining them for 20 Health; If Target will Die from this Attack they instead come under your Banner; Up to 1 servant. (2 Turns Cooldown)</t>
  </si>
  <si>
    <t>(≈) Sigil - The Iron: Gain a Random Positive Status that lasts for 3 Turns; It can not give you a Status already Active. (1/Day)</t>
  </si>
  <si>
    <t>(+) The Curse of the Nephilim: 1 Hex Range; Curse Target; Curse: You no longer Regenerate 10 Health and Resource on Day Start. (1/Entity; 1/Day)</t>
  </si>
  <si>
    <t>(o) Unsettling Miasma: Inflict Fear in all other Entities on Hex for 2 Turns. (1/Combat)</t>
  </si>
  <si>
    <t>(P) Deprived Lycanthropy: At the Start of Day you have 50% Chance to become Enraged Until End of Day; While Enraged your Physical Damage has 50% Lifedrain.</t>
  </si>
  <si>
    <t>(P) Gift of Roses: Corpses you leave behind have roses grow out of them which act as a Common Ward granting 1 Hex Vision.</t>
  </si>
  <si>
    <t>(P) Augmented Sight: You may consume 1 Augment Core to gain +1 Hex Vision and Vigilant or consume 2 Augment Cores to gain +2 Hex Vision and the ability to see Invisible Entities and Objects.</t>
  </si>
  <si>
    <t>(P) Vampiric Aura: All other Entities on Hex have -30% Elemental resistance.</t>
  </si>
  <si>
    <t>(P) Branding Ritual: Upon kiling a Sentient Target Entity you may choose to have their Corpse Branded for 20 Health Cost; At the Start of Day Gain 1 Attribute Point for each Branded Corpse.</t>
  </si>
  <si>
    <t>(P) Convergence of Souls: For every Cursed Entity gain 25 Barrier upon entering Combat that lasts Until end of Combat.</t>
  </si>
  <si>
    <t>(P) Willpower Unmade: Ticks of Negative Statuses that you Inflict also Reduce Targets Fortitude by 10% until End of Combat (The Reduction happens after the initial Fortitude Roll).</t>
  </si>
  <si>
    <t>(≈) Wolf Form: Flash; Counter; Toggle; Transform into a Wolf; While in Wolf Form gain Stealth, Vulnerable and +4 Mobility; You are able to move as Flash in Combat.</t>
  </si>
  <si>
    <t>(+) Branched Rebirthing: [Requires Map Phase] Teleport to Target Hex you have Vision of. (2 Days Cooldown)</t>
  </si>
  <si>
    <t>(≈) Augmented Arsenal: Powerplay; Destroy a Gear Piece to add its active/passive onto another Gear Piece of the same type (Weapon/Armor/Jewelry).</t>
  </si>
  <si>
    <t>(≈) Reveal of True Form: Take your True Form until End of Combat, Gaining 100 Health, 10 Power, 10 Strength, 10 Dexterity and 5 Mobility for the duration; At End of Combat set Health to 1 if below 0.  (1 Day Cooldown)</t>
  </si>
  <si>
    <t>(+) Sigil - The Fire: Inflict Target Entity with a Random Negative Status that lasts for 3 Turns; It can not give a Status that is already Inflicted. (1/Day)</t>
  </si>
  <si>
    <t>(&gt;) Chaos Bolt: Launch a deadly Chaos Bolt dealing 30 Chaos Damage to Target Entity; This Projectile ignores Deflection. (1/Combat)</t>
  </si>
  <si>
    <t>(+) Agony of the Mind: Reduce Targets Dispersion by 10 and Inflict Torment for 3 Turns. (1 Turn Cooldown)</t>
  </si>
  <si>
    <t>(P) Lycan Legacy: +1 Hex Vision; +1 Stamina; Your Vision permanently detects Invisible Entities and Objects; Forests no longer Obstruct Vision.</t>
  </si>
  <si>
    <t>(P) Spriggan Legacy: You Drain all rooted Targets for 20 Health/Tick.</t>
  </si>
  <si>
    <t>(P) Augmentor Legacy: You may consume 1 Augment Core to gain Brawn and Fierce / Agile and Stealth / Resolute and Gating; 2 Cores to gain a +2 Roll Modifier or 3 Cores to create the Ultimate Augment gaining all possible augments at once.</t>
  </si>
  <si>
    <t>(P) Vampire Legacy: At the start of your Turn you regenerate 20% of all Damage Taken last Turn.</t>
  </si>
  <si>
    <t>(P) Branded Legacy: At any point during Combat you may choose to consume all your Branded Corpses in order to Randomly cast that many Random Iron and Fire Sigils; Doing so does not consume any Actions.</t>
  </si>
  <si>
    <t>(P) Nephilim Legacy: Gain a Mythic Gear Type of your choice.</t>
  </si>
  <si>
    <t>(P) Abyssal Legacy: Increase your Fortitude Cap by 20% and Gain 10% Fortitude.</t>
  </si>
  <si>
    <t>(≈) Night Hunt: Powerplay; Upon Resting after using this Ability you regain your Stamina and Hunt during the Night; Gain Initiative, +1 Action and Enraged during Combat; Expires at the End of Night.</t>
  </si>
  <si>
    <t>(&gt;) Nature's Final Gift: [Requires Rooted Target] Powerplay; Ignores Deflection/Reflection; Launch a cursed spike at Target Entity; Curse: At the Start of your Turn lose 2 Mobility; at -10 you become Rooted; at -20 you Die.</t>
  </si>
  <si>
    <t>(≈) Augmented Perfection: Powerplay; Create a clone Follower of yourself at Full Strength with your exact Stats, Conditions, Augment Core upgrades but no Abilities, Attunements, Skills, Inventory, Gear; It does not gain or drop Experience.</t>
  </si>
  <si>
    <t>(≈) Copycats Library: Entities you kill are now Destroyed; Transform into Target Destroyed Entity at full Strength gaining their Stats and Gear; You will always revert Back at the end of the Day or if Killed. (1/Day)</t>
  </si>
  <si>
    <t>(^) Sigil - The Pillar: Summon a Pillar on your current Hex with 100 Health; While being in a 3-Hex Range from it you have 50% Elemental Resistance and 50% Total Damage Increase(This Stacks with Surged and other Pillars). (1/Vendal)</t>
  </si>
  <si>
    <t>(+) Cosmic Scaling: Double an Entities Stat of your choice from this list: Max Health, Max Mana, Strength, Dexterity, Power, Mobility, Might, Wisdom; You may not double the same Stat twice in a row. (1/Day; 1 Stamina)</t>
  </si>
  <si>
    <t>(P) Beyond the Comprehension: Instead of Dying, Lose 10% Fortitude and set yourself to 1 health; If your Fortitude reaches 0 or lower you are Destroyed.</t>
  </si>
  <si>
    <t>MAESTER - Gain a second(different) Affinity from your class.</t>
  </si>
  <si>
    <t>SAGE - Gain 20% Deflection and your Basic Attack now also scales with 100% of your Level.</t>
  </si>
  <si>
    <t>PARAGON - Gain 1 Defense, 1 Dispersion and 1 extra Counter Action.</t>
  </si>
  <si>
    <t>MONARCH OF RUIN - Gain an Epic Gear of your chosen Type.</t>
  </si>
  <si>
    <t>ARCHDEMON - Gain 30% Fire Resistance; Gain Fire Damage On Hit on your Attacks equal to 10% of your Fire Resistance.</t>
  </si>
  <si>
    <t>SERAPHIM - Gain 2 Mobility.</t>
  </si>
  <si>
    <t>VOIDSHAPER - Gain the Voidstain Condition; If you already have it, Gain 100 Health and Mana instead.</t>
  </si>
  <si>
    <t>(P) Better Connection: Gain an additional Innate Ability Slot for your second Affinity.</t>
  </si>
  <si>
    <t>(P) Fae Catalization: Store the last Projectile Deflected; You may use an Action to launch stored Projectile towards Target for 100% of its original Damage; This Projectile counts as an Ability.</t>
  </si>
  <si>
    <t>(P) Solidified: On day start gain Barrier equal to your Defense and Dispersion Until End of Day.</t>
  </si>
  <si>
    <t>(P) The First Finger: Become Cursed; Curse: At the Start of Day 1 Stamina is automatically Converted into a Stat or Attribute Point at Random.</t>
  </si>
  <si>
    <t>(P) Hellish Hailing: All Hostile Entities you enter Combat with lose 20% Fire Resistance.</t>
  </si>
  <si>
    <t>(P) Divine Conglomeration: Every instance of damage you receive will grant you 1 Light Damage On Hit to all Attacks until end of Combat.</t>
  </si>
  <si>
    <t>(+) Voidblast: Deal D100 True Damage to Target Entity. (50 Health; 2 Turn Cooldown)</t>
  </si>
  <si>
    <t>(≈) Surface Proficiency: Powerplay; Gain an Ability Point.</t>
  </si>
  <si>
    <t>(&gt;) Apacthen Missle: Flash; Fire a magic Missle at Target Entity that explodes on impact dealing 30 Arcane Damage to Target and all Entities in Melee Range. (4 Turn Cooldown)</t>
  </si>
  <si>
    <t>(≈) Material Fortification: Counter; Gain Resilient for 1 Turn. (1/Combat)</t>
  </si>
  <si>
    <t>(+) The Second Finger: Target becomes Weakened for 3 Turns. (1/Day)</t>
  </si>
  <si>
    <t>(o) Hellfire Meteor: (Channel for 1 Turn) Launch a Meteor at Target Tile for 80 Fire Damage and Stunning them for 1 Turn. (1/Day)</t>
  </si>
  <si>
    <t>(≈) Abandon All Faith: Drain all Faith from Target; You know how much Faith a Target has.</t>
  </si>
  <si>
    <t>(≈) Everchanging Fate: Flash; Reroll Target Dice. (1/Day)</t>
  </si>
  <si>
    <t>(P) Gain an additional Tier I, Tier II and Tier III  Ability Slot for your second Affinity.</t>
  </si>
  <si>
    <t>(P) Life Energy Consumpion: When Traversing Forests you may choose to wither them Transforming the Hex into a Simple Hex; Doing so Restores 1 Stamina and 20% of missing Health.</t>
  </si>
  <si>
    <t>(P) Immutable: If struck by a Critical Hit, double your Defense and Disperion until end of Combat. (1/Day)</t>
  </si>
  <si>
    <t>(P) Your Life at all Costs: Whenever you drop below 40% Health in Combat you Summon 3 Undead Weakling Minions on chosen Tiles that last until End of Combat. (1/Vendal)</t>
  </si>
  <si>
    <t>(P) Path of no Return: Lose all Affinity Abilities; Convert all your other Resources into Health.</t>
  </si>
  <si>
    <t>(P) Ninth Eye: You can tell the Real Damage an incoming Attack will deal after Resistances before it lands.</t>
  </si>
  <si>
    <t>(P) The Unspoken Sacrifice: Dismember your Arm or Leg upon Learning this Ability.</t>
  </si>
  <si>
    <t>(≈) Hardworked Proficiency: Powerplay; Gain 2 Ability Points.</t>
  </si>
  <si>
    <t>(&gt;) Apachten Archmissle: Fire a Magic Missle at Target Entity that explodes on impact dealing 60 Arcane Damage to Target and all Entities in a 5x5 Tile Grid.</t>
  </si>
  <si>
    <t>(≈) Molecular Unbinding: Counter; Reflex; Remove Target Status Effect from yourself or Target in Melee Range. (1/Day)</t>
  </si>
  <si>
    <t>(+) The Third Finger: Target becomes Vulnerable for 3 Turns; If they Die they Revive as your Undead Mercenary that Dies at End of Day. (1/Day)</t>
  </si>
  <si>
    <t>(+) Demonize: Cause Target Non-Hero Entity with lower Level than you to join your Banner. (1/Day)</t>
  </si>
  <si>
    <t>(≈) Winged Supremacy: Fly to Target Tile. (1/Combat)</t>
  </si>
  <si>
    <t>(≈) Absorb the Change: [Requires you to be on a Void Hex] Powerplay; Level up.</t>
  </si>
  <si>
    <t>(P) Maester Legacy: Gain an additional Ultimate Ability Slot for your second Affinity.</t>
  </si>
  <si>
    <t>(P) Sage Legacy: Your Projectile Abilities become Warped.</t>
  </si>
  <si>
    <t>(P) Paragon Legacy: Gain 5 Defense, 5 Dispersion, 10% Deflect Chance, 10% Fortitude and 10% Elemental Resistance.</t>
  </si>
  <si>
    <t>(P) Ruined Legacy: You become accompanied by a Random Level 4 Undead Companion; They may be resurected at the cost of 2000 Gold.</t>
  </si>
  <si>
    <t>(P) Archdemon Legacy: You are granted the Ability to consume the Souls of your Followers that died; Every Soul Consumed Increases your Fire Resistance by 20%.</t>
  </si>
  <si>
    <t>(P) Seraphim Legacy: When you miss an Attack or it is Countered, immediately gain another Action. (1/Combat)</t>
  </si>
  <si>
    <t>(P) Void Legacy: Killing/Destroying Entities causes you to Absorb 50% of their Max Health; Upon Killing/Destroying a Hero, Transform current Hex into a Void Hex; Void Hexes no longer have negative Effects towards you.</t>
  </si>
  <si>
    <t>(≈) Deep Proficiency: Powerplay; Gain an Ultimate Ability Point OR Allow your second Affinity Ability Slots to be used for your main Affinity as well.</t>
  </si>
  <si>
    <t>(≈) Randomising Soulstones: [Requires Combat] Flash; Gain 1 Extra Action, Flash Action or Counter Action at the Start of your Turn; Lasts until End of Combat. (1 Day Cooldown)</t>
  </si>
  <si>
    <t>(≈) Atomic Reset: Blitz; Counter; Touch a Target in Melee Range to erase a Condition or Curse of your choice. (1/Day)</t>
  </si>
  <si>
    <t>(&gt;) The Final Finger: Target Non-Hero Entity Dies at the end of his next Turn unless they manage to leave Combat. (1/Day; 1/Entity)</t>
  </si>
  <si>
    <t>(≈) Archdemon Evolution: Powerplay; Gain 400 Health, You become immune to Statuses; You gain 10 Defense and Dispersion; Convert the Planes into Scorched Tiles; Gain 50% Fire Resistance.</t>
  </si>
  <si>
    <t>(o) Divine Transposition: Phase through every Hostile Entity on your Hex, slashing them for 25 Physical and 25 Light Damage each, ending up Invisible for 1 Turn on an adjacent Tile to a Target of your choice. (1/Day)</t>
  </si>
  <si>
    <t>(≈) Voidshaping: Powerplay; Transform into a Sharakonid or Void Siren.</t>
  </si>
  <si>
    <t>ASTRAL ENTITIES</t>
  </si>
  <si>
    <t>Character name: Raxa</t>
  </si>
  <si>
    <t>Character name: Venegal</t>
  </si>
  <si>
    <t>Character name: Qaroth</t>
  </si>
  <si>
    <t>Character name: Strivia</t>
  </si>
  <si>
    <t>Character name: Pel Delstrezo</t>
  </si>
  <si>
    <t>Character name: Venerva</t>
  </si>
  <si>
    <t>Character name: Arturax</t>
  </si>
  <si>
    <t>Race: Living Astral Entity</t>
  </si>
  <si>
    <t>Race: Undead Astral Entity</t>
  </si>
  <si>
    <t>Race: Demonic Astral Entity</t>
  </si>
  <si>
    <t>Class: Pyromancer</t>
  </si>
  <si>
    <t>Class: Mage</t>
  </si>
  <si>
    <t>Class: Librarian</t>
  </si>
  <si>
    <t>Class: Healer</t>
  </si>
  <si>
    <t>Class: Deprived</t>
  </si>
  <si>
    <t>Class: Rogue</t>
  </si>
  <si>
    <t>Class: Ranger</t>
  </si>
  <si>
    <t>Affinity: Living Flame</t>
  </si>
  <si>
    <t>Affinity: Arcane</t>
  </si>
  <si>
    <t>Affinity: Mastermind</t>
  </si>
  <si>
    <t>Affinity: Priest</t>
  </si>
  <si>
    <t>Affinity: Talented</t>
  </si>
  <si>
    <t>Affinity: Assassin</t>
  </si>
  <si>
    <t>Affinity: Shadow</t>
  </si>
  <si>
    <t>Health: 400/400</t>
  </si>
  <si>
    <t>Health: 250/250</t>
  </si>
  <si>
    <t>Health: 300/300</t>
  </si>
  <si>
    <t>Mana: 300/300</t>
  </si>
  <si>
    <t>Mana: 430/600</t>
  </si>
  <si>
    <t>Mana: 500/500</t>
  </si>
  <si>
    <t>Defense: 10</t>
  </si>
  <si>
    <t>Dispersion: 10</t>
  </si>
  <si>
    <t>Absorption: 20</t>
  </si>
  <si>
    <t>Light R: 0%</t>
  </si>
  <si>
    <t>Light R: 50%</t>
  </si>
  <si>
    <t>Light R: -50%</t>
  </si>
  <si>
    <t>Dark R: 0%</t>
  </si>
  <si>
    <t>Dark R: 50%</t>
  </si>
  <si>
    <t>Fire R: 100%</t>
  </si>
  <si>
    <t>Fire R: 50%</t>
  </si>
  <si>
    <t>Fire R: 20%</t>
  </si>
  <si>
    <t>Frost R: -50%</t>
  </si>
  <si>
    <t>Frost R: 50%</t>
  </si>
  <si>
    <t>Frost R: 20%</t>
  </si>
  <si>
    <t>Wind R: 50%</t>
  </si>
  <si>
    <t>Wind R: 20%</t>
  </si>
  <si>
    <t>Earth R: 0%</t>
  </si>
  <si>
    <t>Earth R: 50%</t>
  </si>
  <si>
    <t>Lightning R: 0%</t>
  </si>
  <si>
    <t>Lightning R: 50%</t>
  </si>
  <si>
    <t>Lightning R: -20%</t>
  </si>
  <si>
    <t>Bleed R: 0%</t>
  </si>
  <si>
    <t>Bleed R: 50%</t>
  </si>
  <si>
    <t>Bleed R: 30%</t>
  </si>
  <si>
    <t>Poison R: 0%</t>
  </si>
  <si>
    <t>Poison R: 50%</t>
  </si>
  <si>
    <t>Poison R: 30%</t>
  </si>
  <si>
    <t>Strength: 5</t>
  </si>
  <si>
    <t>Strength: 0</t>
  </si>
  <si>
    <t>Strength: 10</t>
  </si>
  <si>
    <t>Dexterity: 5</t>
  </si>
  <si>
    <t>Dexterity: 0</t>
  </si>
  <si>
    <t>Dexterity: 10</t>
  </si>
  <si>
    <t>Dexterity: 20</t>
  </si>
  <si>
    <t>Power: 10</t>
  </si>
  <si>
    <t>Power: 30</t>
  </si>
  <si>
    <t>Mobility: 0</t>
  </si>
  <si>
    <t>Mobility: 3</t>
  </si>
  <si>
    <t>Basic Attack: 20 Fire Damage Ranged Attack</t>
  </si>
  <si>
    <t>Basic Attack: 50 Magic Damage Ranged Attack</t>
  </si>
  <si>
    <t>Basic Attack: 25 Chaos Damage Ranged Attack</t>
  </si>
  <si>
    <t>Stamina: 3/3</t>
  </si>
  <si>
    <t>Deflect: 0%</t>
  </si>
  <si>
    <t>Deflect: 20%</t>
  </si>
  <si>
    <t>Deflect: 30%</t>
  </si>
  <si>
    <t>Reflect: 0%</t>
  </si>
  <si>
    <t>Reflect: 20%</t>
  </si>
  <si>
    <t>Level: 12</t>
  </si>
  <si>
    <t>Innate: (P) Tiles you traverse turn into Scorch Tiles.</t>
  </si>
  <si>
    <t>Innate: (P) Amaganthite Shield: Replace Dispersion with Absorbtion; Damage Reduced by it is converted to Mana.</t>
  </si>
  <si>
    <t>Innate: (P) Pitch Black Arrows: Your Arrows gain 20 Dark Damage on hit.</t>
  </si>
  <si>
    <t>Tier I: (P) Raxa's Scorn: When below 50% Health your Fire Damage becomes Scorched Damage.</t>
  </si>
  <si>
    <t>Tier I: (❖:&gt;) Venegals Bolt: [Channel for 1 Turn] Blitz; Deal 100(+100% Power) Arcane Damage to Target Entity. (75 Mana)</t>
  </si>
  <si>
    <t>Tier I: (P) Raxa's Scorn: When below 50% Health your Fire Damage beocmes Scorched Damage.</t>
  </si>
  <si>
    <t>Tier I: (❖:&gt;) Perfected Black Nail: Create and Launch a Dark Magic Arrow that Deals 50 Dark Damage to Target and Confusing them for 2 Turns. (25 Mana)</t>
  </si>
  <si>
    <t>Tier II: (❖:+) Incinerate III: Burn Target for 20 Fire Damage Per Tick Over 7 Turns. (80 Mana)</t>
  </si>
  <si>
    <t>Tier II: (P) Forfit Flesh: Your body is made out of Amaganthite as you relinquish your flesh; You are capped at 50% Elemental Resistance; It can not be reduced or increased.</t>
  </si>
  <si>
    <t>Tier II: (P) Shadow Aim III: Missed Arrow Shots land on the Targets Shadow, dealing Basic Attack Damage as Dark Damage.</t>
  </si>
  <si>
    <t>Tier III: (P) Pheonix Incarnate: Upon Death Revive with 20% Max Health and Max Mana. (5 Day Cooldown)</t>
  </si>
  <si>
    <t>Tier III: (❖:≈) Mana Overflow III: Flash; Force Mana to Traverse through your Blood Stream at high speeds, doubling your Current Power Until End of Combat. (20 Mana; 1 TC)</t>
  </si>
  <si>
    <t>Tier III: (❖:&gt;) Mind Controlling Arrow: Shoot an Arrow at Target, If it Critical Strikes Mind controll them for 1 Turn. (30 Mana)</t>
  </si>
  <si>
    <t>Ultimate: (❖:o) Pyrocleansing: Deal X Fire Damage to everyone else on Tile; If X is Higher than 50 the Tile Becomes a Scorched Tile. (X Mana)</t>
  </si>
  <si>
    <t>Ultimate: (❖:≈) Agamanthite Amplifiers: Toggle; Gain Power Equal to Half of Mana Consumed by this Ability; After you Attack this ability automatically toggles off and the Power is Removed. (50 Mana/Turn)</t>
  </si>
  <si>
    <t>Ultimate: (❖:+) Shadowhunt: Target Entity has its own Shadow turn against him; Target becomes Vulnerable and Weakened for 5 Turns. (100 Mana)</t>
  </si>
  <si>
    <t>Main Hand: #Locked</t>
  </si>
  <si>
    <t>Main Hand: Arthurax Shadowbow</t>
  </si>
  <si>
    <t>Off Hand: #Locked</t>
  </si>
  <si>
    <t>Head: #Locked</t>
  </si>
  <si>
    <t>Body: #Locked</t>
  </si>
  <si>
    <t>Arms: #Locked</t>
  </si>
  <si>
    <t>Hands: #Locked</t>
  </si>
  <si>
    <t>Legs: #Locked</t>
  </si>
  <si>
    <t>Feet: #Locked</t>
  </si>
  <si>
    <t>Ring slot #1: #Locked</t>
  </si>
  <si>
    <t>Ring slot #2: #Locked</t>
  </si>
  <si>
    <t>Necklace: #Locked</t>
  </si>
  <si>
    <t>Artifact: #Locked</t>
  </si>
  <si>
    <t>Notes: One of the 7</t>
  </si>
  <si>
    <t>Notes:One of the 7</t>
  </si>
  <si>
    <t>Character name: Ni' Oleta</t>
  </si>
  <si>
    <t>Character name: Nox Rashadan</t>
  </si>
  <si>
    <t>Character name: Karna</t>
  </si>
  <si>
    <t>Character name: The Knight of Rebelion</t>
  </si>
  <si>
    <t>Race: Fae Astral Entity</t>
  </si>
  <si>
    <t>Class: Cultist</t>
  </si>
  <si>
    <t>Class: Vampire</t>
  </si>
  <si>
    <t>Class:  Knight</t>
  </si>
  <si>
    <t>Affinity: N/A</t>
  </si>
  <si>
    <t>Affinity: Night Predator</t>
  </si>
  <si>
    <t>Health: 500/500</t>
  </si>
  <si>
    <t>Health:300/300</t>
  </si>
  <si>
    <t>Mana: 200/200</t>
  </si>
  <si>
    <t>Mana: 250/250</t>
  </si>
  <si>
    <t>Defense: 10 (+5 During Night)</t>
  </si>
  <si>
    <t>Dispersion: 10 (+5 During Night)</t>
  </si>
  <si>
    <t>Light R: -100%</t>
  </si>
  <si>
    <t>Light R: 30%</t>
  </si>
  <si>
    <t>Dark R: 100%</t>
  </si>
  <si>
    <t>Dark R: 30%</t>
  </si>
  <si>
    <t>Fire R: 0%</t>
  </si>
  <si>
    <t>Fire R: -20%</t>
  </si>
  <si>
    <t>Fire R: 30%</t>
  </si>
  <si>
    <t>Frost R: 0%</t>
  </si>
  <si>
    <t>Frost R: 30%</t>
  </si>
  <si>
    <t>Wind R: 0%</t>
  </si>
  <si>
    <t>Wind R: 30%</t>
  </si>
  <si>
    <t>Earth R: 30%</t>
  </si>
  <si>
    <t>Earth R:30%</t>
  </si>
  <si>
    <t>Lightning R: 30%</t>
  </si>
  <si>
    <t>Lightning R: -50%</t>
  </si>
  <si>
    <t>Bleed R: -10%</t>
  </si>
  <si>
    <t>Bleed R: 20%</t>
  </si>
  <si>
    <t>Poison R: -10%</t>
  </si>
  <si>
    <t>Poison R: 20%</t>
  </si>
  <si>
    <t>Strength: 15 (+5 During Night)</t>
  </si>
  <si>
    <t>Dexterity: 15 (+5 During Night)</t>
  </si>
  <si>
    <t>Power: 20</t>
  </si>
  <si>
    <t>Power: 0 (+5 During Night)</t>
  </si>
  <si>
    <t>Mobility: 2 (+5 During Night)</t>
  </si>
  <si>
    <t>Mobility: 2</t>
  </si>
  <si>
    <t>Basic Attack: N/A</t>
  </si>
  <si>
    <t>Basic Attack: Claws: 27 Physical Damage; 10 Dark Damage On Hit Melee Attack</t>
  </si>
  <si>
    <t>Basic Attack: 20 PD Melee Attack</t>
  </si>
  <si>
    <t xml:space="preserve">Stamina: 4/4 </t>
  </si>
  <si>
    <t>Innate: Host of the Ni: Upon Death Kill all Non-Hero Entities.</t>
  </si>
  <si>
    <t>Innate: (P) Improved Night Stalker: During the night, all your base stats increase by 5 (Except for stamina; Resonance; Hex Vision and Faith); Allows you to Hunt at Night.</t>
  </si>
  <si>
    <t>Innate: (P) Every third Turn gain a 50 HP barrier, whenever it breaks deal 25 true damage to all entities in melee range.</t>
  </si>
  <si>
    <t>Tier I: (P) Ni' Oleta's shielding sphere: Gain 30% Deflect.</t>
  </si>
  <si>
    <t>Tier I: (❖:≈) Predatory Transposition II: Instantly Teleport in Melee Range of Target and Strike them with 10 Dark Damage On Hit. (30 Mana)</t>
  </si>
  <si>
    <t>Tier I: Come back here!: Charge into melee distance of target and strike dealing dealing a bonus 10 PD per tile or hex traveled.(1 hex Range) 50 Mana</t>
  </si>
  <si>
    <t>Tier II: (❖:+) Agonize and Antagonize: Target Entity becomes Weakened and Vulnerable for 3 Turns. (50 Mana)</t>
  </si>
  <si>
    <t>Tier II: (❖:≈) Shroud III: Cover Target in Smoke Blinding them for 3 Turns and making them take 15(+50% Power) Dark Damage on Hit from your Attacks until End of Combat. (30 Mana)</t>
  </si>
  <si>
    <t>Tier II (P) : Furious Spirit: For each 50 Damage you deal gain +1 to attack rolls until end of combat.</t>
  </si>
  <si>
    <t>Tier III: (&gt;) Liliac Beam: Blitz; Fire a beam piercing Target for 25 Dark Damage, The Beam remains for X Turns;  If Target does a movement Action while beam is still piercing them they take 50 True Damage. (25*X Mana)</t>
  </si>
  <si>
    <t>Tier III:(P) Nox's Hunting Game: Basic Attacks have a 25% Chance to Fear On Hit; Feared Targets take 25 Dark Damage On Hit; Entities that Flee are Feared for 2 Turns; Instantly Teleport in Melee Range of Targets fleeing Combat.</t>
  </si>
  <si>
    <t>Tier III: Victorious Strike : Your next strike will have blitz and precise.</t>
  </si>
  <si>
    <t>Ultimate: (O) I Feel Threatened: Counter; Block Target Attack and Release thousands of empowered Liliac Beams hitting all other Entities on Hex; These Beams deal 25 True Damage and disappear instatly; Entities roll a d10 to see how many hit them. (200 Mana)</t>
  </si>
  <si>
    <t>Ultimate: (≈) Complete Blackout: Powerplay; Cover the Sun in Darkness for the next 3 days, making it permanent Night; all Other Heroes have -1 Hex Vision. (80 Mana)</t>
  </si>
  <si>
    <t>Ultimate: (❖:o)Ultimate Strike: Strike target dealing a bonus 50% more damage for each 50 HP difference between you and target.(100 Mana)</t>
  </si>
  <si>
    <t>Notes:</t>
  </si>
  <si>
    <t>PLANIC MYTHS</t>
  </si>
  <si>
    <t>Character name: Alevandar</t>
  </si>
  <si>
    <t>Character name: Arkethius The Mid-land Lord</t>
  </si>
  <si>
    <t>Character name: N/AAAA/N</t>
  </si>
  <si>
    <t>Character name: N/DAAD/N</t>
  </si>
  <si>
    <t>Character name: N/RASA/N</t>
  </si>
  <si>
    <t>Character name: N/AASA/N</t>
  </si>
  <si>
    <t>Character name: N/TTTT/N</t>
  </si>
  <si>
    <t>Race: Living Myth</t>
  </si>
  <si>
    <t>Class: N/A</t>
  </si>
  <si>
    <t>Health: 1600/1600</t>
  </si>
  <si>
    <t>Health: 99999/99999</t>
  </si>
  <si>
    <t>Mana: 800/800</t>
  </si>
  <si>
    <t>Mana: 99999/99999</t>
  </si>
  <si>
    <t>Defense: 20</t>
  </si>
  <si>
    <t>Defense: 999</t>
  </si>
  <si>
    <t>Dispersion: 20</t>
  </si>
  <si>
    <t>Dispersion: 999</t>
  </si>
  <si>
    <t>Light R: 100%</t>
  </si>
  <si>
    <t>Frost R: 70%</t>
  </si>
  <si>
    <t>Frost R: 100%</t>
  </si>
  <si>
    <t>Wind R: 70%</t>
  </si>
  <si>
    <t>Wind R: 100%</t>
  </si>
  <si>
    <t>Earth R: 70%</t>
  </si>
  <si>
    <t>Earth R: 100%</t>
  </si>
  <si>
    <t>Lightning R: 70%</t>
  </si>
  <si>
    <t>Lightning R: 100%</t>
  </si>
  <si>
    <t>Bleed R: 70%</t>
  </si>
  <si>
    <t>Bleed R: 100%</t>
  </si>
  <si>
    <t>Poison R: 70%</t>
  </si>
  <si>
    <t>Poison R: 100%</t>
  </si>
  <si>
    <t>Strength: 40</t>
  </si>
  <si>
    <t>Strength: 999</t>
  </si>
  <si>
    <t>Dexterity: 30</t>
  </si>
  <si>
    <t>Dexterity: 999</t>
  </si>
  <si>
    <t>Power: 999</t>
  </si>
  <si>
    <t>Mobility: 4</t>
  </si>
  <si>
    <t>Basic Attack: 130 Holy Damage Melee Attack</t>
  </si>
  <si>
    <t>Basic Attack: 9999 Warp True Damage</t>
  </si>
  <si>
    <t>Stamina: 9/9</t>
  </si>
  <si>
    <t>Stamina: 99/99</t>
  </si>
  <si>
    <t>Deflect: 50%</t>
  </si>
  <si>
    <t>Level: 100</t>
  </si>
  <si>
    <t>Innate: (P) Hero of the Planes: Gain the Hope Condition; when it procs stun all other Entities on Hex.</t>
  </si>
  <si>
    <t>Tier I: (&gt;) Alevandar's Mountainkill: [Requires Spear] Throw your Spear for 100 True Damage at Target; Teleport the Spear back into your Hands. (50 Mana)</t>
  </si>
  <si>
    <t>Tier II: (❖:≈) Archglory: Grow Wings of Holy fire gaining the Winged Trait; You also gain 4 Mobility; Lasts Until End of Combat. (100 Mana)</t>
  </si>
  <si>
    <t>Tier III:(P) Rite of the Aegis: [Channel for 1 Turn] Gain 50% Total Damage Reduction for 3 Turns; Every Turn while this ability is active stagger all other Entities on Hex. (100 Mana)</t>
  </si>
  <si>
    <t>Ultimate: (+) Ultima Planica: [Requires Archgory and Rite of the Aegis to be active] Turn Targets Soul and Body to White Obsidian. (Health Equivalent to Half of Targets Health; 400 Mana; 1/Vendal)</t>
  </si>
  <si>
    <t>Main Hand: Alevandar's Spear: Duality: Artifact/Main Hand; Two-Handed Spear; 50 Holy Damage; Active: Powerplay; Cause Hundreds of Light Sparrows to fall on Target Hex, dealing a total of 1000 Light Damage to all Entities and destroying the Hex.</t>
  </si>
  <si>
    <t>Body: Alevandar's Armor: Duality: Artifact/Body; It is a complete Plate Armor Set; [Requires no other Armor Equipped] Body Piece; 600 Health; 200 Mana; 20 Strength; 20 Dexterity; 20 Power; Passive: At the Start of Combat gain a 400 health Barrier that lasts until End of Combat. (1/Combat)</t>
  </si>
  <si>
    <t>Necklace: Alevandar's Necklace: Duality: Artifact/Necklace; Passive: Immunity to all Statuses; Immunity to death effects.</t>
  </si>
  <si>
    <t>Necklace: Alevandar's Necklace: Duality: Artifact/Necklace; Passive: Immunity to all Statuses.</t>
  </si>
  <si>
    <t>CREATURES OF MYTH</t>
  </si>
  <si>
    <t>Character name: Sharakonid</t>
  </si>
  <si>
    <t>Character name: Arkafaerian</t>
  </si>
  <si>
    <t>Character name: Void Siren</t>
  </si>
  <si>
    <t>Character name: True Arkafaerian</t>
  </si>
  <si>
    <t>Race: Abstraction of the Void</t>
  </si>
  <si>
    <t>Race: Fae</t>
  </si>
  <si>
    <t>Health: 2000/2000</t>
  </si>
  <si>
    <t>Health: 1000/1000</t>
  </si>
  <si>
    <t>Health: 4000/4000</t>
  </si>
  <si>
    <t>Mana: N/A</t>
  </si>
  <si>
    <t>Mana: 1000/1000</t>
  </si>
  <si>
    <t>Mana: 2000/2000</t>
  </si>
  <si>
    <t>Defense: 15</t>
  </si>
  <si>
    <t>Dispersion: 15</t>
  </si>
  <si>
    <t>Dispersion: 40</t>
  </si>
  <si>
    <t>Light R: 60%</t>
  </si>
  <si>
    <t>Light R: 80%</t>
  </si>
  <si>
    <t>Light R: 20%</t>
  </si>
  <si>
    <t>Light R: 90%</t>
  </si>
  <si>
    <t>Dark R: 60%</t>
  </si>
  <si>
    <t>Dark R: 80%</t>
  </si>
  <si>
    <t>Dark R: 20%</t>
  </si>
  <si>
    <t>Dark R: 90%</t>
  </si>
  <si>
    <t>Fire R: 60%</t>
  </si>
  <si>
    <t>Fire R: 80%</t>
  </si>
  <si>
    <t>Fire R: 90%</t>
  </si>
  <si>
    <t>Frost R: 60%</t>
  </si>
  <si>
    <t>Frost R: 80%</t>
  </si>
  <si>
    <t>Frost R: 90%</t>
  </si>
  <si>
    <t>Wind R: 60%</t>
  </si>
  <si>
    <t>Wind R: 80%</t>
  </si>
  <si>
    <t>Wind R: 90%</t>
  </si>
  <si>
    <t>Earth R: 60%</t>
  </si>
  <si>
    <t>Earth R: 80%</t>
  </si>
  <si>
    <t>Earth R: 20%</t>
  </si>
  <si>
    <t>Earth R: 90%</t>
  </si>
  <si>
    <t>Lightning R: 60%</t>
  </si>
  <si>
    <t>Lightning R: 80%</t>
  </si>
  <si>
    <t>Lightning R: 20%</t>
  </si>
  <si>
    <t>Lightning R: 90%</t>
  </si>
  <si>
    <t>Bleed R: 60%</t>
  </si>
  <si>
    <t>Bleed R: 80%</t>
  </si>
  <si>
    <t>Bleed R: 90%</t>
  </si>
  <si>
    <t>Poison R: 60%</t>
  </si>
  <si>
    <t>Poison R: 80%</t>
  </si>
  <si>
    <t>Poison R: 90%</t>
  </si>
  <si>
    <t>Strength: 30</t>
  </si>
  <si>
    <t>Strength: 20</t>
  </si>
  <si>
    <t>Dexterity: 25</t>
  </si>
  <si>
    <t>Power: 0</t>
  </si>
  <si>
    <t>Power: 40</t>
  </si>
  <si>
    <t>Power: 25</t>
  </si>
  <si>
    <t>Power: 80</t>
  </si>
  <si>
    <t>Basic Attack: Tail Whip: 60 Physical Damage Melee Attack.</t>
  </si>
  <si>
    <t>Basic Attack:  40 Magic Damage Ranged Attack.</t>
  </si>
  <si>
    <t>Basic Attack: 25 Wind Damage or 25 Fire Damage; (Both when below 20% Hp)</t>
  </si>
  <si>
    <t>Basic Attack:  80 Arcane Damage Warp</t>
  </si>
  <si>
    <t>Stamina: 4/4</t>
  </si>
  <si>
    <t>Stamina: 5/5</t>
  </si>
  <si>
    <t>Deflect: 40%</t>
  </si>
  <si>
    <t>If there is a Target below 20% Max Health in Melee Range, the Sharakonid will reveal his skin and wrap himself around Target; The Entity with more Flat HP will Absorb the others Stats.</t>
  </si>
  <si>
    <t>(P) Kin Maker: You are the resurected Myth itself that birthed the Fae; All Other Entities on your Hex take 20 Arcane Damage at the Start of their Turn; If that Entity is Fae they take 40 True Damage instead.</t>
  </si>
  <si>
    <t>(P) Swipes: Basic Attacks hit Targets in your Melee Range that are Adjacent to your original Target.</t>
  </si>
  <si>
    <t>(P) Kin Maker: You are the resurected Myth itself that birthed the Fae; All Other Entities on your Hex take 40 Arcane Damage at the Start of their Turn; If that Entity is Fae they take 80 True Damage instead.</t>
  </si>
  <si>
    <t>Passive: 20% Damage Reduction</t>
  </si>
  <si>
    <t>(P) Ehtal Coating: All Damage instances you take can not exceed 100.</t>
  </si>
  <si>
    <t>(P) Ehtal Coating: All Damage or Loss of Health instances you take can not exceed 100.</t>
  </si>
  <si>
    <t>Vibration Overload: Counter: Absorb Target Attack taking no Damage. (Once per 5 Turns)</t>
  </si>
  <si>
    <t>(≈) True Barrier: Counter; Gain Barrier until End of Day equal to total mitigated Damage this Combat from the Ehtal Coating Ability. (1/Day)</t>
  </si>
  <si>
    <t>Warp Shifting: The Sharakonid can Teleport to any Distance instead of Walking.</t>
  </si>
  <si>
    <t>(P) Warped Implosion: When below 50% Health your Basic Attacks have a 50% Chance to become Warp on Attack.</t>
  </si>
  <si>
    <t>(P) Fury of the Void: When below 50% Max Health gain one extra Action and Counter Action per Turn.</t>
  </si>
  <si>
    <t>(+) Arcanic Desintegration: Destroy Target Entity with less than 100 Health.</t>
  </si>
  <si>
    <t>Sharakonids Scream: When Entering Combat, Every Entity Regardless of Distance knows Sharakonids Location; The Scream once Triggered Causes Fear in all Entities for 3 Turns.</t>
  </si>
  <si>
    <t>(P) Historical Repeat: Powerplay; Upon Death repopulate the Planes with your energy breaking and dispersing in all directions; Spawn 10 Fae Elite Creatures on Hex; If they win or the Combat Ends the Arkafaerian is Revived.</t>
  </si>
  <si>
    <t>(P) Apocalypse Now: Powerplay; If the Siren is Removed from Combat spawn in another Siren at 1000 Health with 2 Extra Mobility, 200 Barrier and without this Ability.</t>
  </si>
  <si>
    <t>(P) Faerian Catalyst: You have 1 Extra Counter Action; On Combat Start cause all other Entities to fall asleep for 1 Turn.</t>
  </si>
  <si>
    <t>Character name: Verakonid</t>
  </si>
  <si>
    <t>Health: 8000/8000</t>
  </si>
  <si>
    <t>Defense: 40</t>
  </si>
  <si>
    <t>Basic Attack: Tail Whip: 120 Physical Damage Melee Attack.</t>
  </si>
  <si>
    <t>Passive: 30% Damage Reduction</t>
  </si>
  <si>
    <t>Clarifications</t>
  </si>
  <si>
    <t>Mechanics</t>
  </si>
  <si>
    <t>Tips &amp; Tricks</t>
  </si>
  <si>
    <t>Concepts and Laws of the Planes</t>
  </si>
  <si>
    <t>If you pay 999 Gold at a Shrine you gain 1 Faith, if you leave the Shrine and return to it, you will need to pay 500 Gold again for 1 Faith. (Not 1 Gold)</t>
  </si>
  <si>
    <t>Cowardice: Forfeiting an Arena Battle will cause you to become a Coward.</t>
  </si>
  <si>
    <t>Death is Permanent. Don't die?</t>
  </si>
  <si>
    <t>Law of Protection: Every Zone is protected by Protectron X3. (See Legends)</t>
  </si>
  <si>
    <t>Applying Runes to Gear does not increase the Gears Value when selling.</t>
  </si>
  <si>
    <t>Auto-Resolve: You may have the Combat instantly done via aproximation by the Gods. (In case you are too strong to waste time on weaklings)</t>
  </si>
  <si>
    <t>Avoiding Weaklings means avoiding Exp.</t>
  </si>
  <si>
    <t>Blood-Bound Contracts: You may Sign Contracts with other Sentient Entities by having both Sacrifice 50 Health; If the Contract is broken by one of the 2 Entities</t>
  </si>
  <si>
    <t>When Dual Wielding, Strike Abilities will only cause you to strike with Main Hand.</t>
  </si>
  <si>
    <t>Across the Planes Death Announcements: Whenever a Boss, Guardian Hero or God dies, it will be announced in the Planes.</t>
  </si>
  <si>
    <t>Think Twice before going into a battle with your last Stamina, fleeing without Stamina is rather...dreadful.</t>
  </si>
  <si>
    <t>That Entity will lose 100 Health; If the Conditions are resolved or unable to be met(E.g. Death) the Health Sacrificed is Returned.</t>
  </si>
  <si>
    <t>Vital Hits count as Crits that have 1 Extra Critical Modifier.</t>
  </si>
  <si>
    <t>Across the Planes Level Announcements: When a Hero reaches Level 8 and Level 12 an Announcement will happen.</t>
  </si>
  <si>
    <t>Channeling and Preparing are core mechanics...use them, combine your scrolls with your spells or with other scrolls to obtain elemental combination effects...since they are broken.</t>
  </si>
  <si>
    <t>Damned by The Gods: Objectively stupid attempts and constant annoyance of a god can result in the removal of your faith. (Subjective Use)</t>
  </si>
  <si>
    <t>Unique Gear can not be destroyed under normal circumstances.</t>
  </si>
  <si>
    <t>The announcements in Across the Planes for leveling up are: A Hero is Ascending. (For reaching Level 8) / A Hero has reached Godhood. (For reaching Level 12)</t>
  </si>
  <si>
    <t>Dodging is important, calculate your odds!</t>
  </si>
  <si>
    <t>Intelligence: All NPCs have a hidden stat called intelligence(From 1 to 20 where 1 is Gluesniffer and 20 is Einstein) on which the GM's will base their actions.</t>
  </si>
  <si>
    <t>Dismembering a Creature causes it to take 50 Bleed Damage.</t>
  </si>
  <si>
    <t>Basic Attacks(Not Abilities) are Elementally Capped at 100%. (You can't Heal yourself with Basic Attacks)</t>
  </si>
  <si>
    <t>Health is a resource, learn to use it.</t>
  </si>
  <si>
    <t>Creatures have a default intelligence value of 10 whilst Sentients can land anywhere in the spectrum; Sentients have their stat rolled on creation directly in the generator.</t>
  </si>
  <si>
    <t>Removing 1 Tick of a Status has no effect on constant Statuses. (E.g. Those that are infinite or end at the End of Combat/Day)</t>
  </si>
  <si>
    <t>Dodging missed attacks causes them to become hits unless you rolled a Critical.</t>
  </si>
  <si>
    <t>Stupid attempts, will be rewarded on good rolls...but bad decisionmaking can be punished.</t>
  </si>
  <si>
    <t>Law of Cataclysm: Destroying 3 or more Hexes will cause you to become Banished.</t>
  </si>
  <si>
    <t>Dodging Critical Hits causes the Critical to become Vital giving it +1 Critical Multiplier.</t>
  </si>
  <si>
    <t>Ability Costs happen before their effect.</t>
  </si>
  <si>
    <t>You are at your own risk if you decide trusting other Heroes.</t>
  </si>
  <si>
    <t>Law of Truth: All Ability names and their Ranks are publicly announced in Combat when triggered (including Effects, Skills etc.)</t>
  </si>
  <si>
    <t>You may replace your Quest with a different one if it is available to you.</t>
  </si>
  <si>
    <t>Sentient Enemies will not trigger Selfdestruct Actives or Powerplay Actives of Gear.</t>
  </si>
  <si>
    <t>Resting to regain your strength is sometimes needed, don't hesitate to skip a Day to catch your breath.</t>
  </si>
  <si>
    <t>Law of Balance: If the GM decides some players are very left behind they will buff them accordingly; This rule requires "Problem Children"(Players that reach level 12 or become unreasonably strong too early in the campaign.</t>
  </si>
  <si>
    <t>Percentages for Damage Reduction work Multiplicatively / Same for Execution %, You simply roll all the d10's needed. (Only exception is Deflection)</t>
  </si>
  <si>
    <t>You may Counter a Projectile with your own Counter Projectile Attack, If the Damage is higher the difference is Reflected, otherwise you suffer the Difference.</t>
  </si>
  <si>
    <t>Always take a look in your inventory, sometimes you will find a life saving item you forgot you had.</t>
  </si>
  <si>
    <t>Genocide Path: Upon Engaging in Combat with a Non-Hostile Sentient, you will become Banished and your Excess Banner will immediately attempt to flee.</t>
  </si>
  <si>
    <t>1/Vendal means once every 5 Days (It is not directly affected by which Vendal it is currently)</t>
  </si>
  <si>
    <t>Natural Rolls: Rolling Nat 1 or 20 on D20 makes it absolute; Eg. it is not affected by roll modifiers; This does work the other way around; E.g. 18+2 triggers the 20 Effect.</t>
  </si>
  <si>
    <t>Roleplay and creativity are rewarded greatly.</t>
  </si>
  <si>
    <t>Concept of Fielty: Your Followers will not Engage in Combat with other Entities under the same Banner upon being attacked unless the Hero is Banished, or they are below 50% Health, or have been Attacked thrice in the same Day; These Rules do not apply to Flux Abilities whilst in a different Combat.</t>
  </si>
  <si>
    <t>Enemies will not flee unless heavily roleplayed into it, feared, in a situation where they can not damage at all the opponent/realise the threat or overriden.</t>
  </si>
  <si>
    <t>In Combat you can Flee towards the nearest Direction if on the Outer Layer or if at least 2 Tiles away from the closest Entity.</t>
  </si>
  <si>
    <t>Unknown Sites(The Question Mark) has a 60% chance of having a good or neutral outcome, thus, probability wise, it is a good idea to go there. (Disclaimer, if you roll a 1, RIP)</t>
  </si>
  <si>
    <t>Law of Statistical Anomaly: If you roll 15 consecutive times a D20 below a 10 you may invoke this Law once per campaign in order to gain between 1 and 3 Faith. (Decided by GM)</t>
  </si>
  <si>
    <t>When an Entity under a Banner walks in 1 Hex Radius of another or if they cause an Attack the Turn order is given to the Defender.</t>
  </si>
  <si>
    <t>Hostile Entities will not chase Heroes unless they are Taunted, Provoked with Dialogue or Attacks from another Hex, or if it is specified by certain Abilities.</t>
  </si>
  <si>
    <t>All Enemies are split in 2 Categories: Sentients and Creatures. Sentients will drop their Gear upon death and their gold, while Creatures will drop Ingredients and Materials.</t>
  </si>
  <si>
    <t>Attempts can NOT override Cooldowns or other crucial game mechanics no matter what.</t>
  </si>
  <si>
    <t>Max Interruptable Stacks: Preparing / Channeling / Gating Stacks are all Capped at a maximum of 5.</t>
  </si>
  <si>
    <t>If you are unsure about something, ask the GM.</t>
  </si>
  <si>
    <t>When Dropping a weapon whilst dual wielding you drop your main hand unless your only weapon is in your off-hand.</t>
  </si>
  <si>
    <t>The Hard Limit of an Elemental Resistance is 200%; If Defense and Dispersion becomes % based then it is capped at 100%.</t>
  </si>
  <si>
    <t>Not everything in the Planes is trying to kill you...no...wait...</t>
  </si>
  <si>
    <t>Attempts do NOT have Reflex.</t>
  </si>
  <si>
    <t>Self Dismemberment: Heroes can choose to Dismember themselves (on their chosen Slot); Doing this removes Rotting, all Ticks of Fear, Confused, Mid Control and Charm.</t>
  </si>
  <si>
    <t>Artifacts lowest Rarity is Legendary...but they are harder to obtain than other Legendary Gear.</t>
  </si>
  <si>
    <t>On Day 1 You get Double your Base Stamina unless Overriden by GM for the respective campaign.</t>
  </si>
  <si>
    <t>Ranged Weapon Damage Reduction increases by 25% with each Hex; Up to a minimum of 25% (E.g. Shooting at someone 1 Hex Away will have 25% Damage Penalty)</t>
  </si>
  <si>
    <t>Faith will be automatically consumed to stop death, as long as the Damage is lower than 50/Faith.</t>
  </si>
  <si>
    <t>If a Condition such as Blessed by the Gods is removed, but the Entity still has Faith, it gets reapplied at the Start of their Turn.</t>
  </si>
  <si>
    <t>Movement Attempts are capped at 3 per Day per Entity.</t>
  </si>
  <si>
    <t>When you remove Gear that grants you Health, you will lose that health...if your Health is below that threshold...you will die.</t>
  </si>
  <si>
    <t>Failing to Traverse a Hex still Consumes the Stamina used!</t>
  </si>
  <si>
    <t>Wards grant Vision if placed inside a Forest but won't let you see past other Forests or Mountains.</t>
  </si>
  <si>
    <t>Read the keywords, understand them and make use of them in battle.</t>
  </si>
  <si>
    <t>All Mimics do not leave Corpses behind.</t>
  </si>
  <si>
    <t>Banner Carry: You may carry 1 other Entity to another Hex but that Traversal will cost you double its Stamina; Hex Effects such as Damage apply to both Entities.</t>
  </si>
  <si>
    <t>There are many Ability types, understand their uses.</t>
  </si>
  <si>
    <t>Zone guards cannot be taunted</t>
  </si>
  <si>
    <t>Upon Hero death OR Dismisal, their Banner becomes neutral and remains stationary unless interacted with. They disappear on day reset, unless overridden.</t>
  </si>
  <si>
    <t>Silly Ideas have won games in the past...ti's a silly place.</t>
  </si>
  <si>
    <t>All Sentient Legends are Considered Heroes if the Hero has Transformed into them, otherwise Companions.</t>
  </si>
  <si>
    <t>Mercenaries do not drop gold upon Death. They also cannot use Exploration.</t>
  </si>
  <si>
    <t>You may choose to chop off your arms and legs, in order to remove Rot.</t>
  </si>
  <si>
    <t>If Mana Locked is higher than Max Mana then the remaining Mana becomes Locked Health instead.</t>
  </si>
  <si>
    <t>You cannot attempt to cast Abilities without Resonance.</t>
  </si>
  <si>
    <t>Building Gear Sets can improve your survival odds greatly!</t>
  </si>
  <si>
    <t>Boats capped at 6 Traversals per day; Boats Spawn on Target Adjacent to Port selected by Player.</t>
  </si>
  <si>
    <t>Minions do not drop XP and loot upon death.</t>
  </si>
  <si>
    <t>You may choose to have your character say "Skyra" at the beginning of an 8 Ones Campaign, in the first day. If you do so you enter Torment Mode. (WARNING: Difficulty is increased a lot!)</t>
  </si>
  <si>
    <t>Allies are not allies, they are temporary non hostiles. </t>
  </si>
  <si>
    <t>You may Potion Craft at Zones (Regardless if Pillaged or not)</t>
  </si>
  <si>
    <t>It Takes a total of 5600 Experience to reach Level 8 and a total of 13200 Xp for Level 12</t>
  </si>
  <si>
    <t>Losing Health and Taking Damage are separate mechanics! NEITHER WORKS FROM EITHER!</t>
  </si>
  <si>
    <t>Players can not interact with Combats of two other Entities from different Banners/Pve; If the Hero is in 1 Hex Range of the Combat they will gain the initiaitve upon its completion.</t>
  </si>
  <si>
    <t>Be careful, some chests can be guarded! Keep your eyes peeled!</t>
  </si>
  <si>
    <t>There are at least 2 Entities needed for Combat.</t>
  </si>
  <si>
    <t>If a Player attacks another Player from Multi-Hex Range then the initiative commences and actions are taken on a turn based basis.</t>
  </si>
  <si>
    <t>Dodged Attacks are NOT missed attacks</t>
  </si>
  <si>
    <t>Hex Destruction: Hexes can be Converted to Normal Plains if Hit by 500 Total Damage and Destroyed if they are hit with 1000 Damage or more.</t>
  </si>
  <si>
    <t>Astral Gear is worth 3000 Gold.</t>
  </si>
  <si>
    <t>Mind Controlled Amputation: You can not force an Entity that you Mind Control to Dismember themselves without an Attempt with a 16 or above.</t>
  </si>
  <si>
    <t>Zones can not be used mid Combat which means Potions can only be crafted in combat if you have the skill.</t>
  </si>
  <si>
    <t>Rowing Boats: The Boat can be Rowed by 1 Sentient Entity, moving all others on the boat, that Entity will spend Stamina equal to Traversal Cost of Hex; Crew has its own Separate 3 Stamina(by Default) which allows Hex Traversal; Crew may NOT attempt.</t>
  </si>
  <si>
    <t>On turn start this is the order of effects: Statuses First &gt; Passive Ticks &gt; Other Effects</t>
  </si>
  <si>
    <t>Wards can not be Placed on Water/Lava Hexes.</t>
  </si>
  <si>
    <t>Legends Drop Mythic Ore/Mythic Gear for Creatures/Sentients.</t>
  </si>
  <si>
    <t>Counterplaying with multiple Entities: All Counter Actions must be specified at the same time before resolving, they will happen at the same time same as Queued Actions. (E.g. If someone Tanks, then my Dodge won't matter; However if my dodge succeeds and someone failed the Tanking they still take the Damage)</t>
  </si>
  <si>
    <t>Attempting to carry another Entity whilst having 0 Stamina will cause you roll for moving without Stamina.</t>
  </si>
  <si>
    <t>We ain't blind: You can always tell if Entities you have Vision of in Map Phase are in Combat or not.</t>
  </si>
  <si>
    <t>A permanent status will apply a 1 tick of that particular status at the start of your turn for as long as the conditions are met if any exist. </t>
  </si>
  <si>
    <t>A Legendary Mimic becomes an exact copy of a Hero encountering it on Combat Start; It counts as a Guardian; It always goes last in initiative overriding everything; It drops a Random Mythic Gear and 1000 Experience.</t>
  </si>
  <si>
    <t>The Keyword that causes Abilities to cost less "Resource" only affect the following: MANA; FOCUS; RAGE; SOUL</t>
  </si>
  <si>
    <t>Heroes give Experience equal to their Level multiplied by 200 (200 Xp per Level); Companions - Level multiplied by 100 (100 Xp per Companion Level).</t>
  </si>
  <si>
    <t>If you are unable to do an Action you are Forced to do on your turn then you may do any other available Action.</t>
  </si>
  <si>
    <t>Rolling a 1 on Throwables will simply be a miss.</t>
  </si>
  <si>
    <t>Statuses are still applied even if you are Immune to their effects.</t>
  </si>
  <si>
    <t>A Mind Controlled Entity's Attacks do not count as their own; This means they will not trigger banishment if someone mind controlls you and uses you to attack your followers.</t>
  </si>
  <si>
    <t>Gear/Items that were sold at a Market can be repurchased by the Hero that sold them. They disappear with the next Vendal.</t>
  </si>
  <si>
    <t>Source of Mind Controll is NOT able to use Targets Faith, NOT able to Attempt to Cast Abilities without Resource and NOT able to attempt to cast abilities without Resource.</t>
  </si>
  <si>
    <t>All Potions have Hidden; They can be drunk or thrown without announcing their names; The same does not go for Scrolls.</t>
  </si>
  <si>
    <t>If by any chance there are no longer any Legendary Gear left in the pool when someone opens a Legendary Chest, then they will get a Mythic Gear instead...so on and so forth for any Unique Rarity.</t>
  </si>
  <si>
    <t>Only the highest Merchant Discount Effect will be taken into Consideration.</t>
  </si>
  <si>
    <t>Traps affect the Entire Hex.</t>
  </si>
  <si>
    <t>All randomly gained abilities not learned from level ups; will always be Rank 1. </t>
  </si>
  <si>
    <t>You are unable to Basic Attack with a Shield as it is considered Armor. (May still Attempt)</t>
  </si>
  <si>
    <t>Addiction Prevention: You may only Consume one of each Drugs.</t>
  </si>
  <si>
    <t>Unless Health is specified as being Max Health or Base Health, you should always assume Current Health.</t>
  </si>
  <si>
    <t>Any Object Dropped on a Water/Lava Hex is Lost.</t>
  </si>
  <si>
    <t>If you are in the Outer Layer and are being pushed towards a non-existing Tile, nothing will happen.</t>
  </si>
  <si>
    <t>Heroes Fleeing from Combat without Stamina does not count towards a Movement Attempt. (This is intentional to benefit the fleeing Hero; Specifically only applies to Heroes)</t>
  </si>
  <si>
    <t>When Subtracting Stats always leave the Base stats Last (E.g. If Target loses 5 Strength and they have 7 with 3 Base, they will be at 4 Base left)</t>
  </si>
  <si>
    <t>Time Exists: An Entity can only Traverse up to 10 Hexes per Day including the 3 Attempts without Movement; This is also applied to Traversal from Fleeing.</t>
  </si>
  <si>
    <t>As long as an Entity is adjacent to you and is Action impaired, you may use Potions on them by forcing the potion down their throat.</t>
  </si>
  <si>
    <t>If you would go below 0 Max Mana when Un-equipping a Gear(Negative Mana Abilities override this) you Lose Health equal to Excess Mana; Once done you won't be able to Gain Mana from Gear Stats until End of Day.</t>
  </si>
  <si>
    <t>Thrown Weapons (Not Throwables) have Recoverable by default.</t>
  </si>
  <si>
    <t>Unique Gear that is Destroyed is removed from the Item Pool until End of Campaign. (Does not count for Sold, Lost, Sacrificed at shrine, etc)</t>
  </si>
  <si>
    <t>Falling off the map, teleporting to, being summoned or reviving on a Hex does not count as Traversing said Hex.</t>
  </si>
  <si>
    <t>Destroying/Pillaging Zones causes Banishment.</t>
  </si>
  <si>
    <t>Losing Stamina and going negative you will lose 25 Health per 0.5 Stamina.</t>
  </si>
  <si>
    <t>All Venoms are considered Oils mechanically; Only one Oil can be applied to a weapon at once, applying a new one overrides the old one; Oils lasts until Weapon is unequipped.</t>
  </si>
  <si>
    <t>Stealthed Heroes give up on their "Zone of Control", meaning that they won't stop other Heroes from doing their actions as to not reveal them.</t>
  </si>
  <si>
    <t>Quest</t>
  </si>
  <si>
    <t>Reward</t>
  </si>
  <si>
    <t>Difficulty</t>
  </si>
  <si>
    <t>The Justs Cleansing</t>
  </si>
  <si>
    <t>Kill 3 Weaklings.</t>
  </si>
  <si>
    <t>2 Health Potions</t>
  </si>
  <si>
    <t>Easy</t>
  </si>
  <si>
    <t>Treasure Hunt</t>
  </si>
  <si>
    <t>Open 3 Chests.</t>
  </si>
  <si>
    <t>Random Rare Weapon</t>
  </si>
  <si>
    <t>Heroic Work</t>
  </si>
  <si>
    <t>Clear One Guarded Landmark or Entity.</t>
  </si>
  <si>
    <t>Random Rare Armor</t>
  </si>
  <si>
    <t>Delivery Request</t>
  </si>
  <si>
    <t>Gain a Quest Item (Occupies 1 Slot) which you must Deliver to any Market/Port.</t>
  </si>
  <si>
    <t>Exploration Invoice</t>
  </si>
  <si>
    <t>Explore 3 Hexes</t>
  </si>
  <si>
    <t>Random Rare Jewlery</t>
  </si>
  <si>
    <t>Savior of the unfortunate</t>
  </si>
  <si>
    <t>Spend 500 Gold to Help the poor in any Zone. (Lose 500 Gold)</t>
  </si>
  <si>
    <t>Intel Gathering</t>
  </si>
  <si>
    <t>Gain Vision of a previously not Observed Hero.</t>
  </si>
  <si>
    <t>300 Experience</t>
  </si>
  <si>
    <t>Escort the Weak</t>
  </si>
  <si>
    <t>Escort 100 Health Civilian to a Randomly Selected Hex.</t>
  </si>
  <si>
    <t>Random Rare Item</t>
  </si>
  <si>
    <t>Shepherd in need of help</t>
  </si>
  <si>
    <t>Traverse Random Landmark; This Random Landmark will not be Rolled.</t>
  </si>
  <si>
    <t>1x Attribute Point</t>
  </si>
  <si>
    <t>Lost my Hammer</t>
  </si>
  <si>
    <t>Gain a Quest Item (Occupies 1 Slot) which you must Deliver to any Foundry.</t>
  </si>
  <si>
    <t>Rare Ore</t>
  </si>
  <si>
    <t>Lost Child</t>
  </si>
  <si>
    <t>The Next Weakling will have a 10 Health Child in Combat; Save him.</t>
  </si>
  <si>
    <t>1 Rare Ward</t>
  </si>
  <si>
    <t>Creeper of the Night</t>
  </si>
  <si>
    <t>When you Rest you will be attacked by a Prime Weakling; Kill it.</t>
  </si>
  <si>
    <t>1x Faith</t>
  </si>
  <si>
    <t>Double Check</t>
  </si>
  <si>
    <t>Traverse Gold Landmark.</t>
  </si>
  <si>
    <t>1x Common Rune</t>
  </si>
  <si>
    <t>Fishermans Request</t>
  </si>
  <si>
    <t>Spend 0.5 Stamina at a Port and gain a Fish</t>
  </si>
  <si>
    <t>1 Fish? (Common Item, Restores 35 Health)</t>
  </si>
  <si>
    <t>Animal lover</t>
  </si>
  <si>
    <t>Spare a Creature by Fleeing Combat.</t>
  </si>
  <si>
    <t>Lost Traveler</t>
  </si>
  <si>
    <t>Give a Neutral Entity or Zone a Ward of any Rarity or a Map.</t>
  </si>
  <si>
    <t>World Wide</t>
  </si>
  <si>
    <t>Traverse 3 different Landmarks in 1 Day.</t>
  </si>
  <si>
    <t>Double the Experience Gained From the next Combat</t>
  </si>
  <si>
    <t>Mind, Body and Soul</t>
  </si>
  <si>
    <t>Get a Keystone</t>
  </si>
  <si>
    <t>1x Stat Point</t>
  </si>
  <si>
    <t xml:space="preserve">Exterminator </t>
  </si>
  <si>
    <t>Kill at least two Undead or Demon Kin Enemies.</t>
  </si>
  <si>
    <t>2 Mana Potions</t>
  </si>
  <si>
    <t>GET IT CHEAPER</t>
  </si>
  <si>
    <t>Sell 2 Rare Gear.</t>
  </si>
  <si>
    <t>Surfer wants to Teach</t>
  </si>
  <si>
    <t xml:space="preserve"> Traverse 3 Water Hexes</t>
  </si>
  <si>
    <t>400 Experience</t>
  </si>
  <si>
    <t>Medium</t>
  </si>
  <si>
    <t xml:space="preserve">Peacekeeper </t>
  </si>
  <si>
    <t>Negotiate yourself out of combat</t>
  </si>
  <si>
    <t>Random Epic gear</t>
  </si>
  <si>
    <t>Animal lover II</t>
  </si>
  <si>
    <t>Spare 2 Creatures by Fleeing Combat.</t>
  </si>
  <si>
    <t>2x Rare Items</t>
  </si>
  <si>
    <t>WE are pirates</t>
  </si>
  <si>
    <t>Explore 3 Water Hexes.</t>
  </si>
  <si>
    <t>GET IT CHEAPER II</t>
  </si>
  <si>
    <t>Sell 2 Epic Gear.</t>
  </si>
  <si>
    <t>Random Epic Item</t>
  </si>
  <si>
    <t>I Can See You</t>
  </si>
  <si>
    <t>Place 2 wards.</t>
  </si>
  <si>
    <t>Random Epic Scroll</t>
  </si>
  <si>
    <t>Shop keeper in trouble</t>
  </si>
  <si>
    <t>Enter a market within 3 Days.</t>
  </si>
  <si>
    <t>Get a 50% discount on one epic Gear/Item.</t>
  </si>
  <si>
    <t>the votes aren't in my way</t>
  </si>
  <si>
    <t>Lose 3 Stamina.</t>
  </si>
  <si>
    <t>Get a Mercenary</t>
  </si>
  <si>
    <t>witch's brew</t>
  </si>
  <si>
    <t>Consume 3 Ingredients in your Inventory.</t>
  </si>
  <si>
    <t>One Epic Potion.</t>
  </si>
  <si>
    <t>wizard in need</t>
  </si>
  <si>
    <t>Spend 100 Mana/Resources.</t>
  </si>
  <si>
    <t>2 Rare Scrolls.</t>
  </si>
  <si>
    <t>missing person</t>
  </si>
  <si>
    <t xml:space="preserve"> Fight 5 weaklings at once (Player chooses when)</t>
  </si>
  <si>
    <t>2x Stat Point</t>
  </si>
  <si>
    <t>Devils and Angels</t>
  </si>
  <si>
    <t>Kill a Demon Elite or higher and a Divine Elite or higher.</t>
  </si>
  <si>
    <t>2x Faith</t>
  </si>
  <si>
    <t>The Justs Cleansing II</t>
  </si>
  <si>
    <t>Kill Two Elites.</t>
  </si>
  <si>
    <t>2 Greater Health Potions</t>
  </si>
  <si>
    <t>Treasure Hunt II</t>
  </si>
  <si>
    <t>Open Two Treasure Chests.</t>
  </si>
  <si>
    <t>Random Epic Weapon</t>
  </si>
  <si>
    <t>Heroic Work II</t>
  </si>
  <si>
    <t>Clear Two Guarded Landmarks or Entities.</t>
  </si>
  <si>
    <t>Random Epic Armor</t>
  </si>
  <si>
    <t>Delivery Request II</t>
  </si>
  <si>
    <t>Gain 2 Quest Items (Occupies 2 Slots) which you must Deliver to any Black Market/Arena.</t>
  </si>
  <si>
    <t>Exploration Invoice II</t>
  </si>
  <si>
    <t>Explore 5 Hexes.</t>
  </si>
  <si>
    <t>Random Epic Jewlery</t>
  </si>
  <si>
    <t>Savior of the unfortunate II</t>
  </si>
  <si>
    <t>Spend 1000 Gold to Help the poor. (Lose 1000 Gold)</t>
  </si>
  <si>
    <t>First Encounter</t>
  </si>
  <si>
    <t>Engage in Combat with a Hero you have not engaged in Combat with previously.</t>
  </si>
  <si>
    <t>Escort the Weak II</t>
  </si>
  <si>
    <t>Escort 50 Health Civilian to a Randomly Selected Hex.</t>
  </si>
  <si>
    <t>Lost then found</t>
  </si>
  <si>
    <t>Consume a Rare Jewlery in any Zone. (You lose the Jewlery)</t>
  </si>
  <si>
    <t>1x Mercenary</t>
  </si>
  <si>
    <t>Hard</t>
  </si>
  <si>
    <t>Train the soilder</t>
  </si>
  <si>
    <t>Get a Civilian Follower that shares your XP; When he reaches level 6 Quest is finished.</t>
  </si>
  <si>
    <t>Gain Legendary Gear; Level 6 Companion</t>
  </si>
  <si>
    <t>Missing person II</t>
  </si>
  <si>
    <t>Find the hide out (closest Forest/Mountain) then kill 4 elites at once</t>
  </si>
  <si>
    <t>2 Health Potions; 2 Mana Potions</t>
  </si>
  <si>
    <t>Beacon of hope</t>
  </si>
  <si>
    <t>Reveal yourself with a beacon you place; All other Heroes will see where you are on the map.</t>
  </si>
  <si>
    <t>+1 hex vision</t>
  </si>
  <si>
    <t>Herbalist request</t>
  </si>
  <si>
    <t>Traverse 5 Forests.</t>
  </si>
  <si>
    <t>One Legendary Potion</t>
  </si>
  <si>
    <t>The Justs Cleansing III</t>
  </si>
  <si>
    <t>Kill a Boss.</t>
  </si>
  <si>
    <t>1 Supreme Health Potions</t>
  </si>
  <si>
    <t>Treasure Hunt III</t>
  </si>
  <si>
    <t>Open a Legendary Chest.</t>
  </si>
  <si>
    <t>Random Legendary Weapon</t>
  </si>
  <si>
    <t>Heroic Work III</t>
  </si>
  <si>
    <t>Clear Three Guarded Landmarks or Entities.</t>
  </si>
  <si>
    <t>Random Legendary Armor</t>
  </si>
  <si>
    <t>Delivery Request III</t>
  </si>
  <si>
    <t>Gain 3 Quest Items (Occupies 3 Slots) which you must Deliver to any Shrine/Tavern.</t>
  </si>
  <si>
    <t>Exploration Invoice III</t>
  </si>
  <si>
    <t>Explore 8 Hexes</t>
  </si>
  <si>
    <t>Random Legendary Jewlery</t>
  </si>
  <si>
    <t>Savior of the unfortunate III</t>
  </si>
  <si>
    <t>Spend 1500 Gold to Help the poor. (Lose 1500 Gold)</t>
  </si>
  <si>
    <t>The Guilds Contract</t>
  </si>
  <si>
    <t>Kill A Hero.</t>
  </si>
  <si>
    <t>1000 Gold; 800 Experience</t>
  </si>
  <si>
    <t>Escort the Weak III</t>
  </si>
  <si>
    <t>Escort 25 Health Civilian to a Randomly Selected Hex.</t>
  </si>
  <si>
    <t>Random Legendary Item</t>
  </si>
  <si>
    <t>GET IT CHEAPER III</t>
  </si>
  <si>
    <t>Sell two Legendary Gear.</t>
  </si>
  <si>
    <t>Fight in the arena</t>
  </si>
  <si>
    <t>Fight and Win in any challenge in an Arena.</t>
  </si>
  <si>
    <t>1000 Gold; 1 Faith</t>
  </si>
  <si>
    <t>Defeat BBG</t>
  </si>
  <si>
    <t>Kill a guardian</t>
  </si>
  <si>
    <t>Get one Random Mythic Gear</t>
  </si>
  <si>
    <t>Once we are bounded</t>
  </si>
  <si>
    <t>Ally yourself to another Hero for 2 Days</t>
  </si>
  <si>
    <t>2 Supreme Health Potions</t>
  </si>
  <si>
    <t>You are the Enemy</t>
  </si>
  <si>
    <t>Destroy 3 Landmarks</t>
  </si>
  <si>
    <t>+1 Ability Point</t>
  </si>
  <si>
    <t>Peacekeeper II</t>
  </si>
  <si>
    <t>Negotiate yourself out of combat with a hero</t>
  </si>
  <si>
    <t>+1 Skill Point</t>
  </si>
  <si>
    <t>Divine Payment</t>
  </si>
  <si>
    <t>Gain -3 Faith.</t>
  </si>
  <si>
    <t>Random Legendary Armor.</t>
  </si>
  <si>
    <t>THE BANDITS</t>
  </si>
  <si>
    <t>THE LEGION</t>
  </si>
  <si>
    <t>THE CONCLAVE</t>
  </si>
  <si>
    <t>ATTRIBUTE</t>
  </si>
  <si>
    <t>RACES/KIN</t>
  </si>
  <si>
    <t>ANY</t>
  </si>
  <si>
    <t>RANK</t>
  </si>
  <si>
    <t>Rank I</t>
  </si>
  <si>
    <t>Rank II</t>
  </si>
  <si>
    <t>Rank III</t>
  </si>
  <si>
    <t>LIST OF INNATE ABILITIES:</t>
  </si>
  <si>
    <t>(P) Our Camp, our Rules: Your Banner has +5 Initiative.</t>
  </si>
  <si>
    <t>(P) Your Banner Gains 5 Barrier on Combat Start.</t>
  </si>
  <si>
    <t>(P) Your Banner has +5 Intelligence.</t>
  </si>
  <si>
    <t>(P) Your Basic Attacks have 1(+100% Level) True Damage on Hit.</t>
  </si>
  <si>
    <t>(P) Your Basic Attacks have 2(+200% Level) Physical Damage on Hit.</t>
  </si>
  <si>
    <t>(P) Your Basic Attacks have 2(+200% Level) Magic Damage on Hit.</t>
  </si>
  <si>
    <t>(P) Your first Action in Combat has Blitz.</t>
  </si>
  <si>
    <t>(P) Your first Action in Combat has Flash.</t>
  </si>
  <si>
    <t>(P) Your first Action in Combat has Hidden.</t>
  </si>
  <si>
    <t>(P) When Entities Flee from Combat immediately steal 25% of all their Gold.</t>
  </si>
  <si>
    <t>(P) When Entities Flee from Combat immediately deal them 10(+200% Level) Physical Damage.</t>
  </si>
  <si>
    <t>(P) When Entities Flee from Combat immediately deal them 10(+200% Level) Magic Damage.</t>
  </si>
  <si>
    <t>(P) You have +1 Mobility.</t>
  </si>
  <si>
    <t>(P) You have +1 Might.</t>
  </si>
  <si>
    <t>(P) You have +1 Wisdom.</t>
  </si>
  <si>
    <t>(P) Your Throwables/Thrown Weapons have +2 on their Roll.</t>
  </si>
  <si>
    <t>(P) Your Basic Attacks have +1 on their Attack Roll.</t>
  </si>
  <si>
    <t>(P) Scrolls/Abilities you Overcast have +2 on their Roll.</t>
  </si>
  <si>
    <t>(P) You have -5 Intelligence but your Basic Attack has +5 Base Damage.</t>
  </si>
  <si>
    <t>(P) You have -5 Intelligence but you take 2 Less Damage from all Sources.</t>
  </si>
  <si>
    <t>(P) You have -5 Intelligence but you have +50 Mana.</t>
  </si>
  <si>
    <t>(P) Start Combat with 1 Gating Stack.</t>
  </si>
  <si>
    <t>(P) Start Combat with 1 Preparation Stack.</t>
  </si>
  <si>
    <t>(P) Start Combat with 1 Channel Stack.</t>
  </si>
  <si>
    <t>(P) Upon dropping below 20% Max Health become Invisible for 1 Turn.</t>
  </si>
  <si>
    <t>(P) Upon dropping below 20% Max Health become Unstoppable for 1 Turn.</t>
  </si>
  <si>
    <t>(P) Upon dropping below 20% Max Health become Surged for 1 Turn.</t>
  </si>
  <si>
    <t>(P) You have +3(+100% Level) Dexterity.</t>
  </si>
  <si>
    <t>(P) You have +3(+100% Level) Strength.</t>
  </si>
  <si>
    <t>(P) You have +3(+100% Level) Power.</t>
  </si>
  <si>
    <t>(P) True Edge: Gain 1(+Level) Defense Penetration as long as you're using a Dexterity Scaling weapon.</t>
  </si>
  <si>
    <t>(P) True Edge: Gain 1(+Level) Defense Penetration as long as you're using a Strength Scaling weapon.</t>
  </si>
  <si>
    <t>(P) True Edge: Gain 1(+Level) Defense Penetration as long as you're using a Power Scaling weapon.</t>
  </si>
  <si>
    <t>(P) Deflector: Gain 20% Deflection.</t>
  </si>
  <si>
    <t>(P) Elemental Protection: Gain 20% Elemental Resistance.</t>
  </si>
  <si>
    <t>(P) Fortitude Master: Gain 20% Fortitude.</t>
  </si>
  <si>
    <t>(P) Calming Stature: Immune to Stagger; The first Basic Attack in Combat has a +2 Roll Modifier.</t>
  </si>
  <si>
    <t>(P) The Dawnbringer: Every Third Landed Basic Attack your do has a 50% Chance to Stun the Target for 1 turn.</t>
  </si>
  <si>
    <t>(P) Crack of Dawn:  Gain 5+ (5*100% Level) Barrier until End of Combat.</t>
  </si>
  <si>
    <t>(P) Bandits Aura: +30% Poison; Bleed and Wind Resistance; Immunity to Root.</t>
  </si>
  <si>
    <t>(P) Legion Aura: +30% Fire; Earth and Light Resistance; Immunity to Charmed.</t>
  </si>
  <si>
    <t>(P) Conclave Aura: +30% Frost; Dark and Lightning Resistance; Immunity to Sealed.</t>
  </si>
  <si>
    <t>(P) Decrease all incoming Elemental Damage by 1(+50% level).</t>
  </si>
  <si>
    <t>(P) Rasonian Highguard: Decrease all incoming Physical Damage by 1(+100% level).</t>
  </si>
  <si>
    <t>(P) Rasonian Highguard: Decrease all incoming Magic damage by 1(+100% level).</t>
  </si>
  <si>
    <t>(P) 5 Random Empty Tiles have Invisible Traps that deal 10(+200% Level) Poison Damage upon Moving to them.</t>
  </si>
  <si>
    <t>(P) Opportunity Attack: Basic Attack Entities Moving away from your Melee Range.</t>
  </si>
  <si>
    <t>(P) On the 8th Turn in Combat all Hostile Entities will immediately take 20(+100% Power) Arcane Damage.</t>
  </si>
  <si>
    <t>(P) Perfect Aim: Your Basic Attacks have Blitz.</t>
  </si>
  <si>
    <t>(P) Perfect Aim: Your Basic Attacks have Precise.</t>
  </si>
  <si>
    <t>(P) Perfect Aim: Your Basic Attacks have  10% lifedrain.</t>
  </si>
  <si>
    <t>(P) Final trick: Upon taking Fatal Damage, you have a 50% chance to survive. 1/day</t>
  </si>
  <si>
    <t>(P) Grand Strike : Upon taking Fatal Damage, Basic attack target one last time with +2 roll modifier. 1/day</t>
  </si>
  <si>
    <t>(P) Grand Chrysalis: Upon taking Lethal Damage, engulf yourself in a protective crystal and Regenerate 20 Health; Enemies in melee range will take 10(+100% Power) Magic Damage. (1/Day)</t>
  </si>
  <si>
    <t>Gain 1(+100% Mobility) Intellegence.</t>
  </si>
  <si>
    <t>Gain 1(+100% Might) Intellegence.</t>
  </si>
  <si>
    <t>Gain 1(+100% Wisdom) Intellegence.</t>
  </si>
  <si>
    <t>(P) Adaptive Skin: Gain 30% Resistance for the Element corresponding to the Biome you are currently in.</t>
  </si>
  <si>
    <t>(P) Territorial bind: Gain 1(+ 50% Level) Strength &amp; Defense.</t>
  </si>
  <si>
    <t>(P) Territorial bind: Gain 1(+50%) Power &amp; Dispersion.</t>
  </si>
  <si>
    <t>(P) Your Basic Attacks have 2(+100% Level) Bleed Damage on Hit.</t>
  </si>
  <si>
    <t>(P) Your Basic Attacks have 2(+100% Level) Fire Damage on Hit.</t>
  </si>
  <si>
    <t>(P) Your Basic Attacks have 2(+100% Level) Frost Damage on Hit.</t>
  </si>
  <si>
    <t>(P) Your Basic Attacks have 2(+100% Level) Poison Damage on Hit.</t>
  </si>
  <si>
    <t>(P) Your Basic Attacks have 2(+100% Level) Earth Damage on Hit.</t>
  </si>
  <si>
    <t>(P) Your Basic Attacks have 2(+100% Level) Dark Damage on Hit.</t>
  </si>
  <si>
    <t>(P) Your Basic Attacks have 2(+100% Level) Wind Damage on Hit.</t>
  </si>
  <si>
    <t>(P) Your Basic Attacks have 2(+100% Level) Light on Hit.</t>
  </si>
  <si>
    <t>(P) Your Basic Attacks have 2(+100% Level) Lightning Damage on Hit.</t>
  </si>
  <si>
    <t>(P) You deal 25% more Total Damage against Entities affected by Negative Statuses.</t>
  </si>
  <si>
    <t>(P) Immune to Fear, Confusion and Charm,</t>
  </si>
  <si>
    <t>(P) Immune to the first Non-Ultimate Spell Targeting you.</t>
  </si>
  <si>
    <t>(P) You deal 25% more Total Damage against Entities below 25% Health.</t>
  </si>
  <si>
    <t>(P) Take 25% Less Damage from Critical Hits.</t>
  </si>
  <si>
    <t>(P) Can see Invisible Entities.</t>
  </si>
  <si>
    <t>LIST OF TIER I ABILITIES:</t>
  </si>
  <si>
    <t>(&gt;) Dagger Toss: Throw a Dagger at Target for 20(+100% Dexterity) Physical Damage. (50 Mana)</t>
  </si>
  <si>
    <t>(&gt;) Dagger Toss II: Throw a Dagger at Target for 25(+100% Dexterity) Physical Damage. (50 Mana)</t>
  </si>
  <si>
    <t>(&gt;) Dagger Toss III: Throw a Dagger at Target for 30(+100% Dexterity) Physical Damage. (50 Mana)</t>
  </si>
  <si>
    <t>(≈) Power Strike: Strike Target for 20(+100% Strength) Physical Damage. (50 Mana)</t>
  </si>
  <si>
    <t>(≈) Power Strike II: Strike Target for 25(+100% Strength) Physical Damage. (50 Mana)</t>
  </si>
  <si>
    <t>(≈) Power Strike III: Strike Target for 30(+100% Strength) Physical Damage. (50 Mana)</t>
  </si>
  <si>
    <t>(❖:&gt;) Magic Bolt: Deal 20(+100% Power) Magic Damage. (50 Mana)</t>
  </si>
  <si>
    <t>(❖:&gt;) Magic Bolt II: Deal 25(+100% Power) Magic Damage. (50 Mana)</t>
  </si>
  <si>
    <t>(❖:&gt;) Magic Bolt III: Deal 30(+100% Power) Magic Damage. (50 Mana)</t>
  </si>
  <si>
    <t>(≈) Sundering Strike: Strike Target with a 50% Chance to Stun Target for 1 Turn. (50 Mana)</t>
  </si>
  <si>
    <t>(≈) Sundering Strike II: Strike Target with a 75% Chance to Stun Target for 1 Turn. (50 Mana)</t>
  </si>
  <si>
    <t>(≈) Sundering Strike III: Strike Target Stunning them for 1 Turn. (50 Mana)</t>
  </si>
  <si>
    <t>(&gt;) Bola Throw: Root Target for 2(+50% Level Rounded Down) Turns. (50 Mana)</t>
  </si>
  <si>
    <t>(&gt;) Bola Throw II: Root Target for 2(+50% Level Rounded Up) Turns. (50 Mana)</t>
  </si>
  <si>
    <t>(&gt;) Bola Throw III: Root Target for 3(+50% Level Rounded Up) Turns. (50 Mana)</t>
  </si>
  <si>
    <t>(≈) Quick Jab: Strike/Shoot Target 3 Times at 50% of Basic Attack Damage. (30 Mana)</t>
  </si>
  <si>
    <t>(≈) Quick Jab II: Strike/Shoot Target 3 Times at 75% of Basic Attack Damage. (40 Mana)</t>
  </si>
  <si>
    <t>(≈) Quick Jab III: Strike/Shoot Target 3 Times at 100% of Basic Attack Damage. (50 Mana)</t>
  </si>
  <si>
    <t>(≈) Lunge Strike: Dash 1 Tile and Strike Shoot Target. (30 Mana; 1/Combat)</t>
  </si>
  <si>
    <t>(≈) Lunge Strike II: Dash 1 Tile and Strike Shoot Target. (1/Combat; 25 Mana)</t>
  </si>
  <si>
    <t>(≈) Lunge Strike III: Dash 1 Tile and Strike Shoot Target. (1/Combat; 20 Mana)</t>
  </si>
  <si>
    <t>(≈) Poison Blade: Apply Poison your weapon, causing it to deal 5 Poison Damage on Hit Until End of Combat. (20 Mana)</t>
  </si>
  <si>
    <t>(≈) Poison Blade II: Apply Poison your weapon, causing it to deal 7 Poison Damage on Hit Until End of Combat. (20 Mana)</t>
  </si>
  <si>
    <t>(≈) Poison Blade III: Apply Poison your weapon, causing it to deal 10 Poison Damage on Hit Until End of Combat. (20 Mana)</t>
  </si>
  <si>
    <t>Acquired loot: at start of combat, gain a random hidden weapon; Active (Flash): Swap weapon.</t>
  </si>
  <si>
    <t>(P) Acting innocent: Other entities think you are innocent, allowing you to Start combat with +10 Initiative.</t>
  </si>
  <si>
    <t>(P) Acting innocent: Other entities think you are innocent, allowing you to Start combat with +15 Initiative.</t>
  </si>
  <si>
    <t>(P) Acting innocent: Other entities think you are innocent, allowing you to Start combat with +20 Initiative.</t>
  </si>
  <si>
    <t>(&gt;) Pocket Sand: Blind Target for 2 Turns. (1/Combat)</t>
  </si>
  <si>
    <t>(&gt;) Pocket Sand II: Blind Target for 3 Turns. (1/Combat)</t>
  </si>
  <si>
    <t>(&gt;) Pocket Sand III: Blind Target for 4 Turns. (1/Combat)</t>
  </si>
  <si>
    <t>(≈) Punishment: Strike Target for Basic Attack Damage; If the Attack lands Inflict Torment for 2 Turns. (10 Mana)</t>
  </si>
  <si>
    <t>(≈) Punishment  II: Strike Target for Basic Attack Damage; If the Attack lands Inflict Torment for 3 Turns. (20 Mana)</t>
  </si>
  <si>
    <t>(≈) Punishment III: Strike Target for Basic Attack Damage; If the Attack lands Inflict Torment for 4 Turns. (30 Mana)</t>
  </si>
  <si>
    <t>(P) Discipline: Gain the Disciplined Condition.</t>
  </si>
  <si>
    <t>(P) Discipline, Ambusher: Gain the Disciplined and Ambusher Conditions.</t>
  </si>
  <si>
    <t>(P) Discipline, Ambusher and Agility III: Gain the Disciplined, Ambusher and Agile Condition.</t>
  </si>
  <si>
    <t>(&gt;) Javelin Thrower: Throw a Random Common Javelin at Target. (20 Mana)</t>
  </si>
  <si>
    <t>(&gt;) Javeline Thrower II: Throw a Random Rare Javelin at Target. (30 Mana)</t>
  </si>
  <si>
    <t>(&gt;) Javeline Thrower III: Throw a Random Epic Javelin at Target. (40 Mana)</t>
  </si>
  <si>
    <t>(&gt;) Potion Throw: Throw a Random Common Throwable Potion at Target Entity. (20 Mana)</t>
  </si>
  <si>
    <t>(&gt;) Potion Throw II: Throw a Random Rare Throwable Potion at Target Entity. (30 Mana)</t>
  </si>
  <si>
    <t>(&gt;) Potion Throw III: Throw a Random Epic Throwable Potion at Target Entity. (40 Mana)</t>
  </si>
  <si>
    <t>(❖:≈) Scroll Casting: Cast a Random Common Scroll. (25 Mana)</t>
  </si>
  <si>
    <t>(❖:≈) Scroll Casting II: Cast a Random Rare Scroll. (50 Mana)</t>
  </si>
  <si>
    <t>(❖:≈) Scroll Casting III: Cast a Random Epic Scroll. (75 Mana)</t>
  </si>
  <si>
    <t>(&gt;) Hatchet Thrower: Throw a Random Common Hatchet at Target. (20 Mana)</t>
  </si>
  <si>
    <t>(&gt;) Hatchet Thrower II: Throw a Random Rare Hatchet at Target. (30 Mana)</t>
  </si>
  <si>
    <t>(&gt;) Hatchet Thrower III: Throw a Random Epic Hatchet at Target. (40 Mana)</t>
  </si>
  <si>
    <t>(≈) Potion Drink: Drink a Random Common Consumable Potion. (20 Mana)</t>
  </si>
  <si>
    <t>(≈) Potion Drink II: Drink a Random Rare Consumable Potion. (30 Mana)</t>
  </si>
  <si>
    <t>(≈) Potion Drink III: Drink a Random Epic Consumable Potion. (40 Mana)</t>
  </si>
  <si>
    <t>(&gt;) Dagger Thrower: Throw a Random Common Dagger at Target. (20 Mana)</t>
  </si>
  <si>
    <t>(&gt;) Dagger Thrower II: Throw a Random Rare Dagger at Target. (30 Mana)</t>
  </si>
  <si>
    <t>(&gt;) Dagger Thrower III: Throw a Random Epic Dagger at Target. (40 Mana)</t>
  </si>
  <si>
    <t>(&gt;) Explosive Thrower: Throw a Random Common Explosive at Target. (20 Mana)</t>
  </si>
  <si>
    <t>(&gt;) Explosive Thrower II: Throw a Random Rare Explosive at Target. (40 Mana)</t>
  </si>
  <si>
    <t>(&gt;) Explosive Thrower III: Throw a Random Epic Explosive at Target. (60 Mana)</t>
  </si>
  <si>
    <t>(&gt;) Puncturing Needle: Throw a needle at Target for 20(+100% Dexterity) Physical Damage with 10 Bleed Damage on Hit. (30 Mana)</t>
  </si>
  <si>
    <t>(&gt;) Puncturing Needle II: Throw a needle at Target for 25(+100% Dexterity) Physical Damage with 10 Bleed Damage on Hit. (30 Mana)</t>
  </si>
  <si>
    <t>(&gt;) Puncturing Needle III: Blitz; Throw a needle at Target for 25(+100% Dexterity) Physical Damage with 10 Bleed Damage on Hit. (30 Mana)</t>
  </si>
  <si>
    <t>(≈) Steal Gold: Steal 100 Gold, Deal 10 Bleed Damage. (20 Mana)</t>
  </si>
  <si>
    <t>(≈) Steal Gold II: Steal 200 Gold, Deal 20 Bleed Damage. (30 Mana)</t>
  </si>
  <si>
    <t>(≈) Steal Gold III : Steal 300 Gold, Deal 30 Bleed Damage. (40 Mana)</t>
  </si>
  <si>
    <t>(❖:+) Flight Denial: Slow Target for 1(+50% Dex) Turns. (20 Mana)</t>
  </si>
  <si>
    <t>(❖:+) Flight Denial II : Slow Target for 2(+50% Dex) Turns. (30 Mana)</t>
  </si>
  <si>
    <t>(❖:+) Flight Denial III: Slow Target for 3(+50% Dex) Turns. (40 Mana)</t>
  </si>
  <si>
    <t>(❖:&gt;) Blood Bolt: Launch a 20 Bleed Damage bolt at Target Entity. (25 Mana)</t>
  </si>
  <si>
    <t>(❖:&gt;) Blood Bolt II: Launch a 40 Bleed Damage bolt at Target Entity. (50 Mana)</t>
  </si>
  <si>
    <t>(❖:&gt;) Blood Bolt III: Launch a 60 Bleed Damage bolt at Target Entity. (75 Mana)</t>
  </si>
  <si>
    <t>(❖:&gt;) Blood Bolt: Launch a 20 Fire Damage bolt at Target Entity. (25 Mana)</t>
  </si>
  <si>
    <t>(❖:&gt;) Blood Bolt II: Launch a 40 Fire Damage bolt at Target Entity. (50 Mana)</t>
  </si>
  <si>
    <t>(❖:&gt;) Blood Bolt III: Launch a 60 Fire Damage bolt at Target Entity. (75 Mana)</t>
  </si>
  <si>
    <t>(❖:&gt;) Blood Bolt: Launch a 20 Frost Damage bolt at Target Entity. (25 Mana)</t>
  </si>
  <si>
    <t>(❖:&gt;) Blood Bolt II: Launch a 40 Frost Damage bolt at Target Entity. (50 Mana)</t>
  </si>
  <si>
    <t>(❖:&gt;) Blood Bolt III: Launch a 60 Frost Damage bolt at Target Entity. (75 Mana)</t>
  </si>
  <si>
    <t>(❖:&gt;) Poison Bolt: Launch a 20 Poison Damage bolt at Target Entity. (25 Mana)</t>
  </si>
  <si>
    <t>(❖:&gt;) Poison Bolt II: Launch a 40 Poison Damage bolt at Target Entity. (50 Mana)</t>
  </si>
  <si>
    <t>(❖:&gt;) Poison Bolt III: Launch a 60 Poison Damage bolt at Target Entity. (75 Mana)</t>
  </si>
  <si>
    <t>(❖:&gt;) Earth Bolt: Launch a 20 Earth Damage bolt at Target Entity. (25 Mana)</t>
  </si>
  <si>
    <t>(❖:&gt;) Earth Bolt II: Launch a 40 Earth Damage bolt at Target Entity. (50 Mana)</t>
  </si>
  <si>
    <t>(❖:&gt;) Earth Bolt III: Launch a 60 Earth Damage bolt at Target Entity. (75 Mana)</t>
  </si>
  <si>
    <t>(❖:&gt;) Dark Bolt: Launch a 20 Dark Damage bolt at Target Entity. (25 Mana)</t>
  </si>
  <si>
    <t>(❖:&gt;) Dark Bolt II: Launch a 40 Dark Damage bolt at Target Entity. (50 Mana)</t>
  </si>
  <si>
    <t>(❖:&gt;) Dark Bolt III: Launch a 60 Dark Damage bolt at Target Entity. (75 Mana)</t>
  </si>
  <si>
    <t>(❖:&gt;) Wind Bolt: Launch a 20 Wind Damage bolt at Target Entity. (25 Mana)</t>
  </si>
  <si>
    <t>(❖:&gt;) Wind Bolt II: Launch a 40 Wind Damage bolt at Target Entity. (50 Mana)</t>
  </si>
  <si>
    <t>(❖:&gt;) Wind Bolt III: Launch a 60 Wind Damage bolt at Target Entity. (75 Mana)</t>
  </si>
  <si>
    <t>(❖:&gt;) Light Bolt: Launch a 20 Light Damage bolt at Target Entity. (25 Mana)</t>
  </si>
  <si>
    <t>(❖:&gt;) Light Bolt II: Launch a 40 Light Damage bolt at Target Entity. (50 Mana)</t>
  </si>
  <si>
    <t>(❖:&gt;) Light Bolt III: Launch a 60 Light Damage bolt at Target Entity. (75 Mana)</t>
  </si>
  <si>
    <t>(❖:&gt;) Lightning Bolt: Launch a 20 Lightning Damage bolt at Target Entity. (25 Mana)</t>
  </si>
  <si>
    <t>(❖:&gt;) Lightning Bolt II: Launch a 40 Lightning Damage bolt at Target Entity. (50 Mana)</t>
  </si>
  <si>
    <t>(❖:&gt;) Lightning Bolt III: Launch a 60 Lightning Damage bolt at Target Entity. (75 Mana)</t>
  </si>
  <si>
    <t>(≈) Hyper Infusion: Infuse your Weapon with up to 25 Mana causing it to deal x Magic Damage on your next Strike. (x Mana)</t>
  </si>
  <si>
    <t>(≈) Hyper Infusion II : Infuse your Weapon with up to 35 Mana causing it to deal x Magic Damage on your next Strike. (x Mana)</t>
  </si>
  <si>
    <t>(≈) Hyper Infusion III: Infuse your Weapon with up to 50 Mana causing it to deal x Magic Damage on your next Strike. (x Mana)</t>
  </si>
  <si>
    <t>LIST OF TIER II ABILITIES:</t>
  </si>
  <si>
    <t>(P) Strange Feign: On Miss: Gain +2 on your next Basic Attack Roll.</t>
  </si>
  <si>
    <t>(P) Strange Feign II: On Miss: Gain +3 on your next Basic Attack Roll.</t>
  </si>
  <si>
    <t>(P) Strange Feign III: On Miss: Gain +4 on your next Basic Attack Roll.</t>
  </si>
  <si>
    <t>(❖:≈) Arcane Seeking: Cause your next Spell to become Precise and Deal 25% more Damage. (20 Mana)</t>
  </si>
  <si>
    <t>(❖:≈) Arcane Seeking II: Cause your next Spell to become Precise and Deal 50% more Damage. (40 Mana)</t>
  </si>
  <si>
    <t>(❖:≈) Arcane Seeking III: Cause your next Spell to become Precise and Deal 100% more Damage. (80 Mana)</t>
  </si>
  <si>
    <t>(P) Misdirection: Gain 10% Deflection.</t>
  </si>
  <si>
    <t>(P) Misdirection II: Gain 20% Deflection.</t>
  </si>
  <si>
    <t>(P) Misdirection III: Gain 30% Deflection.</t>
  </si>
  <si>
    <t>(P) Elemental Expert: Gain 10% Elemental Resistance.</t>
  </si>
  <si>
    <t>(P) Elemental Expert II: Gain 20% Elemental Resistance.</t>
  </si>
  <si>
    <t>(P) Elemental Expert III: Gain 30% Elemental Resistance.</t>
  </si>
  <si>
    <t>(P) Unparalleled Fortitude: Gain 10% Fortitude.</t>
  </si>
  <si>
    <t>(P) Unparalleled Fortitude II: Gain 20% Fortitude.</t>
  </si>
  <si>
    <t>(P) Unparalleled Fortitude III: Gain 30% Fortitude.</t>
  </si>
  <si>
    <t>(^) Planned Trapping: Hidden; Place a Trap on up to 3 Chosen Tiles that deal 20 Physical Damage when Moved onto. (25 Mana)</t>
  </si>
  <si>
    <t>(^) Planned Trapping II: Hidden; Place a Trap on up to 4 Chosen Tiles that deal 30 Physical Damage when Moved onto. (30 Mana)</t>
  </si>
  <si>
    <t>(^) Planned Trapping III: Hidden; Place a Trap on up to 5 Chosen Tiles that deal 40 Physical Damage when Moved onto. (40 Mana)</t>
  </si>
  <si>
    <t>(≈) Instinctive Dodge: Counter; Dodge with +3 Modifier. (25 Mana)</t>
  </si>
  <si>
    <t>(≈) Instinctive Dodge II: Counter; Dodge with +4 Modifier. (25 Mana)</t>
  </si>
  <si>
    <t>(≈) Instinctive Dodge III: Counter; Dodge with +5 Modifier. (25 Mana)</t>
  </si>
  <si>
    <t>(≈) Tent Cover: Counter; Become Ethereal for 1 Turn. (20 Mana)</t>
  </si>
  <si>
    <t>(≈) Tent Cover II: Counter; Become Ethereal for 2 Turns. (30 Mana)</t>
  </si>
  <si>
    <t>(≈) Tent Cover III: Counter; Become Ethereal for 3 Turns. (40 Mana)</t>
  </si>
  <si>
    <t>(&gt;) Counter Dagger: Counter; Throw a Dagger at Target Projectile reducing it by 20 Damage; If the Projectile reaches 0 Damage or originally wasn't dealing Damage, Destroy the Projectile instead. (35 Mana)</t>
  </si>
  <si>
    <t>(&gt;) Counter Dagger II: Counter; Throw a Dagger at Target Projectile reducing it by 30 Damage; If the Projectile reaches 0 Damage or originally wasn't dealing Damage, Destroy the Projectile instead. (40 Mana)</t>
  </si>
  <si>
    <t>(&gt;) Counter Dagger III: Counter; Throw a Dagger at Target Projectile reducing it by 40 Damage; If the Projectile reaches 0 Damage or originally wasn't dealing Damage, Destroy the Projectile instead. (50 Mana)</t>
  </si>
  <si>
    <t>(&gt;) Normalizing Dart: Set Targets Mobility to 0 until End of Combat; If it already is 0 he loses 20 Health Instead. (30 Mana)</t>
  </si>
  <si>
    <t>(&gt;) Normalizing Dart II: Set Targets Mobility to 0 until End of Combat; If it already is 0 he loses 25 Health Instead. (30 Mana)</t>
  </si>
  <si>
    <t>(&gt;) Normalizing Dart III: Set Targets Mobility to 0 until End of Combat; If it already is 0 he loses 30 Health Instead. (30 Mana)</t>
  </si>
  <si>
    <t>(o) Bandits Banter: Taunt all other Non-Bandit Entities on the Hex forcing their next turn to Basic Attack you once. (30 Mana; 1/Combat)</t>
  </si>
  <si>
    <t>(o) Bandits Banter II: Taunt all other Non-Bandit Entities on the Hex forcing their next turn to Basic Attack you once. (20 Mana; 1/Combat)</t>
  </si>
  <si>
    <t>(o) Bandits Banter III: Taunt all other Non-Bandit Entities on the Hex forcing their next turn to Basic Attack you once. (10 Mana; 1/Combat)</t>
  </si>
  <si>
    <t>(P) Knife Juggler: Every Third Basic Attack throw a Dagger at a Random Hostile Target for 10(+100% Dexterity Physical Damage.</t>
  </si>
  <si>
    <t>(P) Knife Juggler II: Every Third Basic Attack throw a Dagger at a Random Hostile Target for 15(+100% Dexterity Physical Damage.</t>
  </si>
  <si>
    <t>(P) Knife Juggler III: Every Third Basic Attack throw a Dagger at a Random Hostile Target for 20(+100% Dexterity Physical Damage.</t>
  </si>
  <si>
    <t>(❖:o) Blood Bolt: Deal 20 Bleed Damage in Target 2x2 Tile Area. (30 Mana)</t>
  </si>
  <si>
    <t>(❖:o) Blood Bolt II: Deal 40 Bleed Damage in Target 2x2 Tile Area. (60 Mana)</t>
  </si>
  <si>
    <t>(❖:o) Blood Bolt III: Deal 60 Bleed Damage in Target 2x2 Tile Area. (90 Mana)</t>
  </si>
  <si>
    <t>(❖:o) Blood Bolt: Deal 20 Fire Damage in Target 2x2 Tile Area. (30 Mana)</t>
  </si>
  <si>
    <t>(❖:o) Blood Bolt II: Deal 40 Fire Damage in Target 2x2 Tile Area. (60 Mana)</t>
  </si>
  <si>
    <t>(❖:o) Blood Bolt III: Deal 60 Fire Damage in Target 2x2 Tile Area. (90 Mana)</t>
  </si>
  <si>
    <t>(❖:o) Blood Bolt: Deal 20 Frost Damage in Target 2x2 Tile Area. (30 Mana)</t>
  </si>
  <si>
    <t>(❖:o) Blood Bolt II: Deal 40 Frost Damage in Target 2x2 Tile Area. (60 Mana)</t>
  </si>
  <si>
    <t>(❖:o) Blood Bolt III: Deal 60 Frost Damage in Target 2x2 Tile Area. (90 Mana)</t>
  </si>
  <si>
    <t>(❖:o) Poison Bolt: Deal 20 Poison Damage in Target 2x2 Tile Area. (30 Mana)</t>
  </si>
  <si>
    <t>(❖:o) Poison Bolt II: Deal 40 Poison Damage in Target 2x2 Tile Area. (60 Mana)</t>
  </si>
  <si>
    <t>(❖:o) Poison Bolt III: Deal 60 Poison Damage in Target 2x2 Tile Area. (90 Mana)</t>
  </si>
  <si>
    <t>(❖:o) Earth Bolt: Deal 20 Earth Damage in Target 2x2 Tile Area. (30 Mana)</t>
  </si>
  <si>
    <t>(❖:o) Earth Bolt II: Deal 40 Earth Damage in Target 2x2 Tile Area. (60 Mana)</t>
  </si>
  <si>
    <t>(❖:o) Earth Bolt III: Deal 60 Earth Damage in Target 2x2 Tile Area. (90 Mana)</t>
  </si>
  <si>
    <t>(❖:o) Dark Bolt: Deal 20 Dark Damage in Target 2x2 Tile Area. (30 Mana)</t>
  </si>
  <si>
    <t>(❖:o) Dark Bolt II: Deal 40 Dark Damage in Target 2x2 Tile Area. (60 Mana)</t>
  </si>
  <si>
    <t>(❖:o) Dark Bolt III: Deal 60 Dark Damage in Target 2x2 Tile Area. (90 Mana)</t>
  </si>
  <si>
    <t>(❖:o) Wind Bolt: Deal 20 Wind Damage in Target 2x2 Tile Area. (30 Mana)</t>
  </si>
  <si>
    <t>(❖:o) Wind Bolt II: Deal 40 Wind Damage in Target 2x2 Tile Area. (60 Mana)</t>
  </si>
  <si>
    <t>(❖:o) Wind Bolt III: Deal 60 Wind Damage in Target 2x2 Tile Area. (90 Mana)</t>
  </si>
  <si>
    <t>(❖:o) Light Bolt: Deal 20 Light Damage in Target 2x2 Tile Area. (30 Mana)</t>
  </si>
  <si>
    <t>(❖:o) Light Bolt II: Deal 40 Light Damage in Target 2x2 Tile Area. (60 Mana)</t>
  </si>
  <si>
    <t>(❖:o) Light Bolt III: Deal 60 Light Damage in Target 2x2 Tile Area. (90 Mana)</t>
  </si>
  <si>
    <t>(❖:o) Lightning Bolt: Deal 20 Lightning Damage in Target 2x2 Tile Area. (30 Mana)</t>
  </si>
  <si>
    <t>(❖:o) Lightning Bolt II: Deal 40 Lightning Damage in Target 2x2 Tile Area. (60 Mana)</t>
  </si>
  <si>
    <t>(❖:o) Lightning Bolt III: Deal 60 Lightning Damage in Target 2x2 Tile Area. (90 Mana)</t>
  </si>
  <si>
    <t>LIST OF TIER III ABILITIES:</t>
  </si>
  <si>
    <t>(≈) Later Sucker: Blitz; Steal an Item and instantly move 1 Tile away. (80 Mana)</t>
  </si>
  <si>
    <t>(≈) Later Sucker II: Blitz; Steal an Item and instantly move 1 Tile away. (60 Mana)</t>
  </si>
  <si>
    <t>(≈) Later Sucker III: Blitz; Steal an Item and instantly move 1 Tile away. (40 Mana)</t>
  </si>
  <si>
    <t>(≈) Disarm: Disarm Target Entity causing them to Drop their Weapon. (30 Mana)</t>
  </si>
  <si>
    <t>(≈) Disarm II: Disarm Target Entity causing them to Drop their Weapon. (25 Mana)</t>
  </si>
  <si>
    <t>(≈) Disarm III: Flash; Disarm Target Entity causing them to Drop their Weapon. (25 Mana)</t>
  </si>
  <si>
    <t>(P) Faster Quickfeet: Always go first in initiative; +1 Mobility.</t>
  </si>
  <si>
    <t>(P) Faster Quickfeet: Always go first in initiative; +2 Mobility.</t>
  </si>
  <si>
    <t>(P) Faster Quickfeet: Always go first in initiative; +3 Mobility.</t>
  </si>
  <si>
    <t>(≈) What?: Drop your Weapon, Inflict Target with Confused for 2 Turns. (1/Combat)</t>
  </si>
  <si>
    <t>(≈) What? II: Drop your Weapon, Inflict Target with Confused for 3 Turns. (1/Combat)</t>
  </si>
  <si>
    <t>(≈) What? III: Drop your Weapon, Inflict Target with Confused for 4 Turns. (1/Combat)</t>
  </si>
  <si>
    <t>(+) Dirty Bargain: Target has to choose to Lose 200 Gold or 20 Health; If they have no Gold they are forced to Lose Health. (30 Mana)</t>
  </si>
  <si>
    <t>(+) Dirty Bargain II: Target has to choose to Lose 300 Gold or 30 Health; If they have no Gold they are forced to Lose Health. (35 Mana)</t>
  </si>
  <si>
    <t>(+) Dirty Bargain III: Target has to choose to Lose 400 Gold or 40 Health; If they have no Gold they are forced to Lose Health. (40 Mana)</t>
  </si>
  <si>
    <t>(≈) Mirror Trick: Hidden; Cause the next attack against you to have a 50% Chance to miss. (25 Mana)</t>
  </si>
  <si>
    <t>(≈) Mirror Trick iI: Hidden; Cause the next attack against you to have a 75% Chance to miss. (30 Mana)</t>
  </si>
  <si>
    <t>(≈) Mirror Trick iII: Hidden; Cause the next attack against you to miss. (35 Mana)</t>
  </si>
  <si>
    <t>(+) Doublecross: Any Damage received from selected Target will also be Dealt to another selected Target; Lasts 3 Turns. (50 Mana)</t>
  </si>
  <si>
    <t>(+) Doublecross II: Any Damage received from selected Target will also be Dealt to another selected Target; Lasts 4 Turns. (50 Mana)</t>
  </si>
  <si>
    <t>(+) Doublecross III: Any Damage received from selected Target will also be Dealt to another selected Target; Lasts 5 Turns. (50 Mana)</t>
  </si>
  <si>
    <t>(&gt;) I saw that trick coming!: Counter; Redirect Target Non-Ultimate Projectile to any Target. (30 Mana; 3 Turn Cooldown)</t>
  </si>
  <si>
    <t>(&gt;) I saw that trick coming! II: Counter; Redirect Target Non-Ultimate Projectile to any Target. (20 Mana; 3 Turn Cooldown)</t>
  </si>
  <si>
    <t>(&gt;) I saw that trick coming! III: Counter; Redirect Target Non-Ultimate Projectile to any Target. (10 Mana; 3 Turn Cooldown)</t>
  </si>
  <si>
    <t>(❖:+) Teleporting Inquiry: Swap the location of 2 Target Entities. (25 Mana; 1/Combat)</t>
  </si>
  <si>
    <t>(❖:+) Teleporting Inquiry II: Swap the location of 2 Target Entities. (25 Mana; 2/Combat)</t>
  </si>
  <si>
    <t>(❖:+) Teleporting Inquiry III: Swap the location of 3 Target Entities. (20 Mana; 3/Combat)</t>
  </si>
  <si>
    <t>(❖:+) Blood Bolt: Deal 20 Bleed Damage to Target Entity. (30 Mana)</t>
  </si>
  <si>
    <t>(❖:+) Blood Bolt II: Deal 40 Bleed Damage to Target Entity. (60 Mana)</t>
  </si>
  <si>
    <t>(❖:+) Blood Bolt III: Deal 60 Bleed Damage to Target Entity. (90 Mana)</t>
  </si>
  <si>
    <t>(❖:+) Blood Bolt: Deal 20 Fire Damage to Target Entity. (30 Mana)</t>
  </si>
  <si>
    <t>(❖:+) Blood Bolt II: Deal 40 Fire Damage to Target Entity. (60 Mana)</t>
  </si>
  <si>
    <t>(❖:+) Blood Bolt III: Deal 60 Fire Damage to Target Entity. (90 Mana)</t>
  </si>
  <si>
    <t>(❖:+) Blood Bolt: Deal 20 Frost Damage to Target Entity. (30 Mana)</t>
  </si>
  <si>
    <t>(❖:+) Blood Bolt II: Deal 40 Frost Damage to Target Entity. (60 Mana)</t>
  </si>
  <si>
    <t>(❖:+) Blood Bolt III: Deal 60 Frost Damage to Target Entity. (90 Mana)</t>
  </si>
  <si>
    <t>(❖:+) Poison Bolt: Deal 20 Poison Damage to Target Entity. (30 Mana)</t>
  </si>
  <si>
    <t>(❖:+) Poison Bolt II: Deal 40 Poison Damage to Target Entity. (60 Mana)</t>
  </si>
  <si>
    <t>(❖:+) Poison Bolt III: Deal 60 Poison Damage to Target Entity. (90 Mana)</t>
  </si>
  <si>
    <t>(❖:+) Earth Bolt: Deal 20 Earth Damage to Target Entity. (30 Mana)</t>
  </si>
  <si>
    <t>(❖:+) Earth Bolt II: Deal 40 Earth Damage to Target Entity. (60 Mana)</t>
  </si>
  <si>
    <t>(❖:+) Earth Bolt III: Deal 60 Earth Damage to Target Entity. (90 Mana)</t>
  </si>
  <si>
    <t>(❖:+) Dark Bolt: Deal 20 Dark Damage to Target Entity. (30 Mana)</t>
  </si>
  <si>
    <t>(❖:+) Dark Bolt II: Deal 40 Dark Damage to Target Entity. (60 Mana)</t>
  </si>
  <si>
    <t>(❖:+) Dark Bolt III: Deal 60 Dark Damage to Target Entity. (90 Mana)</t>
  </si>
  <si>
    <t>(❖:+) Wind Bolt: Deal 20 Wind Damage to Target Entity. (30 Mana)</t>
  </si>
  <si>
    <t>(❖:+) Wind Bolt II: Deal 40 Wind Damage to Target Entity. (60 Mana)</t>
  </si>
  <si>
    <t>(❖:+) Wind Bolt III: Deal 60 Wind Damage to Target Entity. (90 Mana)</t>
  </si>
  <si>
    <t>(❖:+) Light Bolt: Deal 20 Light Damage to Target Entity. (30 Mana)</t>
  </si>
  <si>
    <t>(❖:+) Light Bolt II: Deal 40 Light Damage to Target Entity. (60 Mana)</t>
  </si>
  <si>
    <t>(❖:+) Light Bolt III: Deal 60 Light Damage to Target Entity. (90 Mana)</t>
  </si>
  <si>
    <t>(❖:+) Lightning Bolt: Deal 20 Lightning Damage to Target Entity. (30 Mana)</t>
  </si>
  <si>
    <t>(❖:+) Lightning Bolt II: Deal 40 Lightning Damage to Target Entity. (60 Mana)</t>
  </si>
  <si>
    <t>(❖:+) Lightning Bolt III: Deal 60 Lightning Damage to Target Entity. (90 Mana)</t>
  </si>
  <si>
    <t>LIST OF ULTIMATE ABILITIES:</t>
  </si>
  <si>
    <t>(^) Call the Crew: Summon 2 Bandit Weakling Minions or 1 Bandit Elite Minion. (80 Mana; 1/Combat)</t>
  </si>
  <si>
    <t>(^) Call the Crew II: Summon 4 Bandit Weakling Minions or 2 Bandit Elite Minions. (100 Mana;1/Combat)</t>
  </si>
  <si>
    <t>(^) Call the Crew III: Summon 6 Bandit Weakling Minions or 3 Bandit Elite Minions. (120 Mana; 1/Combat)</t>
  </si>
  <si>
    <t>(^) Reinforcements: Summon 2 Legion Weakling Minions or 1 Legion Elite Minion. (80 Mana; 1/Combat)</t>
  </si>
  <si>
    <t>(^) Reinforcements II: Summon 4 Legion Weakling Minions or 2 Legion Elite Minion. (100 Mana; 1/Combat)</t>
  </si>
  <si>
    <t>(^) Reinforcements III: Summon 6 Legion Weakling Minions or 3 Legion Elite Minion. (120 Mana; 1/Combat)</t>
  </si>
  <si>
    <t>(^) Opening Den: Summon a Random Elite Creature Minion. (100 Mana)</t>
  </si>
  <si>
    <t>(^) Opening Den II: Summon a Random Prime Elite Creature Minion. (120 Mana)</t>
  </si>
  <si>
    <t>(^) Opening Den III: Summon a Random Prime Boss Creature Minion. (150 Mana)</t>
  </si>
  <si>
    <t>(≈) Blending Cover: Become Invisible for 2 Turns. (50 Mana)</t>
  </si>
  <si>
    <t>(≈) Blending Cover II: Become Invisible for 3 Turns. (50 Mana)</t>
  </si>
  <si>
    <t>(≈) Blending Cover III: Become Invisible for 4 Turns. (50 Mana)</t>
  </si>
  <si>
    <t>(≈) Dupe Heist: Hidden; Mark Target Entity for 3 Turns; Any Items used by Target are automatically duplicated in your Inventory; Aftermath: Remove Duplicated Items from your inventory. (30 Mana)</t>
  </si>
  <si>
    <t>(≈) Dupe Heist II: Hidden; Mark Target Entity for 4 Turns; Any Items used by Target are automatically duplicated in your Inventory; Aftermath: Remove Duplicated Items from your inventory. (30 Mana)</t>
  </si>
  <si>
    <t>(≈) Dupe Heist III: Hidden; Mark Target Entity for 5 Turns; Any Items used by Target are automatically duplicated in your Inventory; Aftermath: Remove Duplicated Items from your inventory. (30 Mana)</t>
  </si>
  <si>
    <t>(≈) Grifter’s Gambit: Both you and Target must Wager any amount of Health by immediately losing it; Toss a Coin by rolling a D2; If it rolls 1, you Restore double your wagered Health plus the Targets wagered health; if it rolls a 2, your Target Restores twice his wagered Health plus your wagered Health. (75 Mana; 1/Combat)</t>
  </si>
  <si>
    <t>(≈) Grifter’s Gambit II: Both you and Target must Wager any amount of Health by immediately losing it; Toss a Coin by rolling a D2; If it rolls 1, you Restore double your wagered Health plus the Targets wagered health; if it rolls a 2, your Target Restores twice his wagered Health plus your wagered Health. (25 Mana; 1/Combat)</t>
  </si>
  <si>
    <t>(≈) Grifter’s Gambit II: Both you and Target must Wager any amount of Health by immediately losing it; Toss a Coin by rolling a D2; If it rolls 1, you Restore double your wagered Health plus the Targets wagered health; if it rolls a 2, your Target Restores twice his wagered Health. (1/Combat)</t>
  </si>
  <si>
    <t>(P) Flashy Getaway: Upon receiving Lethal Damage, Block all Damage, Restore 50 Health, Remove all Statuses and Teleport to chosen Tile.</t>
  </si>
  <si>
    <t>(P) Flashy Getaway II: Upon receiving Lethal Damage, Block all Damage, Restore 100 Health, Remove all Statuses and Teleport to chosen Tile.</t>
  </si>
  <si>
    <t>(P) Flashy Getaway III: Upon receiving Lethal Damage, Block all Damage, Restore 200 Health, Remove all Statuses and Teleport to chosen Tile.</t>
  </si>
  <si>
    <t>(❖:&gt;) Ultimate Blood Bolt: Launch a 100 Bleed Damage bolt at Target Entity. (100 Mana)</t>
  </si>
  <si>
    <t>(❖:&gt;) Ultimate Blood Bolt II: Launch a 150 Bleed Damage bolt at Target Entity. (150 Mana)</t>
  </si>
  <si>
    <t>(❖:&gt;) Ultimate Blood Bolt III: Launch a 200 Bleed Damage bolt at Target Entity. (200 Mana)</t>
  </si>
  <si>
    <t>(❖:&gt;) Ultimate Blood Bolt: Launch a 100 Fire Damage bolt at Target Entity. (100 Mana)</t>
  </si>
  <si>
    <t>(❖:&gt;) Ultimate Blood Bolt II: Launch a 150 Fire Damage bolt at Target Entity. (150 Mana)</t>
  </si>
  <si>
    <t>(❖:&gt;) Ultimate Blood Bolt III: Launch a 200 Fire Damage bolt at Target Entity. (200 Mana)</t>
  </si>
  <si>
    <t>(❖:&gt;) Ultimate Blood Bolt: Launch a 100 Frost Damage bolt at Target Entity. (100 Mana)</t>
  </si>
  <si>
    <t>(❖:&gt;) Ultimate Blood Bolt II: Launch a 150 Frost Damage bolt at Target Entity. (150 Mana)</t>
  </si>
  <si>
    <t>(❖:&gt;) Ultimate Blood Bolt III: Launch a 200 Frost Damage bolt at Target Entity. (200 Mana)</t>
  </si>
  <si>
    <t>(❖:&gt;) Ultimate Poison Bolt: Launch a 100 Poison Damage bolt at Target Entity. (100 Mana)</t>
  </si>
  <si>
    <t>(❖:&gt;) Ultimate Poison Bolt II: Launch a 150 Poison Damage bolt at Target Entity. (150 Mana)</t>
  </si>
  <si>
    <t>(❖:&gt;) Ultimate Poison Bolt III: Launch a 200 Poison Damage bolt at Target Entity. (200 Mana)</t>
  </si>
  <si>
    <t>(❖:&gt;) Ultimate Earth Bolt: Launch a 100 Earth Damage bolt at Target Entity. (100 Mana)</t>
  </si>
  <si>
    <t>(❖:&gt;) Ultimate Earth Bolt II: Launch a 150 Earth Damage bolt at Target Entity. (150 Mana)</t>
  </si>
  <si>
    <t>(❖:&gt;) Ultimate Earth Bolt III: Launch a 200 Earth Damage bolt at Target Entity. (200 Mana)</t>
  </si>
  <si>
    <t>(❖:&gt;) Ultimate Dark Bolt: Launch a 100 Dark Damage bolt at Target Entity. (100 Mana)</t>
  </si>
  <si>
    <t>(❖:&gt;) Ultimate Dark Bolt II: Launch a 150 Dark Damage bolt at Target Entity. (150 Mana)</t>
  </si>
  <si>
    <t>(❖:&gt;) Ultimate Dark Bolt III: Launch a 200 Dark Damage bolt at Target Entity. (200 Mana)</t>
  </si>
  <si>
    <t>(❖:&gt;) Ultimate Wind Bolt: Launch a 100 Wind Damage bolt at Target Entity. (100 Mana)</t>
  </si>
  <si>
    <t>(❖:&gt;) Ultimate Wind Bolt II: Launch a 150 Wind Damage bolt at Target Entity. (150 Mana)</t>
  </si>
  <si>
    <t>(❖:&gt;) Ultimate Wind Bolt III: Launch a 200 Wind Damage bolt at Target Entity. (200 Mana)</t>
  </si>
  <si>
    <t>(❖:&gt;) Ultimate Light Bolt: Launch a 100 Light Damage bolt at Target Entity. (100 Mana)</t>
  </si>
  <si>
    <t>(❖:&gt;) Ultimate Light Bolt II: Launch a 150 Light Damage bolt at Target Entity. (150 Mana)</t>
  </si>
  <si>
    <t>(❖:&gt;) Ultimate Light Bolt III: Launch a 200 Light Damage bolt at Target Entity. (200 Mana)</t>
  </si>
  <si>
    <t>(❖:&gt;) Ultimate Lightning Bolt: Launch a 100 Lightning Damage bolt at Target Entity. (100 Mana)</t>
  </si>
  <si>
    <t>(❖:&gt;) Ultimate Lightning Bolt II: Launch a 150 Lightning Damage bolt at Target Entity. (150 Mana)</t>
  </si>
  <si>
    <t>(❖:&gt;) Ultimate Lightning Bolt III: Launch a 200 Lightning Damage bolt at Target Entity. (200 Mana)</t>
  </si>
  <si>
    <t>Event #</t>
  </si>
  <si>
    <t>Event</t>
  </si>
  <si>
    <t>Option 1</t>
  </si>
  <si>
    <t>Option 2</t>
  </si>
  <si>
    <t>Option 3</t>
  </si>
  <si>
    <t>Option 4</t>
  </si>
  <si>
    <t>Nr. 1</t>
  </si>
  <si>
    <t>Bandit Hideout</t>
  </si>
  <si>
    <t>You stumble upon a Bandit hideout.</t>
  </si>
  <si>
    <t>Don't reveal yourself! (Nothing Happens)</t>
  </si>
  <si>
    <t>Rob the Bandits Blind! (Rol D10: 1 Steal 750 Gold from the Badits; 2-3 Steal 500 Gold from the Bandits; 4-8 Steal 250 Gold from the Bandits; 9-10: They Catch you and Dismember your Arm as punishment)</t>
  </si>
  <si>
    <t>Engage Combat against the Badits! (Engage Combat against 2 Bandit Weaklings and 2 Bandt Elites)</t>
  </si>
  <si>
    <t>[Requires Battle Planning Skill or Ambusher Condition] Prepare strategically against the Badits. (If you proceed with Option 3 you may start on chosen Tile with +5 Roll Modifier on your next 5 Rolls until End of Combat; If you proceed with Option 2 you Gain -3 to your roll)</t>
  </si>
  <si>
    <t>Nr. 2</t>
  </si>
  <si>
    <t>Strange Witch? Stranger Brew...</t>
  </si>
  <si>
    <t>A Witch of the wild appears behind you and without words presents you a 'homemade' brew.</t>
  </si>
  <si>
    <t>Ignore her! (Nothing Happens)</t>
  </si>
  <si>
    <t>Drink the brew! (Roll D10: 1-5 Restore 50 Health; 6-10 Take 25 Poison Damage)</t>
  </si>
  <si>
    <t>Engage Combat against the Witch! (Engage Combat with Sentient Elite)</t>
  </si>
  <si>
    <t xml:space="preserve">[Requires Clarity Condition or Break Illusion Skill Unlocked] Inspect her Brew forcing the Witch to make sure it isn't Poison. (Option 2 now Guarantees Restoring 50 Health) </t>
  </si>
  <si>
    <t>Nr. 3</t>
  </si>
  <si>
    <t>Whispering Haybales</t>
  </si>
  <si>
    <t>Wind carries murmurs through the tall grass.</t>
  </si>
  <si>
    <t>Keep marching! (Nothing Happens)</t>
  </si>
  <si>
    <t>Listen closely! (Roll D10: 1–3 Lose 15 Health from the whispers; 4–8 Learn a Hidden Path → reduce next Traversal Stamina Cost by 1; 9–10 Restore 10 Resource)</t>
  </si>
  <si>
    <t>Search for the source! (Roll D10: 1–3 Lured into briars → Take 30 Poison Damage; 4–7 Find 1 Common Ingredient; 8–10 Find 1 Rare Ingredient)</t>
  </si>
  <si>
    <t>[Requires Disciplined Condition or at least 2 Wisdom] Decipher the voices for a safe shortcut! (Your next Hex Traversal costs 0 Stamina)</t>
  </si>
  <si>
    <t>Nr. 4</t>
  </si>
  <si>
    <t>Shepherd’s Lost Satchel</t>
  </si>
  <si>
    <t>A weathered satchel lies by a stone fence.</t>
  </si>
  <si>
    <t>Leave it! (Nothing Happens)</t>
  </si>
  <si>
    <t>Open carefully! (Roll D10: 1-4 Take 20 Poison Damage from a scorpion; 5–7 Gain 250 Gold; 8–10 Gain 1 Random Rare Item)</t>
  </si>
  <si>
    <t>Track the owner! (Roll D10: 1–4 Engage with Random Elite Creature; 5–8 Return satchel → Gain 200 Experience; 9–10 Shepherd rewards you → Gain 200 Experience and 200 Gold)</t>
  </si>
  <si>
    <t>[Requires Scribe Skill or Rich Condition] Appraise the satchel flawlessly! (Gain the Satchel occupying 1 Slot; Can be Sold for 600 Gold at Merchant)</t>
  </si>
  <si>
    <t>Nr. 5</t>
  </si>
  <si>
    <t>Soul Sprite’s Ring</t>
  </si>
  <si>
    <t>A circle of luminous mushrooms hums gently.</t>
  </si>
  <si>
    <t>Give it space! (Nothing Happens)</t>
  </si>
  <si>
    <t>Step inside! (Roll D10: 1–2 Disoriented → Become Confused for 1 Turn; 3–8 Heal 20 Health; 9–10 Forced to Remove a Condition of your choice)</t>
  </si>
  <si>
    <t>Harvest caps! (Roll D10: 1–4 Spores burst → Take 20 Poison Damage; 5–7 Gain 2 Random Common Ingredients; 8–10 Gain 1 Rare Ingredient)</t>
  </si>
  <si>
    <t>[Requires Aetheric Condition or Soul Resurgence] Commune with the mushroom soul sprite! (Receive the Mushroom Blessing → +1 Faith)</t>
  </si>
  <si>
    <t>Nr. 6</t>
  </si>
  <si>
    <t>Roadside Minstrel</t>
  </si>
  <si>
    <t>A cheerful bard offers a song for coin.</t>
  </si>
  <si>
    <t>Decline! (Nothing Happens)</t>
  </si>
  <si>
    <t>Toss a coin! (Roll D10: 1–2 Off-key → Lose 50 Gold; 3–8 (Lose 50 Gold and gain 20% Deflection and 50% Fortitude until End of Day); 9–10 Get Robbed, Lose 250 Gold)</t>
  </si>
  <si>
    <t>Join the chorus! (Roll D10: 1–2 Strain your voice → Lose 5 Health; 3–7 Gain 250 Gold; 8–10 Bard shares a tale → Know the direction of the closest Legendary Chest)</t>
  </si>
  <si>
    <t>[Requires Coordination Skill or Secdcer Condition] Perform a master duet! (Gain 500 Gold and 500 Experience)</t>
  </si>
  <si>
    <t>Nr. 7</t>
  </si>
  <si>
    <t>Rolling Hooves</t>
  </si>
  <si>
    <t>A wild Boar herd thunders across your path.</t>
  </si>
  <si>
    <t>Hold position! (Nothing Happens)</t>
  </si>
  <si>
    <t>Attempt to skirt the herd! (Roll D10: 1–6 Trampled → Take 20 Physical Damage; 7–8 Safe passage → Restore 0.5 Stamina; 9–10 Drive a stray away and butcher it → Gain Rare Fabric and Restore 20 Health)</t>
  </si>
  <si>
    <t>Engage the herd! (Engage Combat against 4 Wild Boars [Weakling])</t>
  </si>
  <si>
    <t>[Requires at least 2 Mobility or Thick-furred Condition] Guide the herd expertly! (Gain 500 Experience)</t>
  </si>
  <si>
    <t>Nr. 8</t>
  </si>
  <si>
    <t>Elk in distress</t>
  </si>
  <si>
    <t>You find an injured Highland Elk.</t>
  </si>
  <si>
    <t>Ignore him! (Nothing Happens)</t>
  </si>
  <si>
    <t>Help the Elk recover on his own! (Roll D10: 1 Engage Combat against the Elk; 2-8 The Elk Recovers → Gain 200 Xp; 9-10 The Elk does not make it → You Gain his Loot but no Xp)</t>
  </si>
  <si>
    <t>Engage Combat! (Engage Combat against a 50% Health Highland Elk that is rooted for 2 Turns)</t>
  </si>
  <si>
    <t>[Requires Meditation Skill or Regeneration Condition] Treat his Wounds as best you can! (Roll D10: 1-3 Gain 1 Highland Elk under your Banner; 4-10 You save his life and he carries on → You gain 600 Experience)</t>
  </si>
  <si>
    <t>Nr. 9</t>
  </si>
  <si>
    <t>Sudden Swamp</t>
  </si>
  <si>
    <t>Suddenly the ground errupts with a strange green liquid filled with leeches.</t>
  </si>
  <si>
    <t>Try to march through it to a higher Ground! (You take 20 Poison Damage)</t>
  </si>
  <si>
    <t>Quickly turn back! (Return to the previously Traversed Hex paying its Stamina Cost)</t>
  </si>
  <si>
    <t>Try to fight the Leeches (Roll D10: 1- You fail and lose pretious time → Take 40 Poison Damage; 2-5 You kill most of them → Take 20 Poison Damage; 6-9 You kill all of them → Gain 200 Expeirence; 10 They just left you alone → Nothing Happens)</t>
  </si>
  <si>
    <t>[Requires Swimming Skill or Amphibious Condition] Quickly swim to solid ground before the leeches can touch you! (Nothing Happens)</t>
  </si>
  <si>
    <t>Nr. 10</t>
  </si>
  <si>
    <t>They got a Cave Troll</t>
  </si>
  <si>
    <t>Out comes the Troll, he is not very happy to see you.</t>
  </si>
  <si>
    <t>Stay still! (He Smashes your head in once with his Club for 30 Physical Damage, then gets Bored and leaves)</t>
  </si>
  <si>
    <t>Engage Combat! (Engage Combat with a Sentient Cave Troll Elite with 125 Health, 100 Mana, 30 Physical Damage Basic Attack, 3 Stamina, 4 Defense, 4 Dispersion, 0 Attributes and the Ability to Enrage: Gain 1 Critical Multiplier until end of Combat for 50 Mana)</t>
  </si>
  <si>
    <t>Challenge him to Rock, Paper Scissors! (Gamble up to 800 Gold, Play a Best out of 3 Rock Paper Scissors against the GM; Winner takes it all)</t>
  </si>
  <si>
    <t>[Requires at least 2 Might or Fierce] Surprise smash his Head in so hard he goes to sleep! (Gain 400 Gold and 600 Experience)</t>
  </si>
  <si>
    <t>Nr. 11</t>
  </si>
  <si>
    <t>Sandstorm approaches</t>
  </si>
  <si>
    <t>You are caught in a Sandstorm.</t>
  </si>
  <si>
    <t>Tank it! (You take 20 Wind Damage)</t>
  </si>
  <si>
    <t>Make a run for it! (Return to the previously Traversed Hex paying its Stamina Cost)</t>
  </si>
  <si>
    <t>Attempt to find its source! (D10: 1-3 You find the Jewel of the Sands Rare Necklace; 4-6: You Engage Combat against a Creature Elite; 7-10 You take 40 Wind Damage)</t>
  </si>
  <si>
    <t>[Requires Traversal Expert Skill or Pathfinder Condition] Path your way out of the Sandstorm! (Nothing Happens)</t>
  </si>
  <si>
    <t>Nr. 12</t>
  </si>
  <si>
    <t>Ceaseless Winds</t>
  </si>
  <si>
    <t>Extreme winds approach immediately!</t>
  </si>
  <si>
    <t>Let them carry you! (You are moved by the winds to an adjacent Hex)</t>
  </si>
  <si>
    <t>Try to think of something...but there is no time! (You are moved by the winds to an adjacent Hex)</t>
  </si>
  <si>
    <t>What! Noooo!!! (You are moved by the winds to an adjacent Hex)</t>
  </si>
  <si>
    <t>[Requires Break Illusion Skill or Heavy Condition] You are simply too heavy for the winds to carry you, or perhaps it was all just an illusion! (Nothing Happens)</t>
  </si>
  <si>
    <t>Nr. 13</t>
  </si>
  <si>
    <t>Buried Jar of Suns</t>
  </si>
  <si>
    <t>A clay jar protrudes from a dune.</t>
  </si>
  <si>
    <t>Unearth and eat. (Roll D10: 1–2 You ate Sand → Lose 20 Health; 3–8 You chewed...gold? → Gain 50 Gold; 9–10 It was a Sun Tonic → Restore 25 Health)</t>
  </si>
  <si>
    <t>Check surrounding sands! (Roll D10: 1–2 Slide off the dune and Lose 10 Health; 3–7 Nothing; 8–10 Find a second jar → Gain 100 Gold)</t>
  </si>
  <si>
    <t>[Requires Inspect Skill or Vigilent Condition] Figure out what the Jar contains without eating it right away. (Allows you to roll the Second Option in advance and you may choose not to consume it)</t>
  </si>
  <si>
    <t>Nr. 14</t>
  </si>
  <si>
    <t>Dune Skiff Trader</t>
  </si>
  <si>
    <t>A masked merchant flags you down.</t>
  </si>
  <si>
    <t>Decline to trade! (Nothing Happens)</t>
  </si>
  <si>
    <t>[Requires 600 Gold] Haggle! (Roll D10: 1–2 Overpay → Purchase a Random Rare Gear for 600 Gold; 3–7 Fair trade → Purchase a Random Rare Gear for 400 Gold; 8–10 Great deal → Purchase a Random Rare Gear for 200 Gold)</t>
  </si>
  <si>
    <t>Barter oddities! (Roll D10: 1–2 Junk swap → Lose 1 Random Common Gear or Item from Inventory(If you have any); 3–7 Trade up → Gain 1 Random Common Gear or Item; 8–10 → Best Deal Gain 1 Random Uncommon Gear or Item)</t>
  </si>
  <si>
    <t>[Requires at least 2 Wisdom or Seducer Condition] Read the merchant! (He sells you 3 Random Rare Gear and Items at 50% of Original Price)</t>
  </si>
  <si>
    <t>Nr. 15</t>
  </si>
  <si>
    <t>Singing Dunes</t>
  </si>
  <si>
    <t>The sand itself resonates like a choir.</t>
  </si>
  <si>
    <t>Enjoy the sound! (Nothing Happens)</t>
  </si>
  <si>
    <t>Try to find the source! (Roll D10: 1 It is the God of the Dunes → Gain a Random Legendary Gear; 2-3 It is a Golden Flute worth 250 Gold when sold, it occupies 1 Slot; 4-10 Waste of time and Stamina → Lose 1 Stamina)</t>
  </si>
  <si>
    <t>Try to memorize the tone! (Roll D10: 1–2 Gain 1 Attunement Point; 3-9 Nothing Happens; 10 The song hurts your brain → Lose 50 Health)</t>
  </si>
  <si>
    <t>[Requires Coordination Skill or Ambitious Condition] Harmonic singalong! (Cause the next Hex you Traverse to cost 0 Stamina)</t>
  </si>
  <si>
    <t>Nr. 16</t>
  </si>
  <si>
    <t>Mirage Caravan</t>
  </si>
  <si>
    <t>A caravan appears, half real, half heat.</t>
  </si>
  <si>
    <t>Let it pass! (Nothing Happens)</t>
  </si>
  <si>
    <t>Approach openly! (Roll D10: 1-2: It is a real traveling merchant → Gain access to a temporary Market until you move off Hex; 3-10 Hostile Mirage, you take 40 Wind Damage and Lose 20 Health)</t>
  </si>
  <si>
    <t>Shadow from afar! (Roll D10: 1-4 You find a dropped Cache → Gain 500 Gold, 1 Random Rare Gear and 1 Random Rare Item; 5–7  Lose trail → Nothing Happens; 8-10 It leads to an Ambush → Engage Combat with 2 Prime Sentient Elites)</t>
  </si>
  <si>
    <t>[Requires Scribe Skill or Rotting Condition] Appeal to good nature. (Gain -2 on your next D10 Roll)</t>
  </si>
  <si>
    <t>Nr. 17</t>
  </si>
  <si>
    <t>Scorpion Court</t>
  </si>
  <si>
    <t>A circle of giant scorpions rituals around a molt.</t>
  </si>
  <si>
    <t>Back away slowly! (Nothing Happens)</t>
  </si>
  <si>
    <t>Toss food to distract! (Roll D10: 1–3 Aggravate them → Engage Combat with 3x Sundune Scorpions[Elite Creatures]; 4–6 Safe retreat→ Nothing Happens; 7–10 Steal molted sting → 2 Random Rare Ingredients)</t>
  </si>
  <si>
    <t>Observe the ritual! (Roll D10: 1–2 Tail flick → Lose 20 Health; 3–8 Learn venom habits → Gain 1 Poison Flask[Rare Potion]; 9–10 Harvest venom sac → Gain 1 Withering Venom[Rare Potion]</t>
  </si>
  <si>
    <t>[Requires Taunt Skill or Insane Condition] Perfect diversion! (Gain 1 Random Rare Ingredient)</t>
  </si>
  <si>
    <t>Nr. 18</t>
  </si>
  <si>
    <t>Giants Return</t>
  </si>
  <si>
    <t>A Giant wakes up from beneatht the sands.</t>
  </si>
  <si>
    <t>Remain motionless until he goes away! (Nothing Happens)</t>
  </si>
  <si>
    <t>Engage Combat! (Engage Combat with a Giant[Creature boss])</t>
  </si>
  <si>
    <t>Try to guide it in direction of choice! (Roll D10: 1-3 You manage to send the Giant 1 Hex in the direction you wanted, having him Engage Combat with any Hostile Entity, he will remain there as a Neutral Entity; 6-8 Nothing Happens; 9-10 He stomps you for 40 Physical Damage)</t>
  </si>
  <si>
    <t>[Requires Soul Resurgence Skill or Mechanical Condition] Align your goals with that of the Giant! (The Golem is part of your Banner until End of Day, after which he disappears)</t>
  </si>
  <si>
    <t>Nr. 19</t>
  </si>
  <si>
    <t>Into the Grand Depths</t>
  </si>
  <si>
    <t>An old strange man tells you that a Helix is buried deep beneath the current sands.</t>
  </si>
  <si>
    <t>It is not worth your time! (Nothing Happens)</t>
  </si>
  <si>
    <t>Bury yourself into the sand looking for the Helix! (Roll D10: 1 You find a Random Helix; 2-8 You suffocate losing 40 Health; 9-10 You barely make it out alive losing 80% of your current Health)</t>
  </si>
  <si>
    <t>Begin digging a hole in preparation for the excavation. (You Lose 1 Stamina and gain -2 on your next D10 Roll)</t>
  </si>
  <si>
    <t>[Requires D9 on Exploration Rolls Skill or Underdweller Condition] Explore the area and mark down possible routes for your journey. (You gain -3 on your next D10 Roll but lose 1 Stamina)</t>
  </si>
  <si>
    <t>Nr. 20</t>
  </si>
  <si>
    <t>Dunian Settlers</t>
  </si>
  <si>
    <t>You come across a group of dunian settlers building a settlment.</t>
  </si>
  <si>
    <t>Ignore them and continue on! (Nothing Happens)</t>
  </si>
  <si>
    <t>Help them build! (Roll D3 and Lose that much Stamina and place 1 Construction Yard on this Hex)</t>
  </si>
  <si>
    <t>Murder them all in cold blood and take their loot! (Roll D10; 1 You murder them and get away with it → Gain 500 Gold; 2-4 You murder them → Become Banished and Gain 500 Gold; 5-7 You murder them and become Banished; 8-10 They had guards → Engage Combat with 2 Random Sentient Elites)</t>
  </si>
  <si>
    <t>[Requires 2000 Gold and 1 Stamina] Spend 2000 Gold and 1 Stamina to help them build a proper City! (A Kingdom is placed on current Hex)</t>
  </si>
  <si>
    <t>Nr. 21</t>
  </si>
  <si>
    <t>Petal Shower</t>
  </si>
  <si>
    <t>Blossoms drift like snow, muffling sound.</t>
  </si>
  <si>
    <t>Admire quietly! (Nothing Happens)</t>
  </si>
  <si>
    <t>Relax beneath a tree! (Roll D10: 1–2 Drowsy → Restore 30 Health; 3–8 Restore 20 Health; 9–10 Accidentally Rest)</t>
  </si>
  <si>
    <t>Catch falling petals! (Roll D10: 1–2 Explore current Hex at no Stamina Cost; 3–7 Nothing Happens; 8–10 Allergic sneeze → Lose 15 Health)</t>
  </si>
  <si>
    <t>[Requires Meditate Skill or Aetheric Condition] Perform a proper rite! (Everyone under your Banner on current Hex restores 20 Health and Mana)</t>
  </si>
  <si>
    <t>Nr. 22</t>
  </si>
  <si>
    <t>Electrifying Lanterns</t>
  </si>
  <si>
    <t>Blue lanterns bob along a path at dusk.</t>
  </si>
  <si>
    <t>Do not follow! (Nothing Happens)</t>
  </si>
  <si>
    <t>Follow the lights! (Roll D10: 1–3 Led astray → Traverse to a Random Adjacent Hex (Attempt to if you have no Stamina); 4–7 Safe shortcut → Your next Hex Traversal will cost 0.5 Stamina; 8–10 Secret Shrine found → Gain 2 Faith)</t>
  </si>
  <si>
    <t>[Requires Concentration or Absorber Condition] Absorb the Lightning from the Lanterns! (Permanently Gain 3 Dispersion and 30% Lightning Resistance)</t>
  </si>
  <si>
    <t>Nr. 23</t>
  </si>
  <si>
    <t>Tea Master’s Rest</t>
  </si>
  <si>
    <t>A roadside tea table with steaming cups.</t>
  </si>
  <si>
    <t>Pass politely! (Nothing Happens)</t>
  </si>
  <si>
    <t>Sip the tea! (Roll D10: 1–2 Bitter → Lose 10 Health; 3-4 Dull → Nothing Happens; 5–7 Restore 25 Health; 8–10 Restore 35 Health and remove all Negative Statuses)</t>
  </si>
  <si>
    <t>Share a story! (Roll D10: 1 GM Reveals a Story(Herald) about your character in Across the Planes that reveals something about you; 2–3 Awkward → Nothing; 4–7 Gain 100 Experience; 8–10 Gain 200 Experience)</t>
  </si>
  <si>
    <t>[Requires Coordination Skill or Seducer Condition] Perform the ceremony! (All Entities under your Banner Restore 50 Health and Resource)</t>
  </si>
  <si>
    <t>Nr. 24</t>
  </si>
  <si>
    <t>Paper Crane Storm</t>
  </si>
  <si>
    <t>Dozens of origami cranes take flight.</t>
  </si>
  <si>
    <t>Watch them float away! (Nothing Happens)</t>
  </si>
  <si>
    <t>Try to catch a crane! (Roll D10: 1–4 Paper cuts → Take 10 Bleed; 5–7 Lucky message → +1 to the next D20 roll; 8–10 Treasure map → Gain 1 Hex Vision until next Traversal)</t>
  </si>
  <si>
    <t>Follow flock! (Roll D10: 1–2 Into a Trap → Lose 20 Health; 3–7 Into a place of no interest→ Nothing Happens; 8–10 Into a hidden waterfall → Restore 1.5 Stamina)</t>
  </si>
  <si>
    <t>[Requires True Sight Skill or Pathfinder Condition] Read the maker’s cipher! (Gain Map and have Legendary Chests Marked on it)</t>
  </si>
  <si>
    <t>Nr. 25</t>
  </si>
  <si>
    <t>Shrine Bell of Dawn</t>
  </si>
  <si>
    <t>A bell rope invites a ring.</t>
  </si>
  <si>
    <t>Refrain! (Nothing Happens)</t>
  </si>
  <si>
    <t>Ring once! (Roll D10: 1–6 Startled spirits → Lose 20 Resource; 7–8 Blessing → Gain 1 Faith; 9-10 → Restore 20 Health and Gain 1 Faith)</t>
  </si>
  <si>
    <t>Ring twice! (Roll D10: 1–3 Offend Major Spirit → Fight Random Sentient Divine Elite; 4–5 Greater Blessing → Gain 2 Faith; 6-8 Gain 10 Lightning Damage on Hit until End of Day: 10 Answered prayer → Remove Rotting or a Curse of your choice, if none available, Gain 3 Faith)</t>
  </si>
  <si>
    <t>[Requires Damned by the Gods Condition or Revelation Skill] Ring 27 Times! (Gain 3 Faith)</t>
  </si>
  <si>
    <t>Nr. 26</t>
  </si>
  <si>
    <t>Nr. 27</t>
  </si>
  <si>
    <t>Nr. 28</t>
  </si>
  <si>
    <t>Nr. 29</t>
  </si>
  <si>
    <t>Nr. 30</t>
  </si>
  <si>
    <t>Lightning Storms approach</t>
  </si>
  <si>
    <t>A Lightning Storm is approaching</t>
  </si>
  <si>
    <t>Tank it! (You take 20 Lightning Damage)</t>
  </si>
  <si>
    <t>Listen to the thunder for clues! (D10: 1 You Gain the Lightning Rod Legendary Scepter; 2-6: You Engage Combat against a Prime Elite Creature; 7-10 You take 60 Lightning Damage)</t>
  </si>
  <si>
    <t>[Requires Inspect Skill or Clarity Condition] Find a safe spot! (Nothing Happens)</t>
  </si>
  <si>
    <t>Nr. 31</t>
  </si>
  <si>
    <t>Crackling Hoarfrost</t>
  </si>
  <si>
    <t>Ice patterns web across the ground.</t>
  </si>
  <si>
    <t>Step around! (Nothing Happens)</t>
  </si>
  <si>
    <t>Trace the lines! (Roll D10: 1–2 Frostbite → Become Frostbitten for 5 Frost Damage per Tick over 5 Turns; 3–7 Absorb chill → Gain +10% Frost Resistance; 8–10 Find strange rune → Gain Coldflame Rune)</t>
  </si>
  <si>
    <t>Chip some ice! (Roll D10: 1–2 Slip → Take 10 Physical; 3–7 Gain 1 Random Common Ingredient); 8–10 Gain 1 Random Uncommon Ingredient)</t>
  </si>
  <si>
    <t>[Requires Infernal Condition or Revelation Skill] Heat-manage the surface to reveal the secret! (Gain 1 Wisdom)</t>
  </si>
  <si>
    <t>Nr. 32</t>
  </si>
  <si>
    <t>Snowblind Wisp</t>
  </si>
  <si>
    <t>A pale wisp dances in the flurries.</t>
  </si>
  <si>
    <t>Ignore it! (Nothing Happens)</t>
  </si>
  <si>
    <t>Chase the light! (Roll D10: 1–2 Disoriented → Become Confused for 1 Turn; 3–8 Leads to windbreak → Nothing Happens; 9–10 Find cache → Roll 1 Chest)</t>
  </si>
  <si>
    <t>Bottle the wisp! (Roll D10: 1–2 Cold shock → Take 20 Frost; 3–7 Engage Combat with a Frost Wisp; 8–10 Try to Absorb the Wisp → Gain +20% Frost Resistance)</t>
  </si>
  <si>
    <t>[Requires Absorber Condition or Soul Resurgence Skill] Absorb the Wisp! (Gain 20% Frost Resistance)</t>
  </si>
  <si>
    <t>Nr. 33</t>
  </si>
  <si>
    <t>Howling Crevasse</t>
  </si>
  <si>
    <t>A deep chasm sings with death.</t>
  </si>
  <si>
    <t>Keep distance! (Nothing Happens)</t>
  </si>
  <si>
    <t>Echo test. (Roll D10: 1–2 Ice gives way → Take 20 Physical; 3–7 Map the span → Gain 2 Hex Vision Map; 8–9 Find a frostbridge → Summon a Random Elite on adjacent Hex; 10 Map the area using sound → Gain +2 on your next D10 Roll)</t>
  </si>
  <si>
    <t>Climb down partway! (Roll D10: 1–2 Deadly Fall → Lose 50% Max Health; 3–7 Survivable Fall → Lose 50% Current Health; 8–10 Find ancient relic at the bottom → 1 Random Legendary Artifact)</t>
  </si>
  <si>
    <t>[Requires Winged Condition or Mountain Traversal] Secure a safe descent. (Gain +4 on your next D10 Roll)</t>
  </si>
  <si>
    <t>Nr. 34</t>
  </si>
  <si>
    <t>A glowing gemstone....</t>
  </si>
  <si>
    <t>You find a glowing gemstone glowing in a puddle of snow.</t>
  </si>
  <si>
    <t>Ignore! (Nothing Happens)</t>
  </si>
  <si>
    <t>Grab the Gemstone! (Roll D10: 1–2 It was a Trap, it explodes → Take 20 Frost Damage; 3–7 Worthless glass → Nothing Happens; 8–10 Ancient Rune → Gain 1 Ancient Rune)</t>
  </si>
  <si>
    <t>Destroy the Gemstone! (Roll D10: 1-5 Taunt all adjacent Entities; 6-10 Gain 1 Faith)</t>
  </si>
  <si>
    <t>[Requires Scaled Condition or Concentration] Absorb the Gemstone! (Gain 10% Deflection)</t>
  </si>
  <si>
    <t>Nr. 35</t>
  </si>
  <si>
    <t>Avalanche Murmur</t>
  </si>
  <si>
    <t>The avalanche approaches.</t>
  </si>
  <si>
    <t>Tank it! (You take 30 Frost Damage)</t>
  </si>
  <si>
    <t>Sprint away! (Traverse Random Adjacent Hex)</t>
  </si>
  <si>
    <t>[Requires a Non-Basic Attack Projectile able to deal at least 50 Damage] Use a powerful projectile to slash the incoming avalanche! (Nothing Happens)</t>
  </si>
  <si>
    <t>[Requires Cold Blooded Condition or Resisstance Buildup Skill] Power through the Avalanche! (Resist the Avalanche completely)</t>
  </si>
  <si>
    <t>Nr. 36</t>
  </si>
  <si>
    <t>Nr. 37</t>
  </si>
  <si>
    <t>Nr. 38</t>
  </si>
  <si>
    <t>Nr. 39</t>
  </si>
  <si>
    <t>Nr. 40</t>
  </si>
  <si>
    <t>Nr. 41</t>
  </si>
  <si>
    <t>Emberfall Veil</t>
  </si>
  <si>
    <t>Cinders drift like fiery snow.</t>
  </si>
  <si>
    <t>Wait it out! (Nothing Happens)</t>
  </si>
  <si>
    <t>Walk through! (Roll D10: 1–2 Burns → Take 30 Fire Damag; 3–7 Cindering Empowerment → +40% Fire Resistance until End of Day; 8–10 Find ember crystal → Gain 1 Burning Ichor)</t>
  </si>
  <si>
    <t>Collect ash! (Roll D10: 1–2 Hot spot → Take 10 Fire; 3–7 Gain 1 Burning Ichor); 8–10 Too much time wasted → 2 Random Adjacent Hexes transform into Lava Hexes)</t>
  </si>
  <si>
    <t>[Requires True Sight Skill or Foresight Condition] Find the culprit! (Gain 1 Imp Follower)</t>
  </si>
  <si>
    <t>Nr. 42</t>
  </si>
  <si>
    <t>Lava Tube Echoes</t>
  </si>
  <si>
    <t>A hollow tube hums with subterranean song.</t>
  </si>
  <si>
    <t>Avoid the tube! (Nothing Happens)</t>
  </si>
  <si>
    <t>Explore briefly! (Roll D10: 1–3 Flaming fumes → Take 30 Fire Damage; 3–7 Map network → Your next Traversal will Cost -0.5 Stamina; 8–10 Find 1 Treasure Chest)</t>
  </si>
  <si>
    <t>Mine slag! (Roll D10: 1–4 Shard burst → Take 50 Fire and 20 Physical Damage; 5-10 Gain 2 Epic Ore)</t>
  </si>
  <si>
    <t>[Requires Mechanical Condition or Resistance Buildup Skill] Vent gases safely and access shortcut! (Next Hex Traversal will cost 0 Stamina)</t>
  </si>
  <si>
    <t>Nr. 43</t>
  </si>
  <si>
    <t>Salamander Ring</t>
  </si>
  <si>
    <t>Fire hounds bask around a Crystal.</t>
  </si>
  <si>
    <t>Don’t disturb! (Nothing Happens)</t>
  </si>
  <si>
    <t>Engage Combat! (Engage Combat against 3 Flame Hound Elites; If Victorious gain 1 Legendary Ore)</t>
  </si>
  <si>
    <t>Offer scraps! (Roll D10: 1–2 They bite you and attack the Crystal → Take 10 Fire and 10 Physical Damage; 3–9 Crystal is Destroyed → Nothing Happens ; 10 Flame Hounds becomes friendly → Gain 1 Flame Hound under your Banner and 1 Legendary Ore)</t>
  </si>
  <si>
    <t>[Requires at least 2 Mobility or Agile Condition] Snatch the Crystal and get away! (Gain 1 Legendary Ore)</t>
  </si>
  <si>
    <t>Nr. 44</t>
  </si>
  <si>
    <t>Obsidian Mirror</t>
  </si>
  <si>
    <t>A polished obsidian slab reflects too clearly.</t>
  </si>
  <si>
    <t>Look away! (Nothing Happens)</t>
  </si>
  <si>
    <t>Gaze into it! (Roll D10: 1–4 Dread → Lose 25 Health and become Feared for 1 Turn; 5–9 Clarity → +1 Hex Vision until the next Hex Traversal; 10 Permanently Gain 1 Hex Vision)</t>
  </si>
  <si>
    <t>Chip a piece! (Roll D10: 1–4 Shatter → Take 10 Physical; 5–7 Gain 1 Uncommon Ore; 8–10 Gain 1 Rare Ore)</t>
  </si>
  <si>
    <t>[Requires at least 3 Skill Points invested in Utility or Cursed Condition] Mirror reading! (Gain 1 Attunement Point or Remove 1 Curse)</t>
  </si>
  <si>
    <t>Nr. 45</t>
  </si>
  <si>
    <t>River of Cinders</t>
  </si>
  <si>
    <t>A slow lava flow crosses your path.</t>
  </si>
  <si>
    <t>Detour widely! (Nothing Happens)</t>
  </si>
  <si>
    <t>Leap stepping stones! (Roll D10: 1–2 Slip → Take 40 Fire; 3–7 Cross safely → The next Hex Traversal will cost 0.5 Stamina less; 8–10 The next Hex Traversal will cost 1 Stamina less)</t>
  </si>
  <si>
    <t>[Requires 3 ores of any Rarity] Build a quick bridge! (Consume 3 Ores of your choice and have the next Hex you cross cost 0 Stamina)</t>
  </si>
  <si>
    <t>[Requires at least 100% Fire Resistance or Fireborn Condition] Firewalk technique! (The next Hex you Traverse will cost no Stamina and if you engage Combat on it you will gain +10 additional Initiative)</t>
  </si>
  <si>
    <t>Nr. 46</t>
  </si>
  <si>
    <t>Encountering Raxa</t>
  </si>
  <si>
    <t>It appears you found Raxa, the embodiment of the flame.</t>
  </si>
  <si>
    <t>Wave and turn around! (Nothing Happens)</t>
  </si>
  <si>
    <t>Engage Combat against Raxa! [Warning, Guardian level threat] (Found in Legends)</t>
  </si>
  <si>
    <t>Attempt at the Trial of Flame! (Roll D10: 1 You Lose 200 Health; 2-4 You take 100 Fire Damage; 5-7 You take 50 Fire Damage; 8-9 You permanently Gain 20% Fire Resistance; 10: You Gain a Fire Helix)</t>
  </si>
  <si>
    <t>[Requires a Fire Helix] Destroy a Fire Helix as an offering to Raxa to feed her flame! (Raxa joins your Banner)</t>
  </si>
  <si>
    <t>Nr. 47</t>
  </si>
  <si>
    <t>Nr. 48</t>
  </si>
  <si>
    <t>Nr. 49</t>
  </si>
  <si>
    <t>Nr. 50</t>
  </si>
  <si>
    <t>Volcanic Erruption</t>
  </si>
  <si>
    <t>The ground springs with magma and it is falling everywhere</t>
  </si>
  <si>
    <t>Tank it! (You take 20 Fire Damage)</t>
  </si>
  <si>
    <t>Examine one of the craters! (D10: 1-3 You find the Demonskin Cap Rare Headpiece; 4-6: You Engage Combat against a Creature Elite; 7-10 You take 40 Fire Damage)</t>
  </si>
  <si>
    <t>[Requires Dodge or Die Skill or Infernal Condition] Perfectly manuever around the Magma! (Nothing Happens)</t>
  </si>
  <si>
    <t>Nr. 51</t>
  </si>
  <si>
    <t>Blighted Orchard</t>
  </si>
  <si>
    <t>Grimwell</t>
  </si>
  <si>
    <t>Fruit oozes black sap yet smells sweet.</t>
  </si>
  <si>
    <t>Don’t touch! (Nothing Happens)</t>
  </si>
  <si>
    <t>Sample fruit! (Roll D10: 1–7 Take 25 Dark Damage; 8-9 Restore 50 Health; 10 Restore 50 Health and 1 Stamina)</t>
  </si>
  <si>
    <t>Tap the sap! (Roll D10: 1–4 Splashes → Take  20 Dark Damage; 5–7 Gain 1 Random Common Ingredient; 8–10 Gain 1 Nightmare Fuel)</t>
  </si>
  <si>
    <t>[Requires at least 2 Wisdom or Regeneration Condition] Purify the tree! (Your next 3 D20s will have +3 to their Roll; Lasts until End of Day)</t>
  </si>
  <si>
    <t>Nr. 52</t>
  </si>
  <si>
    <t>Murmuring Mire</t>
  </si>
  <si>
    <t>A bog of whispering faces.</t>
  </si>
  <si>
    <t>Reply to the voices! (Roll D10: 1–9 Lose 20% of Current Health; 10 Gain 3 Faith)</t>
  </si>
  <si>
    <t>Attack! (Roll D10: 1–5 Engage Combat against 1 Elite; 6-10 Engage Combat against 1 Boss)</t>
  </si>
  <si>
    <t>[Requires Soul Resurgence Skill or Animated Condition] Sanctify Mire! (Gain 10% Elemental Resistance and Convert Hex to a Moor)</t>
  </si>
  <si>
    <t>Nr. 53</t>
  </si>
  <si>
    <t>The End</t>
  </si>
  <si>
    <t>The source of the corruption itself is trying to take hold of you.</t>
  </si>
  <si>
    <t>Let it corrupt you! (You Die)</t>
  </si>
  <si>
    <t>Try to Resist it! (Roll D10: 1 You are Destroyed; 2-4 You Die; 5-9 You Resist it → Nothing Happens; 10 Gain 50% Dark Resistance, Fearless Condition and Clarity Condition)</t>
  </si>
  <si>
    <t>Try to embrace and control it! (1-8 You are Destroyed; 9-10 Void Hexes you Traverse/Rest on from now on no longer have any negative effect towards you, Any Hex you Traverse transforms into a Void Hex, Gain 25 Dark Damage On Hit on all your Attacks, Gain 200 Health)</t>
  </si>
  <si>
    <t>[Requires at least 3 Skill Points invested in Survival or Gate Condition] Focus on the source and understand the flow. (Your next D10 will have +4 to its Roll)</t>
  </si>
  <si>
    <t>Nr. 54</t>
  </si>
  <si>
    <t>Voidling Swarm</t>
  </si>
  <si>
    <t>Void insects surge like a cloud.</t>
  </si>
  <si>
    <t>Pull up hood and pass! (Nothing Happens)</t>
  </si>
  <si>
    <t>Stand your ground! (Roll D10: 1–2 Nasty bites → Take 15 Dark Damage; 3–8 Drive them off → Gain 1 Common Ingredient; 9–10 Discover maggot pearl → 1 Uncommon Ingredient)</t>
  </si>
  <si>
    <t>Follow the swarm! (Roll D10: 1–2 Lead to carcass trap → Engage Combat against Random Elite; 3–7 Find carcass → 1 Uncommon Fabric; 8–10 Find parasite queen → Gain 1 Epic Fabric)</t>
  </si>
  <si>
    <t>[Requires Skeletal Condition or Warfare Master Skill] Perfect repellant! (Gain 2 Rare Fabrics)</t>
  </si>
  <si>
    <t>Nr. 55</t>
  </si>
  <si>
    <t>Weeping Well</t>
  </si>
  <si>
    <t>You come across the wheeping well.</t>
  </si>
  <si>
    <t>Bottle the tears! (Roll D10: 1–3 Caustic sting → Become Acidic for 1 Turn; 4-5 Lose 10 Health; 6–7 Gain 1 Uncommon Ingredient; 8–10 Gain Gain 2 Nightmare Fuel)</t>
  </si>
  <si>
    <t>Drink directly! (Roll D10: 1–2 Stomach churn → Take 20 Fatal Damage; 3–8 Restore 0.5 Stamina; 9–10 Remove any 1 Status or Curse affecting you)</t>
  </si>
  <si>
    <t>[Requires 1 Stamina] Trace the source vein! (Lose 1 Stamina and Restore 50 Health and Resource)</t>
  </si>
  <si>
    <t>Nr. 56</t>
  </si>
  <si>
    <t>Nr. 57</t>
  </si>
  <si>
    <t>Nr. 58</t>
  </si>
  <si>
    <t>Nr. 59</t>
  </si>
  <si>
    <t>Nr. 60</t>
  </si>
  <si>
    <t>The Corruption Spreads</t>
  </si>
  <si>
    <t>Tank it! (You take 20 Dark Damage)</t>
  </si>
  <si>
    <t>Attempt to find the source of the corruption! (D10: 1-3 You find a Legendary Ore; 4-6: You Engage Combat against a Boss Creature; 7-10 You take 40 Dark Damage)</t>
  </si>
  <si>
    <t>[Requires Resistance Buildup Skill or Nocturnal Condition] Resist the corruption! (Nothing Happens)</t>
  </si>
  <si>
    <t>Nr. 61</t>
  </si>
  <si>
    <t>Lark of Dawnlight</t>
  </si>
  <si>
    <t>A radiant bird sings a perfect note.</t>
  </si>
  <si>
    <t>Nr. 62</t>
  </si>
  <si>
    <t>Stair of Sunbeams</t>
  </si>
  <si>
    <t>Light itself forms steps upward.</t>
  </si>
  <si>
    <t>Nr. 63</t>
  </si>
  <si>
    <t>Font of Mercy</t>
  </si>
  <si>
    <t>A crystal spring bubbles serenity.</t>
  </si>
  <si>
    <t>Nr. 64</t>
  </si>
  <si>
    <t>Choir’s Forgotten Hymn</t>
  </si>
  <si>
    <t>Faint notes of a lost hymn drift by.</t>
  </si>
  <si>
    <t>Nr. 65</t>
  </si>
  <si>
    <t>Amberwing Bridge</t>
  </si>
  <si>
    <t>Golden butterflies form a living bridge.</t>
  </si>
  <si>
    <t>Nr. 66</t>
  </si>
  <si>
    <t>Nr. 67</t>
  </si>
  <si>
    <t>Nr. 68</t>
  </si>
  <si>
    <t>Nr. 69</t>
  </si>
  <si>
    <t>Nr. 70</t>
  </si>
  <si>
    <t>A Beacon of light...</t>
  </si>
  <si>
    <t>A Divine Beacon has awoken and spotted you and fired a beam at you</t>
  </si>
  <si>
    <t>Tank it and make no movements, it'll think it is a false alarm! (You take 20 Light Damage)</t>
  </si>
  <si>
    <t>Engage Combat with the Divine Beacon Prime Weakling!</t>
  </si>
  <si>
    <t>[Requires Warfare Master Skill or Necronian Field Condition] Masterfuly defeat the Beacon through a precise attack or through reflecting its Beam and get the rewards! (Gain Divine Beacon Rewards)</t>
  </si>
  <si>
    <t>Nr. 71</t>
  </si>
  <si>
    <t>Bones...</t>
  </si>
  <si>
    <t>A small bone pile ahead, but perhaps there may be more?</t>
  </si>
  <si>
    <t>Settle for the small bone pile in hopes you find some marrow! (80% Chance to Gain 1 Bone Marrow)</t>
  </si>
  <si>
    <t>Look around for a medium pile of bones! (50% Chance to Gain 2x Bone Marrow)</t>
  </si>
  <si>
    <t>Look around for a large pile of bones! (20% Chance to Gain 3x Bone Marrow)</t>
  </si>
  <si>
    <t>[Requires True Sight Skill or Foresight Condition] Do a little scouting and analysis. (Increase all other Options' Chance by 10%)</t>
  </si>
  <si>
    <t>Nr. 72</t>
  </si>
  <si>
    <t>Silent Obelisk</t>
  </si>
  <si>
    <t>A cracked black monolith hums with old power.</t>
  </si>
  <si>
    <t>Walk past. (Nothing Happens)</t>
  </si>
  <si>
    <t>Touch the surface. (Roll D10: 1–2 Take 20 Shadow Damage; 3–8 Gain 1 “Grim Insight” (+1 to next Lore/Arcana check); 9–10 Recharge 1 spent Ability)</t>
  </si>
  <si>
    <t>Scavenge the rubble. (Roll D10: 1–3 Dust storm → Take 10 Earth Damage; 4–7 Find 20 Scrap; 8–10 Find 20 Scrap + 1 Relic Fragment)</t>
  </si>
  <si>
    <t>[Requires ____] Align the runes. (Cleanse one Corruption stack from party)</t>
  </si>
  <si>
    <t>Nr. 73</t>
  </si>
  <si>
    <t>Dry Well Echo</t>
  </si>
  <si>
    <t>A bottomless well whispers names.</t>
  </si>
  <si>
    <t>Ignore the whispers. (Nothing Happens)</t>
  </si>
  <si>
    <t>Lower a bucket. (Roll D10: 1–2 Rope snaps → Lose 1 Common Gear; 3–8 Draw brackish water → Quench Thirst; 9–10 Find a Sunken Purse → 40 Gold)</t>
  </si>
  <si>
    <t>Shout a name. (Roll D10: 1–2 Stir a wraith → Fight Random Normal (Undead); 3–7 No answer; 8–10 Gain omen → +1 to next Encounter initiative)</t>
  </si>
  <si>
    <t>[Requires ____] Scry the depths. (Reveal a nearby Hidden Encounter and mark it safe)</t>
  </si>
  <si>
    <t>Nr. 74</t>
  </si>
  <si>
    <t>Salt Flat Fata Morgana</t>
  </si>
  <si>
    <t>A distant city shimmers on the horizon.</t>
  </si>
  <si>
    <t>Stay your course. (Nothing Happens)</t>
  </si>
  <si>
    <t>Pursue the mirage. (Roll D10: 1–2 Exhaustion → Lose 1 Stamina each character; 3–8 Find a Cache → 1 Random Supply; 9–10 Find Ancient Coin Hoard → 60 Gold)</t>
  </si>
  <si>
    <t>Study the heat haze. (Roll D10: 1 Sunstroke → Take 10 Fire Damage; 2–7 Map clarity → Reveal 2 hexes; 8–10 Pinpoint Oasis → Refill Waterskins)</t>
  </si>
  <si>
    <t>[Requires ____] Read wind and light. (Advance 1 hex ignoring terrain penalties)</t>
  </si>
  <si>
    <t>Nr. 75</t>
  </si>
  <si>
    <t>Carrion Choir</t>
  </si>
  <si>
    <t>Vultures circle silently above desiccated bones.</t>
  </si>
  <si>
    <t>Move along. (Nothing Happens)</t>
  </si>
  <si>
    <t>Search the bones. (Roll D10: 1–2 Disease → Take 10 Poison Damage; 3–7 Find 1 Trinket; 8–10 Find 1 Rare Trinket)</t>
  </si>
  <si>
    <t>Follow the birds. (Roll D10: 1–3 Ambushed by jackals → Fight Random Normal; 4–8 Find fresh carcass → 2 Food; 9–10 Find hunter camp → Trade: +20 Gold)</t>
  </si>
  <si>
    <t>[Requires ____] Ward against miasma. (Search safely and gain 1 Rare Reagent)</t>
  </si>
  <si>
    <t>Nr. 76</t>
  </si>
  <si>
    <t>Glassed Crater</t>
  </si>
  <si>
    <t>A bowl of fused glass crackles faintly.</t>
  </si>
  <si>
    <t>Circle the rim. (Nothing Happens)</t>
  </si>
  <si>
    <t>Chip a shard. (Roll D10: 1–2 Shard explodes → Take 15 Fire Damage; 3–8 Gain 1 Arcane Glass (crafting); 9–10 Gain 1 Arcane Glass + Recharge 1 Consumable)</t>
  </si>
  <si>
    <t>Test the center. (Roll D10: 1–2 Sink slightly → Take 10 Earth Damage; 3–7 Nothing Happens but data logged → +1 to next Hazard check; 8–10 Uncover core node → 1 Relic Fragment)</t>
  </si>
  <si>
    <t>[Requires ____] Safely vent energies. (Party gains 10 Temp Shield)</t>
  </si>
  <si>
    <t>Nr. 77</t>
  </si>
  <si>
    <t>Nr. 78</t>
  </si>
  <si>
    <t>Nr. 79</t>
  </si>
  <si>
    <t>Nr. 80</t>
  </si>
  <si>
    <t>The Spiked Wasteland</t>
  </si>
  <si>
    <t>Nothing but a wasteland filled with giant spikes.</t>
  </si>
  <si>
    <t>Traverse it normally! (You take 20 Earth Damage)</t>
  </si>
  <si>
    <t>Take some risky paths through the spikes! (1-5: Nothing Happesn; 6-10: You take 40 Earth Damage)</t>
  </si>
  <si>
    <t>[Requires Mountain Traversal Skill or Agile Condition] Outmanouver the giant spikes! (Nothing Happens)</t>
  </si>
  <si>
    <t>Nr. 81</t>
  </si>
  <si>
    <t>Pulsing Grove</t>
  </si>
  <si>
    <t>The trees throb like hearts.</t>
  </si>
  <si>
    <t>Avert your gaze and pass. (Nothing Happens)</t>
  </si>
  <si>
    <t>Place a hand on bark. (Roll D10: 1–2 Psychic backlash → Take 15 Psychic; 3–7 Gain “Battle Rhythm” (+1 Initiative); 8–10 Synchronized vigor → Heal 15)</t>
  </si>
  <si>
    <t>Harvest sap. (Roll D10: 1–2 Sticky trap → Take 10 Physical; 3–7 Gain 1 Vital Ichor; 8–10 Gain 1 Vital Ichor + 10 Gold)</t>
  </si>
  <si>
    <t>[Requires ____] Tune to the heartbeat. (Party gains Battle Rhythm; remove 1 Fear)</t>
  </si>
  <si>
    <t>Nr. 82</t>
  </si>
  <si>
    <t>Fleshfruit Offering</t>
  </si>
  <si>
    <t>A tree “grows” a ripened organ-like fruit.</t>
  </si>
  <si>
    <t>Walk away. (Nothing Happens)</t>
  </si>
  <si>
    <t>Eat it. (Roll D10: 1–2 Nausea → Take 10 Poison; 3–7 Heal 20; 8–10 Heal 30 and gain +1 Strength next combat)</t>
  </si>
  <si>
    <t>Bottle the juices. (Roll D10: 1–2 Splatter → Take 10 Bleed; 3–7 Gain 1 Alchemic Tissue; 8–10 Gain 2 Alchemic Tissue)</t>
  </si>
  <si>
    <t>[Requires ____] Sterile extraction. (Gain 1 Rare Reagent and no ill effects)</t>
  </si>
  <si>
    <t>Nr. 83</t>
  </si>
  <si>
    <t>Sinew Bridge</t>
  </si>
  <si>
    <t>A ropey tendon spans a chasm.</t>
  </si>
  <si>
    <t>Find another route. (Nothing Happens)</t>
  </si>
  <si>
    <t>Cross single-file. (Roll D10: 1–2 Snap! → Take 20 Physical; 3–7 Cross safely; 8–10 Fast and sure → Cross and gain +1 Evasion next combat)</t>
  </si>
  <si>
    <t>Harvest strands. (Roll D10: 1–2 Bridge weakens → Mark hex hazardous; 3–7 Gain 1 Tough Sinew; 8–10 Gain 1 Tough Sinew + 1 Trinket)</t>
  </si>
  <si>
    <t>[Requires ____] Reinforce anchor points. (Cross safely and mark hex as stable)</t>
  </si>
  <si>
    <t>Nr. 84</t>
  </si>
  <si>
    <t>Chorus of Mouths</t>
  </si>
  <si>
    <t>Bark-mouths whisper offers of help.</t>
  </si>
  <si>
    <t>Ask for guidance. (Roll D10: 1–2 False route → Advance 1 hex wrong; 3–7 Reveal 2 hexes; 8–10 Reveal 2 hexes and remove 1 Fog of War marker)</t>
  </si>
  <si>
    <t>Feed them scraps. (Roll D10: 1–2 Bite back → Take 10 Bleed; 3–7 Gain 1 Favor (Forest); 8–10 Gain Favor and 10 Gold in “teeth”)</t>
  </si>
  <si>
    <t>[Requires ____] Speak the root-tongue. (Reveal nearest treasure and safe path)</t>
  </si>
  <si>
    <t>Nr. 85</t>
  </si>
  <si>
    <t>Red Rain</t>
  </si>
  <si>
    <t>It begins to drizzle crimson.</t>
  </si>
  <si>
    <t>Take shelter. (Nothing Happens)</t>
  </si>
  <si>
    <t>Stand in the rain. (Roll D10: 1–2 Tainted → Take 10 Poison; 3–7 Vital surge → Gain 10 Temp Health; 8–10 Vital surge → Gain 10 Temp Health + remove 1 Minor Ailment)</t>
  </si>
  <si>
    <t>Collect droplets. (Roll D10: 1–2 Corrupt vial → Lose 1 Common Bottle; 3–7 Gain 1 Blood Distillate; 8–10 Gain 2 Blood Distillate)</t>
  </si>
  <si>
    <t>[Requires ____] Sanctify the rainfall. (All party gains 10 Temp Health safely)</t>
  </si>
  <si>
    <t>Nr. 86</t>
  </si>
  <si>
    <t>Thorn-Butcher Idol</t>
  </si>
  <si>
    <t>A twisted idol stitched of thorns and bone.</t>
  </si>
  <si>
    <t>Ignore it. (Nothing Happens)</t>
  </si>
  <si>
    <t>Offer blood. (Roll D10: 1–2 Backlash → Take 20 Bleed; 3–7 Receive boon → +1 Damage next combat; 8–10 Gain “Bloodward” (reduce next Bleed to 0))</t>
  </si>
  <si>
    <t>Dismantle the idol. (Roll D10: 1–3 Vines lash → Take 15 Physical; 4–8 Gain 1 Rare Thorn; 9–10 Idol core drops → 1 Relic Fragment)</t>
  </si>
  <si>
    <t>[Requires ____] Unravel curse gently. (Gain +1 Damage boon with no cost)</t>
  </si>
  <si>
    <t>Nr. 87</t>
  </si>
  <si>
    <t>Nr. 88</t>
  </si>
  <si>
    <t>Nr. 89</t>
  </si>
  <si>
    <t>Nr. 90</t>
  </si>
  <si>
    <t>The Rain of Blood</t>
  </si>
  <si>
    <t>Crimson blood starts pouring out of the sky, it seems it is ready to melt into your skin and rupture you.</t>
  </si>
  <si>
    <t>Tank it! (You take 20 Bleed Damage)</t>
  </si>
  <si>
    <t>Drink the Raining Blood! (D10: 1-2: Restore 50% of Max Health; 3-10: Take 60 Bleed Damage)</t>
  </si>
  <si>
    <t>[Requires Meditation skill or Regeneration Condition] Relax in the Rain, the pain is but a lesson! (Nothing Happens)</t>
  </si>
  <si>
    <t>Nr. 91</t>
  </si>
  <si>
    <t>The Quest...seller???</t>
  </si>
  <si>
    <t>A strange hooded man asks you if you want a Quest for only 100 Gold, or perhaps more?</t>
  </si>
  <si>
    <t>Accept 1 Quest for 100 Gold! (You Lose 100 Gold and Gain 1 Random Quest)</t>
  </si>
  <si>
    <t>Accept a choice between 3 Quests of Varying Difficulty for 300 Gold! (You Lose 300 Gold and Gain a choice between a Simple Quest, a Normal Quest and a Hard Quest)</t>
  </si>
  <si>
    <t>[Requires at least 2 Wisdom or Vigilant Condition] You are trying to scam me, these Quests should be free! (He Transforms into a Questgiver)</t>
  </si>
  <si>
    <t>Nr. 92</t>
  </si>
  <si>
    <t>A Thievering moment</t>
  </si>
  <si>
    <t>A lone traveler hasn't spotted your approach and finds himself relaxed with his back turned to you.</t>
  </si>
  <si>
    <t xml:space="preserve">Attempt to Rob him! (Roll D10: 1-5 You Gain 250 Gold and a Rare Random Item; 6-10 You engage Combat against a Sentient Elite) </t>
  </si>
  <si>
    <t>Announce yourself and have a peaceful chat about your journeys! (Roll D10: 1-3 You gain 3 Hex Vision Map of your current position; 4-7: Nothing; 8-10: Huh? Turns up he robbed you of 250 Gold and disappeared)</t>
  </si>
  <si>
    <t>[Requires at least 2 Mobility or Stealth Condition] Ambush him! (Engage Combat against a Sentient Elite, you gain +10 Initiative and +5 to your first 2 Rolls this Combat)</t>
  </si>
  <si>
    <t>Nr. 93</t>
  </si>
  <si>
    <t>The Wolf Pack</t>
  </si>
  <si>
    <t>You are surrounded by a Pack of Wolves.</t>
  </si>
  <si>
    <t>Try to Hide! (Roll D10: 1-2 Engage against 3 Gray Wolves; 3-6 Engage against 2 Gray Wolves; 7-9 Engage against 1 Gray Wolf; 10 You manage to hide successfully → Nothing Happens)</t>
  </si>
  <si>
    <t>Try to assert dominance! (Roll D10: 1-9 You Engage against 2 Gray Wolved; 10 Gain 1 Gray Wolf under your Banner)</t>
  </si>
  <si>
    <t>[Requires Lycan Path Legacy] Howl! (Gain 2 Gray Wolves under your Banner)</t>
  </si>
  <si>
    <t>[Requires at least +3 Flee Roll or Agile Condition] Run away from them! (Nothing Happens)</t>
  </si>
  <si>
    <t>Nr. 94</t>
  </si>
  <si>
    <t>Trinket Merchant</t>
  </si>
  <si>
    <t>You encounter a Trinket Merchant</t>
  </si>
  <si>
    <t>Be on your way! (Nothing Happens)</t>
  </si>
  <si>
    <t>Artifact Trade. (Exchange 1000 Gold for 1 Random Legendary Artifact)</t>
  </si>
  <si>
    <t>Jewlery Trade. (Exchange 800 Gold for 1 Random Legendary Jewlery)</t>
  </si>
  <si>
    <t>[Requires at least 2 Might or Brawn Condition] Beat him in an Arm Wrestling Contest. (All Prices from the other options are reduced by 200 Gold)</t>
  </si>
  <si>
    <t>Nr. 95</t>
  </si>
  <si>
    <t>It really is him! It is Garbuni!!!</t>
  </si>
  <si>
    <t>Garbuni the Grand Trader is here!</t>
  </si>
  <si>
    <t>Ingredient Trade. (Exchange 200 Gold for 1 Uncommon Ingredient)</t>
  </si>
  <si>
    <t>Weapon Trade. (Exchange 400 Gold for 1 Random Epic Weapon)</t>
  </si>
  <si>
    <t>Armor Trade. (Exchange 400 Gold for 1 Random Epic Armor)</t>
  </si>
  <si>
    <t>Nr. 96</t>
  </si>
  <si>
    <t>Sharakonids Awakening</t>
  </si>
  <si>
    <t>The Planes stand at the precipice, before you lies a dormant Sharakonid!</t>
  </si>
  <si>
    <t>Retreat! (Be forced to Traverse an adjacent Hex)</t>
  </si>
  <si>
    <t>Engage Combat with the Sharakonid! (Engage Combat against a Sharakonid) [WARNING]</t>
  </si>
  <si>
    <t>Attempt to harvest his scales without waking him up! (Roll D10: 1-8 The Sharakonid wakes up and immediately kills you whilst your guard is down; 9-10 Gain 1 Mythic Ore)</t>
  </si>
  <si>
    <t>[Requires Helix equipped or in Inventory] Teleport the Sharakonid on a Random Hex on the Planes awakening him in the process! (A Sharakonid appears on the Map and will move at random killing everything in its path)</t>
  </si>
  <si>
    <t>Nr. 97</t>
  </si>
  <si>
    <t>The 4 Doors of the apocalypse</t>
  </si>
  <si>
    <t>The God of Choice has bestowed you with a choice.</t>
  </si>
  <si>
    <t>Golden Door! (Roll D10: 1-5 Gain 2 Treasure Chests; 6-10 Lose 60 Health)</t>
  </si>
  <si>
    <t>Crimson Door! (Teleport to a Random Threshold Hex on the Map, if there are none, Gain 1 Legendary Chest)</t>
  </si>
  <si>
    <t>Wooden Door! (Gain 1 Chest and Lose 20 Health)</t>
  </si>
  <si>
    <t>Glass Door! (Gain 1000 Gold and Fall off the Map)</t>
  </si>
  <si>
    <t>Nr. 98</t>
  </si>
  <si>
    <t>Curse of the Black Crow</t>
  </si>
  <si>
    <t>You meet the gaze of a pitch black crow and realise you are about to be cursed…but which way was the Crow moving?</t>
  </si>
  <si>
    <t>It was moving West! (Gain the West Curse until End of Day; Curse: You are unable to Traverse the West Direction)</t>
  </si>
  <si>
    <t>It was moving East! (Gain the West Curse until End of Day; Curse: You are unable to Traverse the East Direction)</t>
  </si>
  <si>
    <t>It was moving stationary! (Lose 20 Health)</t>
  </si>
  <si>
    <t>[Requires Break Illusion Skill or Clarity Condition] Dispel the Illusion! (Nothing Happens)</t>
  </si>
  <si>
    <t>Nr. 99</t>
  </si>
  <si>
    <t>Absolutely Random!?</t>
  </si>
  <si>
    <t>The most bizzare thing is happening all around you and it only occured to you now.</t>
  </si>
  <si>
    <t>Roll for 1 Unknown Site!</t>
  </si>
  <si>
    <t>Roll for 2 Unknown Sites!</t>
  </si>
  <si>
    <t>Roll for 3 Unknown Sites!</t>
  </si>
  <si>
    <t>[Requires some serious backbone] Roll 7 Unknown Sites with -3 Modifier on them!</t>
  </si>
  <si>
    <t>Nr. 100</t>
  </si>
  <si>
    <t>Trapped Area</t>
  </si>
  <si>
    <t>You find yourself in a Trapped area</t>
  </si>
  <si>
    <t>Tank it! (You take 30 Physical Damage)</t>
  </si>
  <si>
    <t>Try to quickly disable the Traps! (Roll D10: 1-5 Nothing Happens; 6-10: You fail miserably and get hit for 60 Physical Damage)</t>
  </si>
  <si>
    <t>[Requires 1 Stamina] Take your time disabling the traps! (Lose 1 Stamina)</t>
  </si>
  <si>
    <t>[Requires Traversal Expert or Blessed by the Gods Condition] Just avoid the traps hoping you don't step into the less obvious ones! (Nothing Happens)</t>
  </si>
  <si>
    <t>Mana</t>
  </si>
  <si>
    <t>Creature Type</t>
  </si>
  <si>
    <t>(&gt;) Fire Spit: 20 Fire Damage. (50 Mana)</t>
  </si>
  <si>
    <t>(&gt;) Frost Spit: 20 Frost Damage. (50 Mana)</t>
  </si>
  <si>
    <t>5x 10/10</t>
  </si>
  <si>
    <t>Lifeforce Extract + Uncommon Fabric</t>
  </si>
  <si>
    <t>Prime Weakling</t>
  </si>
  <si>
    <t>Vile Mushroom + Uncommon Fabric</t>
  </si>
  <si>
    <t>Soul Essence + Uncommon Fabric</t>
  </si>
  <si>
    <t>Living Root + Uncommon Fabric</t>
  </si>
  <si>
    <t>Slithering Oil + Uncommon Fabric</t>
  </si>
  <si>
    <t>(≈) Rot Target with 50% chance, Rots in 7 Days (1/Day)</t>
  </si>
  <si>
    <t>Black Cobweb + Uncommon Ore</t>
  </si>
  <si>
    <t>Ashen Weed + Uncommon Ore</t>
  </si>
  <si>
    <t>Bone Marrow + Uncommon Ore</t>
  </si>
  <si>
    <t>Hardened Powder + Uncommon Ore</t>
  </si>
  <si>
    <t>Power Sand + Uncommon Ore</t>
  </si>
  <si>
    <t xml:space="preserve">Claws: 15 P.D. (25 Crit) </t>
  </si>
  <si>
    <t>Ice Lotus + Rare Fabric</t>
  </si>
  <si>
    <t>Sparking Solution + Rare Fabric</t>
  </si>
  <si>
    <t>Whistling Sap + Rare Fabric</t>
  </si>
  <si>
    <t>Burning Ichor + Rare Fabric</t>
  </si>
  <si>
    <t>Rich Soil + Rare Fabric</t>
  </si>
  <si>
    <t>Nightmare Fuel + Rare Fabric</t>
  </si>
  <si>
    <t>White Obsidian + Rare Fabric</t>
  </si>
  <si>
    <t>2x Vile Mushroom + Rare Ore</t>
  </si>
  <si>
    <t>(P) Weakening Aura: All Entities in Combat are Weakend</t>
  </si>
  <si>
    <t>(P) Will Flee if its HP is lower than 20% of Max.</t>
  </si>
  <si>
    <t>Ice Lotus + Rare Ore</t>
  </si>
  <si>
    <t>Sparking Solution + Rare Ore</t>
  </si>
  <si>
    <t>Whistling Sap + Rare Ore</t>
  </si>
  <si>
    <t>Burning Ichor + Rare Ore</t>
  </si>
  <si>
    <t>Rich Soil + Rare Ore</t>
  </si>
  <si>
    <t>Nightmare Fuel + Rare Ore</t>
  </si>
  <si>
    <t>White Obsidian + Rare Ore</t>
  </si>
  <si>
    <t>600 Gold + Random Epic Gear</t>
  </si>
  <si>
    <t>Prime Elite</t>
  </si>
  <si>
    <t>Poison Gland + Epic Ore</t>
  </si>
  <si>
    <t>Ice Lotus + Epic Fabric</t>
  </si>
  <si>
    <t>Sparking Solution + Epic Fabric</t>
  </si>
  <si>
    <t>Whistling Sap Epic Ore</t>
  </si>
  <si>
    <t>Pure Blood + Epic Ore</t>
  </si>
  <si>
    <t>Burning Ichor + Epic Fabric</t>
  </si>
  <si>
    <t>Rich Soil + Epic Ore</t>
  </si>
  <si>
    <t>Melee Flux 20 Dark Damage Per Turn</t>
  </si>
  <si>
    <t>(^) Wall growth: Summon a Corrupted Wall Minion with 50 Health and 50 Mana. (50 Mana)</t>
  </si>
  <si>
    <t>Nightmare Fuel + Epic Ore</t>
  </si>
  <si>
    <t>White Obsidian + Epic Fabric</t>
  </si>
  <si>
    <t>2x Lifeforce Extract + Legendary Fabric</t>
  </si>
  <si>
    <t>(&gt;) Poison Bone: Launch Poisoned bone shards at Target for 20 Physical and 20 Poison Damage. (50 Mana)</t>
  </si>
  <si>
    <t>(≈) Manticores Signature: Lunge into Melee Range of Target ripping them with your claws for 40 Physical Damage and 25 Poison Damage. (100 Mana)</t>
  </si>
  <si>
    <t>2x Slithering Oil + Legendary Fabric</t>
  </si>
  <si>
    <t>Warp 10 Frost Damage</t>
  </si>
  <si>
    <t>(o) Frost Core Balancing: Deal 10 Magic Damage to all other Entities on Hex. (25 Mana)</t>
  </si>
  <si>
    <t>(^) White Bark: Powerplay; Summon a wall of Frozen Branches around yourself pushing all Entities in Melee Range 1 Tile and dealing 10 Frost Damage; The Wall covers 8 Tiles around the Elderwhite and has 100 Health. (75 Mana)</t>
  </si>
  <si>
    <t>2x Mana Berries + Legendary Fabric</t>
  </si>
  <si>
    <t>(&gt;) Malicious Stare: Stare menacingly at Target Inflicting 20 Terror Damage. (25 Mana)</t>
  </si>
  <si>
    <t>2x Soul Essence + Legendary Fabric</t>
  </si>
  <si>
    <t>2x Power Sand + Legendary Ore</t>
  </si>
  <si>
    <t>Lifeforce Extract +  Bone Marrow + Legendary Ore</t>
  </si>
  <si>
    <t>Burning Ichor + Legendary Ore</t>
  </si>
  <si>
    <t>2x Bone Marrow + Legendary Ore</t>
  </si>
  <si>
    <t>(P) Can take a Turn to shapeshift into one of its 3 Stances:                                                                              Lion Stance:</t>
  </si>
  <si>
    <t>2x Black Cobweb  + Legendary Ore</t>
  </si>
  <si>
    <t>White Obsidian + Legendary Fabric</t>
  </si>
  <si>
    <t>Greyshade Bark  + Legendary Ore</t>
  </si>
  <si>
    <t>145/300</t>
  </si>
  <si>
    <t>Poison Gland + Legendary Fabric</t>
  </si>
  <si>
    <t>Strike 10 Physical Damage each</t>
  </si>
  <si>
    <t>(P) Legion will spawn 9 additional copies of itself; All 10 will spawn on random Tiles during Combat.</t>
  </si>
  <si>
    <t>Ice Lotus + Legendary Fabric</t>
  </si>
  <si>
    <t>Sparking Solution + Legendary Fabric</t>
  </si>
  <si>
    <t>Whistling Sap + Legendary Ore</t>
  </si>
  <si>
    <t>Pure Blood + Legendary Ore</t>
  </si>
  <si>
    <t>(&gt;) Rock Storm: Send rocks flying towards selected entity, dealing 30 Kinetic Damage to enemy (25 Mana)</t>
  </si>
  <si>
    <t>(^) Obsidian Backup: [2 Stacks of Channel] Powerplay; Summon 2 Gargoyles on the Outer Layer with identical starting stats, without this ability</t>
  </si>
  <si>
    <t>Rich Soil + Legendary Ore</t>
  </si>
  <si>
    <t>Nightmare Fuel + Legendary Fabric</t>
  </si>
  <si>
    <t>White Obsidian + Legendary Ore</t>
  </si>
  <si>
    <t>2x Diamond Grain + Legendary Ore</t>
  </si>
  <si>
    <t>Prime Boss</t>
  </si>
  <si>
    <t>Everlife Ivy + Legendary Ore</t>
  </si>
  <si>
    <t>Arctic Core + Legendary Fabric</t>
  </si>
  <si>
    <t>Oldworld Spices + Legendary Fabric</t>
  </si>
  <si>
    <t>Sundunes Bloom + Legendary  Ore</t>
  </si>
  <si>
    <t>Rotten Flesh + Legendary  Ore</t>
  </si>
  <si>
    <t>Flaming Spirits + Legendary  Fabric</t>
  </si>
  <si>
    <t>Gravity Fragment + Legendary  Ore</t>
  </si>
  <si>
    <t>Deaths Touch + Legendary  Ore</t>
  </si>
  <si>
    <t>Divine Feather + Legendary Fabric</t>
  </si>
  <si>
    <t>Beast: Critical strikes deal bonus damage equal to 10% Current Health True Damage</t>
  </si>
  <si>
    <t>T1: Rush; TP to Melee range of a Target ( 25 Health )</t>
  </si>
  <si>
    <t>T2: Furious Slashes; P: Critical Strikes have a 50% chance of adding 1 stack to Furious Slash</t>
  </si>
  <si>
    <t>(P) Gods Encouragement: if you take more than 40 damage in one turn give the entity who damaged you 1 faith.  Each time a Hostile entity uses faith on the current hex they take 10 True Damage.</t>
  </si>
  <si>
    <t>Death Defiance Elixir: Survive Lethal Damage Thrice. (≈)</t>
  </si>
  <si>
    <t>Fearing Flask: Inflict Fear for 3 Turns. (&gt;)</t>
  </si>
  <si>
    <t>Greater Poison Flask: Deal 40 Poison Damage. (&gt;)</t>
  </si>
  <si>
    <t>Greater Fearing Flask: Inflict Fear for 5 Turns. (&gt;)</t>
  </si>
  <si>
    <t>Wisdom Potion: Gain 1 Wisdom Until End Of Day. (≈)</t>
  </si>
  <si>
    <t>Might Potion: Gain 1 Might Until End Of Day. (≈)</t>
  </si>
  <si>
    <t>Void Dash: Dash up to 4 Tiles in a line dealing 50 Wind Damage to all Entities she passes through. (2/Combat)</t>
  </si>
  <si>
    <t>Tormenting Song: Torment all other Entities on Hex for 3 Turns. (2/Combat)</t>
  </si>
  <si>
    <t>Gain 10% Fortitude; Your Max Fortitude is now Capped at 70%.</t>
  </si>
  <si>
    <t>Indomitable: Gain 10% Fortitude; Your Max Fortitude is now Capped at 70%.
Nimble: Gain 1 Extra Counter Action per Turn which can only be used for Dodging.</t>
  </si>
  <si>
    <t>Indomitable: Gain 10% Fortitude; Your Max Fortitude is now Capped at 70%.
Wise: Gain 2 Wisdom; You may Roll your D10s with +1 or -1 Roll Modifier on Events.</t>
  </si>
  <si>
    <t>Indomitable: Gain 10% Fortitude; Your Max Fortitude is now Capped at 70%.
Winged: No longer Take Damage from Traversing Hexes; Spend 0.5 Stamina to gain 1 Hex Vision until Movement.</t>
  </si>
  <si>
    <t>You Interrupt them.</t>
  </si>
  <si>
    <t>You become Interrupted.</t>
  </si>
  <si>
    <t>Cleric</t>
  </si>
  <si>
    <t>Start the Game with 1 Faith.</t>
  </si>
  <si>
    <t>Master Strength Weapon: Master Strength Weapon Type; Weapons of chosen Type will Gain +0.5 Scaling in both Main and Off-Hand.</t>
  </si>
  <si>
    <t>Master Dexterity Weapon: Master Dexterity Weapon Type; Weapons of chosen Type will Gain +0.5 Scaling in both Main and Off-Hand.</t>
  </si>
  <si>
    <t>Master Sharp Weapon: Master Sharp Weapon Type; Weapons of chosen Type will Gain +0.5 Scaling in both Main and Off-Hand.</t>
  </si>
  <si>
    <t>Master Power Weapon: Master Power Weapon Type; Weapons of chosen Type will Gain +0.5 Scaling in both Main and Off-Hand.</t>
  </si>
  <si>
    <t>(P) Fire Proficiency: Gain 50% Fire Resistance.</t>
  </si>
  <si>
    <t>Proficiency</t>
  </si>
  <si>
    <t>Start The Game with 5 Common Ore in your Inventory; Smith: (≈) Consume Target Ore of any Rarity from your Inventory and Craft Target Gear of equal Rarity. (1/Vendal)</t>
  </si>
  <si>
    <t>Start the Game with a Lucky Charm Equipped; Magnificent Sacrifice: (≈) Counter, Cause Target Basic Attack over a 10 Roll Targeting you to deal Double Damage; Your next Basic Attack will deal Double Damage. (1/Combat)</t>
  </si>
  <si>
    <t>Start the Game with a Random Rare Scroll; Scroll Writing: (P) Gain a Random Rare Scroll whenever you reach Levels 4, 8 and 12.</t>
  </si>
  <si>
    <t>Start the Game with Supply as a Bonus Resource, You may always convert 10 Mana to 1 Supply, Supply is Uncapped.</t>
  </si>
  <si>
    <t>Start the Game with Perfect Distraction: (≈) Instant, Force Target to Reroll Target Dice. (1/Day)</t>
  </si>
  <si>
    <t>Start the Game with a Cello in your Ammunition Slot.</t>
  </si>
  <si>
    <t>Start the Game with an Extra 10% Fortitude; Must Resist: (≈) Reflex, Flash, Reroll your Fortitude Check. (1/Day)</t>
  </si>
  <si>
    <t>Start the Game with Rage as a Resource; It Starts at 0 and is uncapped and stays at 0 outside of Combat; You gain 10 Rage when landing Basic Attacks; Max Mana is converted automatically to Max Health.</t>
  </si>
  <si>
    <t>Start the Game with 1 Extra Strength; Opportunity: (P) Basic Attack Hostile Entities which Move away from your Melee Range. (Does not include Teleportation)</t>
  </si>
  <si>
    <t>Start the Game with Tumble: Dodge Target Strike/Alteration/Projectile Attack with +5 Modifier and Move 1 Tile in the direction of your choosing. (1/Day)</t>
  </si>
  <si>
    <t>Hunter</t>
  </si>
  <si>
    <t>Start the Game with Enhanced Senses: (P) You will always see Targets Max Health and Current Mana.</t>
  </si>
  <si>
    <t>Start the Game with 1 Extra Power; Circle Channeling: (P) You may consume Channel Stacks to Gain +5 Roll Modifier per Channel Stack to Overcast a Spell.</t>
  </si>
  <si>
    <t>Start the Game with 1 Extra Dexterity; Misdirect: (+) Counter, Cause Target Non-Ultimate Projectile to miss you, It will still hit if it is Precise. (1/Day)</t>
  </si>
  <si>
    <t>Start the Game with 1 Extra Defense; Power Block: [Requires Shield] Counter, Block with a Natural 20. (1/Day)</t>
  </si>
  <si>
    <t>Start the Game with Barkskin: (≈) Gain 10 Barrier until End of Combat, If you are below 20% Max Health, this Ability gains Flash. (1/Day)</t>
  </si>
  <si>
    <t>Start the Game with 1 Extra Dispersion; Spirit Nudge: (+) Flash, Increase or decrease Chosen Status on Target Entity by 1 Tick. (1/Combat)</t>
  </si>
  <si>
    <t>Start the Game with Quick Treatment: (P) Everyone under your Banner Restores 10 Health after a Victorious Combat.</t>
  </si>
  <si>
    <t>Start the Game with Recall: (+) Teleport Target Entity under your Banner to Target Tile in your Melee Range. (1/Combat); Reposition: (+) Teleport Target Minion to any Tile. (1/Combat)</t>
  </si>
  <si>
    <t>Start the Game with Aftercast: (P) During Combat, every consecutive Spell cast will Cost 5 less Mana, Interrupts resets this Effect, Not casting a Spell during one of your turns also resets this Effect.</t>
  </si>
  <si>
    <t>Start the Game with 1 Extra Attunement Point; You may invest Attunement Points over your Level.</t>
  </si>
  <si>
    <t>Start the Game Wavelengthless with Focus Replacing Mana; Regenerate 5 Focus Per Resonance while in Combat at the Start of your Turn; Outside of Combat Focus is always Maxed.</t>
  </si>
  <si>
    <t>Start the Game with an extra 30 Max Health.</t>
  </si>
  <si>
    <t>Start the Game Arched Shot: (&gt;) [Requires Pistol/Rifle] Basic Attack Target Entity with +4 Roll Modifier, This Attack Ignores Deflection. (1/Day)</t>
  </si>
  <si>
    <t>Start the Game with Barter: (≈) Roll D20 to Barter at a Zone for any Gold costing Service or Good; Rolling a 1 will Cause it to be Double, 2-5 will cause it to cost 50% More, 6-10 will cause it to cost 25% more, 11-15 will cause it to cost 25% less, 16-19 will cause it to cost 50% less, 20 will make it free. (1/Zone); Your Innate Abilities can be Ranked up to 3.</t>
  </si>
  <si>
    <t>Start the Game Professional Looter: (P) Gain 100 Extra Gold whenever you Loot Anything.</t>
  </si>
  <si>
    <t>Start the Game Wavelengthless with Soul replacing Mana; You Regenerate 5% Max Soul Per Resonance at the Start of each Day; While you have 0 Soul or below, you are Weakened and Vulnerable.</t>
  </si>
  <si>
    <t>Start the Game with 5 Scraps.</t>
  </si>
  <si>
    <t>Start the Game with +1 Mobility.</t>
  </si>
  <si>
    <t>(P) Divine Intervention: Instead of Dying, Everyone under your Banner is set to 1 Health and removed from Combat until the Combat is Victorious; If the Combat is a Defeat, they Die immediately.</t>
  </si>
  <si>
    <t>(o) Mass Dispel: Powerplay; Reflex; Remove the Statuses of all Entities under your Banner.</t>
  </si>
  <si>
    <t>(≈) Wisdom to Faith: [Requires at least 1 Wisdom] Convert 1 Wisdom to 2 Faith.</t>
  </si>
  <si>
    <t>(≈) Strike of Justice: [Requires Blunt Weapon Equipped] Strike Target with +10 Roll Modifier. (1/Combat)</t>
  </si>
  <si>
    <t>(P) Intruding Faith: You may use your 1 Faith Cost Ability to Reroll other Entities D20.</t>
  </si>
  <si>
    <t>(P) Old Perspectives: You may use your 1 Faith Cost Ability to Reroll any type of Dice. (D10, D100 instead of just D20)</t>
  </si>
  <si>
    <t>(P) Perfect for Killing: You deal 50% more Total Damage against Impaired Entities.</t>
  </si>
  <si>
    <t>(+) Surprise Trap: [Requires Combat; Requires Target to do a Movement Action] Counter; Reveal that Target stepped on a Trap, They take 20 Physical Damage and become Rooted for 2 Turns. (1/Day)</t>
  </si>
  <si>
    <t>(P) Hunters Hut: Upon Resting, if you Killed a Creature this Day, Restore everyone under your Banner 20% Max health.</t>
  </si>
  <si>
    <t>(P) Natural Explorer: Gain -2 on your Exploration Rolls.</t>
  </si>
  <si>
    <t>(^) Calling Whislte: Powerplay; Summon a Random Boss Creature until End of Combat.</t>
  </si>
  <si>
    <t>(≈) Dragon Hide: Counter; Gain 30 Defense and 15 Dispersion until the Start of your Turn. (1/Day)</t>
  </si>
  <si>
    <t>Sharakonid</t>
  </si>
  <si>
    <t>Eldritch</t>
  </si>
  <si>
    <t>Tail Whip: 60 Physical Damage Melee Attack.</t>
  </si>
  <si>
    <t>(P) If there is a Target below 20% Max Health in Melee Range, the Sharakonid will reveal his skin and wrap himself around Target; The Entity with more Flat HP will Absorb the others Stats.</t>
  </si>
  <si>
    <t>Abstraction of the Void</t>
  </si>
  <si>
    <t>Arkafaerian</t>
  </si>
  <si>
    <t>40 Magic Damage Ranged Attack.</t>
  </si>
  <si>
    <t>Demi-God</t>
  </si>
  <si>
    <t>Void Siren</t>
  </si>
  <si>
    <t>25 Wind Damage or 25 Fire Damage; (Both when below 20% Hp)</t>
  </si>
  <si>
    <t>True Arkafaerian</t>
  </si>
  <si>
    <t>80 Arcane Damage Warp</t>
  </si>
  <si>
    <t>2000 / 2000</t>
  </si>
  <si>
    <t>1000 / 1000</t>
  </si>
  <si>
    <t>4000 / 4000</t>
  </si>
  <si>
    <t>Mobility: 99</t>
  </si>
  <si>
    <t>Light R: 200%</t>
  </si>
  <si>
    <t>Astral Sentient</t>
  </si>
  <si>
    <t>Random Myhthic Gear</t>
  </si>
  <si>
    <t>(❖:+) Shadowhunt: Target Entity has its own Shadow turn against him; Target becomes Vulnerable and Weakened for 5 Turns. (100 Mana)</t>
  </si>
  <si>
    <t>(❖:&gt;) Mind Controlling Arrow: Shoot an Arrow at Target, If it Critical Strikes Mind controll them for 1 Turn. (30 Mana)</t>
  </si>
  <si>
    <t>(P) Shadow Aim III: Missed Arrow Shots land on the Targets Shadow, dealing Basic Attack Damage as Dark Damage.</t>
  </si>
  <si>
    <t>(❖:&gt;) Perfected Black Nail: Create and Launch a Dark Magic Arrow that Deals 50 Dark Damage to Target and Confusing them for 2 Turns. (25 Mana)</t>
  </si>
  <si>
    <t>Reflect: 20%
(P) Pitch Black Arrows: Your Arrows gain 20 Dark Damage on hit.</t>
  </si>
  <si>
    <t>25 Chaos Damage Ranged Attack</t>
  </si>
  <si>
    <t>Arturax</t>
  </si>
  <si>
    <t>(❖:≈) Agamanthite Amplifiers: Toggle; Gain Power Equal to Half of Mana Consumed by this Ability; After you Attack this ability automatically toggles off and the Power is Removed. (50 Mana/Turn)</t>
  </si>
  <si>
    <t>(❖:≈) Mana Overflow III: Flash; Force Mana to Traverse through your Blood Stream at high speeds, doubling your Current Power Until End of Combat. (20 Mana; 1 TC)</t>
  </si>
  <si>
    <t>(P) Forfit Flesh: Your body is made out of Amaganthite as you relinquish your flesh; You are capped at 50% Elemental Resistance; It can not be reduced or increased.</t>
  </si>
  <si>
    <t>(❖:&gt;) Venegals Bolt: [Channel for 1 Turn] Blitz; Deal 100(+100% Power) Arcane Damage to Target Entity. (75 Mana)</t>
  </si>
  <si>
    <t>Reflect: 20%
(P) Amaganthite Shield: Replace Dispersion with Absorbtion; Damage Reduced by it is converted to Mana.</t>
  </si>
  <si>
    <t>50 Magic Damage Ranged Attack</t>
  </si>
  <si>
    <t>20 (Absorption)</t>
  </si>
  <si>
    <t>Venegal</t>
  </si>
  <si>
    <t>(❖:o) Pyrocleansing: Deal X Fire Damage to everyone else on Tile; If X is Higher than 50 the Tile Becomes a Scorched Tile. (X Mana)</t>
  </si>
  <si>
    <t>(P) Pheonix Incarnate: Upon Death Revive with 20% Max Health and Max Mana. (5 Day Cooldown)</t>
  </si>
  <si>
    <t>(❖:+) Incinerate III: Burn Target for 20 Fire Damage Per Tick Over 7 Turns. (80 Mana)</t>
  </si>
  <si>
    <t>(P) Raxa's Scorn: When below 50% Health your Fire Damage becomes Scorched Damage.</t>
  </si>
  <si>
    <t>Reflect: 0%
(P) Tiles you traverse turn into Scorch Tiles.</t>
  </si>
  <si>
    <t>20 Fire Damage Ranged Attack</t>
  </si>
  <si>
    <t>Raxa</t>
  </si>
  <si>
    <t>(≈) Complete Blackout: Powerplay; Cover the Sun in Darkness for the next 3 days, making it permanent Night; all Other Heroes have -1 Hex Vision. (80 Mana)</t>
  </si>
  <si>
    <t>(P) Nox's Hunting Game: Basic Attacks have a 25% Chance to Fear On Hit; Feared Targets take 25 Dark Damage On Hit; Entities that Flee are Feared for 2 Turns; Instantly Teleport in Melee Range of Targets fleeing Combat.</t>
  </si>
  <si>
    <t>(❖:≈) Shroud III: Cover Target in Smoke Blinding them for 3 Turns and making them take 15(+50% Power) Dark Damage on Hit from your Attacks until End of Combat. (30 Mana)</t>
  </si>
  <si>
    <t>(❖:≈) Predatory Transposition II: Instantly Teleport in Melee Range of Target and Strike them with 10 Dark Damage On Hit. (30 Mana)</t>
  </si>
  <si>
    <t>(P) Improved Night Stalker: During the night, all your base stats increase by 5 (Except for stamina; Resonance; Hex Vision and Faith); Allows you to Hunt at Night.</t>
  </si>
  <si>
    <t>2 (+5 During Night)</t>
  </si>
  <si>
    <t>Claws: 27 Physical Damage; 10 Dark Damage On Hit Melee Attack</t>
  </si>
  <si>
    <t>0 (+5 During Night)</t>
  </si>
  <si>
    <t>15 (+5 During Night)</t>
  </si>
  <si>
    <t>10 (+5 During Night)</t>
  </si>
  <si>
    <t>Nox Rashadan</t>
  </si>
  <si>
    <t>(O) I Feel Threatened: Counter; Block Target Attack and Release thousands of empowered Liliac Beams hitting all other Entities on Hex; These Beams deal 25 True Damage and disappear instatly; Entities roll a d10 to see how many hit them. (200 Mana)</t>
  </si>
  <si>
    <t>(&gt;) Liliac Beam: Blitz; Fire a beam piercing Target for 25 Dark Damage, The Beam remains for X Turns;  If Target does a movement Action while beam is still piercing them they take 50 True Damage. (25*X Mana)</t>
  </si>
  <si>
    <t>(❖:+) Agonize and Antagonize: Target Entity becomes Weakened and Vulnerable for 3 Turns. (50 Mana)</t>
  </si>
  <si>
    <t>(P) Ni' Oleta's shielding sphere: Gain 30% Deflect.</t>
  </si>
  <si>
    <t>Host of the Ni: Upon Death Kill all Non-Hero Entities.</t>
  </si>
  <si>
    <t>Ni' Oleta</t>
  </si>
  <si>
    <t>Entities that Transform into other Entities/Objects become that Entity/Object; If you are killed whilst Transformed you die as the thing you've Transformed into(If it was a timed transformation then the dead body will revert back but still dead, this is to allow your loot to be collected), unless Overridden; Hero Status is the only thing that remains when Transforming into a Creature Unless Overridden; Hero Status, Faction and Faith if Transforming into a Sentient Unless Overridden. (If you are not sure what you are Transforming into, search it in the Bestiary)</t>
  </si>
  <si>
    <t>The Corruption tries to get a hold of you.</t>
  </si>
  <si>
    <t>Echo the note! (Roll D10: 1–4 Falter straining your voice→ Lose 25 Health; 5–9 Become blsessed  → Gain 1 Faith; 10 You get Healed by song → Restore 50 Health)</t>
  </si>
  <si>
    <t>Offer crumbs! (Roll D10: 1–3 Offend the Spirit → Fight Random Divine Elite; 4–8 Canary returns favor → Gain 2 Common Ingredients; 9–10 Feather of Dawn → Gain 1 Divine Feather)</t>
  </si>
  <si>
    <t>[Requires Tempered Condition or Meditate Skill] Harmonize perfectly! (Your Banner Restores 50 Health and 50 Mana)</t>
  </si>
  <si>
    <t>Wavelength Damage</t>
  </si>
  <si>
    <t>Wavelength Damage is simply the Damage Type of your Wavelength; If you have Fire Wavelength, you replace Wavelength with Fire; If you are Wavelenegthless the Damage Type becomes Magic.</t>
  </si>
  <si>
    <t>Worbling</t>
  </si>
  <si>
    <t>Ranged: 10 Magic Damage (20 Crit)</t>
  </si>
  <si>
    <t>(&gt;) Stone Gaze: Stun Target for 2 Turns. (50 Mana)</t>
  </si>
  <si>
    <t>Rustblob</t>
  </si>
  <si>
    <t>60/6</t>
  </si>
  <si>
    <t>8 Physical Damage (16 Crit)</t>
  </si>
  <si>
    <t>(P) Whenever you are struck you will deal 5 Physical Damage to all Entities in your Melee Range.</t>
  </si>
  <si>
    <t>Unmover</t>
  </si>
  <si>
    <t>(P) Permanently Rooted</t>
  </si>
  <si>
    <t>(P) 50% Chance on Turn Start to Resist Root.</t>
  </si>
  <si>
    <t>20 Physical Damage (30 Crit)</t>
  </si>
  <si>
    <t>Pondhand</t>
  </si>
  <si>
    <t>Strike: 20 Physical Damage (25 Crit)</t>
  </si>
  <si>
    <t>Strike: 30 Physical Damage (40 Crit)</t>
  </si>
  <si>
    <t>Lakehand</t>
  </si>
  <si>
    <t>Oxide Amalgam</t>
  </si>
  <si>
    <t>(P) Has Rusting Condition</t>
  </si>
  <si>
    <t>(&gt;) Wind of Change: Deal 40 Wind Damage. (50 Mana; 3 Turn Cooldown)</t>
  </si>
  <si>
    <t>Hidless Boar</t>
  </si>
  <si>
    <t>(P) At the Start of your Turn you have 50% Chance to Consume 25 Mana to Restore 25 Health.</t>
  </si>
  <si>
    <t>Burrowing Eater</t>
  </si>
  <si>
    <t>(≈) Counter; Dodge Target Strike or Projectile with +3 Modifier. (25 Mana)</t>
  </si>
  <si>
    <t>Bloacher</t>
  </si>
  <si>
    <t>(P) Aftermath: Deal 10(+10 per Prepare Stack) Bleed Damage to Entities in Melee Range; If you reach 4 Preparations immediately move into Melee Range of closest Hostile Entity and Die.</t>
  </si>
  <si>
    <t>Slithering Iron</t>
  </si>
  <si>
    <t>(&gt;) Spew Fire: Deal 30 Fire Damage. (50 mana)</t>
  </si>
  <si>
    <t>Voidling</t>
  </si>
  <si>
    <t>(P) Gain 20% Max Health of Highest Max Health Entity that engaged Combat with you.</t>
  </si>
  <si>
    <t>Lone Tentacle</t>
  </si>
  <si>
    <t>(P) Instead of Moving, you may Teleport to any Tile in Cobmat.</t>
  </si>
  <si>
    <t>Tentacle Mass</t>
  </si>
  <si>
    <t>(P) Upon Combat Start Spawn 2 Lone Tentacle Minions on Random Tiles.</t>
  </si>
  <si>
    <t>5 Physical Damage (10 Crit)</t>
  </si>
  <si>
    <t>Pale Deer</t>
  </si>
  <si>
    <t>10/10</t>
  </si>
  <si>
    <t>(P) Move in a Random Direction on Turn Start.</t>
  </si>
  <si>
    <t>(P) Aftermath: Deal 100 True Damage to all Entities on Hex.</t>
  </si>
  <si>
    <t>(P) After 7 Turns in Combat you are Destroyed.</t>
  </si>
  <si>
    <t>Upon Entering another Entities melee Range Deal 5 True Damage to yourself and 10 True Damage to Target.</t>
  </si>
  <si>
    <t>Rusted Golem</t>
  </si>
  <si>
    <t>(≈) Grab Target dealing 20 Physical and 20 Poison Damage to them. (50 mana; 2 Turn Cooldown)</t>
  </si>
  <si>
    <t>Rot Spreader</t>
  </si>
  <si>
    <t>Spew Acid: (&gt;) 15 Poison Damage (30 Crit)</t>
  </si>
  <si>
    <t>(P) Has Rotting Condition and 3 Rotting Stacks.</t>
  </si>
  <si>
    <t>(&gt;) Spew at target with 50% Chance to Give Target Rotting. (100 Mana)</t>
  </si>
  <si>
    <t>Braindrain</t>
  </si>
  <si>
    <t>(P) Vital Hits cause Opponent to become Confused for 2 Turns.</t>
  </si>
  <si>
    <t>(+) Deal 10 Bleed Damage to Target and cause them to be Tormented for 3 turns. (50 Mana)</t>
  </si>
  <si>
    <t>(≈) Roll D100 and set your Current Health to what was rolled. (50 Mana; 1/Day)</t>
  </si>
  <si>
    <t>Depth Breeder</t>
  </si>
  <si>
    <t>(P) Has +1 On Basic Attack Rolls.</t>
  </si>
  <si>
    <t>(+) Fear Up to 2 Targets for 1 Turn. (50 Mana)</t>
  </si>
  <si>
    <t>(P) Basic Attacks against a Feared Target causes them to Lose 20 Health.</t>
  </si>
  <si>
    <t>Maul: 28 Physical Damage Can't Crit</t>
  </si>
  <si>
    <t>Voidslinger</t>
  </si>
  <si>
    <t>Voidsike: (&gt;) Deal 20 True Damage Targeting all other Entities (30 crit)</t>
  </si>
  <si>
    <t>(P) If this Entity is Killed it drops Double Experience.</t>
  </si>
  <si>
    <t xml:space="preserve">900/900 </t>
  </si>
  <si>
    <t>(P) Has a 20%(+10% For every 100 Damage Received) Chance on Turn Start to Selfdestruct.</t>
  </si>
  <si>
    <t>Ashlampion</t>
  </si>
  <si>
    <t>Bludgeon: 20 P.D (30 Crit)</t>
  </si>
  <si>
    <t>(P) +15 Fire Damage on Hit.</t>
  </si>
  <si>
    <t>(o) lampfire: Burn all Entities in Melee Range for 20(+50% Missing Health) Fire Damage. (50 Mana)</t>
  </si>
  <si>
    <t>(&gt;) Molten Tar: Reduce Targets Fire Resistance by 20%. (50 Mana)</t>
  </si>
  <si>
    <t>(≈) Turn the Lamp: Gain Resiliant for 2 Turns. (50 Mana)</t>
  </si>
  <si>
    <t>(P) Has 1 Extra Action per Turn.</t>
  </si>
  <si>
    <t>(^) Bring back the Consumed Husks: Summon a Random Sentient Elite Minion Until End of Combat. (100 Mana)</t>
  </si>
  <si>
    <t>(&gt;) Launch a Chain at Target dealing 20 Physical Damage; If it Lands you and Target both are Rooted for 3 Turns. (50 Mana)</t>
  </si>
  <si>
    <t>(≈) Convert all your Fire Damage to Physical Or Convert all your Physical Damage to Fire. (50 Mana)</t>
  </si>
  <si>
    <t>(+) [Requires 150 Health or Less] Curse Target; Curse: You become unable to use Flash and Counter Actions. (100 Mana)</t>
  </si>
  <si>
    <t>Cindermouth</t>
  </si>
  <si>
    <t>Tidefang</t>
  </si>
  <si>
    <t>Strike: 10 Physical Damage (20 Crit)</t>
  </si>
  <si>
    <t>(P) Your Strike have 3 Tile Range.</t>
  </si>
  <si>
    <t>(+) A Glimpse of Void: Inflict Target with Fear, Confused, Asleep, Tormented and Sealed for 2 Turns. (50 Mana; 1/Entity)</t>
  </si>
  <si>
    <t>(&gt;) Enchangering Bolt: Give Target Rusted, Voidstain or Rotting Condition at Random until End of Combat. (50 Mana)</t>
  </si>
  <si>
    <t>(≈) Toggle; Your Basic Attacks Target all Hostile Entities within Range. (25 Mana/Turn)</t>
  </si>
  <si>
    <t>(≈) Gain 30 Dark Damage on Hit, +2 Roll Modifier and Your Basic Attacks have Flash; Lasts 3 Turns. (100 Mana; 1/Day)</t>
  </si>
  <si>
    <t xml:space="preserve">Strike: 25 P.D. (50 Crit)    </t>
  </si>
  <si>
    <t>Carmine Blader</t>
  </si>
  <si>
    <t>Frostrot</t>
  </si>
  <si>
    <t>(P) 30% Chance to Inflcit Rotting On Basic Attack.</t>
  </si>
  <si>
    <t>(&gt;) Slow Target for 4 Turns. (50 Mana)</t>
  </si>
  <si>
    <t>Drake of the Beyond</t>
  </si>
  <si>
    <t>425/425</t>
  </si>
  <si>
    <t>Strike: 10 True Damage (15 Crit)</t>
  </si>
  <si>
    <t>(P) Regain 25 Mana at the Start of your Turn.</t>
  </si>
  <si>
    <t>(&gt;) Cosmic Bolt: 30 Arcane Damage. (50 Mana)</t>
  </si>
  <si>
    <t>(o) Warping Grounds: Deal 20 Arcane Damage on a 2x2 Tile Area. (50 Mana)</t>
  </si>
  <si>
    <t>(o) Astral Nova: [2 Channel Stacks] Deal 50 Arcane Damage to all other Entities. (100 Mana)</t>
  </si>
  <si>
    <t>(≈) Leeching Bond: For the next 2 Turns, You Drain Mana equal to Arcane Damage Dealt to Enemies. (25 Mana)</t>
  </si>
  <si>
    <t>300 Experience; 2 Uncommon Ingredients</t>
  </si>
  <si>
    <t>400 Experience; 3 Uncommon Ingredient</t>
  </si>
  <si>
    <t>200 Experience; 1 Random Uncommon Ingredient</t>
  </si>
  <si>
    <t>Remain below! (Nothing Happens)</t>
  </si>
  <si>
    <t>Climb a little! (Roll D10: 1–2 Dazzled → Take 20 Light; 3–7 Inspired view → Reveal 2 hexes in the Direction of your Choice; 8–10 Ascendant boon → Refresh Target Abilities' Cooldown)</t>
  </si>
  <si>
    <t>Leap between beams! (Roll D10: 1–3 Misstep → Fall Off the Map; 4–7 Gain +3 Mobility for your next Combat; 8–10 Find a hidden area → Gain 1 Rare Ingredient)</t>
  </si>
  <si>
    <t>[Requires Indomitable Condition or Revelation Skill] Sanctified ascent! (Gain 1 Hex Vison until Traversal and 500 Experience)</t>
  </si>
  <si>
    <t>Rest by the edge! (Nothing Happens)</t>
  </si>
  <si>
    <t>Drink! (Roll D10: 1–2 Overwhelm → Lose 20 Health and Rest; 3–8 Restore 25 Health; 9–10 Restore 25 Health and Remove 1 Stack of Rotting)</t>
  </si>
  <si>
    <t>Ignore the melody! (Nothing Happens)</t>
  </si>
  <si>
    <t>Hum along! (Roll D10: 1–2 Voice cracks → Lose 20 Health; 3–9 Gods Mock you → Gain Enraged for the next Combat Until End of Combat; 10 Harmony → Gain Resistant Condition)</t>
  </si>
  <si>
    <t>Seek the source! (Roll D10: 1–2 Stern sentinel tests you → Fight Random Sentient Elite; 3–7 Find chorus stone → Gain Epic Ore 8–10 Recover hymn verse → Gain a Random Epic Scroll)</t>
  </si>
  <si>
    <t>[Requires 1 Epic Scrolls in your Inventory or Bard Class] Complete the hymn! (Summon a Shrine on current Hex and Gain 2 Faith)</t>
  </si>
  <si>
    <t>Cross gently! (Roll D10: 1–2 Startle swarm → Take 50 Light Damage; 3–7 Safe crossing → Restore 1 Stamina; 8–10 They gift nectar → Gain 1 Random Uncommon Ingredient)</t>
  </si>
  <si>
    <t>Collect a cocoon! (Roll D10: 1–4Wings scorch → Take 20 Light Damage; 5–8 Nothing Happens; 9–10 Gain 1 Golden Butterfly Cocoon [Golden Butterfly Cocoon: Consume it in order to gain Winged Condition; Worth 1000 Gold])</t>
  </si>
  <si>
    <t>Bottle the water! (Roll D10: 1–2 Spill → Gain -1 Faith; 3–8 Nothing Happens; 9–10 Gain Holy Water Item [Holy Water: Upon Drinking Sets your Faith to 0, if it was already 0 set it to 1 instead; Worth 500 Gold])</t>
  </si>
  <si>
    <t>[Requires At least 3 Wisdom or Wise Condition] Culturally apropriate prayer! (Entire Banner Restores 50% Missing Health)</t>
  </si>
  <si>
    <t>[Requires at least 3 Mobility or Nimble Condition] Befriend the Golden Butterflies with their Dance! (Teleport to Target hex you have previously seen)</t>
  </si>
  <si>
    <t>Attempt to Climb a Mountain</t>
  </si>
  <si>
    <t>Attempt to Swim</t>
  </si>
  <si>
    <t>Cast Ability Without Enough Resource</t>
  </si>
  <si>
    <t>Flee Without Stamina</t>
  </si>
  <si>
    <t>Flee With Stamina</t>
  </si>
  <si>
    <t>Tank for someone else in Melee Range.</t>
  </si>
  <si>
    <t>Push Target</t>
  </si>
  <si>
    <t>Talk at 1 Hex Range</t>
  </si>
  <si>
    <t>Stagger Target</t>
  </si>
  <si>
    <t>Move without Stamina</t>
  </si>
  <si>
    <t>Shrine </t>
  </si>
  <si>
    <t>Crypt</t>
  </si>
  <si>
    <t>Shrine</t>
  </si>
  <si>
    <t>It is a Zone which allows purchasing and selling Gear/Items, Check Zones Tab for more details.</t>
  </si>
  <si>
    <t>It is a Zone which allows purchasing boats and crews, Check Zones Tab for more details.</t>
  </si>
  <si>
    <t>It is a Zone which allows various prayers, Check Zones Tab for more details.</t>
  </si>
  <si>
    <t>It is a Zone which allows crafting Scrolls and sells Fabric Gear, Check Zones Tab for more details.</t>
  </si>
  <si>
    <t>It is a Zone which sells powerful Gear and Items in exchange for Health, Check Zones Tab for more details.</t>
  </si>
  <si>
    <t>It is a Zone which allows you to fight in various challenges for rewards, Check Zones Tab for more details.</t>
  </si>
  <si>
    <t>It is a Zone which allows you to hire Mercenaries/Companions, Check Zones Tab for more details.</t>
  </si>
  <si>
    <t>It is a Zone which sells Ore and allows you to Craft Gear, Check Zones Tab for more details.</t>
  </si>
  <si>
    <t>These are actions which require Faith to be used.</t>
  </si>
  <si>
    <t>Statuses</t>
  </si>
  <si>
    <t>Start the Game with an additional special Faction: Inquisition - Whenever you kill Eldritch, Demons or Undead Entities you gain 10 Max Mana; You may Spend 1 Faith to Gain 10 Max Mana at any time.</t>
  </si>
  <si>
    <t>Start the Game with 500 Extra Gold.</t>
  </si>
  <si>
    <t>(≈) Spice Haggler: You may Trade 3 Ingredients, one of each Rarity, for 1 Legendary Gear or Item at the Market/Crypt Zone.</t>
  </si>
  <si>
    <t>(P) Sin of Greed: Gain 200 Gold per Day, If your Gold reaches 0, you are Destroyed.</t>
  </si>
  <si>
    <t>(o) Pay the Peasants: Toss your Coin at your Banner to inspire them, Everyone else on your Banner Gains 1 Extra Action per Turn until End of Combat. (500 Gold/Entity)</t>
  </si>
  <si>
    <t>(^) Squire! Attend me!: Summon a Random Mercenary until End of Combat. (500 Gold; 1/Day)</t>
  </si>
  <si>
    <t>(≈) Salvaged Fortune: Powerplay; Roll D20, Gain Gold Equal to 100 times the Roll.</t>
  </si>
  <si>
    <t>(≈) Painting Block: Powerplay; Time has come for you to finally put your favotire painting to good use, Use your Painting as a shield to block Target Non-Ultimate Projectile, Alteration or Strike.</t>
  </si>
  <si>
    <t>Tormenting Flask: Inflict Torment for 3 Turns. (&gt;)</t>
  </si>
  <si>
    <t>Greater Tormenting Flask: Inflict Torment for 5 Turns. (&gt;)</t>
  </si>
  <si>
    <t>Astral</t>
  </si>
  <si>
    <t>Mythic: </t>
  </si>
  <si>
    <t>Ultimate: </t>
  </si>
  <si>
    <t>Just the Handle: Common One-handed Melee Sword; 4 Physical Damage; On Hit: Inflicts 1 Turn of Confusion.</t>
  </si>
  <si>
    <t>Rusty Sword: Common One-handed Melee Sword; 5-7 Physical Damage.</t>
  </si>
  <si>
    <t>Lightsteel Sword: Uncommon One-handed Melee Sword; 5-9 Physical Damage.</t>
  </si>
  <si>
    <t>Silver Sword: One-handed Melee Sword; 10 True Damage to Undead, Eldritch, Fae and Demons; 10 Physical Damage to Living, Divine and Constructs.</t>
  </si>
  <si>
    <t>Circular Spade: Rare One-handed Melee Sword; 7-10 Physical Damage; On Hit: 50% chance to cause bleed for 3 Bleed Damage Per Tick Over 2 Turns.</t>
  </si>
  <si>
    <t>Fight the Oppressor: Epic One-handed Melee Sword; 12 Physical; Passive: As long as your Target has more Health than you, this Weapon will deal 20 Magic Damage On Hit.</t>
  </si>
  <si>
    <t>Blood Viper: Epic One-handed Melee Sword; 7 Physical Damage; On Hit: 7 Bleed Damage; Passive: 25% Lifedrain on all Physical and Bleed Damage dealt by this Weapon.</t>
  </si>
  <si>
    <t>Short Heatsword: Epic One-handed Melee Sword; 5 Physical Damage; On Hit: 15 Fire Damage.</t>
  </si>
  <si>
    <t>Chakram Flinger: Epic One-handed Melee Sword; 10 Physical Damage; Active: (&gt;) [Requires at least 2 Hostile Entities] Fling a Chakram out of your blade at Target Entity that Bounces twice off of Random Hostile Entities for 20 Physical Damage which is reduced by 5 Total Damage with each Bounce. (2/Day).</t>
  </si>
  <si>
    <t>The Sarkon: Legendary One-handed Melee Sword; 13-15 Physical Damage; Passive: Your Basic Attack has a 30% Chance to Trigger Twice. (1/Turn).</t>
  </si>
  <si>
    <t>Grand Zelos: Legendary One-handed Melee Sword; Flexible; 12-18 Physical Damage; Passive: 20% Chance to Block incoming Strike.</t>
  </si>
  <si>
    <t>Final Falx: Legendary One-handed Melee Sword; Flexible; 20 Physical Damage; Passive: D20 Rolls on Basic Attacks have +1 Critical Multiplier and ignore 50% of Targets Defense.</t>
  </si>
  <si>
    <t>The Pride of Orgor: Astral One-handed Melee Sword; 25 True Damage; Passive: Permanently Locks the Slot in which it was Equipped; Active: (+) Roll d100 and Deal True Damage Equal to Roll to Target Entity. (1/Entity).</t>
  </si>
  <si>
    <t>Wooden Sword: Common Two-handed Melee Sword; 8 Physical Damage; On Attack: Gain 1 Base Damage with each Attack until End of Combat.</t>
  </si>
  <si>
    <t>Broadsword: Common Two-handed Melee Sword; 10-12 Physical Damage.</t>
  </si>
  <si>
    <t>Claymore: Uncommon Two-handed Melee Sword; 11-14 Physical Damage.</t>
  </si>
  <si>
    <t>Zweihander: Rare Two-handed Melee Sword; 12-15 Physical Damage.</t>
  </si>
  <si>
    <t>Executioners Blade: Rare Two-handed Melee Sword; 10-12 Physical Damage; +0.5 Crit multiplier.</t>
  </si>
  <si>
    <t>Katana: Rare Two-handed Melee Sword; 10 Physical Damage.</t>
  </si>
  <si>
    <t>Flamberg: Epic Two-handed Melee Sword; 5 Physical Damage; On Attack: Deal 8 Fire Damage; Passive: This Weapon has +5 Base Damage if Target you are Attacking has 5 or less Defense and another +5 Base Damage if Targets Defense is 0 or lower.</t>
  </si>
  <si>
    <t>Ice Kings Revenge: Epic Two-handed Melee Sword; 13-16 Physical Damage; On Hit: 5 Frost Damage &amp; 50% chance to inflict Frostbite status for 5 Frost damage per 2 turns.</t>
  </si>
  <si>
    <t>Eulostravo: Legendary Two-handed Melee Sword; 15 Physical Damage; On Hit: 20 Lightning Damage; Passive: Entities will Recognise this sword in Combat and will be able to tell what it is.</t>
  </si>
  <si>
    <t>The Guillotine: Legendary Two-handed Melee Sword; 16-20 Physical Damage; On Crit: Bleed Target for 5 Bleed Damage Per Tick over 4 Turns; +1 Crit Multiplier.</t>
  </si>
  <si>
    <t>Bakyou: Mythic Two-handed Melee Sword; 30 Physical Damage; Passive: Your Basic Attacks have Blitz.</t>
  </si>
  <si>
    <t>Magna Peltrum Coacuta: Astral Two-handed Melee Sword; [Requires 20 Strength to Wield]; 100 Physical Damage; On Hit: 40% Chance to Dismember; Passive: Locks Main Hand and Off Hand.</t>
  </si>
  <si>
    <t>Rusty Spear: Common One-handed Melee Spear; Flexible; 6-7 Physical Damage.</t>
  </si>
  <si>
    <t>Sharpened Spear: Uncommon One-handed Melee Spear; 8-10 Physical Damage.</t>
  </si>
  <si>
    <t>Golden Poker: Rare One-handed Melee Spear; Flexible; 10-12 Physical Damage; Passive: +2 Physical Damage if Two-handed.</t>
  </si>
  <si>
    <t>Full Metal Spear: Rare One-handed Melee Spear; Flexible; 10 Physical Damage; Passive: If Two-Handed Strikes Ignore 50% of Targets Defense.</t>
  </si>
  <si>
    <t>Light Sparrow: Epic One-handed Melee Spear; Flexible; 7 Physical Damage; On Hit: 6 Light Damage; Active: (&gt;) Selfdestruct; Throw the Spear into the sky. at the start of your next Turn the Spear will hit Target dealing 30 Light Damage.</t>
  </si>
  <si>
    <t>Dark Sparrow: Epic One-handed Melee Spear; Flexible; 7 Physical Damage; On Hit: 6 Dark Damage; Active: (&gt;) Selfdestruct; Throw the Spear into the sky. at the start of your next Turn the Spear will hit Target dealing 30 Dark Damage.</t>
  </si>
  <si>
    <t>Diamond Piercer: Legendary One-handed Melee Spear; Unscallable 33 True Damage; Passive: This weapon can not Crit.</t>
  </si>
  <si>
    <t>Emerald Temporia: Legendary One-handed Melee Spear; 16 Magic Damage; Passive: After each Throw at the start of your Turn. the Spear travels back into your hand.</t>
  </si>
  <si>
    <t>Alevandar's Spear: Astral One-handed Melee Spear; [Requires Blessed by The Gods Condition to Equip]; 40 Holy Damage; Passive: If you Lose the Blessed by the Gods Condition, you immediately Drop the Weapon on the ground; Active: (o) Powerplay; Cause Hundreds of Light Sparrows to fall on Target Hex. dealing a total of 400 Light Damage to all Entities and destroying the Hex.</t>
  </si>
  <si>
    <t>Wooden Spike: Common Two-handed Melee Spear; 9 Physical Damage; + 0.5 Critical Multiplier.</t>
  </si>
  <si>
    <t>Longnail: Uncommon Two-handed Melee Spear; 12 Physical Damage.</t>
  </si>
  <si>
    <t>Sturdy Pike: Epic Two-handed Melee Spear; 15 Physical Damage; Passive: The first time a Hostile Entity enters your Melee Range you Basic Attack it. (1/Combat).</t>
  </si>
  <si>
    <t>Spear of Destiny: Legendary Two-handed Melee Spear; 4 Physical Damge; 4 Magic Damage; Active: Basic Attack Target with a Nat 20 Roll. (1/Day).</t>
  </si>
  <si>
    <t>Lance of Reality: Legendary Two-handed Melee Spear; 20 Physical Damage; Active: (o) Powerplay; Teleport all Entities on current Hex to a Different Reality where faith cannot be used and where you may see Invisible Targets; Entities can't Flee and will return at the end of the Combat to original Hex.</t>
  </si>
  <si>
    <t>Visera: Mythic Two-handed Melee Spear; 18 Physical Damage; On Hit: 10 Fire Damage; Active:[Channel for 1 Turn] Transform Weapon into Visera Dominatus: (o) Dealing 100 Fire Damage to all Entities on Hex.</t>
  </si>
  <si>
    <t>Heaven's Roar: Mythic Two-handed Melee Spear; 20 Physical Damage &amp; 20 Lightning Damage; Active: (o) Converge a storm on your Hex which lasts 5 Turns. Every Turn, it Staggers for 1 Turn and deals 10 Lightning Damage to all Entities in the Combat Area. (1/Day).</t>
  </si>
  <si>
    <t>Visera-Dominatus: Astral Two-handed Melee Spear; a; Passive: Take 10 Fire Damage each turn you are Holding this in combat; Active: (o) 1 Hex Range; Selfdestruct; Throw the Spear to deal 200 Fire Damage and Transforming Target Hex into a Scorched Hex.</t>
  </si>
  <si>
    <t>Sharp Axe Head on a Branch: Common One-handed Melee Axe; 1 Physical Damage; Passive: Ignores 75% Defense.</t>
  </si>
  <si>
    <t>Rusty Axe: Common One-handed Melee Axe; 5-6 Physical Damage; +1 Strength.</t>
  </si>
  <si>
    <t>Woodcleaver: Uncommon One-handed Melee Axe; 5–11 Physical Damage; On Hit: 40% Chance to Reduce Targets Defense by 4.</t>
  </si>
  <si>
    <t>Iron Hatchet: Rare One-handed Melee Axe; 7-12 Physical Damage.</t>
  </si>
  <si>
    <t>Bloody Axe: Rare One-handed Melee Axe; 5-8 Physical Damage; On Hit: 2 Bleed Damage, Add +2 Bleed Damage to this On Hit until End of Combat.</t>
  </si>
  <si>
    <t>Crescent Edge: Epic One-handed Melee Axe; 7-12 Physical Damage; On Hit: Drain 10 Mana.</t>
  </si>
  <si>
    <t>Boomeraxe: Legendary One-handed Melee Axe; 10 Physical Damage; On Hit: 15 Wind Damage; Active: (&gt;) Throw your Axe at Target Dealing Basic Attack Damage; It returns into the respective Slot at the end of your next Turn.</t>
  </si>
  <si>
    <t>The Grounding: Legendary One-handed Melee Axe; 10 Physical Damage; On Hit: 30% Chance to Stun.</t>
  </si>
  <si>
    <t>Zealdis No’: Mythic One-handed Melee Axe; 20 Physical Damage; Passive: While equipped in the Main-Hand Slot. Your Off-Hand slot becomes a copy of Zealdis No'.</t>
  </si>
  <si>
    <t>Rusty Cleaver: Common Two-handed Melee Axe; Set Piece; 6-12 Physical Damage.</t>
  </si>
  <si>
    <t>Brawl Stopper: Rare Two-handed Melee Axe; 12-14 Physical Damage; +0.5 Crit multiplier.</t>
  </si>
  <si>
    <t>Battle Axe: Rare Two-handed Melee Axe; 16 Physical Damage.</t>
  </si>
  <si>
    <t>Charcoal Slasher: Epic Two-handed Melee Axe; 12-15 Physical Damage; On Hit: 50% chance Burn Target for 5 Fire Damage Per Tick over 5 Turns.</t>
  </si>
  <si>
    <t>Butcher's Cleaver:: Epic; 10 Physical; On Crit: 20% Chance to Dismember Target on Crit.</t>
  </si>
  <si>
    <t>Da’ Choppa: Legendary Two-handed Melee Axe; 10-30 Physical Damage; On Crit: +3 Crit Multiplier; Passive: Can only Crit on a d20.</t>
  </si>
  <si>
    <t>Orc's Honor: Mythic Two-handed Melee Axe; 25 Physical Damage; Passive: Strikes that bring Targets below 20% Max Health will Kill them instead.</t>
  </si>
  <si>
    <t>Rusty Mace: Common One-handed Melee Mace; Set Piece; 6-7 Physical Damage.</t>
  </si>
  <si>
    <t>Bellringer: Uncommon One-handed Melee Mace; 5 Physical Damage; On Hit: 10% chance to Stun Target for 1 Turn.</t>
  </si>
  <si>
    <t>Trick Pick: Rare One-handed Melee Mace; 7-8 Physical Damage; +0.5 Critical Multiplier.</t>
  </si>
  <si>
    <t>Morning Star: Epic One-handed Melee Mace; 8-10 Physical Damage; On Hit: 50% Chance to cause an explosion for 10 Solar Damage.</t>
  </si>
  <si>
    <t>Golden Parade: Legendary One-handed Melee Mace; 16-18 Physical Damage; Active: (+) Cause Target Entity to drop 100 Gold upon Death; Passive: This Gear sells at full value.</t>
  </si>
  <si>
    <t>Worn-out Heavy Mace: Common Two-handed Melee Mace; 9-11 Physical Damage.</t>
  </si>
  <si>
    <t>Field Maul: Uncommon Two-handed Melee Mace; 10–12 Physical Damage; On Hit: 20% chance to Inflict Slow for 2 Turns.</t>
  </si>
  <si>
    <t>Deadly Bozdogan: Rare Two-handed Melee Mace; 9-13 Physical Damage; On Crit: 15 Bleed Damage.</t>
  </si>
  <si>
    <t>Greater Morning Star: Epic Two-handed Melee Mace; 10-15 Physical Damage; On Hit: 50% Chance to cause an explosion for 20 Solar Damage.</t>
  </si>
  <si>
    <t>The Balkanique: Legendary Two-handed Melee Mace; 25-30 Physical Damage.</t>
  </si>
  <si>
    <t>Wailing Bell: Legendary Two-handed Melee Mace; 16-22 Physical Damage; On Hit: 40% Chance to Confuse for 1 Turn.</t>
  </si>
  <si>
    <t>Annihilator: Mythic Two-handed Melee Mace; 24 Physical Damage; Passive: Every second Strike deals True Damage.</t>
  </si>
  <si>
    <t>Stick, String and a Rock: Common One-handed Melee Flail; 4-9 Physical Damage.</t>
  </si>
  <si>
    <t>Steel Flail: Uncommon One-handed Melee Flail; 6-10 Physical Damage.</t>
  </si>
  <si>
    <t>Chain and Ball: Rare One-handed Melee Flail; 8-10 Physical Damage.</t>
  </si>
  <si>
    <t>Scorpion: Epic One-handed Melee Flail; 10 Physical Damage; Passive: Critical Multiplier of this Weapon is Set to 1, instead Critical Rolls on Basic Attacks inflict 40 Poison Damage On Hit.</t>
  </si>
  <si>
    <t>Kusari-gama: Epic One-handed Half-Ranged Flail; 15 Physical Damage; Passive: This weapon counts as Sharp.</t>
  </si>
  <si>
    <t>Cerberus: Legendary One-handed Melee Flail; 7 Physical Damage; 3 Unscallable Fire Damage; Passive: It has Three Heads causing each Attack with this Weapon to count as 3 Strikes, This Weapon does not Trigger On Hit Effects.</t>
  </si>
  <si>
    <t>Peasants Flail: Common Two-handed Melee Flail; 10-12 Physical Damage.</t>
  </si>
  <si>
    <t>Trialram: Uncommon Two-handed Melee Flail; 11-12 Physical Damage; On Hit: Reduce Targets Defense by 2 until End of Combat.</t>
  </si>
  <si>
    <t>Double Ball Flail: Rare Two-handed Melee Flail; 14-16 Physical Damage.</t>
  </si>
  <si>
    <t>Bomb on a Stick: Rare Two-handed Melee Flail; 20 Blast Damage; On Hit: Selfdestruct.</t>
  </si>
  <si>
    <t>Iminentrum: Legendary Two-handed Melee Flail; 5-25 Physical Damage; Passive: Each landed Strike with this Weapon causes the lowest number on the Damage Range to increase by 1, When the Base Damage is flat 25 its Strikes will Destroy Targets On Hit, Resets at the End of Combat.</t>
  </si>
  <si>
    <t>Pond Rod: Legendary Two-handed Melee Flail; 10 Hydro Damage; Active: (&gt;) [Requires Adjacent Water Hex] Hook Target Entity bringing them immediately onto your Hex; Infinite Hex Range. (1/Day).</t>
  </si>
  <si>
    <t>The Golden Sack: Legendary Two-handed Melee Flail; 1 Physical Damage; Passive: This Weapon gains +1 Base Damage for each 100 Gold in your Inventory and does not Scale with Strength.</t>
  </si>
  <si>
    <t>Divine Downpour: Mythic Two-handed Melee Flail; 25 Physical Damage; Passive: This weapon gains 10 Holy Damage On Hit for every Basic Attack done by any entity this combat.</t>
  </si>
  <si>
    <t>Cobbled Hammer: Common One-handed Melee Warhammer; 6 Physical Damage.</t>
  </si>
  <si>
    <t>Warpick: Rare One-handed Melee Warhammer; 9 Physical Damage; Passive: This Weapon counts as an Impact.</t>
  </si>
  <si>
    <t>Rasonian Hamtax: Epic One-handed Melee Warhammer; 10 Physical Damage; On Hit: Reduce Targets Defense by 4 Until End of Combat.</t>
  </si>
  <si>
    <t>Lost Devastor: Legendary One-handed Melee Warhammer; 0 Physical Damage; +1.5 Critical Multiplier.</t>
  </si>
  <si>
    <t>Crumbler: Common Two-handed Melee Warhammer; 30 Physical Damage; On Hit: Selfdestruct.</t>
  </si>
  <si>
    <t>Chipped Hammer: Common Two-handed Melee Warhammer; 10 Physical Damage.</t>
  </si>
  <si>
    <t>Hard-rock Hammer: Uncommon Two-handed Melee Warhammer; 12 Physical Damage.</t>
  </si>
  <si>
    <t>Maul: Rare Two-handed Melee Warhammer; 14 Physical Damage.</t>
  </si>
  <si>
    <t>Runehammer: Rare Two-handed Melee Warhammer; 9 Physical Damage; On Hit: 5 Earth Damage &amp; 20% chance to Stun Target for 1 Turn.</t>
  </si>
  <si>
    <t>Mana-Tech Hammer: Epic Two-handed Melee Warhammer; 10-14 Physical Damage; On Hit: 10 Manadrain.</t>
  </si>
  <si>
    <t>Bright Blunder: Epic Two-handed Melee Warhammer; 15 Physical Damage; On Hit: 10 Light Damage.</t>
  </si>
  <si>
    <t>Time Stopper: Legendary Two-handed Melee Warhammer; 12-16 Physical Damage; Passive: Landing a Critical Hit will cause time to stop. allowing the Hero to do one more Action.</t>
  </si>
  <si>
    <t>Planet Crusher: Legendary Two-handed Melee Warhammer; 7 Physical Damage; On Hit: 30 Earth Damage.</t>
  </si>
  <si>
    <t>The Gorgon Smasher: Mythic Two-handed Melee Warhammer; 20 Physical Damage; On Hit: If Targets Health is Higher than yours it Deals the Difference as Physical Damage; On Crit: Convert Total Damage and On Hit Damage to True Damage.</t>
  </si>
  <si>
    <t>Vaporizor: Mythic Two-handed Melee Warhammer; 30 Physical damage; On Hit: Passive: All Damage dealt by this weapon to a Target is stored; When Stored Damage reaches Targets current Health they get Destroyed.</t>
  </si>
  <si>
    <t>Wooden Bat: Common One-handed Melee Club; 6-9 Physical Damage; +3 Critical Multiplier.</t>
  </si>
  <si>
    <t>Knotclub: Uncommon One-handed Melee Club; 7-10 Physical Damage.</t>
  </si>
  <si>
    <t>Steel Tonfa: Rare One-handed Melee Club; 7 Physical Damage; +3 Defense; Passive: If you have two Steel Tonfas equipped double their base Stats.</t>
  </si>
  <si>
    <t>Soulwooden Baton: Epic One-handed Melee Club; 10 Physical Damage; On Hit: 10 Magic Damage.</t>
  </si>
  <si>
    <t>Torching Warclub: Legendary One-handed Melee Club; 15 Physical Damage; On Hit: 5 Fire Damage; Passive: Immunity to Blinded and Asleep.</t>
  </si>
  <si>
    <t>Good ol' Club: Common Two-handed Melee Club; 11 Physical Damage.</t>
  </si>
  <si>
    <t>Stoutstick: Uncommon Two-handed Melee Club; 10 Physical Damage; On Hit: Inflict Stagger for 1 Turn.</t>
  </si>
  <si>
    <t>Porcupine: Rare Two-handed Melee Club; 12 Physical Damage; On Hit: Decrease Target Defense by 10% of their max Defense Until End of Combat.</t>
  </si>
  <si>
    <t>Greatclub: Rare Two-handed Melee Club; 15 Physical Damage.</t>
  </si>
  <si>
    <t>Dragontooth: Mythic Two-handed Melee Club; 40 Physical Damage.</t>
  </si>
  <si>
    <t>Rusty Glaive: Common Two-handed Melee Glaive; 4-16 Physical Damage.</t>
  </si>
  <si>
    <t>Stone Glaive: Common Two-handed Melee Glaive; 20-26 Physical Damage; Passive: You may only Basic Attack Twice per Combat; Active: Refresh Passive. (0.5 Stamina).</t>
  </si>
  <si>
    <t>Sweepedge: Uncommon Two-handed Melee Glaive; 10–13 Physical Damage; Passive: Basic Attacks also hit Entities adjacent to both yourself and Target.</t>
  </si>
  <si>
    <t>Weightless Razor: Rare Two-handed Melee Glaive; 15-20 Physical Damage; Passive: It can not Crit.</t>
  </si>
  <si>
    <t>Poled Slasher: Rare Two-handed Melee Glaive; 8-20 Physical Damage.</t>
  </si>
  <si>
    <t>Guan Yu Guandao: Rare Two-handed Melee Glaive; 4-12 Physical Damage; Active: [Requires 1 Preparation Stack]; Basic Attack Thrice.</t>
  </si>
  <si>
    <t>Twinglaive: Epic Two-handed Melee Glaive; 10-26 Physical Damage; On Attack: On Basic Attack: 50% Chance to Strike Again.</t>
  </si>
  <si>
    <t>Cyanandum: Legendary Two-handed Melee Glaive; Precise; 1-40 Physical Damage; Passive: Precise; Passive: If Target Dodges your Basic Attack, gain 1 Preparation Stack.</t>
  </si>
  <si>
    <t>Guardian Slayer: Legendary Two-handed Melee Glaive; 10 Unscallable Physical Damage; +10 Strength; Passive: If Target has 400 Max Health or more, this Weapon increases its Damage Tenfold.</t>
  </si>
  <si>
    <t>Dull Halberd: Common Two-handed Melee Halberd; 10 Physical Damage.</t>
  </si>
  <si>
    <t>Steel Halberd: Uncommon Two-handed Melee Halberd; 13 Physical Damage.</t>
  </si>
  <si>
    <t>Bardiche: Rare Two-handed Melee Halberd; 16 Physical Damage.</t>
  </si>
  <si>
    <t>Crescent Finale: Legendary Two-handed Melee Halberd; 20 Physical Damage; On Attack: Half of Targets Defense is added to the Base Damage of the Attack.</t>
  </si>
  <si>
    <t>The Peasant's Revenge: Mythic Two-handed Melee Halberd; Blitz; 20 Unscallable True Damage; Passive: This Weapon has +10 Base Damage for each Level Difference between you and Target; At 6 Levels Difference this Weapon has 1 Zero Added to its base Damage.</t>
  </si>
  <si>
    <t>Rusty knife: Common One-handed Melee Knife; Set Piece; Composite: 40% chance to Strike with your other Knife On Basic Attack; 4-5 Physical Damage.</t>
  </si>
  <si>
    <t>Rusty Shiv: Common One-handed Melee Knife; Composite: 60% chance to Strike with your other Knife On Basic Attack; 2-4 Physical Damage.</t>
  </si>
  <si>
    <t>Dull Quickblade: Uncommon One-handed Melee Knife; Composite: Your Basic attack has Counter; 2 Physical Damage.</t>
  </si>
  <si>
    <t>Poisoned Knife: Rare One-handed Melee Knife; Composite: 50% chance to Strike with your other Knife On Basic Attack; 4-6 Physical Damage; On Hit: 50% Chance to Inflict 6 Poison Damage per Tick over 2 Turns.</t>
  </si>
  <si>
    <t>Sharpened Shiv: Rare One-handed Melee Knife; Composite: 70% chance to Strike with your other Knife On Basic Attack; 5-7 Physical Damage.</t>
  </si>
  <si>
    <t>Sickle: Rare One-handed Melee Knife; 7 Physical Damage; On Hit: 7 Bleed Damage.</t>
  </si>
  <si>
    <t>Rebound Blade: Epic One-handed Melee Knife; Composite: 50% Chance to do another Basic Attack on landed Basic Attack and 50% chance to Strike with your other Knife On Basic Attack; 6-9 Physical Damage.</t>
  </si>
  <si>
    <t>Forward Fang: Epic One-handed Melee Knife; Composite: 50% Chance to do another Basic Attack on landed Basic Attack and 50% chance to Strike with your other Knife On Basic Attack; 13 Physical Damage.</t>
  </si>
  <si>
    <t>Stalker's Revenge: Legendary One-handed Melee Knife; Set Piece; 1 Dark Damage; Passive: Scales with Dexterity and Power if your Off-Hand Slot is Empty; Active: (&gt;) Deal double the Damage taken last Turn as Dark Damage to Target. (1/Day).</t>
  </si>
  <si>
    <t>Blade of Lario: Legendary One-handed Melee Knife; 10 Unscalable Bleed Damage; Passive: [Requires to be Wielded in Main Hand] Orbs you equip in your Off-Hand Override their Off-Hand mode and Act as if it's equipped in your Main Hand and become Melee Sharp Strike Weapons.</t>
  </si>
  <si>
    <t>The Collector: Legendary One-handed Melee Knife; 5 True Damage; Passive: Killing Entities will steal their Souls and them as Base Damage to this Weapon. [weakling: 1 Soul; Elite 2 Souls; Boss 4 Souls; Hero: 8 Souls].</t>
  </si>
  <si>
    <t>Infamy: Legendary One-handed Melee Knife; Flexible; 6 Physical Damage; On Hit: Reduce Targets Defense by 3 Until End of Combat.</t>
  </si>
  <si>
    <t>Blue Fire Claws: Mythic Two-handed Melee Knife; [Requires Above 0% Fire Resistance to be Equipped]; 30 Physical Damage; On Hit: 30 Fire Damage; Passive: Miss Range is 1-10.</t>
  </si>
  <si>
    <t>Featherweight: Mythic One-handed Melee Knife; 3 Physical damage; Passive: This weapon strikes as many times as its Physical Damage/2 on Basic Attack.</t>
  </si>
  <si>
    <t>Peasant's Scythe: Common Two-handed Melee Scythe; 10-12 Physical Damage.</t>
  </si>
  <si>
    <t>Sharpened Scythe: Uncommon Two-handed Melee Scythe; 11-15 Physical Damage.</t>
  </si>
  <si>
    <t>War Scythe: Rare Two-handed Melee Scythe; 12-17 Physical Damage.</t>
  </si>
  <si>
    <t>Crop-Chop Harvester: Epic Two-handed Melee Scythe; 14-22 Physical Damage; Active: Active : Explore a Hex at half cost. (2/Day).</t>
  </si>
  <si>
    <t>Necros: Epic Two-handed Melee Scythe; 12-20 Physical Damage; Active: (^) Summon a 25 Health and 10 Physical Damage Melee Basic Attack Skeleton Minion to aid you until end of Combat. (1/Combat).</t>
  </si>
  <si>
    <t>Edge of Fate: Legendary Two-handed Melee Scythe; 1-20 Unscallable True Damage; Passive: 25% chance to deal double the Damage; Each Time this Passive Triggers. it increases by 25% Until End of Combat; at 100% Chance the Damage is Trippled instead.</t>
  </si>
  <si>
    <t>Death Scythe: Legendary Two-handed Melee Scythe; 10-20 Magic Damage; On Hit: Roll a D100, Rolling a 1 will Kill the Target; Each time the Roll Fails add a -1 Modifier to the Roll until End of Combat.</t>
  </si>
  <si>
    <t>Rust of the Sea: Legendary Two-handed Melee Scythe; 15 Physical Damage; Passive: This Weapon deals 20 Poison Damage On Hit against Rooted Targets; Active: (+) Flash; Chain Target Rooting them for 2 Turns. (1/Day).</t>
  </si>
  <si>
    <t>Rankar: Mythic Two-handed Melee Scythe; 10 Light Damage; Passive: +10 Light Damage per seal unlocked; Seal I: Have 20% or less Health; Seal II: Have 20% or less Mana; Seal III: Have 0 Stamina; Unlock all seals to transform into Exterminatus.</t>
  </si>
  <si>
    <t>Used Whip: Common One-handed Half-Ranged Whip; 3 Physical Damage; On Hit: 5 Wind Damage.</t>
  </si>
  <si>
    <t>Leather Whip: Uncommon One-handed Half-Ranged Whip; 6 Physical Damage; On Hit: 6 Physical Damage.</t>
  </si>
  <si>
    <t>Battle Whip: Rare One-handed Half-Ranged Whip; 10 Physical Damage.</t>
  </si>
  <si>
    <t>Red Whip: Rare One-handed Half-Ranged Whip; 4 Physical Damage; On Hit: 8 Fire Damage on Hit.</t>
  </si>
  <si>
    <t>Whipping Belt: Epic One-handed Melee Whip; 2 Physical Damage; On Hit: 20 Terror Damage.</t>
  </si>
  <si>
    <t>Spiked Whip: Epic One-handed Half-Ranged Whip; 12 Physical Damage; On Hit: 50% chance to Bleed Target for 5 Bleeding Damage Per Tick over 3 Turns.</t>
  </si>
  <si>
    <t>The Enslaver: Legendary One-handed Melee Whip; 14-18 Physical Damage; On Attack: 20% Chance to Mind Control Target for 1 Turn.</t>
  </si>
  <si>
    <t>The Cryout: Legendary One-handed Half-Ranged Whip; 16 Physical Damage; On Hit: 10 Dark Damage; Passive: Striking a Target Below 50% Health Fears and Torments them for 1 Turn.</t>
  </si>
  <si>
    <t>Elemental Lash: Legendary One-handed Half-Ranged Whip; 20 Elemental Damage; Passive: Damage Type Equal to Targets lowest Elemental Resistance.</t>
  </si>
  <si>
    <t>The Tormenting One: Mythic One-handed Half-Ranged Whip; 15 Terror Damage; Active: (+) Torment Target for 7 Turns. (1/Combat).</t>
  </si>
  <si>
    <t>Short Bow: Common Two-handed Ranged Bow; 9 Physical Damage.</t>
  </si>
  <si>
    <t>Plain Bow: Common Two-handed Ranged Bow; 6-12 Physical Damage.</t>
  </si>
  <si>
    <t>Rangers Bow: Uncommon Two-handed Ranged Bow; 10-12 Physical Damage.</t>
  </si>
  <si>
    <t>Recurve Bow: Rare Two-handed Ranged Bow; 9-11 Physical Damage; On Hit: 30% chance to ignore Defense.</t>
  </si>
  <si>
    <t>Long Bow: Rare Two-handed Ranged Bow; 12 Physical Damage; Active: (&gt;) 1 Hex Range; Basic Attack Target. (2/Day).</t>
  </si>
  <si>
    <t>Scouter: Epic Two-handed Ranged Bow; 14-17 Physical Damage; Active: (&gt;) 1 Hex Range; Shoot an Arrow at Target Hex placing a 1 Hex Vision Ward on it. (1/Day).</t>
  </si>
  <si>
    <t>Arcane Bow: Epic Two-handed Ranged Bow; 20 Magic Damage.</t>
  </si>
  <si>
    <t>Artemis: Legendary Two-handed Ranged Bow; 12 Physical Damage; Passive: Basic Attacks Trigger Twice.</t>
  </si>
  <si>
    <t>Starfall: Legendary Two-handed Ranged Bow; 10 Magic Damage; Passive: Contains 2 Charges of Stellar Shower; Active: (&gt;) 1 Hex Range; Consume A Charge of Stellar Shower; Roll your Dexterity amount and cause that many Arrows to rain upon Target for 10 Light Damage each. (1/Day).</t>
  </si>
  <si>
    <t>Hell's Inferno: Mythic Two-handed Ranged Bow; 24 Dark Damage; Passive: 50% Chance to deal Shadowflame Damage Instead.</t>
  </si>
  <si>
    <t>Reneva's Heirloom: Mythic Two-handed Ranged Bow; 14 True Damage; Active: (&gt;) [Requires 1 Turn of Prepare] Blitz; Basic Attack Target with +0.5 Scaling and +0.5 Critical Multiplier. (3/Combat) Passive: If the Active has been used 3 Times this combat then Double this weapons Base Damage until End of Combat.</t>
  </si>
  <si>
    <t>Wooden Hand Crossbow: Common One-handed Ranged Crossbow; 1 Ammo Capacity; 10 Physical Damage.</t>
  </si>
  <si>
    <t>Short-Range Arbest: Rare One-handed Ranged Crossbow; 1 Ammo Capacity; 10-12 Physical Damage.</t>
  </si>
  <si>
    <t>Toxic Repeater: Epic One-handed Ranged Crossbow; 2 Ammo Capacity; 10-12 Physical Damage; On Hit: 4 Poison Damage; Slow for 1 Turn.</t>
  </si>
  <si>
    <t>Arcadenuva: Legendary One-handed Ranged Crossbow; 2 Ammo Capacity; 12 Physical Damage; Active: (?)[Requires a Weapon in both Off-Hand and Main-Hand] For the remainder of this Combat your Basic Attacks trigger an additional Attack with your Off-Hand Weapon. (1/Day).</t>
  </si>
  <si>
    <t>Wooden Crossbow: Common Two-handed Ranged Crossbow; 1 Ammo Capacity; 12-16 Physical Damage.</t>
  </si>
  <si>
    <t>Windlass: Uncommon Two-handed Ranged Crossbow; 1 Ammo Capacity; 13–17 Physical Damage.</t>
  </si>
  <si>
    <t>Steady Crossbow: Rare Two-handed Ranged Crossbow; Precise; 15-17 Physical Damage.</t>
  </si>
  <si>
    <t>The Doubletap: Epic Two-handed Ranged Crossbow; 2 Ammo Capacity; 12 Physical Damage; Passive: Basic Attacks Trigger Twice.</t>
  </si>
  <si>
    <t>Giros Hand Ballista: Legendary Two-handed Ranged Crossbow; 1 Ammo Capacity; 40 Physical Damage; Passive: Reloading Requires 1 Turn of Preparation.</t>
  </si>
  <si>
    <t>The Heart Piercer: Mythic Two-handed Ranged Crossbow; 2 Ammo Capacity; 10 Physical Damage; 10 Magic Damage; Passive: Ignore 50% Defense and Dispersion.</t>
  </si>
  <si>
    <t>Rusty Hand Cannon: Common One-handed Ranged Pistol; 1 Ammo Capacity; 7-9 Physical Damage.</t>
  </si>
  <si>
    <t>Pocket Flint: Uncommon One-handed Ranged Pistol; 1 Ammo Capacity; 10 Physical Damage.</t>
  </si>
  <si>
    <t>Crack breakpistol: Rare One-handed Ranged Pistol; 4 Ammo Capacity; 7-8 Physical Damage.</t>
  </si>
  <si>
    <t>Golden Flintlock Pistol: Rare One-handed Ranged Pistol; 2 Ammo Capacity; 8-9 Physical Damage.</t>
  </si>
  <si>
    <t>Pistolinho: Epic One-handed Ranged Pistol; 3 Ammo Capacity; 10 Physical Damage; Active: (&gt;) Ayy Caramba! Fire Remaining Loaded Pellets with 30% Total Damage Penalty.</t>
  </si>
  <si>
    <t>El Capitan: Epic One-handed Ranged Pistol; 1 Capacity; 22-28 Unscallable Fire Damage.</t>
  </si>
  <si>
    <t>Bullet Caster: Legendary One-handed Ranged Pistol; 2 Ammo Capacity; 10 Physical Damage; Active: (&gt;) Counter; Reflect Target Ranged Basic Attack back to the Entity that Shot it with a 50% chance to Stun Target for 1 Turn. (1 Bullet; 1/Combat).</t>
  </si>
  <si>
    <t>Brainbuster: Legendary One-handed Ranged Pistol; 2 Ammo Capacity; 8-10 Physical Damage; Passive: 50% for Pellets to hit Targets skull on hit. The 7th Pellet Cracks the Skull. Piercing into the brain and Instantly Killing the Tar.</t>
  </si>
  <si>
    <t>The Jhin: Legendary One-handed Ranged Pistol; 4 Ammo Capacity; 4 Physical Damage; On Hit: 4 Dark Damage; Passive: Every 4th bullet fired deals 44 Dark Damage On Hit Instead.</t>
  </si>
  <si>
    <t>Selvion: Legendary One-handed Ranged Pistol; 1 Ammo Capacity; 12 Magic Damage; Passive: Basic Attacks will always Fire a clone of the Pellet in its Chamber at the cost of 5 Mana/Health; Active: (&gt;) Fire the Chambered Pellet with +1 Crit Multiplier Consuming it in the process.</t>
  </si>
  <si>
    <t>Belvion: Legendary One-handed Ranged Pistol; 1 Ammo Capacity; 12 Physical Damage; Passive: Basic Attacks will always Fire a clone of the Pellet in its Chamber at the cost of 5 Mana/Health; Active: (&gt;) Fire the Chambered Pellet with +1 Crit Multiplier Consuming it in the process.</t>
  </si>
  <si>
    <t>Eclipse: Mythic One-handed Ranged Pistol; 4 Capacity; 15 Physical Damage; Passive: Reloading pulls out all your Pellets that hit Entities this Combat back into the gun, each one dealing 15 Bleed Damage.</t>
  </si>
  <si>
    <t>Rusty Blunderbuss: Common Two-handed Ranged Rifle; 1 Capacity; 11 Physical Damage.</t>
  </si>
  <si>
    <t>Clearbore: Uncommon Two-handed Ranged Rifle; 1 Capacity; 12–14 Physical Damage.</t>
  </si>
  <si>
    <t>Mechanical Puncturer: Rare Two-handed Ranged Rifle; 1 Capacity; 13-16 Physical Damage.</t>
  </si>
  <si>
    <t>Ferguson Rifle: Rare Two-handed Ranged Rifle; 1 Ammo Capacity; 10 Physical Damage; Passive: Instantly Reloads on basic Attack.</t>
  </si>
  <si>
    <t>Clear-Sight Rifle: Epic Two-handed Ranged Rifle; 1 Ammo Capacity; 14-18 Physical Damage; Active: (&gt;) 1 Hex Range; Basic Attack Target; If it lands Reveal their Equipped Gear. (1/Day).</t>
  </si>
  <si>
    <t>Mana-Tech Reloader: Epic Two-handed Ranged Rifle; 1 Capacity; 10-14 Magic Damage; On Hit: 10 Lightning Damage; Passive: This Weapon does not Consume its Pellet when Shooting, instead it Shoots copies of it which Consume 5 Mana per Shot; Does not need to be Reloaded but Pellets can be swapped.</t>
  </si>
  <si>
    <t>The Bayonet Fixed Flintlock: Epic Two-handed Ranged Rifle; 1 Ammo Capacity; 18 Physical Damage; Passive: Counts as a Sharp Weapon as well and can be used as a melee melee Weapon for 16 Physical Damage scaling with Strength.</t>
  </si>
  <si>
    <t>The Reagle: Legendary Two-handed Ranged Rifle; 2 Ammo Capacity; 16 Physical Damage; On Hit: 50% Defense Penetration; Passive: Your Basic Attack has a 50% Chance to have Blitz.</t>
  </si>
  <si>
    <t>Scoped Burntbuster: Legendary Two-handed Ranged Rifle; 2 Ammo Capacity; 18 Fire Damage; Passive: If two Consecutive Basic Attacks hit Target, they explode dealing 20 Blast Damage to Target; Active: 2 Hex Range; Basic Attack Target. (2/Day).</t>
  </si>
  <si>
    <t>Flatliner: Legendary Two-handed Ranged Rifle; 2 Ammo Capacity; 10 Physical Damage; +2 Crit Multiplier; Passive: Your Hex Ranged Abilities/Attacks have no Damage Fall-off; Active: 1 Hex Range; Basic Attack Target. (1/Day).</t>
  </si>
  <si>
    <t>Heaven's Judgement: Mythic Two-handed Ranged Rifle; 1 Ammo Capacity; 20 Light Damage; Passive: Your Basic Attacks will always Critically Hit; Your Natural Critical Hits become Vitals.</t>
  </si>
  <si>
    <t>Lightly Bent Staff: Common Two-handed Melee Staff; 4 Physical Damage; +25 Mana; +4 Power.</t>
  </si>
  <si>
    <t>Prestine Staff: Uncommon Two-handed Melee Staff; 6 Physical Damage; +6 Power.</t>
  </si>
  <si>
    <t>Blistering Staff: Rare Two-handed Ranged Staff; 6-8 Magic damage; +2 Strength; 0.2% Fire Resistance.</t>
  </si>
  <si>
    <t>Living Staff: Rare Two-handed Melee Staff; 5 Earth Damage; +50 Mana; +5 Power.</t>
  </si>
  <si>
    <t>Fractured Sky: Epic Two-handed Ranged Staff; 10 Wind Damage; +50 Mana; +6 Power; Active: (&gt;) Launch a powerful torrent at Target dealing 20 Wind Damage and inflicting Chilled for 2 Turns. (1/Combat).</t>
  </si>
  <si>
    <t>Banner Of the Saint: Legendary Two-handed Melee Staff; 15 Physical Damage; On Hit: 10 Light Damage; Active: (+) Powerplay; Flash; Drain 2 Faith from Target Entity.</t>
  </si>
  <si>
    <t>Ragefilter: Legendary Two-handed Melee Staff; 20 Physical Damage; +100 Mana; +10 Power; Passive: Scales with Strength &amp; Power; Can't Crit.</t>
  </si>
  <si>
    <t>Shashin: Legendary Two-handed Melee Staff; 3 Wind Damage; Active: Passive: Non-ultimate Abilities Trigger twice.</t>
  </si>
  <si>
    <t>Binding Demise: Mythic Two-handed Ranged Staff; 18-22 Magic Damage; On Hit: Root Target for 1 Turn; +5 Power.</t>
  </si>
  <si>
    <t>Zen: Mythic Two-handed Melee Staff; 30 Physical Damage; Passive: Scales with Strength, Dexterity &amp; Power.</t>
  </si>
  <si>
    <t>Elderwood Scepter: Common Two-handed Ranged Scepter; 5-8 Magic Damage; +2 Power.</t>
  </si>
  <si>
    <t>Dustgrain Scepter: Common Two-handed Ranged Scepter; 9 Magic Damage.</t>
  </si>
  <si>
    <t>Sealrod: Uncommon Two-handed Ranged Scepter; 7-9 Magic Damage; Active: (&gt;) Seal Target Entity for 3 Turns. (1/Day).</t>
  </si>
  <si>
    <t>Crooked Scepter: Rare Two-handed Ranged Scepter; 8-10 Magic Damage; +50 Mana.</t>
  </si>
  <si>
    <t>Frostform Scepter: Rare Two-handed Ranged Scepter; Set Piece; 9 Frost Damage; On Hit: 20% chance to Frostbite Target for 5 Damage Per Tick over 4 Turns.</t>
  </si>
  <si>
    <t>Draining Scepter: Epic Two-handed Ranged Scepter; 7-10 Bleed Damage; Passive: 50% Lifedrain on Basic Attacks.</t>
  </si>
  <si>
    <t>The Lightning Rod: Legendary Two-handed Ranged Scepter; 20 Unscallable Lightning Damage; +8 Power; 80% Lightning Resistance; Passive: Basic Attacks have Blitz; Switching to this Weapon during Combat has Counter and Flash.</t>
  </si>
  <si>
    <t>Gods' Fury: Legendary Two-handed Ranged Scepter; 16-20 Light Damage; Active: (o) All other Entities on your Hex gain -1 Faith. (1/Day).</t>
  </si>
  <si>
    <t>Sea of Flowers: Legendary Two-handed Ranged Scepter; 15 Earth Damage; Active: (o) Powerplay; Remove all Negative Status Effects from all Entities on Hex and Turn Current Hex into a Sacred Sakura Grove; Entities on it have Regeneration Condition and +50% Elemental Resistance.</t>
  </si>
  <si>
    <t>Kingsley: Legendary Two-handed Ranged Scepter; 10-15 Magic Damage; +5 Power; Active: (&gt;) Basic Attack; If it lands and the Target is left below 20% Max Health. Kill Target. (1/Day).</t>
  </si>
  <si>
    <t>Mindbreaker: Mythic Two-handed Ranged Scepter; 12 Magic Damage; +100 Mana; Active: (+) Pierce Target's mind, dealing 30 Magic Damage and Confusing them for 3 Turns. (1/Day).</t>
  </si>
  <si>
    <t>Flingspark: Common One-handed Ranged Wand; 5 Magic Damage; +1 Power.</t>
  </si>
  <si>
    <t>Manaspark: Common One-handed Ranged Wand; 5 Magic Damage; Passive: You may consume 10 Mana to Basic Attack at double Base Damage.</t>
  </si>
  <si>
    <t>Runebirch: Uncommon One-handed Ranged Wand; 10 Magic Damage; Passive: This Gear has 2 Rune Slots; Active: Selfdestruct; Grant Target Gear 1 Rune Slot.</t>
  </si>
  <si>
    <t>Moonwand: Rare One-handed Ranged Wand; 4-7 Magic Damage; +20 Mana; +2 Power.</t>
  </si>
  <si>
    <t>Lightwand: Rare One-handed Ranged Wand; 4-8 Light Damage; +2 Power.</t>
  </si>
  <si>
    <t>Branched Ark: Legendary One-handed Ranged Wand; 5 Magic Damage; Passive: Shoots 3 Projectiles with each Basic Attack.</t>
  </si>
  <si>
    <t>The Welion Stick: Legendary One-handed Melee Wand; 30 Physical Damage.</t>
  </si>
  <si>
    <t>Kardalion: Legendary One-handed Ranged Wand; 12 Magic Damage; +50 Mana; +5 Power; +5 Dispersion.</t>
  </si>
  <si>
    <t>Purity of Soul: Mythic One-handed Ranged Wand; 1 Holy Damage; Passive: You are Immune to all Status Effects.</t>
  </si>
  <si>
    <t>Apprentices Orb: Common One-handed Ranged Orb; 6 Magic Damage.</t>
  </si>
  <si>
    <t>Glyphstone: Uncommon One-handed Ranged Orb; 8 Magic Damage; +1 Power.</t>
  </si>
  <si>
    <t>Forfrian Orb: Rare One-handed Ranged Orb; 8 Frost Damage.</t>
  </si>
  <si>
    <t>Kablom: Rare One-handed Ranged Orb; 8 Magic Damage; Active: (&gt;) Selfdestruct; Throw the Orb at Target causing it to explode 25 Arcane Damage.</t>
  </si>
  <si>
    <t>Hellblazer: Epic One-handed Ranged Orb; 12 Fire Damage; Passive: If Off-handed it transfers 100% of its Base Damage to Main-Hand as On Hit instead of 50%.</t>
  </si>
  <si>
    <t>Skull of Muigi: Legendary One-handed Ranged Orb; 10 Unscalable Dark Damage; Passive: [Requires to be Wielded in Main Hand] Knives you equip in your Off-Hand become Ranged Projectile Impact Weapons.</t>
  </si>
  <si>
    <t>Tome of Power: Common One-handed N/A Tome; +5 Power.</t>
  </si>
  <si>
    <t>Tome of Mana: Uncommon One-handed N/A Tome; +80 Mana.</t>
  </si>
  <si>
    <t>Tome of Intelligence: Rare One-handed N/A Tome; Passive: Your Spells Cost 20% Less Mana.</t>
  </si>
  <si>
    <t>Book of Secrets: Rare One-handed N/A Tome; Passive: Your Abilities now have the Hidden Keyword.</t>
  </si>
  <si>
    <t>Tome of Dread: Epic One-handed N/A Tome; +8 Power; Passive: Your Damaging Abilities will inflict Fear for 2 Turns.</t>
  </si>
  <si>
    <t>Vampiric Codex: Legendary One-handed N/A Tome; Passive: Your Damaging Projectile Abilities have 30% Lifedrain.</t>
  </si>
  <si>
    <t>Ancient Scroll Emporium: Legendary One-handed N/A Tome; Passive: Non-Legendary or higher Rarity Scrolls now have 1 Day Cooldown instead of being Consumed on use; Active: Powerplay; Destroy Target Legendary Scroll and Absorb it in this Tome, You may now cast the Scrolls Active Ability 1/Day.</t>
  </si>
  <si>
    <t>The Chronicles of Ashtonkat: Legendary One-handed N/A Tome; Active: (&gt;) Powerplay; Razorfen: Deal 50 Arcane Damage. (50 Mana); Active: Hyperblade: (&gt;) [Channel for 1 Turn] Powerplay; Unleash a Sharp Edge Arcane Blade That Slices for 50 Arcane Damage; 50% Chance to Dismember.</t>
  </si>
  <si>
    <t>Librarian Manifesto: Mythic One-handed N/A Tome; Active: (+) Choose Target, If Target was the first to deal Damage to you in Combat, Mind Control them for 2 Turns.</t>
  </si>
  <si>
    <t>Basic Sigil: Common One-handed N/A Sigil; Passive: +3 Attributes of your Choice.</t>
  </si>
  <si>
    <t>Entropic Sigil: Uncommon One-handed N/A Sigil; +2 Strength; +2 Dexterity; +2 Power; Active: (+) Remove Target Non-Impairing Status effect from Target Entity.</t>
  </si>
  <si>
    <t>Blue Sigil: Rare One-handed N/A Sigil; +8 Power.</t>
  </si>
  <si>
    <t>Red Sigil: Rare One-handed N/A Sigil; +8 Strength.</t>
  </si>
  <si>
    <t>Yellow Sigil: Rare One-handed N/A Sigil; +8 Dexterity.</t>
  </si>
  <si>
    <t>Advanced Sigil: Epic One-handed N/A Sigil; Passive: +8 Attributes of your Choice.</t>
  </si>
  <si>
    <t>Seal of the High Order: Legendary One-handed N/A Sigil; +3 Faith; Passive: Killing a Boss grants you +1 Faith; Active: (+) Powerplay; Deal 50 Holy Damage; Active: (+) Powerplay; Deal 50 Holy Damage.</t>
  </si>
  <si>
    <t>Rasonian Imbuement Badge: Legendary One-handed N/A Sigil; +5 Strength; +5 Dexterity; Passive: Melee Weapon equipped in your Main Hand gain +10 Base Damage, Allows you to equip Two-Handed Melee Weapons in your Main Hand.</t>
  </si>
  <si>
    <t>Invigroths Pentagram: Mythic One-handed N/A Sigil; -100% Fire Resistance; Passive: +10 Attributes of your Choice; Passive: At the Start of Combat you gain a 200 Health Demon Minion with 20 Physical Damage Ranged Basic Attack, It's Health and Attack increase by 50 and 5 for every Victorious Combat you had with this Sigil Equipped.</t>
  </si>
  <si>
    <t>A Piece of Plank: Common One-handed N/A Buckler; +20 Health; Passive: Blocks 10% of incoming Physical Damage.</t>
  </si>
  <si>
    <t>Tinker’s Buckler: Uncommon One-handed N/A Buckler; +30 Health; Passive: Blocks 15% of incoming Physical Damage.</t>
  </si>
  <si>
    <t>Hardened Buckler: Rare One-handed N/A Buckler; Passive: 20% Chance to Parry incoming Basic Attack.</t>
  </si>
  <si>
    <t>All Round Buckler: Rare One-handed N/A Buckler; +50 Health.</t>
  </si>
  <si>
    <t>Ice Buckler: Epic One-handed N/A Buckler; +50 Health; 60% Frost Resistance; Passive: Blocks 10% of all Damage.</t>
  </si>
  <si>
    <t>Hearthbone: Epic One-handed N/A Buckler; +20 Fortitude; Passive: Blocks 20% of all Damage.</t>
  </si>
  <si>
    <t>Aegis of The Sun: Legendary One-handed N/A Buckler; +2 Dispersion; 40% Light Resistance; 40% Fire Resistance; Passive: Being hit by a Basic Attack will Blind the Target for 1 Turn.</t>
  </si>
  <si>
    <t>Spiked Buckler: Legendary One-handed N/A Buckler; +200 Health; Passive: Reflects 20% of Physical Damage taken back to the original attacker.</t>
  </si>
  <si>
    <t>Holy Defender: Off Hand Buckler; Blocks 25% of all Damage from Eldritch, Undead and Demon Entities; 50% Chance to Block incoming Basic Attack from a Living.</t>
  </si>
  <si>
    <t>Poor Mans Shield: Common One-handed N/A Shield; +2 Defense; Passive: Blocks 10% of incoming Physical Damage.</t>
  </si>
  <si>
    <t>Imaginary Shield: Common One-handed N/A Shield; +2 Dispersion; +10 Fortitude.</t>
  </si>
  <si>
    <t>Wallguard: Uncommon One-handed N/A Shield; Passive: Blocks 20% of incoming Physical Damage.</t>
  </si>
  <si>
    <t>The Silver Barricade: Rare One-handed N/A Shield; +6 Defense; 20% Light Resistance; 20% Dark Resistance; 20% Fire Resistance; 20% Frost Resistance; 20% Wind Resistance; 2% Earth Resistance; 20% Lightning Resistance; 20% Bleed Resistance; 20% Poison Resistance.</t>
  </si>
  <si>
    <t>Mana-Tech Guard: Epic One-handed N/A Shield; -5 Basic Attack Damage; +100 Mana; -5 Defense; +8 Dispersion; Passive: Absorbs 20% of Damage from Projectiles and converts it in to Mana.</t>
  </si>
  <si>
    <t>The High Guard: Epic One-handed N/A Shield; -5 Basic Attack Damage; -5 Power; +1 Might; +5 Defense; +5 Dispersion; Passive: Blocks 30% of all Physical Damage; +5 Defense; +5 Dispersion; -5 Basic Attack Damage; -5 Power.</t>
  </si>
  <si>
    <t>Forts Door: Epic One-handed N/A Shield; Passive: Blocks 30% of all Physical Damage and 30% of all Magic Damage.</t>
  </si>
  <si>
    <t>Split-Screen: Legendary One-handed Melee Shield; Passive: Is considered a Blunt Melee Weapon that Locks your Main Hand, instead you Wield 2 halves of an enormous Shield; Blocks 30% of all Damage.</t>
  </si>
  <si>
    <t>The Immoral Bulwark: Legendary Two-handed N/A Shield; -5 Mobility; +1 Might; +2 Defense; Passive: In Combat you occupy 2x2 Tiles, Your Elemental Resistance is converted to Defense at 10 to 1 Ratio(Positive and Negative) and all Elemental Damage is Reduced by Defense.</t>
  </si>
  <si>
    <t>Leather Quiver: Common Ammunition Slot Quiver; Passive: Provides Arrows for the use of Bows and Crossbows.</t>
  </si>
  <si>
    <t>Barbed Quiver: Uncommon Ammunition Slot Quiver; Passive: Provides Arrows for the use of Bows and Crossbows; Fired Arrows deal 8 Physical Damage on Hit.</t>
  </si>
  <si>
    <t>Ice Quiver: Rare Ammunition Slot Quiver; Passive: Provides Arrows for the use of Bows and Crossbows; Fired Arrows Deal 5 Frost Damage on Hit.</t>
  </si>
  <si>
    <t>Fire Quiver: Rare Ammunition Slot Quiver; Passive: Provides Arrows for the use of Bows and Crossbows; Passive: Fired Arrows Deal 5 Fire Damage on Hit.</t>
  </si>
  <si>
    <t>The Quiver of Darkness: Epic Ammunition Slot Quiver; Passive: Provides Arrows for the use of Bows and Crossbows; Passive: Fired Arrows Deal 10 Dark Damage on Hit.</t>
  </si>
  <si>
    <t>Magic Quiver: Epic Ammunition Slot Quiver; Passive: Provides Arrows for the use of Bows and Crossbows; Your Bows and Crossbows have their Total Damage converted to Magic; If it was already Magic it becomes Arcane Instead.</t>
  </si>
  <si>
    <t>Corrosive Quiver: Legendary Ammunition Slot Quiver; Passive: Provides Arrows for the use of Bows and Crossbows; Your First, Third and Fifth Arrow Fired deals 30 Corrossive Damage On Hit.</t>
  </si>
  <si>
    <t>Elemental Quiver: Legendary Ammunition Slot Quiver; Passive: Provides Arrows for the use of Bows and Crossbows; Converts Basic Attack Damage to Chosen Element with Each Arrow Fired.</t>
  </si>
  <si>
    <t>Spooky Haunted Quiver: Legendary Ammunition Slot Quiver; Passive: Provides Arrows for the use of Bows and Crossbows; Killing Entities will Collect their Souls [weakling: 1 Soul; Elite 2 Souls; Boss 4 Souls; Guardian/Hero: 8 Souls]; Active: Consume a Soul to Basic Attack with a  ghostly Arrow which inflicts Fear for 2 Turns On Hit.</t>
  </si>
  <si>
    <t>The Black Hole: Mythic Ammunition Slot Quiver; Passive: Provides Arrows for the use of Bows and Crossbows; Fired Arrows Deal 10 True Damage On Hit; Active: Throw all Stored Throwables at Target Entity.</t>
  </si>
  <si>
    <t>Poor man's Ammo Sack: Common Ammunition Slot Pouch.</t>
  </si>
  <si>
    <t>Packed Pouch: Uncommon Ammunition Slot Pouch; Passive: Provides Pellets for the use of Guns and Rifles; Fired Pellets deal +8 Physical Damage on Hit.</t>
  </si>
  <si>
    <t>Sharp Nailbox: Rare Ammunition Slot Pouch; Passive: Provides Pellets for the use of Guns and Rifles; Fired Pellets Deal 5 Bleed Damage on Hit.</t>
  </si>
  <si>
    <t>Poison-Filled Sack: Rare Ammunition Slot Pouch; Passive: Provides Pellets for the use of Guns and Rifles; Fired Pellets Deal 5 Poison Damage on Hit.</t>
  </si>
  <si>
    <t>Blackpowder Box: Epic Ammunition Slot Pouch; Passive: Provides Pellets for the use of Guns and Rifles; Fired Pellets Deal 10 Wind Damage on Hit.</t>
  </si>
  <si>
    <t>Charged Pouch: Epic Ammunition Slot Pouch; Passive: Provides Pellets for the use of Guns and Rifles; Fired Pellets Deal 10 Lightning Damage on Hit.</t>
  </si>
  <si>
    <t>Organ Remover: Legendary Ammunition Slot Pouch; Passive: Provides Pellets for the use of Guns and Rifles; Your Pellets will always strike Vitals on Crit.</t>
  </si>
  <si>
    <t>Belt Stripe of the Gun God: Legendary Ammunition Slot Pouch; Passive: Provides Pellets for the use of Guns and Rifles; [Requires Pistol/Rifle] Basic Attacks have Precise.</t>
  </si>
  <si>
    <t>The Solarite Ammo Box: Mythic Ammunition Slot Pouch; Passive: Provides Pellets for the use of Guns and Rifles; Fired Pellets Deal 20 Solar Damage on Hit.</t>
  </si>
  <si>
    <t>Rusty Helmet: Common Head Piece Helmet; +2 Strength; +1 Defense.</t>
  </si>
  <si>
    <t>Copper Helm: Common Head Set Piece Helmet; +2 Defense; 10% Lightning Resistance.</t>
  </si>
  <si>
    <t>Bronze Cap: Uncommon Head Set Piece Helmet; +1 Strength; +2 Defense; 10% Bleed Resistance.</t>
  </si>
  <si>
    <t>Steel Helm: Rare Head Set Piece Helmet; +1 Strength; +3 Defense; 20% Bleed Resistance.</t>
  </si>
  <si>
    <t>Silver Armet: Rare Head Piece Helmet; +1 Defense; 10% Light Resistance; 10% Dark Resistance; 10% Fire Resistance; 10% Frost Resistance; 10% Wind Resistance; 10% Earth Resistance; 10% Lightning Resistance; 10% Bleed Resistance; 10% Poison Resistance.</t>
  </si>
  <si>
    <t>Golden Barbute: Rare Head Piece Helmet; +3 Strength; +2 Defense; 10% Light Resistance; 10% Poison Resistance.</t>
  </si>
  <si>
    <t>Legionaires Galea: Epic Head Set Piece Helmet; +3 Strength; +3 Defense; +3 Dispersion; 30% Wind Resistance.</t>
  </si>
  <si>
    <t>Impenetrable Bucket: Legendary Head Piece Helmet; +5 Defense; Passive: Halves the damage of incoming Critical Attacks.</t>
  </si>
  <si>
    <t>Sutton Hoo Helmet: Legendary Head Piece Helmet; +50 Health; +1 Might; +2 Defense; +3 Dispersion; Active: (+) Fear Target for 2 turns. (1/Day).</t>
  </si>
  <si>
    <t>Medusa's Head: Legendary Head Piece Helmet; +3 Defense; +3 Dispersion; 30% Dark Resistance; 30% Poison Resistance; Active: (+) Gaze at Target. Stunning them for 1 Turn and Dealing 20 Earth Damage. (1/Day).</t>
  </si>
  <si>
    <t>Mind Over Matter: Legendary Head Piece Helmet; +50 Fortitude.</t>
  </si>
  <si>
    <t>Helm of the Elemental Divine: Mythic Head Set Piece Helmet; +5 Defense; +5 Dispersion; 50% Wind Resistance; Passive: +1 Hex Vision; Active: (+) Deal 40 Wind Damage to Target Entity. (1/Combat).</t>
  </si>
  <si>
    <t>Shortsight Monocle: Common Head piece Headgear; Passive: You have access to the Inspect Skill.</t>
  </si>
  <si>
    <t>Focus Circlet: Uncommon Head Piece Headgear; +20 Mana; +1 Power; +1 Dispersion.</t>
  </si>
  <si>
    <t>Runic Headband: Rare Head Piece Headgear; +2 Power; +4 Dispersion.</t>
  </si>
  <si>
    <t>Falcons Feathers: Epic Head Piece; +1 Mobility; 30% Wind Resistance; Passive: Successfully Dodging an Attack will empower your next Basic Attack to be a Critical Hit.</t>
  </si>
  <si>
    <t>Hoarder's Crown: Epic Head Set Piece Headgear; Passive: Gold Looted while wearing this Crown is Doubled; Passive: Selfdestruct upon Unequipping it.</t>
  </si>
  <si>
    <t>Farsight Monocle: Epic Head Piece Headgear; Passive: +1 Hex Vision.</t>
  </si>
  <si>
    <t>Circlet of Thunder: Epic Head Piece Headgear; +2 Dispersion; 20% Lightning Resistance; +20 Fortitude.</t>
  </si>
  <si>
    <t>Keen Visor: Legendary Head Piece Headgear; 30% Light Resistance; 30% Dark Resistance; Passive: +1 Hex Vision; Gain the Vigilant Condition.</t>
  </si>
  <si>
    <t>Shadow Mask: Legendary Head Piece Headgear; +4 Dexterity; +4 Power; +1 Wisdom; 20% Dark Resistance; Passive: Entities can no longer Flee from you.</t>
  </si>
  <si>
    <t>Tiara Of Helena: Legendary Head Piece Headgear; +75 Mana; +5 Power; 30% Dark Resistance; 30% Lightning Resistance; 30% Poison Resistance; Passive: At the start of the day roll d10 to determine amount of extra Power the tiara will give.</t>
  </si>
  <si>
    <t>The Third Eye: Mythic Head Piece Headgear; +3 Dexterity; +3 Power; +1 Mobility; +1 Might; +1 Wisdom; +3 Dispersion; Passive: +1 Hex Vision; Selfdestruct after 3 Days.</t>
  </si>
  <si>
    <t>Corona Contiua: Mythic Head Piece Headgear; +80 Mana; +8 Power; +8 Dispersion; Passive: Toggle and Stance Abilities have their costs halved.</t>
  </si>
  <si>
    <t>Rangers Hood: Common Head Piece Cap; +25 Health.</t>
  </si>
  <si>
    <t>Leather Cap: Common Head Set Piece Cap; +2 Dexterity; +1 Defense.</t>
  </si>
  <si>
    <t>Quilted Hood: Uncommon Head Piece Cap; +20 Health; +1 Dexterity; +1 Defense.</t>
  </si>
  <si>
    <t>Silk Cap: Rare Head Set Piece Cap; +50 Health.</t>
  </si>
  <si>
    <t>Wolf Head: Rare Head Set Piece Cap; +25 Health; Passive: Reduce all Damage you are about to take by 1.</t>
  </si>
  <si>
    <t>Dragonskin Regalia: Epic Head Piece Cap; +70 Health; +2 Power; +2 Defense.</t>
  </si>
  <si>
    <t>Bride's Veil: Legendary Head Piece Cap; +6 Dexterity; +6 Dispersion; 20% Light Resistance; 20% Wind Resistance; Passive: Active: (o) Reveal your face Charming all Entities on Hex for 2 Turns. (1/Day).</t>
  </si>
  <si>
    <t>Abyssal Hood: Mythic Head Set Piece Cap; +75 Mana; +4 Dexterity; Passive: Hide your True Identity; Entities can no longer Gain any kind of Information when Inspecting you or when entering Combat with you, including Stats.</t>
  </si>
  <si>
    <t>Wizard Hat: Common Head Piece Hat; +2 Power; +1 Dispersion.</t>
  </si>
  <si>
    <t>Cool Hat: Common Head Piece Hat; +2 Power; 20% Frost Resistance.</t>
  </si>
  <si>
    <t>Felt Widebrim: Uncommon Head Piece Hat; +1 Power; +3 Dispersion.</t>
  </si>
  <si>
    <t>Straw Hat: Rare Head Set Piece Hat; 50% Light Resistance; Passive: Immune to Blind.</t>
  </si>
  <si>
    <t>Missing Hat: Rare Head Piece Hat; Passive: You lost your Hat. you are permanently Enraged.</t>
  </si>
  <si>
    <t>Captains Hat: Epic Head Set Piece Hat; +4 Power; +2 Defense; +2 Dispersion; 50% Wind Resistance.</t>
  </si>
  <si>
    <t>Sun Hat: Epic Head Piece Hat; +25 Mana; +3 Power; +3 Dispersion; 30% Fire Resistance; Active: (&gt;) Blind Target for 2 Turns. (1/Combat).</t>
  </si>
  <si>
    <t>The Tophat: Legendary Head Piece Hat; +50 Mana; +5 Power; +1 Wisdom; Passive: You have 20% Chance to Trigger a Non-Ultimate Spell Twice.</t>
  </si>
  <si>
    <t>Buzzsaw Hat: Legendary Head Piece Hat; +4 Dexterity; +4 Defense; 40% Wind Resistance; Active: (&gt;) [1 Preparation Stack] Activate the Saw and throw your Hat at Target for 40 Bleed Damage; 20% Chance to Dismember. (1/Day).</t>
  </si>
  <si>
    <t>Etherconnectria: Legendary Head Piece Hat; +75 Mana; +3 Power; Passive: Increase the Scaling percentage by 25%(of itself rounded up) of all your Base Abilities that are able to Scale with Power. (E.g. +100% Power becomes +125% Power; +50% Power becomes +63% etc.).</t>
  </si>
  <si>
    <t>Commoner's Pauldron: Common Shoulder Piece Pauldron; +1 Strength; +2 Defense.</t>
  </si>
  <si>
    <t>Layered Pauldrons: Uncommon Shoulder Piece Pauldron; +1 Strength; +2 Defense; 10% Bleed Resistance.</t>
  </si>
  <si>
    <t>Knight's Pauldron: Rare Shoulder Piece Pauldron; +2 Strength; +3 Defense; +1 Dispersion.</t>
  </si>
  <si>
    <t>Mighty Shoulders: Rare Shoulder Piece Pauldron; +1 Strength; -1 Mobility; +2 Might.</t>
  </si>
  <si>
    <t>Lord's Pauldron: Epic Shoulder Piece Pauldron; +5 Defense; 20% Frost Resistance; 20% Lightning Resistance; Active: (+) 2 Hex Range; Move Target Weakling 1 Hex or 1 Tile; At Level 8 it can be used on Elites.</t>
  </si>
  <si>
    <t>Sturdy Shoulder Pads: Epic Shoulder Piece Pauldron; +2 Defense; 20% Light Resistance; 20% Dark Resistance; 20% Fire Resistance; 20% Frost Resistance; 20% Wind Resistance; 20% Earth Resistance; 20% Lightning Resistance; 20% Bleed Resistance; 20% Poison Resistance.</t>
  </si>
  <si>
    <t>Second Proof Altions: Legendary Shoulder Piece Pauldron; +25 Health; +30 Fortitude; Passive: The first Non-Interrupting Status that is inflicted upon you in Combat is Nullified.</t>
  </si>
  <si>
    <t>Champion's Insignia: Legendary Shoulder Piece Pauldron; +50 Health; +4 Defense; +4 Dispersion; Passive: Immune to Charm and Fear.</t>
  </si>
  <si>
    <t>Imperial Authority: Legendary Shoulder Piece Pauldron; +9 Dispersion; Passive: Weaklings, Elites and Bosses are no longer Hostile towards you unless Provoked.</t>
  </si>
  <si>
    <t>Quartzel Spikes: Mythic Shoulder Piece Pauldron; +75 Health; +25 Mana; +3 Defense; +5 Dispersion; Passive: Entities Striking you take 20 Magic Damage and are Sealed for 1 Turn even on Miss.</t>
  </si>
  <si>
    <t>Tin Spaulders: Common Shoulder Piece Spaulder; +5 Health; +2 Defense.</t>
  </si>
  <si>
    <t>Reinforced Spaulders: Uncommon Shoulder Piece Spaulder; +3 Defense; +1 Dispersion.</t>
  </si>
  <si>
    <t>Hardened Spaulders: Rare Shoulder Piece Spaulder; -1 Mobility; +3 Defense; +3 Dispersion; 20% Poison Resistance.</t>
  </si>
  <si>
    <t>Overguardians: Rare Shoulder Piece Spaulder; +1 Defense; +1 Dispersion; +20 Fortitude.</t>
  </si>
  <si>
    <t>Mir Watchers Spaulders: Epic Shoulder Piece Spaulder; +40 Health; -1 Mobility; +8 Defense.</t>
  </si>
  <si>
    <t>Mushroom Landers: Mythic Shoulder Piece Spaulder; 20% Dark Resistance; 20% Bleed Resistance; 20% Poison Resistance; +20 Fortitude; Active: (o) Poison all other Entities on Hex for 20 Poison Damage per Turn over 5 Turns. (1/Day).</t>
  </si>
  <si>
    <t>Hidden Cloak: Common Shoulder Piece Cape; Passive: Ending your Turn without using any actions causes you to gain Invisibility for 1 Turn. (1/Combat).</t>
  </si>
  <si>
    <t>Scout’s Cape: Uncommon Shoulder Piece Cape; +1 Mobility.</t>
  </si>
  <si>
    <t>Hunters Cape: Rare Shoulder Piece Cape; +2 Dexterity; Passive: Weapons which require an Ammo Slot have +5 Base Damage.</t>
  </si>
  <si>
    <t>Heroes Cape: Epic Shoulder Piece Cape; +20 Health; +20 Mana; +2 Defense; +2 Dispersion; Passive: Gain 2 Attributes of your Choice.</t>
  </si>
  <si>
    <t>Overcoat: Epic Shoulder Piece Cape; Passive: In Combat your Weapon is Hidden until you Basic Attack; For Each turn you don't Basic Attack gain +1 Roll Modifier to your next Basic Attack until End of Combat.</t>
  </si>
  <si>
    <t>Cowards Cape: Legendary Shoulder Piece Cape; +5 Mobility; Passive: The moment you Equip this Gear you Permanently Gain the Coward Condition.</t>
  </si>
  <si>
    <t>Factionless Cloak: Legendary Shoulder Piece Cape; Passive: You may choose to Display any Faction for other Heroes to see in Map Phase; At the start of Day you may change your Faction with another one besides the Innovators/Archive; Active: Selfdestruct; Gain the Stealth Condition, revert back to your initial faction.</t>
  </si>
  <si>
    <t>Rathachiun: Legendary Shoulder Piece Cape; +4 Dexterity; +1 Mobility; Active: Powerplay; Teleport to closest Zone.</t>
  </si>
  <si>
    <t>Mantle of Sacrifice: Mythic Shoulder Set Piece Cape; +300 Mana; +10 Power; +10 Dispersion; Passive: Lose 10 Health with each Traversed Hex; Selfdestructs after 3 days.</t>
  </si>
  <si>
    <t>Tainted Scarf: Common Shoulder Piece Shawl; +10 Health; +2 Power.</t>
  </si>
  <si>
    <t>Woolen Shawl: Uncommon Shoulder Piece Shawl; +20 Health; +3 Power.</t>
  </si>
  <si>
    <t>Silk Scarf: Rare Shoulder Set Piece Shawl; +50 Health.</t>
  </si>
  <si>
    <t>Thick Fur: Rare Shoulder Set Piece Shawl; Passive: Reduce all Damage you are about to take by 2.</t>
  </si>
  <si>
    <t>Librarian Ornatium: Epic Shoulder Piece Shawl; +20 Mana; +2 Wisdom.</t>
  </si>
  <si>
    <t>Waterfall Collar: Epic Shoulder Piece Shawl; +4 Power; +3 Dispersion; 20% Frost Resistance; Passive: You may Rest(not swim) in a Water Hex.</t>
  </si>
  <si>
    <t>The Unknown Shawl: Legendary Shoulder Piece Shawl; Passive: It has Random Stats that are rolled upon equipping; Upon equipping it becomes Locked in your Shoulder Slot; Gain 0-20[D20] Dexterity/Power/Strength[D3]; +0-200[D20] Health/Mana[D2]; +0/3[D3] Mobility/Might/Wisdom[D3]; +0%/30% Fortitude[D3].</t>
  </si>
  <si>
    <t>Vivrian Flames' Delquista: Mythic Shoulder Piece Shawl; +50 Health; +8 Power; 40% Fire Resistance; Passive: All Entities Damaged by your Projectile or Flux Abilities are dealt an additional 20(+100% Power) Fire Damage. (1/Ability).</t>
  </si>
  <si>
    <t>Rusty Chainmail: Common Body Set Piece Chainmail; +2 Defense; 10% Bleed Resistance.</t>
  </si>
  <si>
    <t>Iron Chainshirt: Uncommon Body Piece Chainmail; +3 Defense; 20% Bleed Resistance.</t>
  </si>
  <si>
    <t>Silver Chainmail: Rare Body Set Piece Chainmail; +1 Defense; 10% Light Resistance; 10% Dark Resistance; 10% Fire Resistance; 10% Frost Resistance; 10% Wind Resistance; 10% Earth Resistance; 10% Lightning Resistance; 10% Bleed Resistance; 10% Poison Resistance.</t>
  </si>
  <si>
    <t>Golden Ringmail: Rare Body Piece Chainmail; +2 Defense; +2 Dispersion; 30% Bleed Resistance.</t>
  </si>
  <si>
    <t>Sturdy Chainlink: Epic Body Piece Chainmail; +40 Health; +2 Defense; Passive: Arrows and Pellets Targeting you deal 50% less Damage.</t>
  </si>
  <si>
    <t>Titanium Chainmail: Epic Body Piece Chainmail; +2 Defense; +2 Dispersion; Passive: You take 30% Less Damage from Basic Attacks.</t>
  </si>
  <si>
    <t>Prisoner's Chains: Legendary Body Piece Chainmail; +70 Health; +7 Defense; Active: (&gt;) Throw a cluster of Chains at Target. Rooting them for 3 Turns. (1/Combat).</t>
  </si>
  <si>
    <t>Zephyr of the Solaris: Legendary Body Piece Chainmail; +5 Defense; +5 Dispersion; 30% Light Resistance; 30% Fire Resistance; Passive: Blocked, Parried, Dodged, Deflected or Reflected Attacks grant you 5% Physical and Magic Damage Reduction until End of Combat.</t>
  </si>
  <si>
    <t>Unbreakable Chainlink: Mythic Body Piece Chainmail; +100 Health; +10 Defense; Passive: Ranged Non-Ultimate Attacks deal no Physical Damage to you.</t>
  </si>
  <si>
    <t>Copper Breastplate: Common Body Set Piece Breastplate; +2 Defense; 10% Lightning Resistance.</t>
  </si>
  <si>
    <t>Tin Plate: Common Body Piece Breastplate; +2 Strength; +1 Defense.</t>
  </si>
  <si>
    <t>Bronze Cuirass: Uncommon Body Set Piece Breastplate; +2 Defense; +1 Dispersion; 10% Bleed Resistance.</t>
  </si>
  <si>
    <t>Steel Plate: Rare Body Set Piece Breastplate; +2 Strength; -2 Dexterity; +5 Defense; -20% Lightning Resistance; 20% Bleed Resistance.</t>
  </si>
  <si>
    <t>Battle Armor: Rare Body Piece Breastplate; +50 Health; -3 Dexterity; -2 Mobility; +5 Defense; -20% Lightning Resistance; 30% Bleed Resistance.</t>
  </si>
  <si>
    <t>War Knight Plate: Epic Body Piece Breastplate; +40 Health; +2 Strength; -1 Mobility; +4 Defense; Passive: 30% chance to half incoming Physical Damage.</t>
  </si>
  <si>
    <t>Windmakers Metal: Epic Body Piece Breastplate; +20 Health; -1 Mobility; +2 Might; +2 Defense; 20% Wind Resistance.</t>
  </si>
  <si>
    <t>Dragonscale Plate: Legendary Body Set Piece Breastplate; +40 Health; +4 Defense; +4 Dispersion; Passive: 10% Chance to nulify all incoming Damage.</t>
  </si>
  <si>
    <t>Giants Breastplate: Legendary Body Piece Breastplate; +150 Health; +5 Strength; -2 Mobility; +5 Defense.</t>
  </si>
  <si>
    <t>Plate of the Elemental Divine: Mythic Body Set Piece Breastplate; +100 Health; +5 Defense; +5 Dispersion; 50% Light Resistance; Active: (+) Deal 40 Light Damage to Target. (1/Combat).</t>
  </si>
  <si>
    <t>Boar Belt: Common Body Piece Gambeson; Passive: Unlocks 3 Stash Slots.</t>
  </si>
  <si>
    <t>Peasant's Cloth: Common Body Piece Gambeson; +2 Dexterity; +1 Defense.</t>
  </si>
  <si>
    <t>The Vest from West: Uncommon Body Piece Gambeson; +4 Dexterity.</t>
  </si>
  <si>
    <t>Demonskin Coat: Rare Body Set Piece Gambeson; +50 Health; 10% Fire Resistance.</t>
  </si>
  <si>
    <t>Leather Tunic: Rare Body Set Piece Gambeson; +15 Health; +2 Dexterity; +2 Defense.</t>
  </si>
  <si>
    <t>Hunters Vest: Rare Body Piece Gambeson; +3 Dexterity; +3 Defense.</t>
  </si>
  <si>
    <t>Captain's Coat: Epic Body Set Piece Gambeson; +4 Dexterity; +4 Defense; Passive: Your first two Basic Attacks in Combat scales with an extra 1 Dexterity.</t>
  </si>
  <si>
    <t>Bloodcraft Gambeson: Epic Body Piece Gambeson; +4 Dexterity; +4 Defense; Passive: [Requires Weapon in Off-Hand] 10% chance to Strike/Shoot again with your Off-Hand on Basic Attack.</t>
  </si>
  <si>
    <t>The Elaborate Lie: Epic Body Piece Gambeson; +6 Power; +2 Defense; 30% Dark Resistance; Passive: You will appear to have an extra 200 Health to other Entities.</t>
  </si>
  <si>
    <t>Stalkers Coat: Legendary Body Set Piece Gambeson; +8 Dexterity; +4 Power; +2 Mobility; Active: (&gt;) Throw a Knife that deals 15 Physical Damage and has On Hit: 5 Poison Per Tick Over 2 Turns.</t>
  </si>
  <si>
    <t>Trixy’s Flashrug: Legendary Body Piece Gambeson; +6 Dexterity; +6 Defense; Active: (+) 1 Hex Range; Teleport in Melee Range of Target. (1/Day).</t>
  </si>
  <si>
    <t>Pearl Friggata: Legendary Body Piece Gambeson; +3 Dexterity; +1 Defense; +2 Dispersion; +10 Fortitude; Passive: Increase your Basic Attacks' Base Damage by 5.</t>
  </si>
  <si>
    <t>Abyssal Armor: Mythic Body Set Piece Gambeson; +5 Defense; +5 Dispersion; 50% Dark Resistance; Passive: Become Ethereal.</t>
  </si>
  <si>
    <t>Magic tainted Clothes: Common Body Piece Robe; +1 Power; +2 Dispersion.</t>
  </si>
  <si>
    <t>Ragged Gown: Common Body Piece Robe; +1 Power; +2 Dispersion.</t>
  </si>
  <si>
    <t>Apprentices Robes: Uncommon Body Piece Robe; +10 Mana; +1 Power; +1 Dispersion; +10 Fortitude.</t>
  </si>
  <si>
    <t>Cowards Robe: Rare Body Piece Robe; +2 Mobility; 10% Wind Resistance.</t>
  </si>
  <si>
    <t>Mana Infused Robes: Rare Body Piece Robe; +50 Mana.</t>
  </si>
  <si>
    <t>Morphic Kimono: Epic Body Piece Robe; Passive: Upon Killing a Boss or Higher Transform this into a Random Legendary Body Piece.</t>
  </si>
  <si>
    <t>Hoarder's Rags: Epic Body Set Piece Robe; Passive: Whenever you Loot Gear, Gain 1 Ore or Fabric at Random of Rarity equal to the Highest Looted Gear. (2/Day); Selfdestructs upon Unequipping it.</t>
  </si>
  <si>
    <t>Insanity Vestment: Epic Body Piece Robe; +50 Mana; Passive: Your Damaging Non-Ultimate Spells have 50% Chance to deal Double Damage.</t>
  </si>
  <si>
    <t>Oldmaesters Duds: Epic Body Piece Robe; -2 Strength; -2 Dexterity; +4 Power; +2 Wisdom.</t>
  </si>
  <si>
    <t>The Judgement: Legendary Robe; Passive: Whenever you Gain Faith, this Gear will gain 10% Elemental Resistance and 50 Health. (1/Day).</t>
  </si>
  <si>
    <t>Magus Aeternus: Legendary Body Piece Robe; +6 Power; +6 Dispersion; Passive: All your Abilities cost 10 less Mana to Cast.</t>
  </si>
  <si>
    <t>Cursebearer's Robes: Mythic Body Set Piece Robe; +200 Mana; +20 Power; 30% Light Resistance; 30% Dark Resistance; 30% Fire Resistance; 30% Frost Resistance; 30% Wind Resistance; 30% Earth Resistance; 30% Lightning Resistance; 30% Bleed Resistance; 30% Poison Resistance; Passive: You become Cursed, you can no longer Loot anything; Selfdestructs after 3 Days.</t>
  </si>
  <si>
    <t>Copper Armguard: Common Arms Set Piece Armguards; +2 Defense; 10% Lightning Resistance.</t>
  </si>
  <si>
    <t>Resistant Ketoh: Rare Arms Piece Armguards; +2 Defense; 20% Fire Resistance; 20% Frost Resistance; 20% Lightning Resistance.</t>
  </si>
  <si>
    <t>Stone Wristguard: Epic Arms Piece Armguards; +2 Strength; +5 Defense; 20% Fire Resistance; 20% Wind Resistance; 20% Earth Resistance; 20% Bleed Resistance.</t>
  </si>
  <si>
    <t>Dragonscale Armguard: Legendary Arms Set Piece Armguards; +4 Defense; +4 Dispersion; 20% Fire Resistance; Passive: [Requires Empty Main hand and Off Hand Slots] Grow Fiery Dragon Claws (Counts as a Sharp Weapon, 1-5 Miss Range, 2 Crit Multiplier) that deal 25 Unscallable Physical Damage and 10 Fire Damage on Hit.</t>
  </si>
  <si>
    <t>Venomous Armguard: Legendary Arms Piece Armguards; On Hit: 20% chance to inflict Poison for 20 Damage Per Tick over 3 Turns; +7 Defense; 40% Poison Resistance.</t>
  </si>
  <si>
    <t>Balast Forgers: Legendary Arms Piece Armguards; +8 Defense; Active: Double your Defense until End of Combat. (1/Day).</t>
  </si>
  <si>
    <t>Rusty Bracer: Common Arms Set Piece Bracers; +3 Defense; 10% Fire Resistance; -20% Lightning Resistance.</t>
  </si>
  <si>
    <t>Steel Bracer: Uncommon Arms Piece Bracers; +2 Strength; +2 Defense.</t>
  </si>
  <si>
    <t>Fortitudes Embracers: Rare Arms Piece Bracers; +20 Fortitude.</t>
  </si>
  <si>
    <t>Chained Lightsteel Bracelets: Rare Arms Piece Bracers; +4 Strength; +2 Defense.</t>
  </si>
  <si>
    <t>Bracers of Muscle: Rare Arms Piece Bracers; +3 Might; -70% Bleed Resistance.</t>
  </si>
  <si>
    <t>Tectonicause: Legendary Arms Piece Bracers; +4 Defense; +4 Dispersion; Active: (o) Deal 40 Earth Damage in a 3x3 Tile Range; If any Entity Dies from this Ability then Retrigger. (1/Combat).</t>
  </si>
  <si>
    <t>Bracers of Hope: Legendary Arms Piece Bracers; +50 Health; +20 Fortitude; Passive: You Gain the Hope Condition; When Hope is Consumed Remove this Passive; If you already have Hope Selfdestruct upon Equipping and Gain a Random Astral Gear.</t>
  </si>
  <si>
    <t>Abyssal Bracers: Mythic Arms Set Piece Bracers; +6 Strength; +6 Dexterity; +6 Defense; 20% Dark Resistance; Passive: Gain the Brawn Condition.</t>
  </si>
  <si>
    <t>Ragged Sleeves: Common Arms Piece Sleeves.</t>
  </si>
  <si>
    <t>Embroidered Sleeves: Uncommon Arms Piece Sleeves; +2 Power; +2 Dispersion.</t>
  </si>
  <si>
    <t>Insulators: Rare Arms Piece Sleeves; +2 Power; +3 Dispersion; 20% Lightning Resistance.</t>
  </si>
  <si>
    <t>Mystic Sleeves: Rare Arms Piece Sleeves; +20 Mana; +1 Wisdom.</t>
  </si>
  <si>
    <t>Shadow Wraps: Epic Arms/Hands Piece Sleeves; +3 Dexterity; +3 Power; +1 Defense; 30% Dark Resistance; Active: (+) Fear Target for 1 Turn. (1/Day).</t>
  </si>
  <si>
    <t>Inked Paper Sleeves: Epic Arms Piece Sleeves; +3 Wisdom.</t>
  </si>
  <si>
    <t>Voelitic Sleeves: Legendary Arms Piece Sleeves; +5 Dexterity; +5 Power; Passive: Your Basic Attacks have a 50% Chance to have their Total Damage converted to Chaos Damage.</t>
  </si>
  <si>
    <t>Stolen Leatherband: Common Arms Piece Armbands; +2 Dexterity; +1 Defense.</t>
  </si>
  <si>
    <t>Ranger’s Bands: Uncommon Arms Piece Armbands; +2 Dexterity; +1 Defense; 10% Poison Resistance.</t>
  </si>
  <si>
    <t>Sharp Armbands: Rare Arms Piece Armbands; +4 Dexterity; +2 Defense.</t>
  </si>
  <si>
    <t>Runners Armbands: Rare Arms Piece Armbands; +1 Mobility; Passive: If you Flee Combat you gain +1 Mobility until End of Day.</t>
  </si>
  <si>
    <t>Octoband: Epic Arms Piece Armbands; Passive: Gain 8 Dexterity or Power.</t>
  </si>
  <si>
    <t>Rangers Straps: Legendary Arms Piece Armbands; +20 Health; +6 Dexterity; 30% Wind Resistance; 30% Poison Resistance; Passive: +0.5 Crit Multiplier on Impact Weapons; You may target Tiles with your Projectile Attacks; They hit as usual if Invisible Entities or Objects are on the respective Tile.</t>
  </si>
  <si>
    <t>Vampiric Straps: Legendary Arms Set Piece Armbands; Passive: Your Strikes have 30% Lifedrain.</t>
  </si>
  <si>
    <t>Chaos Binders: Mythic Arms Piece Armbands; Passive: You take 100% more total Damage; You deal 100% more Total Damage.</t>
  </si>
  <si>
    <t>Rusty Gauntlet: Common Hand Set Piece Gauntlets; +2 Strength; +1 Defense.</t>
  </si>
  <si>
    <t>Steel Gauntlet: Rare Hand Set Piece Gauntlets; +1 Strength; +4 Defense; -10% Lightning Resistance; 10% Bleed Resistance.</t>
  </si>
  <si>
    <t>Silver Gauntlet: Rare Hand Set Piece Gauntlets; +1 Defense; 10% Light Resistance; 10% Dark Resistance; 10% Fire Resistance; 10% Frost Resistance; 10% Wind Resistance; 10% Earth Resistance; 10% Lightning Resistance; 10% Bleed Resistance; 10% Poison Resistance.</t>
  </si>
  <si>
    <t>Knuckle Breakers: Epic Hand Piece Gauntlets; +1 Strength; +1 Might; +1 Defense; Passive: Unarmed Basic Attacks Gain +0.5 Strength Scaling.</t>
  </si>
  <si>
    <t>Doomscaled Knuckles: Legendary Hand Piece Gauntlets; +40 Health; 20% Dark Resistance; Passive: Your Unarmed Basic Attacks Gain +20 Base Damage and 20 Dark Damage on Hit; Passive: Gain 4 of Chosen Attribute.</t>
  </si>
  <si>
    <t>Gauntlets of the Elemental Divine: Mythic Hand Set Piece Gauntlets; +12 Strength; +5 Defense; +5 Dispersion; 50% Fire Resistance; Active: (+) Deal 40 Fire Damage to Target. (1/Combat).</t>
  </si>
  <si>
    <t>Straus' Burden: Mythic Hand Piece Gauntlets; +10 Strength; -5 Mobility; +10 Defense; 60% Light Resistance; Passive: For Every 20 Points of Defense gain +1 Critical Multiplier on your Strikes. Active: Lose 1 Max Stamina and Gain 10 Defense.</t>
  </si>
  <si>
    <t>Damaged Handguards: Common Hand Piece Handguards; +15 Health; +1 Defense.</t>
  </si>
  <si>
    <t>Padded Handguards: Uncommon Hand Piece Handguards; +20 Health; +2 Defense.</t>
  </si>
  <si>
    <t>Standard Issued Handguards: Rare Hand Piece Handguards; +3 Defense; +2 Dispersion.</t>
  </si>
  <si>
    <t>Captains Hook: Epic Hand Set Piece Handguard; [Requires Amputated Hand Slot]; +4 Defense; 20% Bleed Resistance; Active: (&gt;) Flash; Deal 15 Physical Damage and Hook Target 1 Tile closer to you. (2/Combat).</t>
  </si>
  <si>
    <t>Handaal Crossguarded Hands: Legendary Hand Piece Handguards; +4 Strength; +4 Defense; +4 Dispersion; Passive: 50% Chance to Parry Sharp Weapon Strikes.</t>
  </si>
  <si>
    <t>Leather Gloves: Common Hand Set Piece Gloves; +2 Dexterity; +1 Defense.</t>
  </si>
  <si>
    <t>Second-Hand: Common Hand Piece Gloves; +15 Health; +1 Dexterity.</t>
  </si>
  <si>
    <t>Studded Gloves: Uncommon Hand Piece Gloves; +2 Dexterity; +1 Defense; 10% Frost Resistance.</t>
  </si>
  <si>
    <t>Silk Gloves: Rare Hand Set Piece Gloves; +50 Health.</t>
  </si>
  <si>
    <t>Demonskin Gloves: Rare Hand Set Piece Gloves; On Hit: 5 Fire Damage; +15 Health.</t>
  </si>
  <si>
    <t>Frost Gloves: Rare Hand Set Piece Gloves; +2 Power; +2 Defense; 40% Frost Resistance.</t>
  </si>
  <si>
    <t>Crystal Gloves: Epic Hand Set Piece Gloves; +50 Mana; +3 Power; +2 Dispersion; 20% Frost Resistance.</t>
  </si>
  <si>
    <t>Hoarder's Gloves: Epic Hand Set Piece Gloves; Passive: Double the amount of Loot you recieve from Exploring Hexes (2/Day); Passive: Selfdestruct upon Unequipping it.</t>
  </si>
  <si>
    <t>High Priests Healers: Legendary Hand Piece Gloves; +2 Defense; +2 Dispersion; 20% Light Resistance; Active: (+) Heal Target Entity for 30 Health. (1/Day).</t>
  </si>
  <si>
    <t>Botanist's Gloves: Legendary Hand Piece Gloves; +3 Dispersion; 20% Earth Resistance; Passive: Exploring a Hex Grants you an Extra Rare or lower Rarity Ingredient of your choice found on this Hex.</t>
  </si>
  <si>
    <t>Explorer's Gloves: Legendary Hand Piece Gloves; +3 Defense; +3 Dispersion; Passive: All Chests will now also contain 1 Ore or Fabric; The Rarity depends on the Roll for the Chest. (1-Nothing; 2-5-Common; 6-10-Rare; 11-15-Epic; 16-19-Legendary; 20 Mythic).</t>
  </si>
  <si>
    <t>Archmages' Enablers: Legendary Hand Piece Gloves; +50 Mana; +5 Power; +1 Wisdom; +2 Dispersion; Active: [1 Channel Stack] Your next Overcast may be used on any Ability Type and has +3 to its Roll.</t>
  </si>
  <si>
    <t>Neverwinter: Astral Hand Piece Gloves; +10 Defense; 80% Frost Resistance; Active: (+) Counter; Negate Targets Action and become Resilient for 3 Turns. (1/Day).</t>
  </si>
  <si>
    <t>Ragged Bandages: Common Hand Piece Wraps; +25 Health.</t>
  </si>
  <si>
    <t>Magic Tainted Wraps: Common Hand Piece Wraps; +10 Health; +2 Power.</t>
  </si>
  <si>
    <t>Gland Twisters: Rare Hand Piece Wraps; +1 Dexterity; +1 Power; +1 Defense; +1 Dispersion; 20% Wind Resistance; 20% Bleed Resistance.</t>
  </si>
  <si>
    <t>Shadow Wraps: Epic Arm/Hand Piece Wraps; +3 Dexterity; +3 Power; +1 Defense; 30% Dark Resistance; Active: (+) Fear Target for 1 Turn. (1/Day).</t>
  </si>
  <si>
    <t>Pair of Manakillers: Epic Hand Piece Wraps; +20 Mana; Passive: Strikes Drain 10 Mana on Hit.</t>
  </si>
  <si>
    <t>Dupliamoris: Legendary Hand Piece Wraps; +2 Power; +2 Dispersion; Passive: The first 2 Non-Ultimate Projectile Abilities you Cast per Combat Trigger once more.</t>
  </si>
  <si>
    <t>Living Bonds: Mythic Hand Piece Wraps; +5 Power; +5 Dispersion; Active: (+) Seal Target for X/2 Turns where X is Targets Level. (1/Day).</t>
  </si>
  <si>
    <t>Serpents of Decisions: Mythic Hand Piece Wraps; +100 Health; +100 Mana; +10 Dexterity; +1 Wisdom; +10 Fortitude; Passive: At the Start of Day, Destroy a different Random equipped Armor; All Gear become Locked; Gain 1 Dexterity, 10 Health and 10 Mana for every Armor Destroyed.</t>
  </si>
  <si>
    <t>Tarnished Cuisses: Common Leg Piece Cuisses; +1 Strength; +2 Defense.</t>
  </si>
  <si>
    <t>Reinforced Cuisses: Uncommon Leg Piece Cuisses; +2 Strength; +2 Defense.</t>
  </si>
  <si>
    <t>Northern Cuisses: Rare Leg Piece Cuisses; +2 Strength; +3 Defense.</t>
  </si>
  <si>
    <t>Metal Shin: Epic Leg Piece Cuisses; +3 Strength; +5 Defense; Passive: Your Legs can not be Dismembered, Instead you will take 25 Bleed Damage(Instead of the 50) upon the effect Triggering on your Leg.</t>
  </si>
  <si>
    <t>Stone Trousers of the Fool: Epic Leg Piece Cuisses; +40 Health; -40 Mana; -2 Dexterity; -2 Power; -2 Mobility; +4 Might; +4 Defense.</t>
  </si>
  <si>
    <t>Dragonscale Cuisses: Legendary Leg Set Piece Cuisses; +40 Health; +4 Defense; +4 Dispersion; 20% Light Resistance; 20% Dark Resistance; 20% Fire Resistance; 20% Frost Resistance; 20% Wind Resistance; 20% Earth Resistance; 20% Lightning Resistance; 20% Bleed Resistance; 20% Poison Resistance.</t>
  </si>
  <si>
    <t>Legplates of the Sunburial: Mythic Leg Piece Cuisses; +4 Defense; +4 Dispersion; 20% Light Resistance; 20% Wind Resistance; Active: (+) Engulf Target in Sundunic Sand causing them to take 10 Wind Damage, 10 Light Damage and 10 Earth Damage and to be Rooted, Staggered or Sealed at random for 2 Turns. (3 Turn Cooldown).</t>
  </si>
  <si>
    <t>Copper Faulds: Common Leg Set Piece Faulds; +2 Defense; 10% Lightning Resistance.</t>
  </si>
  <si>
    <t>Riveted Faulds: Uncommon Leg Piece Faulds; +2 Defense; +2 Dispersion.</t>
  </si>
  <si>
    <t>Steel Faulds: Rare Leg Set Piece Faulds; +1 Strength; +4 Defense; -10% Lightning Resistance; 10% Bleed Resistance.</t>
  </si>
  <si>
    <t>Silver Faulds: Rare Leg Set Piece Faulds; +1 Defense; 10% Light Resistance; 10% Dark Resistance; 10% Fire Resistance; 10% Frost Resistance; 10% Wind Resistance; 10% Earth Resistance; 10% Lightning Resistance; 10% Bleed Resistance; 10% Poison Resistance.</t>
  </si>
  <si>
    <t>Mordred's Perseverance: Legendary Leg Set Piece Faulds; +10 Health; +1 Defense; +1 Dispersion; Passive: At the end of a victorious combat, restore 50% of Health lost during the Combat.</t>
  </si>
  <si>
    <t>False Promises: Legendary Leg Piece Faulds; -40 Health; -40 Mana; -2 Mobility; -4 Defense; -4 Dispersion; Passive: Locks Slot upon Equipping; Active: (+) [Requires 3 Rests with this Gear Equipped] Switch your Leg Slot with Target Entity; Overrides Locked.</t>
  </si>
  <si>
    <t>Faulds of the Elemental Divine: Mythic Leg Set Piece Faulds; +2 Mobility; +7 Defense; +7 Dispersion; 50% Frost Resistance; Active: (+) Deal 40 Frost Damage to Target. (1/Combat).</t>
  </si>
  <si>
    <t>Pristine Beetlers: Mythic Leg Piece Faulds; +6 Strength; +4 Defense; +4 Dispersion; 10% Light Resistance; 10% Dark Resistance; 10% Fire Resistance; 10% Frost Resistance; 10% Wind Resistance; 10% Earth Resistance; 10% Lightning Resistance; 10% Bleed Resistance; 10% Poison Resistance; Active: (o) Flash; Blind all other Entities on Hex for 3 Turns. (1/Day).</t>
  </si>
  <si>
    <t>Leather Pants: Common Leg Set Piece Pants; +15 Health; +1 Dexterity.</t>
  </si>
  <si>
    <t>Loincloth: Common Leg Set Piece Pants; -1 Wisdom; Passive: Reduce all Damage you are about to take by 1.</t>
  </si>
  <si>
    <t>Padded Breeches: Uncommon Leg Piece Pants; +1 Dexterity; +1 Defense.</t>
  </si>
  <si>
    <t>Demonskin Pants: Rare Leg Set Piece Pants; +25 Health; Passive: Successfully Dodging a Melee Attack Enchances your next Basic Attack with 20 Fire Damage On Hit.</t>
  </si>
  <si>
    <t>Silk Shorts: Rare Leg Set Piece Pants; +50 Health.</t>
  </si>
  <si>
    <t>Weavers Straw Pants: Rare Leg Piece Pants; +10 Defense; Passive: At start of each Day this Gear will lose 1 defense but give you 100 Gold; Selfdestruct upon unequipping.</t>
  </si>
  <si>
    <t>Captains Pantaloons: Epic Leg Set Piece Pants; +25 Health; +2 Dexterity; Passive: Your Main Hand Gun/Rifle/Crossbow has 50% chance to Reload after Basic Attack.</t>
  </si>
  <si>
    <t>Stalkers Legwraps: Legendary Leg Set Piece Pants; +2 Dexterity; +2 Power; +2 Mobility; Passive: As long as you are the only Entity under your Banner you gain 2 extra Mobility.</t>
  </si>
  <si>
    <t>Abyssal Strides: Mythic Leg Set Piece Pants; +4 Dexterity; +4 Mobility; 50% Dark Resistance; Passive: Gain the Fearless Condition; Active: Toggle; Convert your Mobility into Dexterity where 1 Mobility is 3 Dexterity.</t>
  </si>
  <si>
    <t>Traditional Leggings: Uncommon Leg Piece Leggings; +20 Health.</t>
  </si>
  <si>
    <t>Leatherworked Leggings: Rare Leg Piece Leggings; +2 Dexterity; +2 Defense; 20% Poison Resistance.</t>
  </si>
  <si>
    <t>Spidersilk Stockings: Rare Leg Piece Leggings; On Hit: 10% Chance to inflict 5 Poison Damage per Tick Over 2 Turns; 10% Poison Resistance; Active: (o) Spin a Web; Slow all other Entities on Hex for 3 Turns. (1/Day).</t>
  </si>
  <si>
    <t>Lady's Leggings: Epic Leg Piece Leggings; +25 Health; +2 Power; +1 Mobility; +1 Wisdom; +2 Defense.</t>
  </si>
  <si>
    <t>Kickback Slacks: Epic Leg Piece Leggings; +2 Dexterity; Passive: When hit by a Melee Attack there is a 30% chance to kick the attacker for 18(+100% Dexterity) Physical Damage.</t>
  </si>
  <si>
    <t>Speedio's: Epic Leg Piece Leggings; Passive: Gain +2 Stamina, Selfdestruct in 3 Days or when Unequipped.</t>
  </si>
  <si>
    <t>Leggings of Perfect Fitting: Legendary Leg Piece Leggings; Passive: +8 Attributes of your Choice and Choose to Gain 80 Health or Mana.</t>
  </si>
  <si>
    <t>Bladed Slains: Mythic Leg Piece Leggings; +5 Dexterity; +5 Dispersion; Passive: Your Melee Basic Attacks Trigger a Leg Strike that deals 20 Physical Damage and 20 Bleed Damage.</t>
  </si>
  <si>
    <t>Rusted Sabatons: Common Feet Piece Sabatons; +2 Defense; 10% Fire Resistance; 10% Earth Resistance; -10% Lightning Resistance.</t>
  </si>
  <si>
    <t>Bronze Sabatons: Uncommon Feet Set Piece Sabatons; +3 Defense; 10% Bleed Resistance.</t>
  </si>
  <si>
    <t>Steel Treads: Rare Feet Set Piece Sabatons; +1 Strength; +4 Defense; -10% Lightning Resistance; 10% Bleed Resistance.</t>
  </si>
  <si>
    <t>Silver Treads: Rare Feet Set Piece Sabatons; +1 Defense; 10% Light Resistance; 10% Dark Resistance; 10% Fire Resistance; 10% Frost Resistance; 10% Wind Resistance; 10% Earth Resistance; 10% Lightning Resistance; 10% Bleed Resistance; 10% Poison Resistance.</t>
  </si>
  <si>
    <t>Armored Tabis: Rare Feet Piece Sabatons; +4 Defense; 10% Fire Resistance; 10% Frost Resistance.</t>
  </si>
  <si>
    <t>Damascan Sabatons: Epic Feet Piece Sabatons; +5 Strength; +5 Defense; Passive: Player no longer takes Damage while Traversing or Resting on Permafrost or Scorch Hexes.</t>
  </si>
  <si>
    <t>Midnight Treads: Epic Feet Piece Sabatons; +4 Defense; +2 Dispersion; 20% Fire Resistance; 20% Frost Resistance; 20% Poison Resistance; Passive: Costs 1 less stamina to cross Desert Hexes.</t>
  </si>
  <si>
    <t>Mordred's Will: Legendary Feet Set Piece Sabatons; +7 Defense; +7 Dispersion; Passive: Walking onto a Hex with an Entity on it will no longer cost stamina, but you will be forced to kill that Entity or Die.</t>
  </si>
  <si>
    <t>Primo Victoria: Legendary Feet Piece Sabatons; +1 Might; +3 Defense; 30% Fire Resistance; 30% Earth Resistance; Passive: All Traversable Hexes will Cost no more than 1 Stamina and will not have a Negative Effect.</t>
  </si>
  <si>
    <t>Dragonscale Treads: Legendary Feet Set Piece Sabatons; +4 Strength; +4 Power; +4 Defense; +4 Dispersion; +1 Stamina.</t>
  </si>
  <si>
    <t>Lolly’s Sneaky Sabatons: Legendary Feet Piece Sabatons; +5 Dexterity; +5 Dispersion; Passive: You gain 1 Extra Action on your first turn in Combat.</t>
  </si>
  <si>
    <t>Sabatons of the Elemental Divine: Mythic Feet Set Piece Sabatons; +4 Defense; +4 Dispersion; +2 Stamina; 50% Earth Resistance; Active: (+) Deal 40 Earth Damage to Target. (1/Combat).</t>
  </si>
  <si>
    <t>Damaged Greaves: Common Feet Piece Greaves; +1 Strength; +2 Defense.</t>
  </si>
  <si>
    <t>Footsoldiers Greaves: Rare Feet Piece Greaves; +3 Defense; +2 Dispersion.</t>
  </si>
  <si>
    <t>Heavy Greaves: Epic Feet Piece Greaves; +5 Strength; -2 Mobility; +5 Defense; +5 Dispersion.</t>
  </si>
  <si>
    <t>State of the Art Verluxian Greaves: Legendary Feet Piece Greaves; +1 Mobility; +5 Defense; +5 Dispersion; +1 Stamina; 10% Light Resistance; 10% Dark Resistance; 10% Fire Resistance; 10% Frost Resistance; 10% Wind Resistance; 10% Earth Resistance; 10% Lightning Resistance; 10% Bleed Resistance; 10% Poison Resistance.</t>
  </si>
  <si>
    <t>Standfast Greaves: Legendary Feet Piece Greaves; -2 Mobility; +5 Defense; Passive: [Requires Combat] If you haven't moved for 3 turns in row double your Defense, Movement Actions cancel the Effect; Does not Stack.</t>
  </si>
  <si>
    <t>Mana-Tech Platformers: Legendary Feet Piece; +2 Power; +2 Mobility; +4 Defense; +1 Dispersion; Active: Jump over one Hex avoiding it completely to land on the next one in the same cardinal direction. (1 Stamina; 1/Day).</t>
  </si>
  <si>
    <t>Shin Kickers: Legendary Leg Piece Greaves; +5 Strength.</t>
  </si>
  <si>
    <t>Planic Walkers: Mythic Feet Piece Greaves; +40 Health; +8 Strength; +8 Defense; +1 Stamina; Passive: Every Hex you Traverse counts as and Transforms into a Plains Hex.</t>
  </si>
  <si>
    <t>Leather Boots: Common Feet Set Piece Boots; +1 Dispersion; 30% Earth Resistance.</t>
  </si>
  <si>
    <t>Traveller’s Boots: Uncommon Feet Set Piece Boots; +1 Stamina; -20% Wind Resistance; -20% Earth Resistance; -20% Bleed Resistance.</t>
  </si>
  <si>
    <t>Demonskin Boots: Rare Feet Set Piece Boots; +40 Health; 20% Fire Resistance.</t>
  </si>
  <si>
    <t>Flash Footwear: Rare Feet Piece Boots; +2 Dexterity; +2 Defense; 30% Lightning Resistance.</t>
  </si>
  <si>
    <t>Lavawear: Rare Feet Piece Boots; +1 Defense; 40% Fire Resistance; Passive: Can Traverse Lava Hexes.</t>
  </si>
  <si>
    <t>Captains Pegleg: Epic Feet Set Piece Boots; [Requires an Amputated Leg Slot]; -1 Mobility; +5 Defense; +1 Stamina; Active: (&gt;) Fire a pellet out of your Amputated Leg dealing 40 Blast damage. (1/Combat).</t>
  </si>
  <si>
    <t>Crystal Boots: Epic Feet Set Piece Boots; +50 Mana; +4 Dispersion; 20% Frost Resistance; Passive: While on Crystal Hexes you have Regeneration Condition.</t>
  </si>
  <si>
    <t>Glacialwear: Epic Feet Piece Boots; +2 Defense; +1 Stamina; 20% Frost Resistance; Passive: Can Traverse Water Hexes.</t>
  </si>
  <si>
    <t>Stalkers Trackers: Legendary Feet Set Piece Boots; +4 Dexterity; +2 Power; +1 Stamina; Passive: Gain the Stealth Condition.</t>
  </si>
  <si>
    <t>The Fleezees: Legendary Feet Set Piece Boots; +2 Defense; +1 Stamina; 20% Fire Resistance; 20% Frost Resistance; 20% Poison Resistance; Passive: Can Flee at no Stamina Cost.</t>
  </si>
  <si>
    <t>Olympian Winged Boots: Legendary Feet Piece Boots; +4 Dexterity; +4 Defense; 40% Wind Resistance; Passive: 20% Chance that Traversing Hexes will not Cost Stamina.</t>
  </si>
  <si>
    <t>Abyssal Kicks: Mythic Feet Set Piece; +8 Dexterity; +2 Stamina; 20% Dark Resistance; Passive: Gain the Agile Condition.</t>
  </si>
  <si>
    <t>Basic Sandals: Common Feet Piece Sandals; +1 Mobility.</t>
  </si>
  <si>
    <t>Woven Sandals: Uncommon Feet Piece Sandals; +1 Mobility; 20% Fire Resistance.</t>
  </si>
  <si>
    <t>Bambus Sandals: Rare Feet Piece Sandals; +2 Power; +1 Defense; +2 Dispersion.</t>
  </si>
  <si>
    <t>Tallers: Rare Feet Piece Sandals; -1 Mobility; Passive: +1 to Basic Attack Rolls.</t>
  </si>
  <si>
    <t>White Obisidian Risers: Epic Feet Piece Sandals; +4 Power; +1 Wisdom; +4 Defense; 20% Light Resistance.</t>
  </si>
  <si>
    <t>Ring of Fire: Common Ring Piece; 40% Fire Resistance.</t>
  </si>
  <si>
    <t>Ring of Frost: Common Ring Piece; Set Piece; 40% Frost Resistance.</t>
  </si>
  <si>
    <t>Ring of Dark: Common Ring Piece; 40% Dark Resistance.</t>
  </si>
  <si>
    <t>Ring of Light: Common Ring Piece; 40% Light Resistance.</t>
  </si>
  <si>
    <t>Ring of Wind: Common Ring Piece; 40% Wind Resistance.</t>
  </si>
  <si>
    <t>Ring of Earth: Common Ring Piece; 40% Earth Resistance.</t>
  </si>
  <si>
    <t>Ring of Bleed: Common Ring Piece; 40% Bleed Resistance.</t>
  </si>
  <si>
    <t>Ring of Poison: Common Ring Piece; 40% Poison Resistance.</t>
  </si>
  <si>
    <t>Ring of Lightning: Common Ring Piece; 40% Lightning Resistance.</t>
  </si>
  <si>
    <t>Ring of Empowerment: Common Ring Piece; +2 Strength; +2 Dexterity; +2 Power.</t>
  </si>
  <si>
    <t>Featherfall Ring: Uncommon Ring Piece; Passive: You no longer Lose Health when Falling off the map.</t>
  </si>
  <si>
    <t>Blacksmiths Ring: Uncommon Ring Piece; Passive: When Crafting Non-Unique Metal Type Gear at the Foundry you may choose the option.</t>
  </si>
  <si>
    <t>Fossil Ring: Uncommon Ring Piece; Passive: Exploring a Hex guarantees an extra Bone Marrow regardless of roll.</t>
  </si>
  <si>
    <t>Smiling Ring: Uncommon Ring Piece; Active: Flash; Grant your next D20 Roll +1. (1/Day).</t>
  </si>
  <si>
    <t>Screeching Ring: Uncommon Ring Piece; Active: Taunt Target Non-Heroic Entity in 1 Hex range forcing them to come to you. (1/Day).</t>
  </si>
  <si>
    <t>Silkmaker's Ring: Uncommon Ring Piece; Passive: When Crafting Non-Unique Cloth Type Gear at the Foundry you may choose the option.</t>
  </si>
  <si>
    <t>Ring of Dexterity: Rare Ring Piece; +6 Dexterity.</t>
  </si>
  <si>
    <t>Ring of Power: Rare Ring Piece; +6 Power.</t>
  </si>
  <si>
    <t>Ring of Strength: Rare Ring Piece; +6 Strength.</t>
  </si>
  <si>
    <t>Blue Tear Ring: Rare Ring Piece; Passive: Gain Resilient when below 25% Max Health.</t>
  </si>
  <si>
    <t>Red Tear Ring: Rare Ring Piece; Passive: Gain Surged when below 25% Max Health.</t>
  </si>
  <si>
    <t>Mountain Ring: Rare Ring Piece; +50 Health.</t>
  </si>
  <si>
    <t>Raven Ring: Rare Ring Piece; Passive: Gain +1 Hex Range on Abilities/Attacks that have Hex Range.</t>
  </si>
  <si>
    <t>Silver Ring: Ring Set Piece; Passive: Gain 20% Total Damage against Demons, Undead, Eldritch and Fae.</t>
  </si>
  <si>
    <t>Ring of Madness: Rare Ring Piece; Passive: At the start of your Turn in Combat all Entities on Hex Lose 10 Health.</t>
  </si>
  <si>
    <t>Elvish Ring: Epic Ring Piece; Passive: Gain the Stealth Condition.</t>
  </si>
  <si>
    <t>Cowards Ring: Epic Ring Set Piece; +3 Mobility.</t>
  </si>
  <si>
    <t>Hornet Ring: Epic Ring Piece; +1 Critical Multiplier.</t>
  </si>
  <si>
    <t>Skyfall Ring: Epic Ring Piece; On Hit: +5 Earth Damage; Active: Powerplay; (&gt;) Calls down a meteorite to strike at a target for 50 Earth Damage.</t>
  </si>
  <si>
    <t>Ring of Endurance: Epic Ring Piece; +1 Mobility; 40% Poison Resistance; +1 Stamina.</t>
  </si>
  <si>
    <t>Qaroth's Agony: Legendary Ring Piece; Passive: Upon taking Lethal damage the Ring will Selfdestruct and nullify all incoming attacks and cleanse all statuses.</t>
  </si>
  <si>
    <t>Sacrificial Ring: Legendary Ring Piece; Passive: Selfdestruct; Revive at a random spot with 25% Health upon Death; YOU LOSE UNEQUIPED ITEMS.</t>
  </si>
  <si>
    <t>Darkblades Ring: Legendary Ring Piece; Active: (+) Absorb life essence from the enemy, Draining 40 Health and dealing 20 Dark Damage to Target. (1/Day).</t>
  </si>
  <si>
    <t>Ring of Total Destruction: Legendary Ring Piece; Active: (+) Roll a D100 and deal True damage equal to the roll to the enemy as True Damage; If Damage proves Lethal Destroy the Entity. (1/Day).</t>
  </si>
  <si>
    <t>Ring of Soul Leech: Legendary Ring Piece; Passive: Recover 30 Health from every Enemy Killed or Destroyed.</t>
  </si>
  <si>
    <t>Ring of the Flaming Embers: Legendary Ring Piece; Passive: Your Attacks inflict 25 Fire Damage On Hit.</t>
  </si>
  <si>
    <t>Ring of True Insight: Legendary Ring Piece; +4 Wisdom.</t>
  </si>
  <si>
    <t>Ring of Absolute Force: Legendary Ring Piece; +4 Might.</t>
  </si>
  <si>
    <t>The Magnet: Mythic Ring Piece; Active: (+) Teleport any Gear within your Hex that you can See into your Respective Empty Slot or Inventory. (1/Day).</t>
  </si>
  <si>
    <t>Layered Cataclysm: Mythic Ring Piece; +5 Strength; +5 Dexterity; +5 Power; Passive: [Requires Combat] Each Attack you make increases the Total Damage of your next Attack by 10%.</t>
  </si>
  <si>
    <t>Flowing Despair: Mythic Ring Piece; Passive: The cost of your First Ability per Day will be evenly shared between all other Entities on a Hex.</t>
  </si>
  <si>
    <t>Unknown Guidance: Uncommon Necklace Piece; Active: Reveal the direction of closest Random Landmark. (2/Day).</t>
  </si>
  <si>
    <t>Necklace of Regret: Uncommon Necklace Piece; On Hit: 4 Dark Damage; Passive: Whenever you Roll a 1 on Landmarks or Encounters Increase the On Hit Damage of this Gear by 4.</t>
  </si>
  <si>
    <t>Necklace of Rain: Uncommon Necklace Piece; 20% Frost Resistance; Active: (+) Inflict Target with Wet for 3 Turns. (1/Day).</t>
  </si>
  <si>
    <t>Jewel of the Sands: Rare Necklace Piece; +2 Dexterity; +2 Power; Passive: Deserts no longer slow your movement down. (Traversing them takes 1 stamina).</t>
  </si>
  <si>
    <t>Silver Amulet: Rare Necklace Set Piece; +1 Dispersion; 10% Light Resistance; 10% Dark Resistance; 10% Fire Resistance; 10% Frost Resistance; 10% Wind Resistance; 10% Earth Resistance; 10% Lightning Resistance; 10% Bleed Resistance; 10% Poison Resistance.</t>
  </si>
  <si>
    <t>Necklace of Wisdom: Rare Necklace Piece; +2 Wisdom.</t>
  </si>
  <si>
    <t>Necklace of Might: Rare Necklace Piece; +2 Might.</t>
  </si>
  <si>
    <t>Necklace of Mobility: Rare Necklace Piece; +2 Mobility.</t>
  </si>
  <si>
    <t>Spell-Eater: Epic Necklace Piece; Active: (+) Selfdestruct; Counter; Eat Target Spell Targeting you.</t>
  </si>
  <si>
    <t>Locket of the Dryad: Epic Necklace Piece; +50 Mana; Passive: Gain +5 on your Roll when Entering Forests.</t>
  </si>
  <si>
    <t>Necklace of the Rebelious One: Epic Necklace Piece; +3 Strength; Passive: You will always be first to take Action in Combat. (Overrides Heavy).</t>
  </si>
  <si>
    <t>Ravens Eye: Epic Necklace Piece; Passive: +1 Vision.</t>
  </si>
  <si>
    <t>Lava Charm: Legendary Necklace Piece; +80 Health; +4 Strength; +4 Power; 40% Fire Resistance; Passive: Passive; You may Traverse Lava Hexes without suffering their Negative Effect.</t>
  </si>
  <si>
    <t>Necklace of the Carrying Desert Sands: Legendary Necklace Piece; 20% Light Resistance; 20% Wind Resistance; 20% Earth Resistance; Active: (o) Powerplay; Turn Adjacent Hexes into Desert Hexes Until End of Day.</t>
  </si>
  <si>
    <t>Gods Pathway: Legendary Necklace Piece; -100 Health; -100 Mana; -5 Strength; -5 Dexterity; -5 Power; -3 Mobility; -3 Might; -3 Wisdom; Passive: Killing Heroic Entities Grants you 1 Attunemnt Point, Once you've Gained 8 Attunement Points from this Gear it will no longer Grant Stats.</t>
  </si>
  <si>
    <t>Potioner's Necklace: Legendary Necklace Piece; Passive: Potions have a 20% Chance to not get consumed when used on yourself; Active: Combine Target Ingredient with a Random Ingredient of Epic or lower Rarity to craft a potion.</t>
  </si>
  <si>
    <t>Unbound Loyalty: Mythic Necklace Piece; Active: (+) If you are in Combat with more than 1 Hostile entity choose Target Non-Heroic; Target is now under your Banner. it dies at the end of the combat unless you Die first in which case it is returned to its original Banner. (1/Day).</t>
  </si>
  <si>
    <t>Time Dial: Mythic Necklace Piece; Active: (?)  Flash; Refresh all of your Non-Ultimate Daily or Turn based Cooldowns. (1/Vendal).</t>
  </si>
  <si>
    <t>Sabien's Bag: Legendary Artifact; Passive: Store unlimited amount of Items and Gear inside; It takes 1 Combat Turn to take out Items from it into your Inventory.</t>
  </si>
  <si>
    <t>Hourglass: Legendary Artifact; Passive: Hold 2 charges and need to be turned around consuming 1 turn after its charges are consumed.</t>
  </si>
  <si>
    <t>Skira: Legendary Artifact; Passive: [WARNING: TORMENT MODE] Can be obtained by typing Skira in the first turn of the 8 Ones. Locks Artifact Slot and Evaporates constantly all your Gold.</t>
  </si>
  <si>
    <t>Prismatic Pyramid: Legendary Artifact; +50 Mana; 50% Earth Resistance; Active: (+) Encase Target Entity with Less than 50% Health in a Stasis Stunning them for 2 Turns. (1/Day).</t>
  </si>
  <si>
    <t>Idiots Fate: Legendary Artifact; Passive: Gain +2 on Every single Dice Roll you throw.</t>
  </si>
  <si>
    <t>Loaded Dice: Legendary Artifact; Passive: You can subtract or add 1 on any of your Dice Rolls.</t>
  </si>
  <si>
    <t>Death Chain: Legendary Artifact; Passive: Gain 500 Max Health; Locks Artifact Slot; You get Destroyed in 8 Days; If any effect prevents this it triggers again.</t>
  </si>
  <si>
    <t>Old Tree's Leaf: Legendary Artifact; Passive: You Regenerate 40 Health more on Rest.</t>
  </si>
  <si>
    <t>Groko Statue: Legendary Artifact; Passive: Entities can no longer cast Spells on current Hex.</t>
  </si>
  <si>
    <t>Light Helix: Legendary Artifact/Necklace; +100 Mana; 50% Light Resistance; Active: (+) Open a Portal to a Previously Traversed Hex; While in Combat the Portal is opened on an adjacent empty Tile; Entities ending up on Target Tile are automatically Teleported; Entity that steps through the Portal loses 1 Stamina; Portal Closes after 1 Entity goes through it. (50 Mana/Health); Active: (+) Counter; Open a Portal redirecting Target Non-Ultimate Projectile to a different Target. (50 Mana/Health).</t>
  </si>
  <si>
    <t>Dark Helix: Legendary Artifact/Necklace; +100 Mana; 50% Dark Resistance; Active: (+) Open a Portal to a Previously Traversed Hex; While in Combat the Portal is opened on an adjacent empty Tile; Entities ending up on Target Tile are automatically Teleported; Entity that steps through the Portal loses 1 Stamina; Portal Closes after 1 Entity goes through it. (50 Mana/Health); Active: (+) Counter; Open a Portal redirecting Target Non-Ultimate Projectile to a different Target. (50 Mana/Health).</t>
  </si>
  <si>
    <t>Fire Helix: Legendary Artifact/Necklace; +100 Mana; 50% Fire Resistance; Active: (+) Open a Portal to a Previously Traversed Hex; While in Combat the Portal is opened on an adjacent empty Tile; Entities ending up on Target Tile are automatically Teleported; Entity that steps through the Portal loses 1 Stamina; Portal Closes after 1 Entity goes through it. (50 Mana/Health); Active: (+) Counter; Open a Portal redirecting Target Non-Ultimate Projectile to a different Target. (50 Mana/Health).</t>
  </si>
  <si>
    <t>Frost Helix: Legendary Artifact/Necklace; +100 Mana; 50% Frost Resistance; Active: (+) Open a Portal to a Previously Traversed Hex; While in Combat the Portal is opened on an adjacent empty Tile; Entities ending up on Target Tile are automatically Teleported; Entity that steps through the Portal loses 1 Stamina; Portal Closes after 1 Entity goes through it. (50 Mana/Health); Active: (+) Counter; Open a Portal redirecting Target Non-Ultimate Projectile to a different Target. (50 Mana/Health).</t>
  </si>
  <si>
    <t>Wind Helix: Legendary Artifact/Necklace; +100 Mana; 50% Wind Resistance; Active: (+) Open a Portal to a Previously Traversed Hex; While in Combat the Portal is opened on an adjacent empty Tile; Entities ending up on Target Tile are automatically Teleported; Entity that steps through the Portal loses 1 Stamina; Portal Closes after 1 Entity goes through it. (50 Mana/Health); Active: (+) Counter; Open a Portal redirecting Target Non-Ultimate Projectile to a different Target. (50 Mana/Health).</t>
  </si>
  <si>
    <t>Earth Helix: Legendary Artifact/Necklace; +100 Mana; 50% Earth Resistance; Active: (+) Open a Portal to a Previously Traversed Hex; While in Combat the Portal is opened on an adjacent empty Tile; Entities ending up on Target Tile are automatically Teleported; Entity that steps through the Portal loses 1 Stamina; Portal Closes after 1 Entity goes through it. (50 Mana/Health); Active: (+) Counter; Open a Portal redirecting Target Non-Ultimate Projectile to a different Target. (50 Mana/Health).</t>
  </si>
  <si>
    <t>Lightning Helix: Legendary Artifact/Necklace; +100 Mana; 50% Lightning Resistance; Active: (+) Open a Portal to a Previously Traversed Hex; While in Combat the Portal is opened on an adjacent empty Tile; Entities ending up on Target Tile are automatically Teleported; Entity that steps through the Portal loses 1 Stamina; Portal Closes after 1 Entity goes through it. (50 Mana/Health); Active: (+) Counter; Open a Portal redirecting Target Non-Ultimate Projectile to a different Target. (50 Mana/Health).</t>
  </si>
  <si>
    <t>Blood Helix: Legendary Artifact/Necklace; +100 Mana; 50% Bleed Resistance; Active: (+) Open a Portal to a Previously Traversed Hex; While in Combat the Portal is opened on an adjacent empty Tile; Entities ending up on Target Tile are automatically Teleported; Entity that steps through the Portal loses 1 Stamina; Portal Closes after 1 Entity goes through it. (50 Mana/Health); Active: (+) Counter; Open a Portal redirecting Target Non-Ultimate Projectile to a different Target. (50 Mana/Health).</t>
  </si>
  <si>
    <t>Arcane Helix: Legendary Artifact/Necklace; +150 Mana; Active: (+) Open a Portal to a Previously Traversed Hex; While in Combat the Portal is opened on an adjacent empty Tile; Entities ending up on Target Tile are automatically Teleported; Entity that steps through the Portal loses 1 Stamina; Portal Closes after 1 Entity goes through it. (50 Mana/Health); Active: (+) Counter; Open a Portal redirecting Target Non-Ultimate Projectile to a different Target. (50 Mana/Health).</t>
  </si>
  <si>
    <t>Blink Drive: Legendary Artifact; Passive: [Requires Combat] Every time you suffer Damage, you Teleport 1 Tile away from Target that Inflicted Damage to you if possible; Active: Passive: [Requires Combat] Every time you suffer Damage, you Teleport 1 Tile away from Target that Inflicted Damage to you if possible.</t>
  </si>
  <si>
    <t>Pandoras Box: Legendary Artifact; Passive: At the Start of the Day gain 1 Random Gear or Item. (Any Random Rarity).</t>
  </si>
  <si>
    <t>Nature's Heart: Legendary Artifact; Passive: The First Wavelength Non-Ultimate Ability Cast each Day costs 0 Resonance; Toggle Abilities are not affected.</t>
  </si>
  <si>
    <t>Locket of Tiredness: Legendary Artifact; +200 Health; -2 Mobility; -1 Stamina; Passive: Active: [Requires "The Key of Melancholy" Artifact] Consume The Lock of Tiredness and The Key of Melancholy to Gain 800 Max Mana, 800 Max Health -4 Mobility and -1 Stamina.</t>
  </si>
  <si>
    <t>Key of Melancholy: Legendary Artifact; +200 Mana; -2 Mobility; -1 Stamina; Passive: Active: [Requires "Locket of Tiredness" Artifact] Consume The Lock of Tiredness and The Key of Melancholy to Gain 800 Max Mana, 800 Max Health -4 Mobility and -1 Stamina.</t>
  </si>
  <si>
    <t>Userpers Wish: Legendary Artifact; +100 Mana; -5 Wisdom; +10 Dispersion; Passive: All your Attempts gain +2 to their Rolls.</t>
  </si>
  <si>
    <t>Scale of Selfishness: Legendary Artifact; Active: (+) [Requires Combat] Target Non-Heroic Entity is no longer under anyones Banner and becomes Hostile towards all other Entities on Hex until End of Combat. (1/Day).</t>
  </si>
  <si>
    <t>Stagehands Bowtie: Legendary Artifact; Passive: Your Non-Ultimate Abilities have Hidden and your Damage dealing Ultimate Abilities have 20% Lifedrain.</t>
  </si>
  <si>
    <t>Legion: Mythic Artifact; +100 Health; +4 Defense; Passive: Instant; Herald(Legion is Turning!); Upon receiving this Item 3 Legendary Swords Fall onto the Planes and you will Know their Locations; Acquiring All 3 and Placing them Inside Legion(Consuming them in the process) Gear will Trigger a Mechanis.</t>
  </si>
  <si>
    <t>Handle of Wonders: Mythic Artifact; [Requires Empty Main and Off-Hand]; Passive: Powerplay; Upon Equipping Also Equip a Random Acterosa in your Main/Off-Hand; Active: Reroll your Acterosa. (50 Health).</t>
  </si>
  <si>
    <t>Black Sun: Astral Artifact; Passive: All other Entities in Combat with you take 30 Dark Damage Per Action/Sub-Action taken.</t>
  </si>
  <si>
    <t>Pyrus: Astral Artifact/Two-Handed; 20 Arcane Damage; On Hit: 80 Pyro Damage; Passive: Locks Both Artifact and Main Hand Slot; At the Start of your Turn in Combat Everything takes 20 Scorch Damage.</t>
  </si>
  <si>
    <t>Creatorum: Astral Artifact; Active: (+) Counter; Lock target Projectile in Air for 3 Turns; Moving out of its way causes it to miss. (1 Stamina); Active: (+) Flash; Change Entities Stat by adding or Subtracting 10. (1 For Attribute/Mobility/Stamina/Faith) (1/Day).</t>
  </si>
  <si>
    <t>Imaginarum: Astral Artifact; Active: (+) Teleport yourself and Target into your own pocket dimension for 3 Turns, Whilst in this Dimension your Stats are Infinite, you are Indestructable and Unstoppable, This Action resets Combat State. (1/Day).</t>
  </si>
  <si>
    <t>Orb of Infinity: Astral Artifact; +800 Mana; +100 Power; Passive: All Magic Damage becomes Arcane.</t>
  </si>
  <si>
    <t>Kog'Dal Egg: Astral Artifact; +400 Health; +10 Defense; +10 Dispersion; Passive: Immunity to Earth Damage.</t>
  </si>
  <si>
    <t>Void Heart: Astral Artifact; Passive: Immune to Void Hexes; Stats are Hidden; Every Action is Hidden; Can not be Overriden.</t>
  </si>
  <si>
    <t>Exodus Lightseeker: Astral Artifact; Active: (o) Engulf every Entity on Hex in radiating light for 200 Light Damage. (1/Day).</t>
  </si>
  <si>
    <t>Ortogot Fangs: Astral Artifact; Passive: Gain Counter on all Actions and detect Invisible Entities and Objects.</t>
  </si>
  <si>
    <t>Null Breaker: Astral Artifact; Passive: At the start of your every third turn Freeze all Other Entities for 2 Turns.</t>
  </si>
  <si>
    <t>Final Shard: Astral Artifact; Passive: Gain 1 extra Action and 1 extra Flash Action per Turn.</t>
  </si>
  <si>
    <t>5000 Gold</t>
  </si>
  <si>
    <t>10000 Gold</t>
  </si>
  <si>
    <t>100000 Gold</t>
  </si>
  <si>
    <t>(≈) Steady Aim: Your next  attack will crit. (30 Mana)</t>
  </si>
  <si>
    <t>(≈) Steady Aim II: Your next 2  attacks will crit. (30 Mana)</t>
  </si>
  <si>
    <t>(≈) Steady Aim III: Your next 3  attacks will crit. (30 Mana)</t>
  </si>
  <si>
    <t>(&gt;) Catch This pot: Throw a Critless Flask: Can No Longer Critical Hit; Lasts Until End of Combat. (&gt;) at a target. (50 Mana)</t>
  </si>
  <si>
    <t>(&gt;) Catch This pot II: Throw a Critless Flask: Can No Longer Critical Hit; Lasts Until End of Combat. (&gt;) at a target. (40 Mana)</t>
  </si>
  <si>
    <t>(&gt;) Catch This pot III: Throw a Critless Flask: Can No Longer Critical Hit; Lasts Until End of Combat. (&gt;) at a target. (30 Mana)</t>
  </si>
  <si>
    <t>(≈) Flashy preperation: Your first action next turn gains flash. (50 Mana)</t>
  </si>
  <si>
    <t>(≈) Flashy preperation II: Your first action next 2 turns gains flash. (60 Mana)</t>
  </si>
  <si>
    <t>(≈) Flashy preperation III: Your first action next 3 turns gains flash. (70 Mana)</t>
  </si>
  <si>
    <t>(&gt;) Gold Shot: Shoot a projectile that steals 250 gold, if there is no gold to steal deal 20 damage to target. (50 Mana)</t>
  </si>
  <si>
    <t>(&gt;) Gold Shot II: Shoot a projectile that steals 250 gold, if there is no gold to steal deal 30 damage to target. (50 Mana)</t>
  </si>
  <si>
    <t>(&gt;) Gold Shot III: Shoot a projectile that steals 250 gold, if there is no gold to steal deal 40 damage to target. (50 Mana)</t>
  </si>
  <si>
    <t>(≈) Armor Piercing Round: Your next attack will Ignore any defense/dispersion. (30 mana)</t>
  </si>
  <si>
    <t>(≈) Armor Piercing Round II: Your next attack will Ignore any defense/dispersion. (20 mana)</t>
  </si>
  <si>
    <t>(≈) Armor Piercing Round III : Your next attack will Ignore any defense/dispersion. (10 mana)</t>
  </si>
  <si>
    <t>(≈) Pew: Blitz, Precise, Basic Attack Target. (40 Mana)</t>
  </si>
  <si>
    <t>(≈) Pew II: Blitz, Precise, Basic Attack Target. (30 Mana)</t>
  </si>
  <si>
    <t>(≈) Pew III: Blitz, Precise, Basic Attack Target. (20 Mana)</t>
  </si>
  <si>
    <t>(≈) Quick shoot: Flash; Prepare (30 Mana; 3 turn cooldown)</t>
  </si>
  <si>
    <t>(≈) Quick shoot II: Flash; Prepare (20 Mana; 3 turn cooldown)</t>
  </si>
  <si>
    <t>(≈) Quick shoot III: Flash; Prepare (10 Mana; 3 turn cooldown)</t>
  </si>
  <si>
    <t>(≈) Quick Draw: Flash;Channel (30 Mana 3 turn cooldown)</t>
  </si>
  <si>
    <t>(≈) Quick Draw II: Flash;Channel (20 Mana 3 turn cooldown)</t>
  </si>
  <si>
    <t>(≈) Quick Draw III: Flash;Channel (10 Mana 3 turn cooldown)</t>
  </si>
  <si>
    <t>(≈) Linking Shot: Your next Projectile will bounce to 1 additonal hostile target, if there are none, the projectile will do 50% increased damage (60 mana)</t>
  </si>
  <si>
    <t>(≈) Linking Shot  II: Your next Projectile will bounce to 2 additonal hostile targets,if there are none the projectile will do 50% increased damage (50 mana)</t>
  </si>
  <si>
    <t>(≈) Linking Shot III: Your next Projectile will bounce to 3 additonal hostile targets,if there are none the projectile will do 50% increased damage (40 mana)</t>
  </si>
  <si>
    <t>(P) Nu -uh:If your projectile doesn’t hit your target for any reason it will still do half damage or half effect.(Locks 50 mana)</t>
  </si>
  <si>
    <t>(P) Nu -uh II:If your projectile doesn’t hit your target for any reason it will still do half damage or effect.(Locks 40 mana)</t>
  </si>
  <si>
    <t>(P) Nu -uh III:If your projectile doesn’t hit your target for any reason it will still do half damage or effect.(Locks 40 mana)</t>
  </si>
  <si>
    <t>(P) Reverberation:  Your projectiles have a 50% chance to double hit. (Locks 100 Mana)</t>
  </si>
  <si>
    <t>(P) Reverberation II:  Your projectiles have a 50% chance to triple hit. (Locks 150 Mana)</t>
  </si>
  <si>
    <t>(P) Reverberation III:  Your projectiles will triple hit. (locks 150 Mana)</t>
  </si>
  <si>
    <t>(≈) Starfall: Gain a Star Fragment: Throwable Explosive; Deals 30 Blast Damage; 30 Radiation Damage; 30 Arcane Damage; Evaporates Tile into a Simple Plains Tile. (100 Mana)</t>
  </si>
  <si>
    <t>(≈) Starfall II: Gain 2 Star Fragment: Throwable Explosive; Deals 30 Blast Damage; 30 Radiation Damage; 30 Arcane Damage; Evaporates Tile into a Simple Plains Tile. (150 Mana)</t>
  </si>
  <si>
    <t>(≈) Starfall III: Gain 3 Star Fragment III: Throwable Explosive; Deals 30 Blast Damage; 30 Radiation Damage; 30 Arcane Damage; Evaporates Tile into a Simple Plains Tile. (200 Mana)</t>
  </si>
  <si>
    <t>(❖:&gt;) Cold Net: Throw a net onto a target that will chill and slow them for 5 turns. (50 mana 1/Combat)</t>
  </si>
  <si>
    <t>(❖:&gt;) Cold Net II: Throw a net onto a target that will chill and slow them for 5 turns. (50 mana 1/Combat)</t>
  </si>
  <si>
    <t>(❖:&gt;) Cold Net III: Throw a net onto a target that will chill and slow them for 5 turns. (50 mana 1/Combat)</t>
  </si>
  <si>
    <t>(❖:&gt;) Rot Needle: Flash; Throw a needle that does 1 poison damage, if during combat a target is hit by 8 needles, they gain rotting in 8 days. (10 mana)</t>
  </si>
  <si>
    <t>(❖:&gt;) Rot Needle II: Flash; Throw a needle that does 10 poison damage, if during combat a target is hit by 7 needles, they gain rotting in 7 days. (10 mana)</t>
  </si>
  <si>
    <t>(❖:&gt;) Rot Needle III: Flash; Throw a needle that does 25 poison damage, if during combat a target is hit by 6 needles, they gain rotting in 6 days. (10 mana)</t>
  </si>
  <si>
    <t>(P) Life Attack : Your Basic Attacks have  10% lifedrain.</t>
  </si>
  <si>
    <t>(P) Life Attack II : Your Basic Attacks have  20% lifedrain.</t>
  </si>
  <si>
    <t>(P) Life Attack III : Your Basic Attacks have  30% lifedrain.</t>
  </si>
  <si>
    <t>(P) Discipline, Brawn: Gain the Disciplined and Brawn Conditions.</t>
  </si>
  <si>
    <t>(P) Discipline, Brawn and Vile III: Gain the Disciplined, Brawn and Vile Condition.</t>
  </si>
  <si>
    <t>(&gt;) Throw a Rock!: Throw a rock at a target, stagering them and dealing 20 pysical damage (20 mana)</t>
  </si>
  <si>
    <t>(≈) Charge: Move in a straight line untill you move onto the same tile as another entity, attack them. (40 mana)</t>
  </si>
  <si>
    <t>(≈) Charge II: Move in a straight line untill you move onto the same tile as another entity, attack them with +5 to hit. (50 mana)</t>
  </si>
  <si>
    <t>(≈) Charge III: Move in a straight line untill you move onto the same tile as another entity, attack them twice. (60 mana)</t>
  </si>
  <si>
    <t>(≈) Deflect: Gain 100% deflection for 1 turn (60 mana)</t>
  </si>
  <si>
    <t>(≈) Deflect II: Gain 100% deflection for 2 turns (70 mana)</t>
  </si>
  <si>
    <t>(≈) Deflect III: Gain 100% deflection for 3 turns (80 mana)</t>
  </si>
  <si>
    <t>(≈) True Strike: Your next attack can't miss (10 mana)</t>
  </si>
  <si>
    <t>(≈) True Strike II: Your next attack is a guarenteed crit (30 mana)</t>
  </si>
  <si>
    <t>(≈) True Strike III: Your next attack is a guarenteed vital (60 mana)</t>
  </si>
  <si>
    <t>(P) Like The Wind: You are first in initiative</t>
  </si>
  <si>
    <t>(P) Like The Wind II: You go first in initiative and start on tile of your choosing.</t>
  </si>
  <si>
    <t>(P) Like The Wind III: Start first in initiative and choose starting location, movement action allow you to move 2 tiles instead of 1 now.</t>
  </si>
  <si>
    <t>(P)  A Bigger Stick: Equiped weapon has +1 tile reach.</t>
  </si>
  <si>
    <t>(P)  A Bigger Stick II: Equiped weapon has +2 tile reach.</t>
  </si>
  <si>
    <t>(P)  A Bigger Stick III: Equiped melee weapon has +3 tile reach.</t>
  </si>
  <si>
    <t>(P) Bald Head: The sun reflects off my head, reducing all other hostile entities next d20 roll by 5.</t>
  </si>
  <si>
    <t>(P) Bald Head II:The sun reflects off my head, reducing all other hostile entities next  2 d20 rolls by 5.</t>
  </si>
  <si>
    <t>(P) Bald Head III: The sun reflects off my head, reducing all other hostile entities next  3 d20 rolls by 5.</t>
  </si>
  <si>
    <t>(+) Scary Face: Flash, Put on a scary face, fearing other entities in combat with you for 1 turn. (60 mana)</t>
  </si>
  <si>
    <t>(+) Scary Face II: Flash, Put on a scary face, fearing other entities in combat with you for 1 turn. (50 mana)</t>
  </si>
  <si>
    <t>(+) Scary Face III: Flash, Put on a scary face, fearing other enteties in combat with you for 1 turn (30 mana)</t>
  </si>
  <si>
    <t>(≈) Concussive Strike: Strike target, and confuse the enemy on hit for 1 turn. (60 mana)</t>
  </si>
  <si>
    <t>(≈) Concussive Strike II: Strike Target, and confuse the enemy on hit for 1 turn. (40 mana)</t>
  </si>
  <si>
    <t>(≈) Concussive Strike III: Strike target, and confuse the enemy on hit for 2 turns (40 mana)</t>
  </si>
  <si>
    <t>(≈) Fire Jab: Flash, strike with an additional 10 fire base damage. (30 mana)</t>
  </si>
  <si>
    <t>(≈) Fire Jab II: Fire Jab: Flash, strike with an additional 20 fire base damage. (40 mana)</t>
  </si>
  <si>
    <t>(≈) Fire Jab III: Fire Jab: Flash, strike with an additional 30 fire base damage. (50 mana)</t>
  </si>
  <si>
    <t>(&gt;) Air Blast: Punch forward compressing air dealing 20wind damage +5 PD if they are in melee range (30 mana)</t>
  </si>
  <si>
    <t>(&gt;)Air Blast II: Punch forward compressing air dealing 30 wind damage +10 PD if they are in melee range (50 mana)</t>
  </si>
  <si>
    <t>(&gt;) Air Blast III: Punch forward compressing air dealing 40 wind damage +15 PD if they are in melee range (60 mana)</t>
  </si>
  <si>
    <t>(≈) Pulling Cut: Strike target and pull your weapon through dealing 5 bleed for 3 turns + normal dmg (30 mana)</t>
  </si>
  <si>
    <t>(≈) Pulling Cut II: Strike target and pull your weapon through dealing 10 bleed for 3 turns + normal dmg (40 mana)</t>
  </si>
  <si>
    <t>(≈) Pulling Cut III: Strike target and pull your weapon through dealing 15 bleed for 3 turns + normal dmg (50 mana)</t>
  </si>
  <si>
    <t>(≈) Evil Smite: Imbue your weapon with dark, attack target dealing an additional 15 dark damage on hit (25 mana)</t>
  </si>
  <si>
    <t>(≈) Evil Smite II: Imbue your weapon with dark energy, attack target dealing an additional 25 dark damage on hit (25 mana)</t>
  </si>
  <si>
    <t>(≈) Evil Smite III: Imbue your weapon with dark energy, attack target dealing an additional 40 dark damage on hit (30 mana)</t>
  </si>
  <si>
    <t>(P) Grand Strike III : Upon taking Fatal Damage, Basic attack target one last time with +5 roll modifier. 1/day</t>
  </si>
  <si>
    <t>(P) I will not be detered: You are Immune to all Forms Of Crowd Control.</t>
  </si>
  <si>
    <t>(P) I will not be detered II: You are Immune to all Forms Of Crowd Control,+ 2 might.</t>
  </si>
  <si>
    <t>(P) I will not be detered III: You are Immune to all Forms Of Crowd Control,+ 8 might.</t>
  </si>
  <si>
    <t>(≈) There is no Breaking Point: Gain Barrier Equal to 10 times your Defense Until End of Combat; Your Attacks Gain On Hit Damage Equal to your Strength for 5 Turns. (100 Mana; 1/Combat)</t>
  </si>
  <si>
    <t>(≈) There is no Breaking Point II: Gain Barrier Equal to 12 times your Defense Until End of Combat; Your Attacks Gain On Hit Damage Equal to your Strength for 6 Turns. (100 Mana; 1/Combat)</t>
  </si>
  <si>
    <t>(≈) There is no Breaking Point III: Gain Barrier Equal to 15 times your Defense Until End of Combat; Your Attacks Gain On Hit Damage Equal to your Strength for 8 Turns. (100 Mana; 1/Combat)</t>
  </si>
  <si>
    <t>(P) Gods Chosen: Powerplay; Upon Death, Revive with 100 Health, and blind everyone else on the Hex for 2 Turns.</t>
  </si>
  <si>
    <t>(P) Gods Chosen II: Powerplay; Upon Death, Revive with 150 Health, and blind everyone else on the Hex for 3 Turns.</t>
  </si>
  <si>
    <t>(P) Gods Chosen III: Powerplay; Upon Death, Revive with 250 Health, and blind everyone else on the Hex for 4 Turns.</t>
  </si>
  <si>
    <t>(≈) Strengthen: Gain 50HP/ 5 defense &amp; 5 dispersion / 20 elemental resistance randomly 2 times ( 100 Mana)</t>
  </si>
  <si>
    <t>(≈) Strengthen II: Gain 50HP/ 5 defense &amp; 5 dispersion / 20 elemental resistance randomly 4 times ( 150 Mana)</t>
  </si>
  <si>
    <t>(≈) Strengthen III: Gain 50HP/ 5 defense &amp; 5 dispersion / 20 elemental resistance randomly 8 times. ( 200 Mana)</t>
  </si>
  <si>
    <t>(≈) Thats Mine Now: Take the opponents main hand item(is auto equipted and drops after combat) (100 mana)</t>
  </si>
  <si>
    <t>(≈) Thats Mine Now II: Take the opponents main and offhand items (is auto equipted and drops after combat) (120 mana)</t>
  </si>
  <si>
    <t>(≈) Thats Mine Now III: Take the opponents main and offhand items and artifact (is auto equipted and drops after combat) (180 mana)</t>
  </si>
  <si>
    <t>(≈) Holy  Prayer: Pray to your gods for 3 turns then gain 200 health and mana (channel 3 turns) (once per fight)</t>
  </si>
  <si>
    <t>(≈) Holy  Prayer: Pray to your gods for 2 turns then gain 250 health and mana (channel 2 turns) (once per fight)</t>
  </si>
  <si>
    <t>(≈) Holy  Prayer: Pray to your gods for 2 turns then gain 300 health and mana (channel 2 turns) (once per fight)</t>
  </si>
  <si>
    <t>(P) Conclave Aura: +30% Frost; Dark and Lightning Resistance; Immunity to Sealed. (Locks 40 mana)</t>
  </si>
  <si>
    <t>(P) Conclave Aura II : +30% Frost; Dark and Lightning Resistance; Immunity to Sealed. (Locks 30 Mana)</t>
  </si>
  <si>
    <t>(P) Conclave Aura III : +30% Frost; Dark and Lightning Resistance; Immunity to Sealed. (Locks 20 Mana)</t>
  </si>
  <si>
    <t>(P) Fortitude Master II: Gain 30% Fortitude.</t>
  </si>
  <si>
    <t>(P) Fortitude Master III: Gain 40% Fortitude.</t>
  </si>
  <si>
    <t>(P) Wise: Gain 2 Wisdom</t>
  </si>
  <si>
    <t>(P) Wise II: Gain 3 Wisdom</t>
  </si>
  <si>
    <t>(P) Wise III: Gain 4 Wisdom.</t>
  </si>
  <si>
    <t>(P) Dark Attack III:  Your Basic Attacks have 7(+150% Level) Dark Damage on Hit.</t>
  </si>
  <si>
    <t>(❖:o) Blood Nova: Deal 20 Bleed Damage in Target 2x2 Tile Area. (30 Mana)</t>
  </si>
  <si>
    <t>(❖:o) Blood Nova II: Deal 40 Bleed Damage in Target 2x2 Tile Area. (60 Mana)</t>
  </si>
  <si>
    <t>(❖:o) Blood Nova III: Deal 60 Bleed Damage in Target 2x2 Tile Area. (90 Mana)</t>
  </si>
  <si>
    <t>(❖:o) Poison Nova: Deal 20 Poison Damage in Target 2x2 Tile Area. (30 Mana)</t>
  </si>
  <si>
    <t>(❖:o) Poison Nova II: Deal 40 Poison Damage in Target 2x2 Tile Area. (60 Mana)</t>
  </si>
  <si>
    <t>(❖:o) Poison Nova III: Deal 60 Poison Damage in Target 2x2 Tile Area. (90 Mana)</t>
  </si>
  <si>
    <t>(❖:o) Wind Nova: Deal 20 Wind Damage in Target 2x2 Tile Area. (30 Mana)</t>
  </si>
  <si>
    <t>(❖:o) Wind Nova II: Deal 40 Wind Damage in Target 2x2 Tile Area. (60 Mana)</t>
  </si>
  <si>
    <t>(❖:o) Wind Nova III: Deal 60 Wind Damage in Target 2x2 Tile Area. (90 Mana)</t>
  </si>
  <si>
    <t>(P) Overcast :Scrolls/Abilities you Overcast have +2 on their Roll.</t>
  </si>
  <si>
    <t>(P) Overcast II :Scrolls/Abilities you Overcast have +4 on their Roll.</t>
  </si>
  <si>
    <t>(P) Overcast III :Scrolls/Abilities you Overcast have +6 on their Roll.</t>
  </si>
  <si>
    <t>(P) Spell Immunity: Immune to the first Non-Ultimate Spell Targeting you.</t>
  </si>
  <si>
    <t>(P) Spell Immunity II : Immune to the two Non-Ultimate Spell Targeting you.</t>
  </si>
  <si>
    <t>(P) Spell Immunity III : Immune to the three Non-Ultimate Spell Targeting you.</t>
  </si>
  <si>
    <t>(❖:+) Blood Warp: Deal 20 Frost Damage to Target Entity. (30 Mana)</t>
  </si>
  <si>
    <t>(❖:+) Blood Warp II: Deal 40 Frost Damage to Target Entity. (60 Mana)</t>
  </si>
  <si>
    <t>(❖:+) Blood Warp III: Deal 60 Frost Damage to Target Entity. (90 Mana)</t>
  </si>
  <si>
    <t>(❖:+) Dark Warp: Deal 20 Dark Damage to Target Entity. (30 Mana)</t>
  </si>
  <si>
    <t>(❖:+) Dark Warp II: Deal 40 Dark Damage to Target Entity. (60 Mana)</t>
  </si>
  <si>
    <t>(❖:+) Dark Warp III: Deal 60 Dark Damage to Target Entity. (90 Mana)</t>
  </si>
  <si>
    <t>(❖:+) Lightning Warp: Deal 20 Lightning Damage to Target Entity. (30 Mana)</t>
  </si>
  <si>
    <t>(❖:+) Lightning Warp II: Deal 40 Lightning Damage to Target Entity. (60 Mana)</t>
  </si>
  <si>
    <t>(❖:+) Lightning Warp III: Deal 60 Lightning Damage to Target Entity. (90 Mana)</t>
  </si>
  <si>
    <t>(P) Elemental Mishap: Your elemental damage has a 25% chance to deal 25% bonus damage.</t>
  </si>
  <si>
    <t>(P) Elemental Mishap II: Your elemental damage has a 50% chance to deal 50% bonus damage.</t>
  </si>
  <si>
    <t>(P) Elemental Mishap III: Your elemental damage has a 50% chance to deal 50% bonus damage.</t>
  </si>
  <si>
    <t>(P) Overcasting Offianado: Your overcast abilities hit twice (100 mana lock)</t>
  </si>
  <si>
    <t>(P) Overcasting Offianado II: Your overcast abilities hit twice (50 mana lock)</t>
  </si>
  <si>
    <t>(P) Overcasting Offianado III: Your overcast abilities hit Thrice (50 mana lock)</t>
  </si>
  <si>
    <t>(❖:&gt;) Mind Controlling Bolt: Shoot an bolt at Target, If it hits Mind controll them for 1 Turn. (80 Mana)</t>
  </si>
  <si>
    <t>(❖:&gt;) Mind Controlling Bolt II: Shoot an bolt at Target, If it hits Mind controll them for 2 Turn. (120 Mana)</t>
  </si>
  <si>
    <t>(❖:&gt;) Mind Controlling Bolt III: Shoot an bolt at Target, If it hits Mind controll them for 3 Turn. (200 Mana)</t>
  </si>
  <si>
    <t>(❖:&gt;) Rainbow of Collapse: [1 Channel Stacks] Deal 20(+10% Power) Fire, Frost, Wind, Lightning, Earth, Wind, Dark and Light Damage to Target. (100 Mana)</t>
  </si>
  <si>
    <t>(❖:&gt;) Rainbow of Collapse II: [1 Channel Stacks] Deal 25(+20% Power) Fire, Frost, Wind, Lightning, Earth, Wind, Dark and Light Damage to Target. (100 Mana)</t>
  </si>
  <si>
    <t>(❖:&gt;) Rainbow of Collapse III: [1 Channel Stacks] Deal 30(+40% Power) of Each element type.(100 Mana)</t>
  </si>
  <si>
    <t>Final Name</t>
  </si>
  <si>
    <t>Gear Type</t>
  </si>
  <si>
    <t>Slot Type</t>
  </si>
  <si>
    <t>Range Type</t>
  </si>
  <si>
    <t>Crafting Type</t>
  </si>
  <si>
    <t>Requirement</t>
  </si>
  <si>
    <t>Keyword</t>
  </si>
  <si>
    <t>Base Damage</t>
  </si>
  <si>
    <t>On Hit Effect</t>
  </si>
  <si>
    <t>On Attack Effect</t>
  </si>
  <si>
    <t>On Crit Effect</t>
  </si>
  <si>
    <t>Critical Multiplier</t>
  </si>
  <si>
    <t>Weapon Scaling</t>
  </si>
  <si>
    <t>Fire Resistance</t>
  </si>
  <si>
    <t>Frost Resistance</t>
  </si>
  <si>
    <t>Passive Ability</t>
  </si>
  <si>
    <t>Active Ability</t>
  </si>
  <si>
    <t>Material Type</t>
  </si>
  <si>
    <t>Gold Cost</t>
  </si>
  <si>
    <t>Faction</t>
  </si>
  <si>
    <t>Ammo Requirement</t>
  </si>
  <si>
    <t>Weapon</t>
  </si>
  <si>
    <t>Just the Handle</t>
  </si>
  <si>
    <t>One-handed</t>
  </si>
  <si>
    <t>Melee</t>
  </si>
  <si>
    <t>Sword</t>
  </si>
  <si>
    <t>4 Physical Damage</t>
  </si>
  <si>
    <t>Inflicts 1 Turn of Confusion.</t>
  </si>
  <si>
    <t>Global</t>
  </si>
  <si>
    <t xml:space="preserve">Rusty Sword </t>
  </si>
  <si>
    <t>5-7 Physical Damage</t>
  </si>
  <si>
    <t>Lightsteel Sword</t>
  </si>
  <si>
    <t>5-9 Physical Damage</t>
  </si>
  <si>
    <t>Legion</t>
  </si>
  <si>
    <t>Silver Sword</t>
  </si>
  <si>
    <t>10 Physical Damage</t>
  </si>
  <si>
    <t>Passive: 10 True Damage to Undead, Eldritch, Fae and Demons; 10 Physical Damage to Living, Divine and Constructs.</t>
  </si>
  <si>
    <t>Circular Spade</t>
  </si>
  <si>
    <t>7-10 Physical Damage</t>
  </si>
  <si>
    <t>50% chance to cause bleed for 3 Bleed Damage Per Tick Over 2 Turns.</t>
  </si>
  <si>
    <t>Fight the Oppressor</t>
  </si>
  <si>
    <t>12 Physical</t>
  </si>
  <si>
    <t>Passive: As long as your Target has more Health than you, this Weapon will deal 20 Magic Damage On Hit.</t>
  </si>
  <si>
    <t>Blood Viper</t>
  </si>
  <si>
    <t>7 Physical Damage</t>
  </si>
  <si>
    <t>7 Bleed Damage</t>
  </si>
  <si>
    <t>Passive: 25% Lifedrain on all Physical and Bleed Damage dealt by this Weapon.</t>
  </si>
  <si>
    <t>Short Heatsword</t>
  </si>
  <si>
    <t>5 Physical Damage</t>
  </si>
  <si>
    <t>15 Fire Damage.</t>
  </si>
  <si>
    <t>Chakram Flinger</t>
  </si>
  <si>
    <t>Active: (&gt;) [Requires at least 2 Hostile Entities] Fling a Chakram out of your blade at Target Entity that Bounces twice off of Random Hostile Entities for 20 Physical Damage which is reduced by 5 Total Damage with each Bounce. (2/Day)</t>
  </si>
  <si>
    <t>The Sarkon</t>
  </si>
  <si>
    <t>13-15 Physical Damage</t>
  </si>
  <si>
    <t>Passive: Your Basic Attack has a 30% Chance to Trigger Twice. (1/Turn)</t>
  </si>
  <si>
    <t>Mordred's Fury: Legendary One-handed Melee Sword; 13 Physical Damage; Active: (≈) Consume a chosen amount of Health and Strike with +1 Crit Multiplier and +1 Roll Modifier for each 40 Health consumed.</t>
  </si>
  <si>
    <t>Mordred's Fury</t>
  </si>
  <si>
    <t>13 Physical Damage</t>
  </si>
  <si>
    <t>Active: (≈) Consume a chosen amount of Health and Strike with +1 Crit Multiplier and +1 Roll Modifier for each 40 Health consumed.</t>
  </si>
  <si>
    <t>Grand Zelos</t>
  </si>
  <si>
    <t>Flexible</t>
  </si>
  <si>
    <t>12-18 Physical Damage</t>
  </si>
  <si>
    <t>Passive: 20% Chance to Block incoming Strike.</t>
  </si>
  <si>
    <t>Final Falx</t>
  </si>
  <si>
    <t>20 Physical Damage</t>
  </si>
  <si>
    <t>Passive: D20 Rolls on Basic Attacks have +1 Critical Multiplier and ignore 50% of Targets Defense.</t>
  </si>
  <si>
    <t>The Merciless</t>
  </si>
  <si>
    <t>18-20 Physical Damage</t>
  </si>
  <si>
    <t>Passive: At the Start of your Turn Gain 5 Bleed Damage On Hit until End of Combat.</t>
  </si>
  <si>
    <t>The Merciful</t>
  </si>
  <si>
    <t>1 True Damage</t>
  </si>
  <si>
    <t>Active: (≈) Heal Damage taken last turn. (1/Day)</t>
  </si>
  <si>
    <t>The Pride of Orgor</t>
  </si>
  <si>
    <t>25 True Damage</t>
  </si>
  <si>
    <t>Passive: Permanently Locks the Slot in which it was Equipped</t>
  </si>
  <si>
    <t>Active: (+) Roll d100 and Deal True Damage Equal to Roll to Target Entity. (1/Entity)</t>
  </si>
  <si>
    <t>Wooden Sword</t>
  </si>
  <si>
    <t>Two-handed</t>
  </si>
  <si>
    <t>8 Physical Damage</t>
  </si>
  <si>
    <t>Gain 1 Base Damage with each Attack until End of Combat.</t>
  </si>
  <si>
    <t xml:space="preserve">Broadsword </t>
  </si>
  <si>
    <t>10-12 Physical Damage</t>
  </si>
  <si>
    <t>Claymore</t>
  </si>
  <si>
    <t>11-14 Physical Damage</t>
  </si>
  <si>
    <t>Wayfarer Greatblade: Uncommon Two-handed Melee Sword; 10–13 Physical Damage; Active: (≈) Basic Attack Target Entity striking all Entities adjacent to both yourself and Target. (1/Combat).</t>
  </si>
  <si>
    <t>Wayfarer Greatblade</t>
  </si>
  <si>
    <t>10–13 Physical Damage</t>
  </si>
  <si>
    <t>Active: (≈) Basic Attack Target Entity striking all Entities adjacent to both yourself and Target. (1/Combat)</t>
  </si>
  <si>
    <t>Zweihander</t>
  </si>
  <si>
    <t>12-15 Physical Damage</t>
  </si>
  <si>
    <t>Executioners Blade</t>
  </si>
  <si>
    <t>Katana</t>
  </si>
  <si>
    <t>Flamberg</t>
  </si>
  <si>
    <t>On Attack: Deal 8 Fire Damage.</t>
  </si>
  <si>
    <t>Passive: This Weapon has +5 Base Damage if Target you are Attacking has 5 or less Defense and another +5 Base Damage if Targets Defense is 0 or lower.</t>
  </si>
  <si>
    <t>Ice Kings Revenge</t>
  </si>
  <si>
    <t>13-16 Physical Damage</t>
  </si>
  <si>
    <t>On Hit: 5 Frost Damage &amp; 50% chance to inflict Frostbite status for 5 Frost damage per 2 turns.</t>
  </si>
  <si>
    <t>Eulostravo</t>
  </si>
  <si>
    <t>15 Physical Damage</t>
  </si>
  <si>
    <t>On Hit: 20 Lightning Damage.</t>
  </si>
  <si>
    <t>Passive: Entities will Recognise this sword in Combat and will be able to tell what it is.</t>
  </si>
  <si>
    <t>The Guillotine</t>
  </si>
  <si>
    <t>16-20 Physical Damage</t>
  </si>
  <si>
    <t>On Crit: Bleed Target for 5 Bleed Damage Per Tick over 4 Turns.</t>
  </si>
  <si>
    <t>Iserasin: Legendary Two-handed Melee Sword; 20 Physical Damage; Active: (≈) Toggle; Physical Damage Dealt is converted to Static Damage.</t>
  </si>
  <si>
    <t>Iserasin</t>
  </si>
  <si>
    <t>Active: (≈) Toggle; Physical Damage Dealt is converted to Static Damage.</t>
  </si>
  <si>
    <t>Bakyou</t>
  </si>
  <si>
    <t>30 Physical Damage</t>
  </si>
  <si>
    <t>Passive: Your Basic Attacks have Blitz.</t>
  </si>
  <si>
    <t>Magna Peltrum Coacuta</t>
  </si>
  <si>
    <t>[Requires 20 Strength to Wield]</t>
  </si>
  <si>
    <t>100 Physical Damage</t>
  </si>
  <si>
    <t>On Hit: 40% Chance to Dismember.</t>
  </si>
  <si>
    <t>Passive: Locks Main Hand and Off Hand.</t>
  </si>
  <si>
    <t>Rusty Spear</t>
  </si>
  <si>
    <t>Spear</t>
  </si>
  <si>
    <t>6-7 Physical Damage</t>
  </si>
  <si>
    <t>Bandit</t>
  </si>
  <si>
    <t>Sharpened Spear</t>
  </si>
  <si>
    <t>8-10 Physical Damage.</t>
  </si>
  <si>
    <t>Golden Poker</t>
  </si>
  <si>
    <t>Passive: +2 Physical Damage if Two-handed.</t>
  </si>
  <si>
    <t>Full Metal Spear</t>
  </si>
  <si>
    <t>Passive: If Two-Handed Strikes Ignore 50% of Targets Defense.</t>
  </si>
  <si>
    <t>Light Sparrow</t>
  </si>
  <si>
    <t>On Hit: 6 Light Damage; Active: (&gt;) Selfdestruct; Throw the Spear into the sky. at the start of your next Turn the Spear will hit Target dealing 30 Light Damage.</t>
  </si>
  <si>
    <t>Dark Sparrow</t>
  </si>
  <si>
    <t>On Hit: 6 Dark Damage; Active: (&gt;) Selfdestruct; Throw the Spear into the sky. at the start of your next Turn the Spear will hit Target dealing 30 Dark Damage.</t>
  </si>
  <si>
    <t>Diamond Piercer</t>
  </si>
  <si>
    <t>Unscallable 33 True Damage</t>
  </si>
  <si>
    <t>Passive: This weapon can not Crit.</t>
  </si>
  <si>
    <t>Emerald Temporia</t>
  </si>
  <si>
    <t>16 Magic Damage</t>
  </si>
  <si>
    <t>Passive: After each Throw at the start of your Turn. the Spear travels back into your hand.</t>
  </si>
  <si>
    <t>Alevandar's Spear</t>
  </si>
  <si>
    <t>[Requires Blessed by The Gods Condition to Equip]</t>
  </si>
  <si>
    <t>40 Holy Damage</t>
  </si>
  <si>
    <t>Passive: If you Lose the Blessed by the Gods Condition, you immediately Drop the Weapon on the ground.</t>
  </si>
  <si>
    <t>Active: (o) Powerplay; Cause Hundreds of Light Sparrows to fall on Target Hex. dealing a total of 400 Light Damage to all Entities and destroying the Hex.</t>
  </si>
  <si>
    <t>Wooden Spike</t>
  </si>
  <si>
    <t>9 Physical Damage</t>
  </si>
  <si>
    <t>Longnail</t>
  </si>
  <si>
    <t>12 Physical Damage.</t>
  </si>
  <si>
    <t>Phallanxion</t>
  </si>
  <si>
    <t>Passive: Basic Attack Targets that move in melee range of you during their turn. (1/Entity/Combat)</t>
  </si>
  <si>
    <t>Spiked Pole: Rare Two-handed Melee Spear; 10-13 Physical Damage; Active: (≈) Can be used to jump over Target Tile landing on the one next to it in the same cardinal direction; Can be Used while Rooted.</t>
  </si>
  <si>
    <t>Spiked Pole</t>
  </si>
  <si>
    <t>10-13 Physical Damage</t>
  </si>
  <si>
    <t>Active: (≈) Can be used to jump over Target Tile landing on the one next to it in the same cardinal direction; Can be Used while Rooted. </t>
  </si>
  <si>
    <t>Sturdy Pike</t>
  </si>
  <si>
    <t>Passive: The first time a Hostile Entity enters your Melee Range you Basic Attack it. (1/Combat)</t>
  </si>
  <si>
    <t>Spear of Destiny</t>
  </si>
  <si>
    <t>4 Physical Damge; 4 Magic Damage</t>
  </si>
  <si>
    <t>Active: Basic Attack Target with a Nat 20 Roll. (1/Day)</t>
  </si>
  <si>
    <t>Lance of Reality</t>
  </si>
  <si>
    <t>Active: (o) Powerplay; Teleport all Entities on current Hex to a Different Reality where faith cannot be used and where you may see Invisible Targets; Entities can't Flee and will return at the end of the Combat to original Hex.</t>
  </si>
  <si>
    <t>Visera</t>
  </si>
  <si>
    <t>18 Physical Damage</t>
  </si>
  <si>
    <t>On Hit: 10 Fire Damage.</t>
  </si>
  <si>
    <t>Active:[Channel for 1 Turn] Transform Weapon into Visera Dominatus: (o) Dealing 100 Fire Damage to all Entities on Hex.</t>
  </si>
  <si>
    <t>Heaven's Roar</t>
  </si>
  <si>
    <t>20 Physical Damage &amp; 20 Lightning Damage</t>
  </si>
  <si>
    <t>Active: (o) Converge a storm on your Hex which lasts 5 Turns. Every Turn, it Staggers for 1 Turn and deals 10 Lightning Damage to all Entities in the Combat Area. (1/Day)</t>
  </si>
  <si>
    <t>Visera-Dominatus</t>
  </si>
  <si>
    <t>a</t>
  </si>
  <si>
    <t>Passive: Take 10 Fire Damage each turn you are Holding this in combat.</t>
  </si>
  <si>
    <t>Active: (o) 1 Hex Range; Selfdestruct; Throw the Spear to deal 200 Fire Damage and Transforming Target Hex into a Scorched Hex.</t>
  </si>
  <si>
    <t>Sharp Axe Head on a Branch</t>
  </si>
  <si>
    <t>Axe</t>
  </si>
  <si>
    <t>1 Physical Damage</t>
  </si>
  <si>
    <t>Ignores 75% Defense.</t>
  </si>
  <si>
    <t>Rusty Axe</t>
  </si>
  <si>
    <t>5-6 Physical Damage</t>
  </si>
  <si>
    <t>Woodcleaver</t>
  </si>
  <si>
    <t>5–11 Physical Damage</t>
  </si>
  <si>
    <t>On Hit: 40% Chance to Reduce Targets Defense by 4.</t>
  </si>
  <si>
    <t>Iron Hatchet</t>
  </si>
  <si>
    <t>7-12 Physical Damage.</t>
  </si>
  <si>
    <t>Bloody Axe</t>
  </si>
  <si>
    <t>5-8 Physical Damage</t>
  </si>
  <si>
    <t>On Hit: 2 Bleed Damage, Add +2 Bleed Damage to this On Hit until End of Combat.</t>
  </si>
  <si>
    <t>Forester: Epic One-handed Melee Axe; 8-11 Physical Damage; Active: (≈) Chop down Forest Hex transforming it into a Simple Hex. (0.5 Stamina).</t>
  </si>
  <si>
    <t>Forester</t>
  </si>
  <si>
    <t>8-11 Physical Damage</t>
  </si>
  <si>
    <t>Active: (≈) Chop down Forest Hex transforming it into a Simple Hex. (0.5 Stamina)</t>
  </si>
  <si>
    <t>Crescent Edge</t>
  </si>
  <si>
    <t>7-12 Physical Damage</t>
  </si>
  <si>
    <t>On Hit: Drain 10 Mana.</t>
  </si>
  <si>
    <t>Boomeraxe</t>
  </si>
  <si>
    <t>On Hit: 15 Wind Damage.</t>
  </si>
  <si>
    <t>Active: (&gt;) Throw your Axe at Target Dealing Basic Attack Damage; It returns into the respective Slot at the end of your next Turn.</t>
  </si>
  <si>
    <t>The Grounding</t>
  </si>
  <si>
    <t>On Hit: 30% Chance to Stun.</t>
  </si>
  <si>
    <t>Zealdis No’</t>
  </si>
  <si>
    <t>Passive: While equipped in the Main-Hand Slot. Your Off-Hand slot becomes a copy of Zealdis No'.</t>
  </si>
  <si>
    <t>Rusty Cleaver</t>
  </si>
  <si>
    <t>Set Piece</t>
  </si>
  <si>
    <t>6-12 Physical Damage.</t>
  </si>
  <si>
    <t>Splitmast: Uncommon Two-handed Melee Axe; 10–12 Physical Damage; Active: (≈) Double the Total Damage of your next Basic Attack. (1/Day).</t>
  </si>
  <si>
    <t>Splitmast</t>
  </si>
  <si>
    <t>10–12 Physical Damage</t>
  </si>
  <si>
    <t>Active: (≈) Double the Total Damage of your next Basic Attack. (1/Day)</t>
  </si>
  <si>
    <t>Brawl Stopper</t>
  </si>
  <si>
    <t>12-14 Physical Damage</t>
  </si>
  <si>
    <t>Battle Axe</t>
  </si>
  <si>
    <t>16 Physical Damage.</t>
  </si>
  <si>
    <t>Charcoal Slasher</t>
  </si>
  <si>
    <t>On Hit: 50% chance Burn Target for 5 Fire Damage Per Tick over 5 Turns.</t>
  </si>
  <si>
    <t>Butcher's Cleaver:</t>
  </si>
  <si>
    <t>10 Physical</t>
  </si>
  <si>
    <t>20% Chance to Dismember Target on Crit.</t>
  </si>
  <si>
    <t>Da’ Choppa</t>
  </si>
  <si>
    <t>10-30 Physical Damage</t>
  </si>
  <si>
    <t>+3 Crit Multiplier</t>
  </si>
  <si>
    <t>Can only Crit on a d20.</t>
  </si>
  <si>
    <t>Warcry: Legendary Two-handed Melee Axe; 16-24 Physical Damage; Active: (≈) 1 Hex Range; Move into Melee range of Target and Basic Attack them. (1/Day).</t>
  </si>
  <si>
    <t>Warcry</t>
  </si>
  <si>
    <t>16-24 Physical Damage</t>
  </si>
  <si>
    <t>Active: (≈) 1 Hex Range; Move into Melee range of Target and Basic Attack them. (1/Day)</t>
  </si>
  <si>
    <t>Orc's Honor</t>
  </si>
  <si>
    <t>25 Physical Damage</t>
  </si>
  <si>
    <t>Passive: Strikes that bring Targets below 20% Max Health will Kill them instead.</t>
  </si>
  <si>
    <t>Rusty Mace</t>
  </si>
  <si>
    <t>Mace</t>
  </si>
  <si>
    <t>Bellringer</t>
  </si>
  <si>
    <t>On Hit: 10% chance to Stun Target for 1 Turn.</t>
  </si>
  <si>
    <t>Trick Pick</t>
  </si>
  <si>
    <t>7-8 Physical Damage</t>
  </si>
  <si>
    <t>Morning Star</t>
  </si>
  <si>
    <t>8-10 Physical Damage</t>
  </si>
  <si>
    <t>On Hit: 50% Chance to cause an explosion for 10 Solar Damage.</t>
  </si>
  <si>
    <t>Golden Parade</t>
  </si>
  <si>
    <t>16-18 Physical Damage</t>
  </si>
  <si>
    <t>Active: (+) Cause Target Entity to drop 100 Gold upon Death; Passive: This Gear sells at full value.</t>
  </si>
  <si>
    <t>Worn-out Heavy Mace</t>
  </si>
  <si>
    <t>9-11 Physical Damage</t>
  </si>
  <si>
    <t>Field Maul</t>
  </si>
  <si>
    <t>On Hit: 20% chance to Inflict Slow for 2 Turns.</t>
  </si>
  <si>
    <t>Deadly Bozdogan</t>
  </si>
  <si>
    <t>9-13 Physical Damage</t>
  </si>
  <si>
    <t>On Crit: 15 Bleed Damage.</t>
  </si>
  <si>
    <t>Greater Morning Star</t>
  </si>
  <si>
    <t>10-15 Physical Damage</t>
  </si>
  <si>
    <t>On Hit: 50% Chance to cause an explosion for 20 Solar Damage.</t>
  </si>
  <si>
    <t>The Balkanique</t>
  </si>
  <si>
    <t>25-30 Physical Damage</t>
  </si>
  <si>
    <t>Wailing Bell</t>
  </si>
  <si>
    <t>16-22 Physical Damage</t>
  </si>
  <si>
    <t>On Hit: 40% Chance to Confuse for 1 Turn.</t>
  </si>
  <si>
    <t>Annihilator</t>
  </si>
  <si>
    <t>24 Physical Damage</t>
  </si>
  <si>
    <t>Passive: Every second Strike deals True Damage.</t>
  </si>
  <si>
    <t>Stick, String and a Rock</t>
  </si>
  <si>
    <t>Flail</t>
  </si>
  <si>
    <t>4-9 Physical Damage.</t>
  </si>
  <si>
    <t>Steel Flail</t>
  </si>
  <si>
    <t>6-10 Physical Damage.</t>
  </si>
  <si>
    <t>Chain and Ball</t>
  </si>
  <si>
    <t>Scorpion</t>
  </si>
  <si>
    <t>Passive: Critical Multiplier of this Weapon is Set to 1, instead Critical Rolls on Basic Attacks inflict 40 Poison Damage On Hit.</t>
  </si>
  <si>
    <t>Kusari-gama</t>
  </si>
  <si>
    <t>Half-Ranged</t>
  </si>
  <si>
    <t>Passive: This weapon counts as Sharp.</t>
  </si>
  <si>
    <t>7 Physical Damage; 3 Unscallable Fire Damage</t>
  </si>
  <si>
    <t>Passive: It has Three Heads causing each Attack with this Weapon to count as 3 Strikes, This Weapon does not Trigger On Hit Effects.</t>
  </si>
  <si>
    <t>Peasants Flail</t>
  </si>
  <si>
    <t>Trialram</t>
  </si>
  <si>
    <t>11-12 Physical Damage</t>
  </si>
  <si>
    <t>On Hit: Reduce Targets Defense by 2 until End of Combat.</t>
  </si>
  <si>
    <t>Double Ball Flail</t>
  </si>
  <si>
    <t>14-16 Physical Damage</t>
  </si>
  <si>
    <t>Bomb on a Stick</t>
  </si>
  <si>
    <t>20 Blast Damage</t>
  </si>
  <si>
    <t>On Hit: Selfdestruct.</t>
  </si>
  <si>
    <t>Militants Heavy Flail: Epic Two-handed Melee Flail; 12-20 Physical Damage; Active: (≈) [1 Preparation Stack] Strike with Double this weapons Base Damage and with +2 Roll Modifier.</t>
  </si>
  <si>
    <t>Militants Heavy Flail</t>
  </si>
  <si>
    <t>12-20 Physical Damage</t>
  </si>
  <si>
    <t>Active: (≈) [1 Preparation Stack] Strike with Double this weapons Base Damage and with +2 Roll Modifier.</t>
  </si>
  <si>
    <t>Iminentrum</t>
  </si>
  <si>
    <t>5-25 Physical Damage</t>
  </si>
  <si>
    <t>Passive: Each landed Strike with this Weapon causes the lowest number on the Damage Range to increase by 1, When the Base Damage is flat 25 its Strikes will Destroy Targets On Hit, Resets at the End of Combat.</t>
  </si>
  <si>
    <t>Bloodlust: Legendary Two-handed Melee Flail; 15 Physical Damage; Active: (≈) Toggle; Gain 40% Lifedrain and failing to land a Basic Attack during your Turn will cause you to lose all Health gained this Combat.</t>
  </si>
  <si>
    <t>Bloodlust</t>
  </si>
  <si>
    <t>Active: (≈) Toggle; Gain 40% Lifedrain and failing to land a Basic Attack during your Turn will cause you to lose all Health gained this Combat.</t>
  </si>
  <si>
    <t>Pond Rod</t>
  </si>
  <si>
    <t>10 Hydro Damage</t>
  </si>
  <si>
    <t>Active: (&gt;) [Requires Adjacent Water Hex] Hook Target Entity bringing them immediately onto your Hex; Infinite Hex Range. (1/Day)</t>
  </si>
  <si>
    <t>The Golden Sack</t>
  </si>
  <si>
    <t>Passive: This Weapon gains +1 Base Damage for each 100 Gold in your Inventory and does not Scale with Strength.</t>
  </si>
  <si>
    <t>Divine Downpour</t>
  </si>
  <si>
    <t>Passive: This weapon gains 10 Holy Damage On Hit for every Basic Attack done by any entity this combat.</t>
  </si>
  <si>
    <t>Cobbled Hammer</t>
  </si>
  <si>
    <t>Warhammer</t>
  </si>
  <si>
    <t>6 Physical Damage</t>
  </si>
  <si>
    <t>Warpick</t>
  </si>
  <si>
    <t>Passive: This Weapon counts as an Impact</t>
  </si>
  <si>
    <t>Rasonian Hamtax</t>
  </si>
  <si>
    <t>On Hit: Reduce Targets Defense by 4 Until End of Combat.</t>
  </si>
  <si>
    <t>The Tool: Legendary One-handed Melee Warhammer; 6 Physical Damage; Active: Passive: This Weapon Permanently Gains 2 Base Damage every time its Active Ability is used; Active: (≈) Craft Target Ore into Gear of its Respective Rarity. (1/Day).</t>
  </si>
  <si>
    <t>The Tool</t>
  </si>
  <si>
    <t>Passive: This Weapon Permanently Gains 2 Base Damage every time its Active Ability is used; Active: (≈) Craft Target Ore into Gear of its Respective Rarity. (1/Day)</t>
  </si>
  <si>
    <t>Lost Devastor</t>
  </si>
  <si>
    <t>0 Physical Damage</t>
  </si>
  <si>
    <t>Crumbler</t>
  </si>
  <si>
    <t>Chipped Hammer</t>
  </si>
  <si>
    <t>Hard-rock Hammer</t>
  </si>
  <si>
    <t>12 Physical Damage</t>
  </si>
  <si>
    <t>Maul</t>
  </si>
  <si>
    <t>14 Physical Damage</t>
  </si>
  <si>
    <t>Runehammer</t>
  </si>
  <si>
    <t>On Hit: 5 Earth Damage &amp; 20% chance to Stun Target for 1 Turn.</t>
  </si>
  <si>
    <t>Mana-Tech Hammer</t>
  </si>
  <si>
    <t>10-14 Physical Damage</t>
  </si>
  <si>
    <t>On Hit: 10 Manadrain.</t>
  </si>
  <si>
    <t>Bright Blunder</t>
  </si>
  <si>
    <t>On Hit: 10 Light Damage.</t>
  </si>
  <si>
    <t>Time Stopper</t>
  </si>
  <si>
    <t>12-16 Physical Damage</t>
  </si>
  <si>
    <t>Passive: Landing a Critical Hit will cause time to stop. allowing the Hero to do one more Action.</t>
  </si>
  <si>
    <t>Planet Crusher</t>
  </si>
  <si>
    <t>On Hit: 30 Earth Damage.</t>
  </si>
  <si>
    <t>The Gorgon Smasher</t>
  </si>
  <si>
    <t>On Hit: If Targets Health is Higher than yours it Deals the Difference as Physical Damage; On Crit: Convert Total Damage and On Hit Damage to True Damage.</t>
  </si>
  <si>
    <t>Vaporizor</t>
  </si>
  <si>
    <t>30 Physical damage</t>
  </si>
  <si>
    <t>Passive: All Damage dealt by this weapon to a Target is stored; When Stored Damage reaches Targets current Health they get Destroyed.</t>
  </si>
  <si>
    <t>The Coreforger: Astral Two-handed Melee Warhammer; 40 Physical Damage; On Hit: 20 Fire Damage; Passive: -2 on Basic Attack Roll; Active: (≈) Selfdestruct The Coreforger transforming it into The Core(Astral Body Piece) and Permanently Equip it.</t>
  </si>
  <si>
    <t>The Coreforger</t>
  </si>
  <si>
    <t>40 Physical Damage</t>
  </si>
  <si>
    <t>On Hit: 20 Fire Damage</t>
  </si>
  <si>
    <t>Passive: -2 on Basic Attack Roll.</t>
  </si>
  <si>
    <t>Active: (≈) Selfdestruct The Coreforger transforming it into The Core(Astral Body Piece) and Permanently Equip it.</t>
  </si>
  <si>
    <t>Wooden Bat</t>
  </si>
  <si>
    <t>Club</t>
  </si>
  <si>
    <t>6-9 Physical Damage</t>
  </si>
  <si>
    <t>Knotclub</t>
  </si>
  <si>
    <t>Chunk of Meat: Rare One-handed Melee Club; 8 Physical Damage; Active: (≈) Take a bite out of your Ham to Restore 10 Health but decrease Base Damage by 2; If Base Damage reaches 0 Selfdestruct.</t>
  </si>
  <si>
    <t>Chunk of Meat</t>
  </si>
  <si>
    <t>8 Physical Damage;</t>
  </si>
  <si>
    <t>Active: (≈) Take a bite out of your Ham to Restore 10 Health but decrease Base Damage by 2; If Base Damage reaches 0 Selfdestruct.</t>
  </si>
  <si>
    <t>Steel Tonfa</t>
  </si>
  <si>
    <t>Passive: If you have two Steel Tonfas equipped double their base Stats.</t>
  </si>
  <si>
    <t>Soulwooden Baton</t>
  </si>
  <si>
    <t>On Hit: 10 Magic Damage.</t>
  </si>
  <si>
    <t>Torching Warclub</t>
  </si>
  <si>
    <t>On Hit: 5 Fire Damage; Passive: Immunity to Blinded and Asleep.</t>
  </si>
  <si>
    <t>Good ol' Club</t>
  </si>
  <si>
    <t>11 Physical Damage</t>
  </si>
  <si>
    <t>Stoutstick</t>
  </si>
  <si>
    <t>On Hit: Inflict Stagger for 1 Turn.</t>
  </si>
  <si>
    <t>Porcupine</t>
  </si>
  <si>
    <t>On Hit: Decrease Target Defense by 10% of their max Defense Until End of Combat.</t>
  </si>
  <si>
    <t>Greatclub</t>
  </si>
  <si>
    <t>The Old Blunt: Epic Two-handed Melee Club; 20 Physical Damage; Active: (≈) Defense Crackdown: Smash Target in Melee Range for 10 Physical Damage reducing their Defense by 50% Until End of Combat. (1/Entity).</t>
  </si>
  <si>
    <t>The Old Blunt</t>
  </si>
  <si>
    <t>Active: (≈) Defense Crackdown: Smash Target in Melee Range for 10 Physical Damage reducing their Defense by 50% Until End of Combat. (1/Entity)</t>
  </si>
  <si>
    <t>Giant Chunk of Meat: Legendary Two-handed Melee Club; 18 Physical Damage; Active: (≈) Take a bite out of your Ham to Restore 20 Health but decrease Base Damage by 2; If Base Damage reaches 0 Selfdestruct. (2/Day).</t>
  </si>
  <si>
    <t>Giant Chunk of Meat</t>
  </si>
  <si>
    <t>Active: (≈) Take a bite out of your Ham to Restore 20 Health but decrease Base Damage by 2; If Base Damage reaches 0 Selfdestruct. (2/Day)</t>
  </si>
  <si>
    <t>Dragontooth</t>
  </si>
  <si>
    <t>Rusty Glaive</t>
  </si>
  <si>
    <t>Glaive</t>
  </si>
  <si>
    <t>4-16 Physical Damage</t>
  </si>
  <si>
    <t>Stone Glaive</t>
  </si>
  <si>
    <t>20-26 Physical Damage</t>
  </si>
  <si>
    <t>Passive: You may only Basic Attack Twice per Combat; Active: Refresh Passive. (0.5 Stamina)</t>
  </si>
  <si>
    <t>Sweepedge</t>
  </si>
  <si>
    <t>Passive: Basic Attacks also hit Entities adjacent to both yourself and Target.</t>
  </si>
  <si>
    <t>Weightless Razor</t>
  </si>
  <si>
    <t>15-20 Physical Damage</t>
  </si>
  <si>
    <t>Passive: It can not Crit.</t>
  </si>
  <si>
    <t>Poled Slasher</t>
  </si>
  <si>
    <t>8-20 Physical Damage</t>
  </si>
  <si>
    <t>Guan Yu Guandao</t>
  </si>
  <si>
    <t>4-12 Physical Damage</t>
  </si>
  <si>
    <t>Active: [Requires 1 Preparation Stack]; Basic Attack Thrice.</t>
  </si>
  <si>
    <t>Twinglaive</t>
  </si>
  <si>
    <t>10-26 Physical Damage</t>
  </si>
  <si>
    <t>On Basic Attack: 50% Chance to Strike Again.</t>
  </si>
  <si>
    <t>Nightriders Choice: Epic Two-handed Melee Glaive; 4-26 Physical Damage; +1 Critical Multiplier; Active: (≈) Basic Attack Target with +1 Crit Multiplier. (1/Combat).</t>
  </si>
  <si>
    <t>Nightriders Choice</t>
  </si>
  <si>
    <t>4-26 Physical Damage</t>
  </si>
  <si>
    <t>Active: (≈) Basic Attack Target with +1 Crit Multiplier. (1/Combat)</t>
  </si>
  <si>
    <t>Cyanandum</t>
  </si>
  <si>
    <t>1-40 Physical Damage</t>
  </si>
  <si>
    <t>Precise; Passive: If Target Dodges your Basic Attack, gain 1 Preparation Stack.</t>
  </si>
  <si>
    <t>Guardian Slayer</t>
  </si>
  <si>
    <t>10 Unscallable Physical Damage</t>
  </si>
  <si>
    <t>Passive: If Target has 400 Max Health or more, this Weapon increases its Damage Tenfold.</t>
  </si>
  <si>
    <t>Mirrormorph Blade: Mythic Two-handed Melee Glaive; 10 Physical Damage; Active: (≈) Destroy Target Melee Weapon in your inventory and Gain its Passive.</t>
  </si>
  <si>
    <t>Mirrormorph Blade</t>
  </si>
  <si>
    <t>Active: (≈) Destroy Target Melee Weapon in your inventory and Gain its Passive.</t>
  </si>
  <si>
    <t>Dull Halberd</t>
  </si>
  <si>
    <t>Halberd</t>
  </si>
  <si>
    <t>Steel Halberd</t>
  </si>
  <si>
    <t>Bardiche</t>
  </si>
  <si>
    <t>16 Physical Damage</t>
  </si>
  <si>
    <t>Standard Pole-axe: Rare Two-handed Melee Halberd; 11 Physical Damage; Active: (≈) Counter; Stagger yourself for 1 Turn; Basic Attack Target in Melee Range. (1/Combat).</t>
  </si>
  <si>
    <t>Standard Pole-axe</t>
  </si>
  <si>
    <t>Active: (≈) Counter; Stagger yourself for 1 Turn; Basic Attack Target in Melee Range. (1/Combat)</t>
  </si>
  <si>
    <t>Winged Halberd: Epic Two-handed Melee Halberd; 17 Physical Damage; On Hit: 7 Light Damage; Active: (≈) Flash; Toggle; Use the Weapons secondary Edge when Striking converting the On Hit Damage type of this weapon to Bleed Damage.</t>
  </si>
  <si>
    <t>Winged Halberd</t>
  </si>
  <si>
    <t>17 Physical Damage</t>
  </si>
  <si>
    <t>On Hit: 7 Light Damage.</t>
  </si>
  <si>
    <t>Active: (≈) Flash; Toggle; Use the Weapons secondary Edge when Striking converting the On Hit Damage type of this weapon to Bleed Damage.</t>
  </si>
  <si>
    <t>Edge of Night: Epic Two-handed Melee Halberd; 10 Dark Damage; Active: (≈) Active: Deal 30 Unholy Damage to Target Entity in Melee Range. (1/Day).</t>
  </si>
  <si>
    <t>Edge of Night</t>
  </si>
  <si>
    <t>10 Dark Damage</t>
  </si>
  <si>
    <t>(≈) Active: Deal 30 Unholy Damage to Target Entity in Melee Range. (1/Day)</t>
  </si>
  <si>
    <t>Crescent Finale</t>
  </si>
  <si>
    <t>On Attack: Half of Targets Defense is added to the Base Damage of the Attack.</t>
  </si>
  <si>
    <t>The Peasant's Revenge</t>
  </si>
  <si>
    <t>Blitz;</t>
  </si>
  <si>
    <t>20 Unscallable True Damage</t>
  </si>
  <si>
    <t>Passive: This Weapon has +10 Base Damage for each Level Difference between you and Target; At 6 Levels Difference this Weapon has 1 Zero Added to its base Damage.</t>
  </si>
  <si>
    <t>Rusty knife</t>
  </si>
  <si>
    <t>Knife</t>
  </si>
  <si>
    <t>Set Piece; Composite: 40% chance to Strike with your other Knife On Basic Attack.</t>
  </si>
  <si>
    <t>4-5 Physical Damage</t>
  </si>
  <si>
    <t>Rusty Shiv</t>
  </si>
  <si>
    <t>Composite: 60% chance to Strike with your other Knife On Basic Attack.</t>
  </si>
  <si>
    <t>2-4 Physical Damage</t>
  </si>
  <si>
    <t>Dull Quickblade</t>
  </si>
  <si>
    <t>Composite: Your Basic attack has Counter.</t>
  </si>
  <si>
    <t>2 Physical Damage</t>
  </si>
  <si>
    <t>Poisoned Knife</t>
  </si>
  <si>
    <t>Composite: 50% chance to Strike with your other Knife On Basic Attack</t>
  </si>
  <si>
    <t>4-6 Physical Damage</t>
  </si>
  <si>
    <t>On Hit: 50% Chance to Inflict 6 Poison Damage per Tick over 2 Turns.</t>
  </si>
  <si>
    <t>Sharpened Shiv</t>
  </si>
  <si>
    <t>Composite: 70% chance to Strike with your other Knife On Basic Attack.</t>
  </si>
  <si>
    <t>Sickle</t>
  </si>
  <si>
    <t>On Hit: 7 Bleed Damage.</t>
  </si>
  <si>
    <t>Dagger of Fatality: Epic One-handed Melee Knife; 5-10 Magic Damage; Active: (≈) Place the knife on adjacent Tile; The knife will start spinning and strike a random Target on your Hex each Turn for 10 Fatal Damage.</t>
  </si>
  <si>
    <t>Dagger of Fatality</t>
  </si>
  <si>
    <t>5-10 Magic Damage</t>
  </si>
  <si>
    <t>Active: (≈) Place the knife on adjacent Tile; The knife will start spinning and strike a random Target on your Hex each Turn for 10 Fatal Damage.</t>
  </si>
  <si>
    <t>Rebound Blade</t>
  </si>
  <si>
    <t>Composite: 50% Chance to do another Basic Attack on landed Basic Attack and 50% chance to Strike with your other Knife On Basic Attack.</t>
  </si>
  <si>
    <t>Forward Fang</t>
  </si>
  <si>
    <t>13 Physical Damage;</t>
  </si>
  <si>
    <t>Stalker's Revenge</t>
  </si>
  <si>
    <t>1 Dark Damage</t>
  </si>
  <si>
    <t>Passive: Scales with Dexterity and Power if your Off-Hand Slot is Empty; Active: (&gt;) Deal double the Damage taken last Turn as Dark Damage to Target. (1/Day)</t>
  </si>
  <si>
    <t>Blade of Lario</t>
  </si>
  <si>
    <t>10 Unscalable Bleed Damage</t>
  </si>
  <si>
    <t>Passive: [Requires to be Wielded in Main Hand] Orbs you equip in your Off-Hand Override their Off-Hand mode and Act as if it's equipped in your Main Hand and become Melee Sharp Strike Weapons.</t>
  </si>
  <si>
    <t>The Collector</t>
  </si>
  <si>
    <t>5 True Damage</t>
  </si>
  <si>
    <t>Passive: Killing Entities will steal their Souls and them as Base Damage to this Weapon. [weakling: 1 Soul; Elite 2 Souls; Boss 4 Souls; Hero: 8 Souls].</t>
  </si>
  <si>
    <t>Infamy</t>
  </si>
  <si>
    <t>On Hit: Reduce Targets Defense by 3 Until End of Combat.</t>
  </si>
  <si>
    <t>Blue Fire Claws</t>
  </si>
  <si>
    <t>[Requires Above 0% Fire Resistance to be Equipped]</t>
  </si>
  <si>
    <t>On Hit: 30 Fire Damage.</t>
  </si>
  <si>
    <t>Passive: Miss Range is 1-10.</t>
  </si>
  <si>
    <t>Featherweight</t>
  </si>
  <si>
    <t>3 Physical damage</t>
  </si>
  <si>
    <t>Passive: This weapon strikes as many times as its Physical Damage/2 on Basic Attack.</t>
  </si>
  <si>
    <t>Peasant's Scythe</t>
  </si>
  <si>
    <t>Scythe</t>
  </si>
  <si>
    <t>Sharpened Scythe</t>
  </si>
  <si>
    <t>11-15 Physical Damage</t>
  </si>
  <si>
    <t>War Scythe</t>
  </si>
  <si>
    <t>12-17 Physical Damage</t>
  </si>
  <si>
    <t>Sand Sweeper: Rare Two-handed Melee Scythe; 10-16 Physical Damage; Active: (≈) Transforms current Hex into a Desert Hex. (2/Day).</t>
  </si>
  <si>
    <t>Sand Sweeper</t>
  </si>
  <si>
    <t>10-16 Physical Damage</t>
  </si>
  <si>
    <t>Active: (≈) Transforms current Hex into a Desert Hex. (2/Day)</t>
  </si>
  <si>
    <t>Crop-Chop Harvester</t>
  </si>
  <si>
    <t>14-22 Physical Damage</t>
  </si>
  <si>
    <t>Active : Explore a Hex at half cost. (2/Day)</t>
  </si>
  <si>
    <t>Necros</t>
  </si>
  <si>
    <t>Active: (^) Summon a 25 Health and 10 Physical Damage Melee Basic Attack Skeleton Minion to aid you until end of Combat. (1/Combat)</t>
  </si>
  <si>
    <t>Edge of Fate</t>
  </si>
  <si>
    <t>1-20 Unscallable True Damage</t>
  </si>
  <si>
    <t>Passive: 25% chance to deal double the Damage; Each Time this Passive Triggers. it increases by 25% Until End of Combat; at 100% Chance the Damage is Trippled instead.</t>
  </si>
  <si>
    <t>Death Scythe</t>
  </si>
  <si>
    <t>10-20 Magic Damage</t>
  </si>
  <si>
    <t>On Hit: Roll a D100, Rolling a 1 will Kill the Target; Each time the Roll Fails add a -1 Modifier to the Roll until End of Combat.</t>
  </si>
  <si>
    <t>Rust of the Sea</t>
  </si>
  <si>
    <t>Passive: This Weapon deals 20 Poison Damage On Hit against Rooted Targets.</t>
  </si>
  <si>
    <t>Active: (+) Flash; Chain Target Rooting them for 2 Turns. (1/Day)</t>
  </si>
  <si>
    <t>Rankar</t>
  </si>
  <si>
    <t>10 Light Damage</t>
  </si>
  <si>
    <t>Passive: +10 Light Damage per seal unlocked; Seal I: Have 20% or less Health; Seal II: Have 20% or less Mana; Seal III: Have 0 Stamina; Unlock all seals to transform into Exterminatus.</t>
  </si>
  <si>
    <t>Used Whip</t>
  </si>
  <si>
    <t>Whip</t>
  </si>
  <si>
    <t>3 Physical Damage</t>
  </si>
  <si>
    <t>On Hit: 5 Wind Damage.</t>
  </si>
  <si>
    <t>Leather Whip</t>
  </si>
  <si>
    <t>On Hit: 6 Physical Damage.</t>
  </si>
  <si>
    <t>Battle Whip</t>
  </si>
  <si>
    <t>10 Physical Damage.</t>
  </si>
  <si>
    <t>Red Whip</t>
  </si>
  <si>
    <t>8 Fire Damage on Hit.  </t>
  </si>
  <si>
    <t>Whipping Belt</t>
  </si>
  <si>
    <t>On Hit: 20 Terror Damage.</t>
  </si>
  <si>
    <t>Spiked Whip</t>
  </si>
  <si>
    <t>On Hit: 50% chance to Bleed Target for 5 Bleeding Damage Per Tick over 3 Turns.</t>
  </si>
  <si>
    <t>The Enslaver</t>
  </si>
  <si>
    <t>14-18 Physical Damage</t>
  </si>
  <si>
    <t>On Attack: 20% Chance to Mind Control Target for 1 Turn.</t>
  </si>
  <si>
    <t>The Cryout</t>
  </si>
  <si>
    <t>On Hit: 10 Dark Damage</t>
  </si>
  <si>
    <t>Passive: Striking a Target Below 50% Health Fears and Torments them for 1 Turn.</t>
  </si>
  <si>
    <t>Elemental Lash</t>
  </si>
  <si>
    <t>20 Elemental Damage</t>
  </si>
  <si>
    <t>Passive: Damage Type Equal to Targets lowest Elemental Resistance.</t>
  </si>
  <si>
    <t>The Tormenting One</t>
  </si>
  <si>
    <t>15 Terror Damage</t>
  </si>
  <si>
    <t>Active: (+) Torment Target for 7 Turns. (1/Combat)</t>
  </si>
  <si>
    <t>Short Bow</t>
  </si>
  <si>
    <t>Ranged</t>
  </si>
  <si>
    <t>Bow</t>
  </si>
  <si>
    <t>Quiver</t>
  </si>
  <si>
    <t>Plain Bow</t>
  </si>
  <si>
    <t>6-12 Physical Damage</t>
  </si>
  <si>
    <t>Rangers Bow</t>
  </si>
  <si>
    <t>Recurve Bow</t>
  </si>
  <si>
    <t>On Hit: 30% chance to ignore Defense.</t>
  </si>
  <si>
    <t>Long Bow</t>
  </si>
  <si>
    <t>Active: (&gt;) 1 Hex Range; Basic Attack Target. (2/Day)</t>
  </si>
  <si>
    <t>Scouter</t>
  </si>
  <si>
    <t>14-17 Physical Damage</t>
  </si>
  <si>
    <t>Active: (&gt;) 1 Hex Range; Shoot an Arrow at Target Hex placing a 1 Hex Vision Ward on it. (1/Day)</t>
  </si>
  <si>
    <t>Arcane Bow</t>
  </si>
  <si>
    <t>20 Magic Damage</t>
  </si>
  <si>
    <t>Artemis</t>
  </si>
  <si>
    <t>Passive: Basic Attacks Trigger Twice.</t>
  </si>
  <si>
    <t>Starfall</t>
  </si>
  <si>
    <t>10 Magic Damage</t>
  </si>
  <si>
    <t>Passive: Contains 2 Charges of Stellar Shower</t>
  </si>
  <si>
    <t>Active: (&gt;) 1 Hex Range; Consume A Charge of Stellar Shower; Roll your Dexterity amount and cause that many Arrows to rain upon Target for 10 Light Damage each. (1/Day)</t>
  </si>
  <si>
    <t>Silverhair Linen on a Stick: Legendary Two-handed Ranged Bow; 10 True Damage; Active: (≈) Selfdestruct; Transform Target Legendary or higher Bow in inventory into Reneva's Heirloom.</t>
  </si>
  <si>
    <t>Silverhair Linen on a Stick</t>
  </si>
  <si>
    <t>10 True Damage</t>
  </si>
  <si>
    <t>Active: (≈) Selfdestruct; Transform Target Legendary or higher Bow in inventory into Reneva's Heirloom.</t>
  </si>
  <si>
    <t>Hell's Inferno</t>
  </si>
  <si>
    <t>24 Dark Damage</t>
  </si>
  <si>
    <t>Passive: 50% Chance to deal Shadowflame Damage Instead.</t>
  </si>
  <si>
    <t>Reneva's Heirloom</t>
  </si>
  <si>
    <t>14 True Damage</t>
  </si>
  <si>
    <t>Active: (&gt;) [Requires 1 Turn of Prepare] Blitz; Basic Attack Target with +0.5 Scaling and +0.5 Critical Multiplier. (3/Combat) Passive: If the Active has been used 3 Times this combat then Double this weapons Base Damage until End of Combat.</t>
  </si>
  <si>
    <t>Wooden Hand Crossbow</t>
  </si>
  <si>
    <t>Crossbow</t>
  </si>
  <si>
    <t>1 Ammo Capacity.</t>
  </si>
  <si>
    <t>Latchetbow: Uncommon One-handed Ranged Crossbow; 1 Ammo Capacity; 9 Physical Damage; Active: (≈) Flash; Reload. (1/Combat).</t>
  </si>
  <si>
    <t>Latchetbow</t>
  </si>
  <si>
    <t>Active: (≈) Flash; Reload. (1/Combat)</t>
  </si>
  <si>
    <t>Short-Range Arbest</t>
  </si>
  <si>
    <t>Toxic Repeater</t>
  </si>
  <si>
    <t>2 Ammo Capacity</t>
  </si>
  <si>
    <t>On Hit: 4 Poison Damage; Slow for 1 Turn.</t>
  </si>
  <si>
    <t>Arcadenuva: Legendary One-handed Ranged Crossbow; 2 Ammo Capacity; 12 Physical Damage; Active: (≈)[Requires a Weapon in both Off-Hand and Main-Hand] For the remainder of this Combat your Basic Attacks trigger an additional Attack with your Off-Hand Weapon. (1/Day).</t>
  </si>
  <si>
    <t>Arcadenuva</t>
  </si>
  <si>
    <t>Active: (≈)[Requires a Weapon in both Off-Hand and Main-Hand] For the remainder of this Combat your Basic Attacks trigger an additional Attack with your Off-Hand Weapon. (1/Day)</t>
  </si>
  <si>
    <t>Wooden Crossbow</t>
  </si>
  <si>
    <t>1 Ammo Capacity</t>
  </si>
  <si>
    <t>Windlass</t>
  </si>
  <si>
    <t>13–17 Physical Damage</t>
  </si>
  <si>
    <t>Steady Crossbow</t>
  </si>
  <si>
    <t>15-17 Physical Damage</t>
  </si>
  <si>
    <t>The Doubletap</t>
  </si>
  <si>
    <t>Day of Decay</t>
  </si>
  <si>
    <t>On Hit 8 Dark Damage</t>
  </si>
  <si>
    <t>On Crit: Inflict Rotting.</t>
  </si>
  <si>
    <t>Passive: If you are Rotting, your Vitals inflict Rotting Twice.</t>
  </si>
  <si>
    <t>Giros Hand Ballista</t>
  </si>
  <si>
    <t>Passive: Reloading Requires 1 Turn of Preparation.</t>
  </si>
  <si>
    <t>The Heart Piercer</t>
  </si>
  <si>
    <t>10 Physical Damage; 10 Magic Damage</t>
  </si>
  <si>
    <t>Passive: Ignore 50% Defense and Dispersion.</t>
  </si>
  <si>
    <t>Rusty Hand Cannon</t>
  </si>
  <si>
    <t>Pistol</t>
  </si>
  <si>
    <t>7-9 Physical Damage</t>
  </si>
  <si>
    <t>Pouch</t>
  </si>
  <si>
    <t>Pocket Flint</t>
  </si>
  <si>
    <t>Crack breakpistol</t>
  </si>
  <si>
    <t>4 Ammo Capacity</t>
  </si>
  <si>
    <t>Golden Flintlock Pistol</t>
  </si>
  <si>
    <t>8-9 Physical Damage</t>
  </si>
  <si>
    <t>Pistolinho</t>
  </si>
  <si>
    <t>3 Ammo Capacity</t>
  </si>
  <si>
    <t>Active: (&gt;) Ayy Caramba! Fire Remaining Loaded Pellets with 30% Total Damage Penalty.</t>
  </si>
  <si>
    <t>El Capitan</t>
  </si>
  <si>
    <t>1 Capacity</t>
  </si>
  <si>
    <t>22-28 Unscallable Fire Damage</t>
  </si>
  <si>
    <t>Bullet Caster</t>
  </si>
  <si>
    <t>Active: (&gt;) Counter; Reflect Target Ranged Basic Attack back to the Entity that Shot it with a 50% chance to Stun Target for 1 Turn. (1 Bullet; 1/Combat)</t>
  </si>
  <si>
    <t>Brainbuster</t>
  </si>
  <si>
    <t>Passive: 50% for Pellets to hit Targets skull on hit. The 7th Pellet Cracks the Skull. Piercing into the brain and Instantly Killing the Tar</t>
  </si>
  <si>
    <t>The Jhin</t>
  </si>
  <si>
    <t>4 Physical Damage;</t>
  </si>
  <si>
    <t>On Hit: 4 Dark Damage.</t>
  </si>
  <si>
    <t>Passive: Every 4th bullet fired deals 44 Dark Damage On Hit Instead.</t>
  </si>
  <si>
    <t>Selvion</t>
  </si>
  <si>
    <t>12 Magic Damage</t>
  </si>
  <si>
    <t>Passive: Basic Attacks will always Fire a clone of the Pellet in its Chamber at the cost of 5 Mana/Health</t>
  </si>
  <si>
    <t>Active: (&gt;) Fire the Chambered Pellet with +1 Crit Multiplier Consuming it in the process.</t>
  </si>
  <si>
    <t>Belvion</t>
  </si>
  <si>
    <t>Eclipse</t>
  </si>
  <si>
    <t>4 Capacity</t>
  </si>
  <si>
    <t>Passive: Reloading pulls out all your Pellets that hit Entities this Combat back into the gun, each one dealing 15 Bleed Damage</t>
  </si>
  <si>
    <t>Rusty Blunderbuss</t>
  </si>
  <si>
    <t>Rifle</t>
  </si>
  <si>
    <t>Clearbore</t>
  </si>
  <si>
    <t>12–14 Physical Damage</t>
  </si>
  <si>
    <t>Mechanical Puncturer</t>
  </si>
  <si>
    <t>Ferguson Rifle</t>
  </si>
  <si>
    <t>Passive: Instantly Reloads on basic Attack.</t>
  </si>
  <si>
    <t>Clear-Sight Rifle</t>
  </si>
  <si>
    <t>Active: (&gt;) 1 Hex Range; Basic Attack Target; If it lands Reveal their Equipped Gear. (1/Day)</t>
  </si>
  <si>
    <t>Mana-Tech Reloader</t>
  </si>
  <si>
    <t>10-14 Magic Damage</t>
  </si>
  <si>
    <t>On Hit: 10 Lightning Damage</t>
  </si>
  <si>
    <t>Passive: This Weapon does not Consume its Pellet when Shooting, instead it Shoots copies of it which Consume 5 Mana per Shot; Does not need to be Reloaded but Pellets can be swapped.</t>
  </si>
  <si>
    <t>The Bayonet Fixed Flintlock</t>
  </si>
  <si>
    <t>Passive: Counts as a Sharp Weapon as well and can be used as a melee melee Weapon for 16 Physical Damage scaling with Strength.</t>
  </si>
  <si>
    <t>The Reagle</t>
  </si>
  <si>
    <t>On Hit: 50% Defense Penetration</t>
  </si>
  <si>
    <t>Passive: Your Basic Attack has a 50% Chance to have Blitz.</t>
  </si>
  <si>
    <t>Scoped Burntbuster</t>
  </si>
  <si>
    <t>18 Fire Damage</t>
  </si>
  <si>
    <t>Passive: If two Consecutive Basic Attacks hit Target, they explode dealing 20 Blast Damage to Target.</t>
  </si>
  <si>
    <t>Active: 2 Hex Range; Basic Attack Target. (2/Day)</t>
  </si>
  <si>
    <t>Flatliner</t>
  </si>
  <si>
    <t>Passive: Your Hex Ranged Abilities/Attacks have no Damage Fall-off.</t>
  </si>
  <si>
    <t>Active: 1 Hex Range; Basic Attack Target. (1/Day)</t>
  </si>
  <si>
    <t>Heaven's Judgement</t>
  </si>
  <si>
    <t>20 Light Damage</t>
  </si>
  <si>
    <t>Passive: Your Basic Attacks will always Critically Hit; Your Natural Critical Hits become Vitals.</t>
  </si>
  <si>
    <t>Lightly Bent Staff</t>
  </si>
  <si>
    <t>Staff</t>
  </si>
  <si>
    <t>Conclave</t>
  </si>
  <si>
    <t>Prestine Staff</t>
  </si>
  <si>
    <t>Blistering Staff</t>
  </si>
  <si>
    <t>6-8 Magic damage</t>
  </si>
  <si>
    <t>Living Staff</t>
  </si>
  <si>
    <t>5 Earth Damage</t>
  </si>
  <si>
    <t>Lava Drinker: Epic Two-handed Melee Staff; 15 Unscallable Fire Damage; +4 Power; Active: (≈) Transform Lava Hex in Hex Vision into Scorched Hex and Restore 25 Health. (3/Day).</t>
  </si>
  <si>
    <t>Lava Drinker</t>
  </si>
  <si>
    <t>15 Unscallable Fire Damage</t>
  </si>
  <si>
    <t>Active: (≈) Transform Lava Hex in Hex Vision into Scorched Hex and Restore 25 Health. (3/Day)</t>
  </si>
  <si>
    <t>Fractured Sky</t>
  </si>
  <si>
    <t>10 Wind Damage</t>
  </si>
  <si>
    <t>Active: (&gt;) Launch a powerful torrent at Target dealing 20 Wind Damage and inflicting Chilled for 2 Turns. (1/Combat)</t>
  </si>
  <si>
    <t>Kingdom Reborn: Legendary Two-handed Ranged Staff; 15 Magic Damage; +50 Mana; Active: (≈) Become Surged and Enlightened for 2 Turns; Fear all other Entities for 2 Turns. (1/Day).</t>
  </si>
  <si>
    <t>Kingdom Reborn</t>
  </si>
  <si>
    <t>15 Magic Damage</t>
  </si>
  <si>
    <t>Active: (≈) Become Surged and Enlightened for 2 Turns; Fear all other Entities for 2 Turns. (1/Day)</t>
  </si>
  <si>
    <t>Banner Of the Saint</t>
  </si>
  <si>
    <t>On Hit: 10 Light Damage</t>
  </si>
  <si>
    <t>Active: (+) Powerplay; Flash; Drain 2 Faith from Target Entity.</t>
  </si>
  <si>
    <t>Ragefilter</t>
  </si>
  <si>
    <t>Passive: Scales with Strength &amp; Power; Can't Crit.</t>
  </si>
  <si>
    <t>Shashin</t>
  </si>
  <si>
    <t>3 Wind Damage</t>
  </si>
  <si>
    <t>Passive: Non-ultimate Abilities Trigger twice.</t>
  </si>
  <si>
    <t>Binding Demise</t>
  </si>
  <si>
    <t>18-22 Magic Damage</t>
  </si>
  <si>
    <t>On Hit: Root Target for 1 Turn.</t>
  </si>
  <si>
    <t>Zen</t>
  </si>
  <si>
    <t>Passive: Scales with Strength, Dexterity &amp; Power.</t>
  </si>
  <si>
    <t>Elderwood Scepter</t>
  </si>
  <si>
    <t>Scepter</t>
  </si>
  <si>
    <t>5-8 Magic Damage</t>
  </si>
  <si>
    <t>Dustgrain Scepter</t>
  </si>
  <si>
    <t>9 Magic Damage</t>
  </si>
  <si>
    <t>Sealrod</t>
  </si>
  <si>
    <t>7-9 Magic Damage</t>
  </si>
  <si>
    <t>Active: (&gt;) Seal Target Entity for 3 Turns. (1/Day)</t>
  </si>
  <si>
    <t>Crooked Scepter</t>
  </si>
  <si>
    <t>8-10 Magic Damage</t>
  </si>
  <si>
    <t>Frostform Scepter</t>
  </si>
  <si>
    <t>9 Frost Damage</t>
  </si>
  <si>
    <t>On Hit: 20% chance to Frostbite Target for 5 Damage Per Tick over 4 Turns.</t>
  </si>
  <si>
    <t>Mana Wood Scepter: Epic Two-handed Ranged Scepter; 1 Magic Damage; +150 Mana; Active: (≈) Your Next 3 Basic Attacks this Combat Regenerate 20 Mana on Hit. (1/Day).</t>
  </si>
  <si>
    <t>Mana Wood Scepter</t>
  </si>
  <si>
    <t>1 Magic Damage</t>
  </si>
  <si>
    <t>Active: (≈) Your Next 3 Basic Attacks this Combat Regenerate 20 Mana on Hit. (1/Day)</t>
  </si>
  <si>
    <t>Draining Scepter</t>
  </si>
  <si>
    <t>7-10 Bleed Damage</t>
  </si>
  <si>
    <t>Passive: 50% Lifedrain on Basic Attacks.</t>
  </si>
  <si>
    <t>Scepto Mundo: Epic Two-handed Ranged Scepter; 14-20 Magic Damage; +4 Power; Active: (≈) Randomly reveals 7 Hexes in a circle on the Map for 1 Day. (1/Day).</t>
  </si>
  <si>
    <t>Scepto Mundo</t>
  </si>
  <si>
    <t>14-20 Magic Damage</t>
  </si>
  <si>
    <t>Active: (≈) Randomly reveals 7 Hexes in a circle on the Map for 1 Day. (1/Day)</t>
  </si>
  <si>
    <t>The Lightning Rod</t>
  </si>
  <si>
    <t>20 Unscallable Lightning Damage</t>
  </si>
  <si>
    <t>Passive: Basic Attacks have Blitz; Switching to this Weapon during Combat has Counter and Flash.</t>
  </si>
  <si>
    <t>Gods' Fury</t>
  </si>
  <si>
    <t>16-20 Light Damage</t>
  </si>
  <si>
    <t>Active: (o) All other Entities on your Hex gain -1 Faith. (1/Day)</t>
  </si>
  <si>
    <t>Sea of Flowers</t>
  </si>
  <si>
    <t>15 Earth Damage</t>
  </si>
  <si>
    <t>Active: (o) Powerplay; Remove all Negative Status Effects from all Entities on Hex and Turn Current Hex into a Sacred Sakura Grove; Entities on it have Regeneration Condition and +50% Elemental Resistance.</t>
  </si>
  <si>
    <t>Kingsley</t>
  </si>
  <si>
    <t>10-15 Magic Damage</t>
  </si>
  <si>
    <t>Active: (&gt;) Basic Attack; If it lands and the Target is left below 20% Max Health. Kill Target. (1/Day)</t>
  </si>
  <si>
    <t>Mindbreaker</t>
  </si>
  <si>
    <t>Active: (+) Pierce Target's mind, dealing 30 Magic Damage and Confusing them for 3 Turns. (1/Day)</t>
  </si>
  <si>
    <t>Flingspark</t>
  </si>
  <si>
    <t>Wand</t>
  </si>
  <si>
    <t>5 Magic Damage</t>
  </si>
  <si>
    <t>Manaspark</t>
  </si>
  <si>
    <t>Passive: You may consume 10 Mana to Basic Attack at double Base Damage.</t>
  </si>
  <si>
    <t>Runebirch</t>
  </si>
  <si>
    <t>Passive: This Gear has 2 Rune Slots; Active: Selfdestruct; Grant Target Gear 1 Rune Slot.</t>
  </si>
  <si>
    <t>Moonwand</t>
  </si>
  <si>
    <t>4-7 Magic Damage</t>
  </si>
  <si>
    <t>Lightwand</t>
  </si>
  <si>
    <t>4-8 Light Damage</t>
  </si>
  <si>
    <t>Flavored Magic Cane: Epic One-handed Ranged Wand; 8-16 Magic Damage; Active: (≈) Lick Wand. 50% chance to restore 50 Mana or otherwise Lose 25 health (1/Day).</t>
  </si>
  <si>
    <t>Flavored Magic Cane</t>
  </si>
  <si>
    <t>8-16 Magic Damage</t>
  </si>
  <si>
    <t>Active: (≈) Lick Wand. 50% chance to restore 50 Mana or otherwise Lose 25 health (1/Day)</t>
  </si>
  <si>
    <t>Branched Ark</t>
  </si>
  <si>
    <t>Passive: Shoots 3 Projectiles with each Basic Attack.</t>
  </si>
  <si>
    <t>Shadownull</t>
  </si>
  <si>
    <t>20 Dark Damage</t>
  </si>
  <si>
    <t>Passive: Can not Crit.</t>
  </si>
  <si>
    <t>The Welion Stick</t>
  </si>
  <si>
    <t>Kardalion</t>
  </si>
  <si>
    <t>Purity of Soul</t>
  </si>
  <si>
    <t>1 Holy Damage</t>
  </si>
  <si>
    <t>Passive: You are Immune to all Status Effects.</t>
  </si>
  <si>
    <t>Apprentices Orb</t>
  </si>
  <si>
    <t>Orb</t>
  </si>
  <si>
    <t>6 Magic Damage</t>
  </si>
  <si>
    <t>Glyphstone</t>
  </si>
  <si>
    <t>8 Magic Damage</t>
  </si>
  <si>
    <t>Forfrian Orb</t>
  </si>
  <si>
    <t>8 Frost Damage</t>
  </si>
  <si>
    <t>Kablom</t>
  </si>
  <si>
    <t>Active: (&gt;) Selfdestruct; Throw the Orb at Target causing it to explode 25 Arcane Damage.</t>
  </si>
  <si>
    <t>Hellblazer</t>
  </si>
  <si>
    <t>12 Fire Damage</t>
  </si>
  <si>
    <t>Passive: If Off-handed it transfers 100% of its Base Damage to Main-Hand as On Hit instead of 50%.</t>
  </si>
  <si>
    <t>Unstable Archorb: Epic One-handed Ranged Orb; 18 Magic Damage; Passive: [Requires Combat] At the start of your Turn this Gear has 10% Chance to Selfdestruct; Active: (≈) Toggle; Convert this weapons Base Damage to Power, Your Passive now also has a 10% Chance to Transform into Stable Archorb which is Rolled after the Selfdestruct Roll. (50 Health).</t>
  </si>
  <si>
    <t>Unstable Archorb</t>
  </si>
  <si>
    <t>18 Magic Damage</t>
  </si>
  <si>
    <t>Passive: [Requires Combat] At the start of your Turn this Gear has 10% Chance to Selfdestruct</t>
  </si>
  <si>
    <t>Active: (≈) Toggle; Convert this weapons Base Damage to Power, Your Passive now also has a 10% Chance to Transform into Stable Archorb which is Rolled after the Selfdestruct Roll. (50 Health)</t>
  </si>
  <si>
    <t>Verdant Vengence: Legendary One-handed Ranged Orb; 10 Poison Damage; Passive: [Requires Combat] This Weapons Base Damage is doubled if you were the first one to take Damage this Combat out of all Entities, Lasts Until End of Combat; Active: (≈) Take 20 Poison Damage and Double this Weapons Base Damage Until End of Combat. (1/Combat).</t>
  </si>
  <si>
    <t>Verdant Vengence</t>
  </si>
  <si>
    <t>10 Poison Damage</t>
  </si>
  <si>
    <t>Passive: [Requires Combat] This Weapons Base Damage is doubled if you were the first one to take Damage this Combat out of all Entities, Lasts Until End of Combat</t>
  </si>
  <si>
    <t>Active: (≈) Take 20 Poison Damage and Double this Weapons Base Damage Until End of Combat. (1/Combat)</t>
  </si>
  <si>
    <t>Karakri Crystalball: Legendary One-handed Ranged Orb; 0 Unscallable Magic Damage; +10 Power; Passive: While you are below 25% Health you gain an additional 10 Power; Active: (≈) Gain the 1 Hex Vision Map of the nearest chosen Landmark Until End of Day. (1/Day); Active: (≈) Gain the 1 Hex Vision Map of the nearest chosen Landmark Until End of Day. (1/Day).</t>
  </si>
  <si>
    <t>Karakri Crystalball</t>
  </si>
  <si>
    <t>0 Unscallable Magic Damage</t>
  </si>
  <si>
    <t>Passive: While you are below 25% Health you gain an additional 10 Power; Active: (≈) Gain the 1 Hex Vision Map of the nearest chosen Landmark Until End of Day. (1/Day)</t>
  </si>
  <si>
    <t>Active: (≈) Gain the 1 Hex Vision Map of the nearest chosen Landmark Until End of Day. (1/Day)</t>
  </si>
  <si>
    <t>Stable Archorb: Legendary One-handed Ranged Orb; 18 Magic Damage; Active: (≈) Toggle; Convert this weapons Base Damage to Power. (50 Mana/Health).</t>
  </si>
  <si>
    <t>Stable Archorb</t>
  </si>
  <si>
    <t>Active: (≈) Toggle; Convert this weapons Base Damage to Power. (50 Mana/Health)</t>
  </si>
  <si>
    <t>Skull of Muigi</t>
  </si>
  <si>
    <t>10 Unscalable Dark Damage</t>
  </si>
  <si>
    <t>Passive: [Requires to be Wielded in Main Hand] Knives you equip in your Off-Hand become Ranged Projectile Impact Weapons.</t>
  </si>
  <si>
    <t>Accessory</t>
  </si>
  <si>
    <t>Tome of Power</t>
  </si>
  <si>
    <t>Tome</t>
  </si>
  <si>
    <t>Tome of Mana</t>
  </si>
  <si>
    <t>Tome of Intelligence</t>
  </si>
  <si>
    <t>Passive: Your Spells Cost 20% Less Mana.</t>
  </si>
  <si>
    <t>Book of Secrets</t>
  </si>
  <si>
    <t>Passive: Your Abilities now have the Hidden Keyword.</t>
  </si>
  <si>
    <t>Explorers Guidebook: Epic One-handed N/A Tome; Active: (≈) Explore rolling a d5 instead at no Stamina Cost (1/Vendal) Passive: The Active Ability Refreshes after a Victorious Combat. (1/Day).</t>
  </si>
  <si>
    <t>Explorers Guidebook</t>
  </si>
  <si>
    <t>Active: (≈) Explore rolling a d5 instead at no Stamina Cost (1/Vendal) Passive: The Active Ability Refreshes after a Victorious Combat. (1/Day)</t>
  </si>
  <si>
    <t>Tome of Dread</t>
  </si>
  <si>
    <t>Passive: Your Damaging Abilities will inflict Fear for 2 Turns.</t>
  </si>
  <si>
    <t>Vampiric Codex</t>
  </si>
  <si>
    <t>Passive: Your Damaging Projectile Abilities have 30% Lifedrain.</t>
  </si>
  <si>
    <t>Ancient Scroll Emporium</t>
  </si>
  <si>
    <t>Passive: Non-Legendary or higher Rarity Scrolls now have 1 Day Cooldown instead of being Consumed on use</t>
  </si>
  <si>
    <t>Active: Powerplay; Destroy Target Legendary Scroll and Absorb it in this Tome, You may now cast the Scrolls Active Ability 1/Day.</t>
  </si>
  <si>
    <t>Tome of Everlasting Spite</t>
  </si>
  <si>
    <t>The Chronicles of Ashtonkat</t>
  </si>
  <si>
    <t>Active: (&gt;) Powerplay; Razorfen: Deal 50 Arcane Damage. (50 Mana); Active: Hyperblade: (&gt;) [Channel for 1 Turn] Powerplay; Unleash a Sharp Edge Arcane Blade That Slices for 50 Arcane Damage; 50% Chance to Dismember.</t>
  </si>
  <si>
    <t>Librarian Manifesto</t>
  </si>
  <si>
    <t>Active: (+) Choose Target, If Target was the first to deal Damage to you in Combat, Mind Control them for 2 Turns.</t>
  </si>
  <si>
    <t>Velsek Grimoire: Mythic One-handed N/A Tome; Active: (≈) Your next Ability will cast 1 Rank higher. (1/Day).</t>
  </si>
  <si>
    <t>Velsek Grimoire</t>
  </si>
  <si>
    <t>Active: (≈) Your next Ability will cast 1 Rank higher. (1/Day)</t>
  </si>
  <si>
    <t>Basic Sigil</t>
  </si>
  <si>
    <t>Sigil</t>
  </si>
  <si>
    <t>Passive: +3 Attributes of your Choice.</t>
  </si>
  <si>
    <t>Entropic Sigil</t>
  </si>
  <si>
    <t>Active: (+) Remove Target Non-Impairing Status effect from Target Entity.</t>
  </si>
  <si>
    <t>Blue Sigil</t>
  </si>
  <si>
    <t>Red Sigil</t>
  </si>
  <si>
    <t>Yellow Sigil</t>
  </si>
  <si>
    <t>Advanced Sigil</t>
  </si>
  <si>
    <t>Passive: +8 Attributes of your Choice.</t>
  </si>
  <si>
    <t>Cursed Bane of Curses: Epic One-handed N/A Sigil; Passive: Gain 50 Health for each unique Curse on yourself; Upon equipping become Cursed; Curse: You no longer Regenerate Health at the Start of Day; Active: (≈) Selfdestruct and remove Target Curse.</t>
  </si>
  <si>
    <t>Cursed Bane of Curses</t>
  </si>
  <si>
    <t>Passive: Gain 50 Health for each unique Curse on yourself; Upon equipping become Cursed; Curse: You no longer Regenerate Health at the Start of Day.</t>
  </si>
  <si>
    <t>Active: (≈) Selfdestruct and remove Target Curse.</t>
  </si>
  <si>
    <t>Seal of the High Order</t>
  </si>
  <si>
    <t>Passive: Killing a Boss grants you +1 Faith; Active: (+) Powerplay; Deal 50 Holy Damage.</t>
  </si>
  <si>
    <t>Active: (+) Powerplay; Deal 50 Holy Damage.</t>
  </si>
  <si>
    <t>Rasonian Imbuement Badge</t>
  </si>
  <si>
    <t>Passive: Melee Weapon equipped in your Main Hand gain +10 Base Damage, Allows you to equip Two-Handed Melee Weapons in your Main Hand.</t>
  </si>
  <si>
    <t>Invigroths Pentagram</t>
  </si>
  <si>
    <t>Passive: +10 Attributes of your Choice; Passive: At the Start of Combat you gain a 200 Health Demon Minion with 20 Physical Damage Ranged Basic Attack, It's Health and Attack increase by 50 and 5 for every Victorious Combat you had with this Sigil Equipped.</t>
  </si>
  <si>
    <t>A Piece of Plank</t>
  </si>
  <si>
    <t>Buckler</t>
  </si>
  <si>
    <t>Passive: Blocks 10% of incoming Physical Damage</t>
  </si>
  <si>
    <t>Tinker’s Buckler</t>
  </si>
  <si>
    <t>Passive: Blocks 15% of incoming Physical Damage</t>
  </si>
  <si>
    <t>Hardened Buckler</t>
  </si>
  <si>
    <t>Passive: 20% Chance to Parry incoming Basic Attack.</t>
  </si>
  <si>
    <t>All Round Buckler</t>
  </si>
  <si>
    <t>Parrying Buckler: Epic One-handed N/A Buckler; +30 Health; Active: (≈) Counter; Parry Target Basic Attack. (3 Turn Cooldown).</t>
  </si>
  <si>
    <t>Parrying Buckler</t>
  </si>
  <si>
    <t>Active: (≈) Counter; Parry Target Basic Attack. (3 Turn Cooldown)</t>
  </si>
  <si>
    <t>Ice Buckler</t>
  </si>
  <si>
    <t>Passive: Blocks 10% of all Damage</t>
  </si>
  <si>
    <t>Hearthbone</t>
  </si>
  <si>
    <t>Passive: Blocks 20% of all Damage</t>
  </si>
  <si>
    <t>Aegis of The Sun</t>
  </si>
  <si>
    <t>Passive: Being hit by a Basic Attack will Blind the Target for 1 Turn.</t>
  </si>
  <si>
    <t>Spiked Buckler</t>
  </si>
  <si>
    <t>Passive: Reflects 20% of Physical Damage taken back to the original attacker</t>
  </si>
  <si>
    <t>Holy Defender</t>
  </si>
  <si>
    <t>Passive:  Blocks 25% of all Damage from Eldritch, Undead and Demon Entities; 50% Chance to Block incoming Basic Attack from a Living.</t>
  </si>
  <si>
    <t>Poor Mans Shield</t>
  </si>
  <si>
    <t>Shield</t>
  </si>
  <si>
    <t>Imaginary Shield</t>
  </si>
  <si>
    <t>Wallguard</t>
  </si>
  <si>
    <t>Passive: Blocks 20% of incoming Physical Damage</t>
  </si>
  <si>
    <t>The Silver Barricade</t>
  </si>
  <si>
    <t>Tower Shield</t>
  </si>
  <si>
    <t>Passive: Blocks 20% of all Physical Damage</t>
  </si>
  <si>
    <t>Hoplite Shield: Rare One-handed N/A Shield; +5 Defense; +5 Dispersion; Active: (≈) Counter; Raise Shield; If raised the Stats are raised to 10 Defense and 10 Dispersion and you get -5 Str; -5 Dex; -5 Power; You become unable to move or do any Movement Actions.</t>
  </si>
  <si>
    <t>Hoplite Shield</t>
  </si>
  <si>
    <t>Active: (≈) Counter; Raise Shield; If raised the Stats are raised to 10 Defense and 10 Dispersion and you get -5 Str; -5 Dex; -5 Power; You become unable to move or do any Movement Actions.</t>
  </si>
  <si>
    <t>Mana-Tech Guard</t>
  </si>
  <si>
    <t>-5 Basic Attack Damage</t>
  </si>
  <si>
    <t>100</t>
  </si>
  <si>
    <t>Passive: Absorbs 20% of Damage from Projectiles and converts it in to Mana.</t>
  </si>
  <si>
    <t>The High Guard</t>
  </si>
  <si>
    <t>-5</t>
  </si>
  <si>
    <t>Passive: Blocks 30% of all Physical Damage; +5 Defense; +5 Dispersion; -5 Basic Attack Damage; -5 Power.</t>
  </si>
  <si>
    <t>Forts Door</t>
  </si>
  <si>
    <t>Passive: Blocks 30% of all Physical Damage and 30% of all Magic Damage.</t>
  </si>
  <si>
    <t>Split-Screen</t>
  </si>
  <si>
    <t>Passive: Is considered a Blunt Melee Weapon that Locks your Main Hand, instead you Wield 2 halves of an enormous Shield; Blocks 30% of all Damage;</t>
  </si>
  <si>
    <t>The Barrier</t>
  </si>
  <si>
    <t>Passive: Blocks 30% of all Damage</t>
  </si>
  <si>
    <t>Solar Zenith: Legendary One-handed N/A Shield; -6 Strength; -6 Dexterity; Passive: Blocks 20% of all Damage; Entities that Strike you are Dealt 10 Solar Damage; Active: (≈) Counter; Block Target Non-Ultimate Attack. (1/Day).</t>
  </si>
  <si>
    <t>Solar Zenith</t>
  </si>
  <si>
    <t>Passive: Blocks 20% of all Damage; Entities that Strike you are Dealt 10 Solar Damage; Active: (≈) Counter; Block Target Non-Ultimate Attack. (1/Day)</t>
  </si>
  <si>
    <t>The Hero's Story: Legendary One-handed N/A Shield; Passive: Heal 10% of Total Damage Taken, Record all Damage taken; Active: (≈) Selfdestruct; Gain Barrier equal to Double the Recorded amount.</t>
  </si>
  <si>
    <t>The Hero's Story</t>
  </si>
  <si>
    <t>Passive: Heal 10% of Total Damage Taken, Record all Damage taken</t>
  </si>
  <si>
    <t>Active: (≈) Selfdestruct; Gain Barrier equal to Double the Recorded amount.</t>
  </si>
  <si>
    <t>The Immoral Bulwark</t>
  </si>
  <si>
    <t>Passive: In Combat you occupy 2x2 Tiles, Your Elemental Resistance is converted to Defense at 10 to 1 Ratio(Positive and Negative) and all Elemental Damage is Reduced by Defense.</t>
  </si>
  <si>
    <t>Glass Mirror</t>
  </si>
  <si>
    <t>Leather Quiver</t>
  </si>
  <si>
    <t>Ammunition Slot</t>
  </si>
  <si>
    <t>Passive: Provides Arrows for the use of Bows and Crossbows.</t>
  </si>
  <si>
    <t>Cloth</t>
  </si>
  <si>
    <t>Barbed Quiver</t>
  </si>
  <si>
    <t>Passive: Provides Arrows for the use of Bows and Crossbows; Fired Arrows deal 8 Physical Damage on Hit.</t>
  </si>
  <si>
    <t>Ice Quiver</t>
  </si>
  <si>
    <t>Passive: Provides Arrows for the use of Bows and Crossbows; Fired Arrows Deal 5 Frost Damage on Hit.</t>
  </si>
  <si>
    <t>Fire Quiver</t>
  </si>
  <si>
    <t>Passive: Provides Arrows for the use of Bows and Crossbows; Passive: Fired Arrows Deal 5 Fire Damage on Hit.</t>
  </si>
  <si>
    <t xml:space="preserve">The Quiver of Darkness </t>
  </si>
  <si>
    <t>Passive: Provides Arrows for the use of Bows and Crossbows; Passive: Fired Arrows Deal 10 Dark Damage on Hit.</t>
  </si>
  <si>
    <t>Magic Quiver</t>
  </si>
  <si>
    <t>Passive: Provides Arrows for the use of Bows and Crossbows; Your Bows and Crossbows have their Total Damage converted to Magic; If it was already Magic it becomes Arcane Instead.</t>
  </si>
  <si>
    <t>Corrosive Quiver</t>
  </si>
  <si>
    <t>Passive: Provides Arrows for the use of Bows and Crossbows; Your First, Third and Fifth Arrow Fired deals 30 Corrossive Damage On Hit.</t>
  </si>
  <si>
    <t>Elemental Quiver</t>
  </si>
  <si>
    <t>Passive: Provides Arrows for the use of Bows and Crossbows; Converts Basic Attack Damage to Chosen Element with Each Arrow Fired.</t>
  </si>
  <si>
    <t>Spooky Haunted Quiver</t>
  </si>
  <si>
    <t>Passive: Provides Arrows for the use of Bows and Crossbows; Killing Entities will Collect their Souls [weakling: 1 Soul; Elite 2 Souls; Boss 4 Souls; Guardian/Hero: 8 Souls]</t>
  </si>
  <si>
    <t>Active: Consume a Soul to Basic Attack with a  ghostly Arrow which inflicts Fear for 2 Turns On Hit.</t>
  </si>
  <si>
    <t>The Black Hole</t>
  </si>
  <si>
    <t>Passive: Provides Arrows for the use of Bows and Crossbows; Fired Arrows Deal 10 True Damage On Hit</t>
  </si>
  <si>
    <t>Active: Throw all Stored Throwables at Target Entity. </t>
  </si>
  <si>
    <t>Poor man's Ammo Sack</t>
  </si>
  <si>
    <t>Packed Pouch</t>
  </si>
  <si>
    <t>Passive: Provides Pellets for the use of Guns and Rifles; Fired Pellets deal +8 Physical Damage on Hit.</t>
  </si>
  <si>
    <t>Sharp Nailbox</t>
  </si>
  <si>
    <t>Passive: Provides Pellets for the use of Guns and Rifles; Fired Pellets Deal 5 Bleed Damage on Hit.</t>
  </si>
  <si>
    <t>Poison-Filled Sack</t>
  </si>
  <si>
    <t>Passive: Provides Pellets for the use of Guns and Rifles; Fired Pellets Deal 5 Poison Damage on Hit.</t>
  </si>
  <si>
    <t>Blackpowder Box</t>
  </si>
  <si>
    <t>Passive: Provides Pellets for the use of Guns and Rifles; Fired Pellets Deal 10 Wind Damage on Hit.</t>
  </si>
  <si>
    <t>Charged Pouch</t>
  </si>
  <si>
    <t>Passive: Provides Pellets for the use of Guns and Rifles; Fired Pellets Deal 10 Lightning Damage on Hit.</t>
  </si>
  <si>
    <t>Organ Remover</t>
  </si>
  <si>
    <t>Passive: Provides Pellets for the use of Guns and Rifles; Your Pellets will always strike Vitals on Crit.</t>
  </si>
  <si>
    <t>Belt Stripe of the Gun God</t>
  </si>
  <si>
    <t>Passive: Provides Pellets for the use of Guns and Rifles; [Requires Pistol/Rifle] Basic Attacks have Precise.</t>
  </si>
  <si>
    <t>The Solarite Ammo Box</t>
  </si>
  <si>
    <t>Passive: Provides Pellets for the use of Guns and Rifles; Fired Pellets Deal 20 Solar Damage on Hit.</t>
  </si>
  <si>
    <t>Armor</t>
  </si>
  <si>
    <t>Rusty Helmet</t>
  </si>
  <si>
    <t>Head Piece</t>
  </si>
  <si>
    <t>Helmet</t>
  </si>
  <si>
    <t>Copper Helm</t>
  </si>
  <si>
    <t>Head Set Piece</t>
  </si>
  <si>
    <t>Bronze Cap</t>
  </si>
  <si>
    <t>Steel Helm</t>
  </si>
  <si>
    <t>Silver Armet</t>
  </si>
  <si>
    <t>Golden Barbute</t>
  </si>
  <si>
    <t>Legionaires Galea</t>
  </si>
  <si>
    <t>Deflectorium Sallet</t>
  </si>
  <si>
    <t>Impenetrable Bucket</t>
  </si>
  <si>
    <t>Passive: Halves the damage of incoming Critical Attacks.</t>
  </si>
  <si>
    <t>Sutton Hoo Helmet</t>
  </si>
  <si>
    <t>Active: (+) Fear Target for 2 turns. (1/Day)</t>
  </si>
  <si>
    <t>Medusa's Head</t>
  </si>
  <si>
    <t>Active: (+) Gaze at Target. Stunning them for 1 Turn and Dealing 20 Earth Damage. (1/Day)</t>
  </si>
  <si>
    <t>Mind Over Matter</t>
  </si>
  <si>
    <t>Helm of the Elemental Divine</t>
  </si>
  <si>
    <t>Passive: +1 Hex Vision</t>
  </si>
  <si>
    <t>Active: (+) Deal 40 Wind Damage to Target Entity. (1/Combat)</t>
  </si>
  <si>
    <t>Shortsight Monocle</t>
  </si>
  <si>
    <t>Headgear</t>
  </si>
  <si>
    <t>Passive: You have access to the Inspect Skill.</t>
  </si>
  <si>
    <t>Focus Circlet</t>
  </si>
  <si>
    <t>Hell Circlet: Rare Head Piece Headgear; +1 Defense; Active: (≈) [Requires you to be in Volcanica Biome] Restore 25 Health. (1/Day).</t>
  </si>
  <si>
    <t>Hell Circlet</t>
  </si>
  <si>
    <t>Active: (≈) [Requires you to be in Volcanica Biome] Restore 25 Health. (1/Day)</t>
  </si>
  <si>
    <t>Runic Headband</t>
  </si>
  <si>
    <t>Falcons Feathers</t>
  </si>
  <si>
    <t>Passive: Successfully Dodging an Attack will empower your next Basic Attack to be a Critical Hit.</t>
  </si>
  <si>
    <t>Hoarder's Crown</t>
  </si>
  <si>
    <t>Passive: Gold Looted while wearing this Crown is Doubled; Passive: Selfdestruct upon Unequipping it.</t>
  </si>
  <si>
    <t>Farsight Monocle</t>
  </si>
  <si>
    <t>Passive: +1 Hex Vision.</t>
  </si>
  <si>
    <t>Circlet of Thunder</t>
  </si>
  <si>
    <t>Keen Visor</t>
  </si>
  <si>
    <t>Passive: +1 Hex Vision; Gain the Vigilant Condition.</t>
  </si>
  <si>
    <t>Shadow Mask</t>
  </si>
  <si>
    <t>Passive: Entities can no longer Flee from you.</t>
  </si>
  <si>
    <t>Tiara Of Helena</t>
  </si>
  <si>
    <t>Passive: At the start of the day roll d10 to determine amount of extra Power the tiara will give.</t>
  </si>
  <si>
    <t>Druglords Fake Beard: Legendary Head Piece Headgear; Passive: You may consume multiple Drugs of the same Type but this Gear Selfdestructs upon being unequipped; Active: (≈) Gain a Random Drug. (1/Vendal).</t>
  </si>
  <si>
    <t>Druglords Fake Beard</t>
  </si>
  <si>
    <t>Passive: You may consume multiple Drugs of the same Type but this Gear Selfdestructs upon being unequipped</t>
  </si>
  <si>
    <t>Active: (≈) Gain a Random Drug. (1/Vendal)</t>
  </si>
  <si>
    <t>The Third Eye</t>
  </si>
  <si>
    <t>Passive: +1 Hex Vision; Selfdestruct after 3 Days.</t>
  </si>
  <si>
    <t>Corona Contiua</t>
  </si>
  <si>
    <t>Passive: Toggle and Stance Abilities have their costs halved.</t>
  </si>
  <si>
    <t>Passive: You are revealed on the Planes and can no longer unequip this Gear; Active: (+) Destroy Target Hex. (1/Day)</t>
  </si>
  <si>
    <t>Rangers Hood</t>
  </si>
  <si>
    <t>Cap</t>
  </si>
  <si>
    <t>Leather Cap</t>
  </si>
  <si>
    <t>Quilted Hood</t>
  </si>
  <si>
    <t>Demonskin Cap: Rare Head Set Piece Cap; +25 Health; 20% Fire Resistance; Active: (≈) Traverse Lava Hex. (2/Day).</t>
  </si>
  <si>
    <t>Demonskin Cap</t>
  </si>
  <si>
    <t>Active: (≈) Traverse Lava Hex. (2/Day)</t>
  </si>
  <si>
    <t>Silk Cap</t>
  </si>
  <si>
    <t>Wolf Head</t>
  </si>
  <si>
    <t>Passive: Reduce all Damage you are about to take by 1.</t>
  </si>
  <si>
    <t>Crystal Cone</t>
  </si>
  <si>
    <t>Dragonskin Regalia</t>
  </si>
  <si>
    <t>Curing Bandana: Legendary Head Piece Cap; +75 Health; 50% Poison Resistance; Passive: Active: (≈) Counter; Reflex; Cures one Status Effect. (1/Day).</t>
  </si>
  <si>
    <t>Curing Bandana</t>
  </si>
  <si>
    <t>Active: (≈) Counter; Reflex; Cures one Status Effect. (1/Day)</t>
  </si>
  <si>
    <t>Bride's Veil</t>
  </si>
  <si>
    <t>Active: (o) Reveal your face Charming all Entities on Hex for 2 Turns. (1/Day)</t>
  </si>
  <si>
    <t>Abyssal Hood</t>
  </si>
  <si>
    <t>Passive: Hide your True Identity; Entities can no longer Gain any kind of Information when Inspecting you or when entering Combat with you, including Stats.</t>
  </si>
  <si>
    <t>Wizard Hat</t>
  </si>
  <si>
    <t>Hat</t>
  </si>
  <si>
    <t>Cool Hat</t>
  </si>
  <si>
    <t>Felt Widebrim</t>
  </si>
  <si>
    <t>Straw Hat</t>
  </si>
  <si>
    <t>Passive: Immune to Blind.</t>
  </si>
  <si>
    <t>Missing Hat</t>
  </si>
  <si>
    <t>Passive: You lost your Hat. you are permanently Enraged.</t>
  </si>
  <si>
    <t>Captains Hat</t>
  </si>
  <si>
    <t>Sun Hat</t>
  </si>
  <si>
    <t>Active: (&gt;) Blind Target for 2 Turns. (1/Combat)</t>
  </si>
  <si>
    <t>Stalkers Hat: Legendary Head Set Piece Hat; +50 Mana; +2 Dexterity; +2 Power; +2 Dispersion; Active: (≈) Gain Invisibility for 2 Turns. (1/Day).</t>
  </si>
  <si>
    <t>Stalkers Hat</t>
  </si>
  <si>
    <t>Active: (≈) Gain Invisibility for 2 Turns. (1/Day)</t>
  </si>
  <si>
    <t>The Tophat</t>
  </si>
  <si>
    <t>Passive: You have 20% Chance to Trigger a Non-Ultimate Spell Twice.</t>
  </si>
  <si>
    <t>Buzzsaw Hat</t>
  </si>
  <si>
    <t>Active: (&gt;) [1 Preparation Stack] Activate the Saw and throw your Hat at Target for 40 Bleed Damage; 20% Chance to Dismember. (1/Day)</t>
  </si>
  <si>
    <t>Etherconnectria</t>
  </si>
  <si>
    <t>Passive: Increase the Scaling percentage by 25%(of itself rounded up) of all your Base Abilities that are able to Scale with Power. (E.g. +100% Power becomes +125% Power; +50% Power becomes +63% etc.)</t>
  </si>
  <si>
    <t>Alchemist's Hat: Mythic Head Piece Hat; +100 Mana; +5 Dispersion; Active: (≈) Gain 1 Random Epic Potion. (1/Day).</t>
  </si>
  <si>
    <t>Alchemist's Hat</t>
  </si>
  <si>
    <t>Active: (≈) Gain 1 Random Epic Potion. (1/Day)</t>
  </si>
  <si>
    <t>Commoner's Pauldron</t>
  </si>
  <si>
    <t>Shoulder Piece</t>
  </si>
  <si>
    <t>Pauldron</t>
  </si>
  <si>
    <t>Layered Pauldrons</t>
  </si>
  <si>
    <t>Knight's Pauldron</t>
  </si>
  <si>
    <t>Mighty Shoulders</t>
  </si>
  <si>
    <t>Lord's Pauldron</t>
  </si>
  <si>
    <t>Active: (+) 2 Hex Range; Move Target Weakling 1 Hex or 1 Tile; At Level 8 it can be used on Elites.</t>
  </si>
  <si>
    <t>Sturdy Shoulder Pads</t>
  </si>
  <si>
    <t>Second Proof Altions</t>
  </si>
  <si>
    <t>Passive: The first Non-Interrupting Status that is inflicted upon you in Combat is Nullified.</t>
  </si>
  <si>
    <t>Champion's Insignia</t>
  </si>
  <si>
    <t>Passive: Immune to Charm and Fear.</t>
  </si>
  <si>
    <t>Imperial Authority</t>
  </si>
  <si>
    <t>Passive: Weaklings, Elites and Bosses are no longer Hostile towards you unless Provoked.</t>
  </si>
  <si>
    <t>Pauldrons of the Elemental Divine</t>
  </si>
  <si>
    <t>Shoulder Set Piece</t>
  </si>
  <si>
    <t>Active: (+) Deal 40 Lightning Damage to Target. (1/Combat)</t>
  </si>
  <si>
    <t>Quartzel Spikes</t>
  </si>
  <si>
    <t>Passive: Entities Striking you take 20 Magic Damage and are Sealed for 1 Turn even on Miss.</t>
  </si>
  <si>
    <t>Tin Spaulders</t>
  </si>
  <si>
    <t>Spaulder</t>
  </si>
  <si>
    <t>Reinforced Spaulders</t>
  </si>
  <si>
    <t>Hardened Spaulders</t>
  </si>
  <si>
    <t>Overguardians</t>
  </si>
  <si>
    <t>Mir Watchers Spaulders</t>
  </si>
  <si>
    <t>Tough Deflectors</t>
  </si>
  <si>
    <t>Titanic Spaulders: Legendary Shoulder Piece Spaulder; -2 Mobility; +10 Defense; +2 Dispersion; 10% Light Resistance; 10% Dark Resistance; 10% Fire Resistance; 10% Frost Resistance; 10% Wind Resistance; 10% Earth Resistance; 10% Lightning Resistance; 10% Bleed Resistance; Passive: Your Defense can not be lower than 10, Immune to Corrosion Status; Active: (≈) Block Target Non-Ultimate Strike. (1/Day).</t>
  </si>
  <si>
    <t>Titanic Spaulders</t>
  </si>
  <si>
    <t>Passive: Your Defense can not be lower than 10, Immune to Corrosion Status; Active: (≈) Block Target Non-Ultimate Strike. (1/Day) </t>
  </si>
  <si>
    <t>The Imperyans</t>
  </si>
  <si>
    <t>Passive: Gain Winged Condition and Lock Shoulder Slot.</t>
  </si>
  <si>
    <t>Active: Take flight and become Untargetable by Strikes and Alterations for 3 Turns. (1/Combat)</t>
  </si>
  <si>
    <t>Lionguards: Mythic Shoulder Piece Spaulder; +5 Defense; +5 Dispersion; 20% Light Resistance; Passive: For every 100% Light Resistance you have also Gain 20% Total Damage Reduction; Active: (≈) Gain 80% Light Resistance until End of Combat. (1/Day).</t>
  </si>
  <si>
    <t>Lionguards</t>
  </si>
  <si>
    <t>Passive: For every 100% Light Resistance you have also Gain 20% Total Damage Reduction.</t>
  </si>
  <si>
    <t>Active: (≈) Gain 80% Light Resistance until End of Combat. (1/Day)</t>
  </si>
  <si>
    <t>Mushroom Landers</t>
  </si>
  <si>
    <t>Active: (o) Poison all other Entities on Hex for 20 Poison Damage per Turn over 5 Turns. (1/Day)</t>
  </si>
  <si>
    <t>Hidden Cloak</t>
  </si>
  <si>
    <t>Cape</t>
  </si>
  <si>
    <t>Passive: Ending your Turn without using any actions causes you to gain Invisibility for 1 Turn. (1/Combat)</t>
  </si>
  <si>
    <t>Scout’s Cape</t>
  </si>
  <si>
    <t>Hunters Cape</t>
  </si>
  <si>
    <t>Passive: Weapons which require an Ammo Slot have +5 Base Damage.</t>
  </si>
  <si>
    <t>Heroes Cape</t>
  </si>
  <si>
    <t>Passive: Gain 2 Attributes of your Choice.</t>
  </si>
  <si>
    <t>Overcoat</t>
  </si>
  <si>
    <t>Passive: In Combat your Weapon is Hidden until you Basic Attack; For Each turn you don't Basic Attack gain +1 Roll Modifier to your next Basic Attack until End of Combat.</t>
  </si>
  <si>
    <t>Cowards Cape</t>
  </si>
  <si>
    <t>Passive: The moment you Equip this Gear you Permanently Gain the Coward Condition.</t>
  </si>
  <si>
    <t>Factionless Cloak</t>
  </si>
  <si>
    <t>Passive: You may choose to Display any Faction for other Heroes to see in Map Phase; At the start of Day you may change your Faction with another one besides the Innovators/Archive; Active: Selfdestruct; Gain the Stealth Condition, revert back to your initial faction.</t>
  </si>
  <si>
    <t>Rathachiun</t>
  </si>
  <si>
    <t>Active: Powerplay; Teleport to closest Zone.</t>
  </si>
  <si>
    <t>Mantle of Sacrifice</t>
  </si>
  <si>
    <t>Passive: Lose 10 Health with each Traversed Hex; Selfdestructs after 3 days.</t>
  </si>
  <si>
    <t>Dragonslayer Coat: Mythic Shoulder Piece Cape; +10 Dexterity; +2 Mobility; Active: (≈) Strike Target Dealing Physical Damage equal to the Difference between your Max Healths. (1/Day).</t>
  </si>
  <si>
    <t>Dragonslayer Coat</t>
  </si>
  <si>
    <t>Active: (≈) Strike Target Dealing Physical Damage equal to the Difference between your Max Healths. (1/Day)</t>
  </si>
  <si>
    <t>Tainted Scarf</t>
  </si>
  <si>
    <t>Shawl</t>
  </si>
  <si>
    <t>Woolen Shawl</t>
  </si>
  <si>
    <t>Silk Scarf</t>
  </si>
  <si>
    <t>Thick Fur</t>
  </si>
  <si>
    <t>Passive: Reduce all Damage you are about to take by 2.</t>
  </si>
  <si>
    <t>Librarian Ornatium</t>
  </si>
  <si>
    <t>Waterfall Collar</t>
  </si>
  <si>
    <t>Passive: You may Rest(not swim) in a Water Hex.</t>
  </si>
  <si>
    <t>Nameless Shawl</t>
  </si>
  <si>
    <t>Passive: At the Start of your Turn 10% Chance to become Invisible for 2 Turns.</t>
  </si>
  <si>
    <t>The Unknown Shawl</t>
  </si>
  <si>
    <t xml:space="preserve">Passive: It has Random Stats that are rolled upon equipping; Upon equipping it becomes Locked in your Shoulder Slot; Gain 0-20[D20] Dexterity/Power/Strength[D3]; +0-200[D20] Health/Mana[D2]; +0/3[D3] Mobility/Might/Wisdom[D3]; +0%/30% Fortitude[D3]. </t>
  </si>
  <si>
    <t>Vivrian Flames' Delquista</t>
  </si>
  <si>
    <t>Passive: All Entities Damaged by your Projectile or Flux Abilities are dealt an additional 20(+100% Power) Fire Damage. (1/Ability)</t>
  </si>
  <si>
    <t>Rusty Chainmail</t>
  </si>
  <si>
    <t>Body Set Piece</t>
  </si>
  <si>
    <t>Chainmail</t>
  </si>
  <si>
    <t>Iron Chainshirt</t>
  </si>
  <si>
    <t>Body Piece</t>
  </si>
  <si>
    <t>Silver Chainmail</t>
  </si>
  <si>
    <t>Golden Ringmail</t>
  </si>
  <si>
    <t>Sturdy Chainlink</t>
  </si>
  <si>
    <t>Passive: Arrows and Pellets Targeting you deal 50% less Damage.</t>
  </si>
  <si>
    <t>Titanium Chainmail</t>
  </si>
  <si>
    <t>Passive: You take 30% Less Damage from Basic Attacks.</t>
  </si>
  <si>
    <t>Prisoner's Chains</t>
  </si>
  <si>
    <t>Active: (&gt;) Throw a cluster of Chains at Target. Rooting them for 3 Turns. (1/Combat)</t>
  </si>
  <si>
    <t>Crystalmail</t>
  </si>
  <si>
    <t>Zephyr of the Solaris</t>
  </si>
  <si>
    <t>Passive: Blocked, Parried, Dodged, Deflected or Reflected Attacks grant you 5% Physical and Magic Damage Reduction until End of Combat.</t>
  </si>
  <si>
    <t>Unbreakable Chainlink</t>
  </si>
  <si>
    <t>Passive: Ranged Non-Ultimate Attacks deal no Physical Damage to you.</t>
  </si>
  <si>
    <t>On Hit: 20 Fire Damage.</t>
  </si>
  <si>
    <t>Passive: Regenerate 50 Health and Resource at the Start of Day instead of 10.</t>
  </si>
  <si>
    <t>Copper Breastplate</t>
  </si>
  <si>
    <t>Breastplate</t>
  </si>
  <si>
    <t>Tin Plate</t>
  </si>
  <si>
    <t>Bronze Cuirass</t>
  </si>
  <si>
    <t>Steel Plate</t>
  </si>
  <si>
    <t>Battle Armor</t>
  </si>
  <si>
    <t>Legionares Lorica Segmentata</t>
  </si>
  <si>
    <t>War Knight Plate</t>
  </si>
  <si>
    <t>Passive: 30% chance to half incoming Physical Damage.</t>
  </si>
  <si>
    <t>Windmakers Metal</t>
  </si>
  <si>
    <t>Dragonscale Plate</t>
  </si>
  <si>
    <t>Passive: 10% Chance to nulify all incoming Damage.</t>
  </si>
  <si>
    <t>Mordred's Rebellion: Legendary Body Set Piece Breastplate; +5 Defense; Passive: Whenever your Barrier breaks deal 30 True Damage to all Entities in Melee Range; Active: (≈) Gain a 100 Barrier until End of Combat. (1/Day).</t>
  </si>
  <si>
    <t>Mordred's Rebellion</t>
  </si>
  <si>
    <t>Passive: Whenever your Barrier breaks deal 30 True Damage to all Entities in Melee Range; Active: (≈) Gain a 100 Barrier until End of Combat. (1/Day)</t>
  </si>
  <si>
    <t>Giants Breastplate</t>
  </si>
  <si>
    <t>Karna's Body Crystal</t>
  </si>
  <si>
    <t>Active: (≈) Selfdestruct; Your Basic Attacks are converted to Scorch Damage and your Attacks Deal 20 Fire Damage on Hit; Lasts Until End of Day.</t>
  </si>
  <si>
    <t>Plate of the Elemental Divine</t>
  </si>
  <si>
    <t>Active: (+) Deal 40 Light Damage to Target. (1/Combat)</t>
  </si>
  <si>
    <t>Mirrormorph Armor: Mythic Body Piece Breastplate; Active: (≈) Destroy Target Armor in your inventory and gain its Passive.</t>
  </si>
  <si>
    <t>Mirrormorph Armor</t>
  </si>
  <si>
    <t>Active: (≈) Destroy Target Armor in your inventory and gain its Passive.</t>
  </si>
  <si>
    <t>Alevandar's Armor</t>
  </si>
  <si>
    <t>[Requires no other Armor Equipped]</t>
  </si>
  <si>
    <t>Passive: At the Start of Combat gain a 400 Health Barrier that lasts until End of Combat. (1/Combat)</t>
  </si>
  <si>
    <t>Boar Belt</t>
  </si>
  <si>
    <t>Gambeson</t>
  </si>
  <si>
    <t>Passive: Unlocks 3 Stash Slots.</t>
  </si>
  <si>
    <t>Peasant's Cloth</t>
  </si>
  <si>
    <t>The Vest from West</t>
  </si>
  <si>
    <t>Demonskin Coat</t>
  </si>
  <si>
    <t>Leather Tunic</t>
  </si>
  <si>
    <t>Hunters Vest</t>
  </si>
  <si>
    <t>Captain's Coat</t>
  </si>
  <si>
    <t>Passive: Your first two Basic Attacks in Combat scales with an extra 1 Dexterity.</t>
  </si>
  <si>
    <t>Bloodcraft Gambeson</t>
  </si>
  <si>
    <t>Passive: [Requires Weapon in Off-Hand] 10% chance to Strike/Shoot again with your Off-Hand on Basic Attack.</t>
  </si>
  <si>
    <t>The Elaborate Lie</t>
  </si>
  <si>
    <t>Passive: You will appear to have an extra 200 Health to other Entities.</t>
  </si>
  <si>
    <t>Stalkers Coat</t>
  </si>
  <si>
    <t>Active: (&gt;) Throw a Knife that deals 15 Physical Damage and has On Hit: 5 Poison Per Tick Over 2 Turns.</t>
  </si>
  <si>
    <t>Trixy’s Flashrug</t>
  </si>
  <si>
    <t>Active: (+) 1 Hex Range; Teleport in Melee Range of Target. (1/Day)</t>
  </si>
  <si>
    <t>Pearl Friggata</t>
  </si>
  <si>
    <t>Passive: Increase your Basic Attacks' Base Damage by 5.</t>
  </si>
  <si>
    <t>Abyssal Armor</t>
  </si>
  <si>
    <t>Passive: Become Ethereal.</t>
  </si>
  <si>
    <t>Passive: Gain 20 of Chosen Attribute.</t>
  </si>
  <si>
    <t>Active: Voidfear; Force all other Entities to roll a d10, if it lands between 1 and 5 they Lose 100 Health, If they are Non-Hero they are Destroyed instead. (1/Day)</t>
  </si>
  <si>
    <t>Magic tainted Clothes</t>
  </si>
  <si>
    <t>Robe</t>
  </si>
  <si>
    <t>Ragged Gown</t>
  </si>
  <si>
    <t>Apprentices Robes</t>
  </si>
  <si>
    <t>Cowards Robe</t>
  </si>
  <si>
    <t>Mana Infused Robes</t>
  </si>
  <si>
    <t>Morphic Kimono</t>
  </si>
  <si>
    <t>Passive: Upon Killing a Boss or Higher Transform this into a Random Legendary Body Piece.</t>
  </si>
  <si>
    <t>Hoarder's Rags</t>
  </si>
  <si>
    <t>Passive: Whenever you Loot Gear, Gain 1 Ore or Fabric at Random of Rarity equal to the Highest Looted Gear. (2/Day); Selfdestructs upon Unequipping it.</t>
  </si>
  <si>
    <t>Insanity Vestment</t>
  </si>
  <si>
    <t>Passive: Your Damaging Non-Ultimate Spells have 50% Chance to deal Double Damage.</t>
  </si>
  <si>
    <t>Oldmaesters Duds</t>
  </si>
  <si>
    <t>The Judgement</t>
  </si>
  <si>
    <t>Passive: Whenever you Gain Faith, this Gear will gain 10% Elemental Resistance and 50 Health. (1/Day)</t>
  </si>
  <si>
    <t>Mantle of the Magi: Legendary Body Piece Robe; +3 Power; +1 Wisdom; +3 Dispersion; 10% Light Resistance; 10% Dark Resistance; 10% Fire Resistance; 10% Frost Resistance; 10% Wind Resistance; 10% Earth Resistance; 10% Lightning Resistance; 10% Bleed Resistance; 10% Poison Resistance; Active: (≈) Your next Non-Ultimate spell casts 1 Rank higher. (1 Turn cooldown).</t>
  </si>
  <si>
    <t>Mantle of the Magi</t>
  </si>
  <si>
    <t>Active: (≈) Your next Non-Ultimate spell casts 1 Rank higher. (1 Turn cooldown) </t>
  </si>
  <si>
    <t>Magus Aeternus</t>
  </si>
  <si>
    <t>Passive: All your Abilities cost 10 less Mana to Cast.</t>
  </si>
  <si>
    <t>Sorcerers Secrets: Legendary Body Piece Robe; +4 Power; +2 Dispersion; +20 Fortitude; Active: (≈) Flash; Hidden; Cause your next Ability to be Hidden. (1/Combat).</t>
  </si>
  <si>
    <t>Sorcerers Secrets</t>
  </si>
  <si>
    <t>Active: (≈) Flash; Hidden; Cause your next Ability to be Hidden. (1/Combat)</t>
  </si>
  <si>
    <t>Cursebearer's Robes</t>
  </si>
  <si>
    <t>Passive: You become Cursed, you can no longer Loot anything; Selfdestructs after 3 Days.</t>
  </si>
  <si>
    <t>Copper Armguard</t>
  </si>
  <si>
    <t>Arms Set Piece</t>
  </si>
  <si>
    <t>Armguards</t>
  </si>
  <si>
    <t>Resistant Ketoh</t>
  </si>
  <si>
    <t>Arms Piece</t>
  </si>
  <si>
    <t>Legionaires Manica: Epic Arms Set Piece Armguards; +3 Defense; +3 Dispersion; Active: (≈) Selfdestruct; Counter; Block Target Strike Completely.</t>
  </si>
  <si>
    <t>Legionaires Manica</t>
  </si>
  <si>
    <t>Active: (≈) Selfdestruct; Counter; Block Target Strike Completely.</t>
  </si>
  <si>
    <t>Stone Wristguard</t>
  </si>
  <si>
    <t>Dragonscale Armguard</t>
  </si>
  <si>
    <t>Passive: [Requires Empty Main hand and Off Hand Slots] Grow Fiery Dragon Claws (Counts as a Sharp Weapon, 1-5 Miss Range, 2 Crit Multiplier) that deal 25 Unscallable Physical Damage and 10 Fire Damage on Hit.</t>
  </si>
  <si>
    <t>Venomous Armguard</t>
  </si>
  <si>
    <t>On Hit: 20% chance to inflict Poison for 20 Damage Per Tick over 3 Turns.</t>
  </si>
  <si>
    <t>Balast Forgers</t>
  </si>
  <si>
    <t>Active: Double your Defense until End of Combat. (1/Day)</t>
  </si>
  <si>
    <t>Protectorates Sealed Armguards: Mythic Arms Piece Armguards; +5 Defense; +5 Dispersion; 20% Light Resistance; 20% Dark Resistance; 20% Fire Resistance; 20% Frost Resistance; 20% Wind Resistance; 20% Earth Resistance; 20% Lightning Resistance; 20% Bleed Resistance; 20% Poison Resistance; Active: (≈) 50% Chance to Double this Gears Base Stats or Selfdestruct. (1/Day).</t>
  </si>
  <si>
    <t>Protectorates Sealed Armguards</t>
  </si>
  <si>
    <t>Active: (≈) 50% Chance to Double this Gears Base Stats or Selfdestruct. (1/Day)</t>
  </si>
  <si>
    <t>Rusty Bracer</t>
  </si>
  <si>
    <t>Bracers</t>
  </si>
  <si>
    <t>Steel Bracer</t>
  </si>
  <si>
    <t>Fortitudes Embracers</t>
  </si>
  <si>
    <t>Chained Lightsteel Bracelets</t>
  </si>
  <si>
    <t>Bracers of Muscle</t>
  </si>
  <si>
    <t>Pair of Gems: Epic Arms Piece Bracers; +2 Power; +5 Dispersion; Active: (≈) Gain 8 Power Until End of Combat. (1/Day).</t>
  </si>
  <si>
    <t>Pair of Gems</t>
  </si>
  <si>
    <t>Active: (≈) Gain 8 Power Until End of Combat. (1/Day)</t>
  </si>
  <si>
    <t>Golden Flexers: Legendary Arms Piece Bracers; +5 Strength; +1 Might; -1 Wisdom; +3 Defense; Active: (≈) Spend a Turn Flexing your Muscles to your Oponent and Gain 7 Strength until End of Combat; Passive: If your Opponent has more Current Health this Gears Active Gains Flash.</t>
  </si>
  <si>
    <t>Golden Flexers</t>
  </si>
  <si>
    <t>Active: (≈) Spend a Turn Flexing your Muscles to your Oponent and Gain 7 Strength until End of Combat; Passive: If your Opponent has more Current Health this Gears Active Gains Flash.</t>
  </si>
  <si>
    <t>Tectonicause</t>
  </si>
  <si>
    <t>Active: (o) Deal 40 Earth Damage in a 3x3 Tile Range; If any Entity Dies from this Ability then Retrigger. (1/Combat)</t>
  </si>
  <si>
    <t>Bracers of Hope</t>
  </si>
  <si>
    <t>Passive: You Gain the Hope Condition; When Hope is Consumed Remove this Passive; If you already have Hope Selfdestruct upon Equipping and Gain a Random Astral Gear.</t>
  </si>
  <si>
    <t>Abyssal Bracers</t>
  </si>
  <si>
    <t>Passive: Gain the Brawn Condition.</t>
  </si>
  <si>
    <t>Ragged Sleeves</t>
  </si>
  <si>
    <t>Sleeves</t>
  </si>
  <si>
    <t>Embroidered Sleeves</t>
  </si>
  <si>
    <t>Insulators</t>
  </si>
  <si>
    <t>Mystic Sleeves</t>
  </si>
  <si>
    <t>Shadow Wraps</t>
  </si>
  <si>
    <t>Arms/Hands Piece</t>
  </si>
  <si>
    <t xml:space="preserve"> Duality </t>
  </si>
  <si>
    <t>Active: (+) Fear Target for 1 Turn. (1/Day)</t>
  </si>
  <si>
    <t>Inked Paper Sleeves</t>
  </si>
  <si>
    <t>Agamanthic Silk Sleeves: Legendary Arms Piece Sleeves; +4 Power; Active: (≈) Your next Non-Ultimate Spell Casts Twice. (1/Day).</t>
  </si>
  <si>
    <t>Agamanthic Silk Sleeves</t>
  </si>
  <si>
    <t>Active: (≈) Your next Non-Ultimate Spell Casts Twice. (1/Day)</t>
  </si>
  <si>
    <t>Voelitic Sleeves</t>
  </si>
  <si>
    <t>Passive: Your Basic Attacks have a 50% Chance to have their Total Damage converted to Chaos Damage.</t>
  </si>
  <si>
    <t>Heavenfly</t>
  </si>
  <si>
    <t>Stolen Leatherband</t>
  </si>
  <si>
    <t>Armbands</t>
  </si>
  <si>
    <t>Ranger’s Bands</t>
  </si>
  <si>
    <t>Sharp Armbands</t>
  </si>
  <si>
    <t>Runners Armbands</t>
  </si>
  <si>
    <t>Passive: If you Flee Combat you gain +1 Mobility until End of Day.</t>
  </si>
  <si>
    <t>Octoband</t>
  </si>
  <si>
    <t>Passive: Gain 8 Dexterity or Power</t>
  </si>
  <si>
    <t>Rangers Straps</t>
  </si>
  <si>
    <t>Passive: +0.5 Crit Multiplier on Impact Weapons; You may target Tiles with your Projectile Attacks; They hit as usual if Invisible Entities or Objects are on the respective Tile.</t>
  </si>
  <si>
    <t>Vampiric Straps</t>
  </si>
  <si>
    <t>Passive: Your Strikes have 30% Lifedrain.</t>
  </si>
  <si>
    <t>Chaos Binders</t>
  </si>
  <si>
    <t>Passive: You take 100% more total Damage; You deal 100% more Total Damage.</t>
  </si>
  <si>
    <t>Rusty Gauntlet</t>
  </si>
  <si>
    <t>Hand Set Piece</t>
  </si>
  <si>
    <t>Gauntlets</t>
  </si>
  <si>
    <t>Worker’s Gauntlets: Uncommon Hand Piece Gauntlets; +2 Strength; Active: (≈) [Requires you to be in any Zone] Work for 500 Gold. (1 Stamina; 1/Day; 1/Zone).</t>
  </si>
  <si>
    <t>Worker’s Gauntlets</t>
  </si>
  <si>
    <t>Hand Piece</t>
  </si>
  <si>
    <t>Active: (≈) [Requires you to be in any Zone] Work for 500 Gold. (1 Stamina; 1/Day; 1/Zone)</t>
  </si>
  <si>
    <t>Steel Gauntlet</t>
  </si>
  <si>
    <t>Silver Gauntlet</t>
  </si>
  <si>
    <t>Raging Gauntlet: Epic Hand Piece Gauntlets; +1 Defense; +1 Dispersion; Active: (≈) [Requires Combat] Empowers your next Non-Crit Basic Attack that lands to be a Critical hit. (1/Combat).</t>
  </si>
  <si>
    <t>Raging Gauntlet</t>
  </si>
  <si>
    <t>Active: (≈) [Requires Combat] Empowers your next Non-Crit Basic Attack that lands to be a Critical hit. (1/Combat)</t>
  </si>
  <si>
    <t>Knuckle Breakers</t>
  </si>
  <si>
    <t>Passive: Unarmed Basic Attacks Gain +0.5 Strength Scaling.</t>
  </si>
  <si>
    <t>Karna's Gauntlets: Legendary Hand Set Piece Gauntlets; On Hit: 10 Fire Damage; +4 Defense; +6 Dispersion; 10% Light Resistance; 10% Dark Resistance; 10% Fire Resistance; 10% Frost Resistance; 10% Wind Resistance; 10% Earth Resistance; 10% Lightning Resistance; 10% Bleed Resistance; 10% Poison Resistance; Active: (≈) Selfdestruct; Your Equipped Weapon has +2 Scaling until end of day.</t>
  </si>
  <si>
    <t>Karna's Gauntlets</t>
  </si>
  <si>
    <t>Active: (≈) Selfdestruct; Your Equipped Weapon has +2 Scaling until end of day.</t>
  </si>
  <si>
    <t>Earth Gauntlet</t>
  </si>
  <si>
    <t>Doomscaled Knuckles</t>
  </si>
  <si>
    <t>Passive: Your Unarmed Basic Attacks Gain +20 Base Damage and 20 Dark Damage on Hit; Passive: Gain 4 of Chosen Attribute.</t>
  </si>
  <si>
    <t>Gauntlets of the Elemental Divine</t>
  </si>
  <si>
    <t>Active: (+) Deal 40 Fire Damage to Target. (1/Combat)</t>
  </si>
  <si>
    <t>Straus' Burden</t>
  </si>
  <si>
    <t>Passive: For Every 20 Points of Defense gain +1 Critical Multiplier on your Strikes. Active: Lose 1 Max Stamina and Gain 10 Defense.</t>
  </si>
  <si>
    <t>Damaged Handguards</t>
  </si>
  <si>
    <t>Handguards</t>
  </si>
  <si>
    <t>Padded Handguards</t>
  </si>
  <si>
    <t>Standard Issued Handguards</t>
  </si>
  <si>
    <t>Captains Hook</t>
  </si>
  <si>
    <t>Handguard</t>
  </si>
  <si>
    <t>[Requires Amputated Hand Slot]</t>
  </si>
  <si>
    <t>Active: (&gt;) Flash; Deal 15 Physical Damage and Hook Target 1 Tile closer to you. (2/Combat)</t>
  </si>
  <si>
    <t>Protoeruptors: Legendary Hand Piece Handguards; +3 Defense; +3 Dispersion; 30% Fire Resistance; Passive: You may Consume a Legendary or higher Ore to immediately transform this Gear into Eruptors; Active: (≈) Cast a Non-Ultimate Fire Wavelength Ability at no Cost. (1/Day).</t>
  </si>
  <si>
    <t>Protoeruptors</t>
  </si>
  <si>
    <t>Passive: You may Consume a Legendary or higher Ore to immediately transform this Gear into Eruptors; Active: (≈) Cast a Non-Ultimate Fire Wavelength Ability at no Cost. (1/Day)</t>
  </si>
  <si>
    <t>Handaal Crossguarded Hands</t>
  </si>
  <si>
    <t>Passive: 50% Chance to Parry Sharp Weapon Strikes.</t>
  </si>
  <si>
    <t>Eruptors: Mythic Hand Piece Handguards; +6 Defense; +6 Dispersion; 60% Fire Resistance; Active: (≈) Flash; Cast a Non-Ultimate Fire Wavelength Ability at no Cost. (2/Day).</t>
  </si>
  <si>
    <t>Eruptors</t>
  </si>
  <si>
    <t>Active: (≈) Flash; Cast a Non-Ultimate Fire Wavelength Ability at no Cost. (2/Day)</t>
  </si>
  <si>
    <t>Leather Gloves</t>
  </si>
  <si>
    <t>Gloves</t>
  </si>
  <si>
    <t>Second-Hand</t>
  </si>
  <si>
    <t>Studded Gloves</t>
  </si>
  <si>
    <t>Silk Gloves</t>
  </si>
  <si>
    <t>Demonskin Gloves</t>
  </si>
  <si>
    <t>On Hit: 5 Fire Damage.</t>
  </si>
  <si>
    <t>Frost Gloves</t>
  </si>
  <si>
    <t>Crystal Gloves</t>
  </si>
  <si>
    <t>Hoarder's Gloves</t>
  </si>
  <si>
    <t>Passive: Double the amount of Loot you recieve from Exploring Hexes (2/Day);  Passive: Selfdestruct upon Unequipping it.</t>
  </si>
  <si>
    <t>High Priests Healers</t>
  </si>
  <si>
    <t>Active: (+) Heal Target Entity for 30 Health. (1/Day)</t>
  </si>
  <si>
    <t>Botanist's Gloves</t>
  </si>
  <si>
    <t>Passive: Exploring a Hex Grants you an Extra Rare or lower Rarity Ingredient of your choice found on this Hex.</t>
  </si>
  <si>
    <t>Explorer's Gloves</t>
  </si>
  <si>
    <t>Passive: All Chests will now also contain 1 Ore or Fabric; The Rarity depends on the Roll for the Chest. (1-Nothing; 2-5-Common; 6-10-Rare; 11-15-Epic; 16-19-Legendary; 20 Mythic)</t>
  </si>
  <si>
    <t>Archmages' Enablers</t>
  </si>
  <si>
    <t>Active: [1 Channel Stack] Your next Overcast may be used on any Ability Type and has +3 to its Roll.</t>
  </si>
  <si>
    <t>Abyssal Gloves: Mythic Hand Set Piece Gloves; +10 Dexterity; Passive: Gain Disciplined Condition; Active: (≈) Toggle; Your Basic Attacks deal an Extra 20 Dark Damage On Hit.</t>
  </si>
  <si>
    <t>Abyssal Gloves</t>
  </si>
  <si>
    <t>Passive: Gain Disciplined Condition.</t>
  </si>
  <si>
    <t>Active: (≈) Toggle; Your Basic Attacks deal an Extra 20 Dark Damage On Hit.</t>
  </si>
  <si>
    <t>Neverwinter</t>
  </si>
  <si>
    <t>Active: (+) Counter; Negate Targets Action and become Resilient for 3 Turns. (1/Day)</t>
  </si>
  <si>
    <t>Ragged Bandages</t>
  </si>
  <si>
    <t>Wraps</t>
  </si>
  <si>
    <t>Magic Tainted Wraps</t>
  </si>
  <si>
    <t>Grip Wraps</t>
  </si>
  <si>
    <t>Gland Twisters</t>
  </si>
  <si>
    <t>Arm/Hand Piece</t>
  </si>
  <si>
    <t>Pair of Manakillers</t>
  </si>
  <si>
    <t>Passive: Strikes Drain 10 Mana on Hit.</t>
  </si>
  <si>
    <t>Raw Dragonskin: Legendary Hand Piece Wraps; +100 Health; +2 Dexterity; +4 Power; Active: (≈) Powerplay; Restore 100 Health.</t>
  </si>
  <si>
    <t>Raw Dragonskin</t>
  </si>
  <si>
    <t>Active: (≈) Powerplay; Restore 100 Health.</t>
  </si>
  <si>
    <t>Idilic Pathers: Legendary Hand Piece Wraps; +2 Strength; +2 Dexterity; +1 Might; +2 Defense; +2 Dispersion; +10 Fortitude; Active: (≈) Gain a Medium Quest, instead of its Reward double this Gears Stats. (1/Day).</t>
  </si>
  <si>
    <t>Idilic Pathers</t>
  </si>
  <si>
    <t>Active: (≈) Gain a Medium Quest, instead of its Reward double this Gears Stats. (1/Day)</t>
  </si>
  <si>
    <t>Delicious Wraps: Legendary Hand Piece Wraps; +3 Defense; +3 Dispersion; 50% Bleed Resistance; Active: (≈) Selfdestruct; Restore yourself to 100% Max Health. (3 Stamina).</t>
  </si>
  <si>
    <t>Delicious Wraps</t>
  </si>
  <si>
    <t>Active: (≈) Selfdestruct; Restore yourself to 100% Max Health. (3 Stamina)</t>
  </si>
  <si>
    <t>Dupliamoris</t>
  </si>
  <si>
    <t>Passive: The first 2 Non-Ultimate Projectile Abilities you Cast per Combat Trigger once more.</t>
  </si>
  <si>
    <t>Living Bonds</t>
  </si>
  <si>
    <t>Active: (+) Seal Target for X/2 Turns where X is Targets Level. (1/Day)</t>
  </si>
  <si>
    <t>Serpents of Decisions</t>
  </si>
  <si>
    <t>Passive: At the Start of Day, Destroy a different Random equipped Armor; All Gear become Locked; Gain 1 Dexterity, 10 Health and 10 Mana for every Armor Destroyed.</t>
  </si>
  <si>
    <t>Tarnished Cuisses</t>
  </si>
  <si>
    <t>Leg Piece</t>
  </si>
  <si>
    <t>Cuisses</t>
  </si>
  <si>
    <t>Reinforced Cuisses</t>
  </si>
  <si>
    <t>Northern Cuisses</t>
  </si>
  <si>
    <t>Metal Shin</t>
  </si>
  <si>
    <t>Passive: Your Legs can not be Dismembered, Instead you will take 25 Bleed Damage(Instead of the 50) upon the effect Triggering on your Leg.</t>
  </si>
  <si>
    <t>Stone Trousers of the Fool</t>
  </si>
  <si>
    <t>Dragonscale Cuisses</t>
  </si>
  <si>
    <t>Leg Set Piece</t>
  </si>
  <si>
    <t>Karna's Cuisses</t>
  </si>
  <si>
    <t>Active: (≈) Selfdestruct; Gain 3 Might for every Gear you Selfdestruct this Day; Lasts until End of Day.</t>
  </si>
  <si>
    <t>Trifectas Miracle: Legendary Leg Piece Cuisses; Active: (≈) Flash; Switch Stance; Protection: +30% Fortitude; Empowerment: +7 Strength, +7 Dexterity, +7 Power; Destruction: +1 To Basic Attack Roll.</t>
  </si>
  <si>
    <t>Trifectas Miracle</t>
  </si>
  <si>
    <t>Active: (≈) Flash; Switch Stance; Protection: +30% Fortitude; Empowerment: +7 Strength, +7 Dexterity, +7 Power; Destruction: +1 To Basic Attack Roll.</t>
  </si>
  <si>
    <t>Legplates of the Sunburial</t>
  </si>
  <si>
    <t>Active: (+) Engulf Target in Sundunic Sand causing them to take 10 Wind Damage, 10 Light Damage and 10 Earth Damage and to be Rooted, Staggered or Sealed at random for 2 Turns. (3 Turn Cooldown)</t>
  </si>
  <si>
    <t>Copper Faulds</t>
  </si>
  <si>
    <t>Faulds</t>
  </si>
  <si>
    <t>Riveted Faulds</t>
  </si>
  <si>
    <t>Steel Faulds</t>
  </si>
  <si>
    <t>Silver Faulds</t>
  </si>
  <si>
    <t>Guardians Breeches: Epic Leg Piece Faulds; +30 Health; +4 Defense; Active: (≈) Counter; Reflex: Block 25 Damage. (1/Day).</t>
  </si>
  <si>
    <t>Guardians Breeches</t>
  </si>
  <si>
    <t>Active: (≈) Counter; Reflex: Block 25 Damage. (1/Day)</t>
  </si>
  <si>
    <t>Crystal Protectors</t>
  </si>
  <si>
    <t>Mordred's Perseverance</t>
  </si>
  <si>
    <t>Passive: At the end of a victorious combat, restore 50% of Health lost during the Combat.</t>
  </si>
  <si>
    <t>False Promises</t>
  </si>
  <si>
    <t>Passive: Locks Slot upon Equipping; Active: (+) [Requires 3 Rests with this Gear Equipped] Switch your Leg Slot with Target Entity; Overrides Locked.</t>
  </si>
  <si>
    <t>Faulds of the Elemental Divine</t>
  </si>
  <si>
    <t>Active: (+) Deal 40 Frost Damage to Target. (1/Combat)</t>
  </si>
  <si>
    <t>Pristine Beetlers</t>
  </si>
  <si>
    <t>Active: (o) Flash; Blind all other Entities on Hex for 3 Turns. (1/Day)</t>
  </si>
  <si>
    <t>Leather Pants</t>
  </si>
  <si>
    <t>Pants</t>
  </si>
  <si>
    <t>Loincloth</t>
  </si>
  <si>
    <t>Padded Breeches</t>
  </si>
  <si>
    <t>Demonskin Pants</t>
  </si>
  <si>
    <t>Passive: Successfully Dodging a Melee Attack Enchances your next Basic Attack with 20 Fire Damage On Hit.</t>
  </si>
  <si>
    <t>Silk Shorts</t>
  </si>
  <si>
    <t>Weavers Straw Pants</t>
  </si>
  <si>
    <t>Passive: At start of each Day this Gear will lose 1 defense but give you 100 Gold; Selfdestruct upon unequipping.</t>
  </si>
  <si>
    <t>Captains Pantaloons</t>
  </si>
  <si>
    <t>Passive: Your Main Hand Gun/Rifle/Crossbow has 50% chance to Reload after Basic Attack.</t>
  </si>
  <si>
    <t>Slippery Skirt</t>
  </si>
  <si>
    <t>Fatale's Skirt: Epic Leg Piece Pants; +2 Mobility; +2 Dispersion; Active: (≈) [Requires your prior Action to be a Strike] Flash; Strike target for 10 Physical Damage, If this deals more than 1 Damage then the target becomes Poisoned for 10 Poison Damage per Tick Over 2 turns.</t>
  </si>
  <si>
    <t>Fatale's Skirt</t>
  </si>
  <si>
    <t>Active: (≈) [Requires your prior Action to be a Strike] Flash; Strike target for 10 Physical Damage, If this deals more than 1 Damage then the target becomes Poisoned for 10 Poison Damage per Tick Over 2 turns.</t>
  </si>
  <si>
    <t>Stalkers Legwraps</t>
  </si>
  <si>
    <t>Passive: As long as you are the only Entity under your Banner you gain 2 extra Mobility.</t>
  </si>
  <si>
    <t>Corduroys of Adrenaline Rush: Legendary Leg Piece Pants; Passive: Question Mark Outcomes are doubled on rolls between 2-19; Active: (≈) Selfdestruct; Select 3 out of the 6 Skill Tree Keystones and roll a d3 to get one of them.</t>
  </si>
  <si>
    <t>Corduroys of Adrenaline Rush</t>
  </si>
  <si>
    <t>Passive: Question Mark Outcomes are doubled on rolls between 2-19</t>
  </si>
  <si>
    <t>Active: (≈) Selfdestruct; Select 3 out of the 6 Skill Tree Keystones and roll a d3 to get one of them.</t>
  </si>
  <si>
    <t>Abyssal Strides</t>
  </si>
  <si>
    <t>Passive: Gain the Fearless Condition</t>
  </si>
  <si>
    <t>Active: Toggle; Convert your Mobility into Dexterity where 1 Mobility is 3 Dexterity.</t>
  </si>
  <si>
    <t>Leggings</t>
  </si>
  <si>
    <t>Traditional Leggings</t>
  </si>
  <si>
    <t>Leatherworked Leggings</t>
  </si>
  <si>
    <t>Spidersilk Stockings</t>
  </si>
  <si>
    <t>10% Chance to inflict 5 Poison Damage per Tick Over 2 Turns.</t>
  </si>
  <si>
    <t>(o) Spin a Web; Slow all other Entities on Hex for 3 Turns. (1/Day)</t>
  </si>
  <si>
    <t>Lady's Leggings</t>
  </si>
  <si>
    <t>Kickback Slacks</t>
  </si>
  <si>
    <t>Passive: When hit by a Melee Attack there is a 30% chance to kick the attacker for 18(+100% Dexterity) Physical Damage.</t>
  </si>
  <si>
    <t>Speedio's</t>
  </si>
  <si>
    <t>Passive: Gain +2 Stamina, Selfdestruct in 3 Days or when Unequipped.</t>
  </si>
  <si>
    <t>Leggings of Perfect Fitting</t>
  </si>
  <si>
    <t>Passive: +8 Attributes of your Choice and Choose to Gain 80 Health or Mana.</t>
  </si>
  <si>
    <t>Thigh Highs</t>
  </si>
  <si>
    <t>Bladed Slains</t>
  </si>
  <si>
    <t>Passive: Your Melee Basic Attacks Trigger a Leg Strike that deals 20 Physical Damage and 20 Bleed Damage.</t>
  </si>
  <si>
    <t>Rusted Sabatons</t>
  </si>
  <si>
    <t>Feet Piece</t>
  </si>
  <si>
    <t>Sabatons</t>
  </si>
  <si>
    <t>Bronze Sabatons</t>
  </si>
  <si>
    <t>Feet Set Piece</t>
  </si>
  <si>
    <t>Steel Treads</t>
  </si>
  <si>
    <t>Silver Treads</t>
  </si>
  <si>
    <t>Armored Tabis</t>
  </si>
  <si>
    <t>Damascan Sabatons</t>
  </si>
  <si>
    <t>Passive: Player no longer takes Damage while Traversing or Resting on Permafrost or Scorch Hexes.</t>
  </si>
  <si>
    <t>Midnight Treads</t>
  </si>
  <si>
    <t>Passive: Costs 1 less stamina to cross Desert Hexes.</t>
  </si>
  <si>
    <t>Mordred's Will</t>
  </si>
  <si>
    <t>Passive: Walking onto a Hex with an Entity on it will no longer cost stamina, but you will be forced to kill that Entity or Die.</t>
  </si>
  <si>
    <t>Primo Victoria</t>
  </si>
  <si>
    <t>Passive: All Traversable Hexes will Cost no more than 1 Stamina and will not have a Negative Effect.</t>
  </si>
  <si>
    <t>Naga Scaled Flippers</t>
  </si>
  <si>
    <t>Passive: You may Traverse Water Hexes; Immune to Hydro Damage.</t>
  </si>
  <si>
    <t>Dragonscale Treads</t>
  </si>
  <si>
    <t>Lolly’s Sneaky Sabatons</t>
  </si>
  <si>
    <t>Passive: You gain 1 Extra Action on your first turn in Combat.</t>
  </si>
  <si>
    <t>Sabatons of the Elemental Divine</t>
  </si>
  <si>
    <t>Active: (+) Deal 40 Earth Damage to Target. (1/Combat)</t>
  </si>
  <si>
    <t>Damaged Greaves</t>
  </si>
  <si>
    <t>Greaves</t>
  </si>
  <si>
    <t>Footsoldiers Greaves</t>
  </si>
  <si>
    <t>Heavy Greaves</t>
  </si>
  <si>
    <t>State of the Art Verluxian Greaves</t>
  </si>
  <si>
    <t>Standfast Greaves</t>
  </si>
  <si>
    <t>Passive: [Requires Combat] If you haven't moved for 3 turns in row double your Defense, Movement Actions cancel the Effect; Does not Stack.</t>
  </si>
  <si>
    <t>Mana-Tech Platformers</t>
  </si>
  <si>
    <t>Active: Jump over one Hex avoiding it completely to land on the next one in the same cardinal direction. (1 Stamina; 1/Day)</t>
  </si>
  <si>
    <t>Shin Kickers</t>
  </si>
  <si>
    <t>Active: (≈) Kick Target in his Shins Dealing 20(+200% Strength) Physical Damage; If the Damage dealt with this Ability is 80 or higher Dismember Targets Leg; If Target already has his Leg Amputated Kill him instead. (1/Day)</t>
  </si>
  <si>
    <t>Planic Walkers</t>
  </si>
  <si>
    <t>Passive: Every Hex you Traverse counts as and Transforms into a Plains Hex.</t>
  </si>
  <si>
    <t>Leather Boots</t>
  </si>
  <si>
    <t>Boots</t>
  </si>
  <si>
    <t>Traveller’s Boots</t>
  </si>
  <si>
    <t>Demonskin Boots</t>
  </si>
  <si>
    <t>Flash Footwear</t>
  </si>
  <si>
    <t>Lavawear</t>
  </si>
  <si>
    <t>Passive: Can Traverse Lava Hexes.</t>
  </si>
  <si>
    <t>Captains Pegleg</t>
  </si>
  <si>
    <t>[Requires an Amputated Leg Slot]</t>
  </si>
  <si>
    <t>Active: (&gt;) Fire a pellet out of your Amputated Leg dealing 40 Blast damage. (1/Combat)</t>
  </si>
  <si>
    <t>Crystal Boots</t>
  </si>
  <si>
    <t>Passive: While on Crystal Hexes you have Regeneration Condition.</t>
  </si>
  <si>
    <t>Hoarder's Boots: Epic Feet Set Piece Boots; Passive: Selfdestruct upon Unequipping it; Active: (≈) Restore 1 Stamina for every 1000 Gold you own. (1/Day).</t>
  </si>
  <si>
    <t>Hoarder's Boots</t>
  </si>
  <si>
    <t>Passive: Selfdestruct upon Unequipping it</t>
  </si>
  <si>
    <t>Active: (≈) Restore 1 Stamina for every 1000 Gold you own. (1/Day)</t>
  </si>
  <si>
    <t>Glacialwear</t>
  </si>
  <si>
    <t>Passive: Can Traverse Water Hexes.</t>
  </si>
  <si>
    <t>Stalkers Trackers</t>
  </si>
  <si>
    <t>Passive: Gain the Stealth Condition.</t>
  </si>
  <si>
    <t>The Fleezees</t>
  </si>
  <si>
    <t>Passive: Can Flee at no Stamina Cost.</t>
  </si>
  <si>
    <t>Karna's Boots: Legendary Feet Set Piece Boots; +6 Strength; +2 Defense; +4 Dispersion; +1 Stamina; 10% Light Resistance; 10% Dark Resistance; 10% Fire Resistance; 10% Frost Resistance; 10% Wind Resistance; 10% Earth Resistance; 10% Lightning Resistance; 10% Bleed Resistance; 10% Poison Resistance; Active: (≈) Selfdestruct; All your Attacks have Blitz and Precise until End of Day.</t>
  </si>
  <si>
    <t>Karna's Boots</t>
  </si>
  <si>
    <t>Active: (≈) Selfdestruct; All your Attacks have Blitz and Precise until End of Day.</t>
  </si>
  <si>
    <t>Olympian Winged Boots</t>
  </si>
  <si>
    <t>Passive: 20% Chance that Traversing Hexes will not Cost Stamina.</t>
  </si>
  <si>
    <t>Abyssal Kicks</t>
  </si>
  <si>
    <t>Passive: Gain the Agile Condition</t>
  </si>
  <si>
    <t>Basic Sandals</t>
  </si>
  <si>
    <t>Sandals</t>
  </si>
  <si>
    <t>Woven Sandals</t>
  </si>
  <si>
    <t>Bambus Sandals</t>
  </si>
  <si>
    <t>Tallers</t>
  </si>
  <si>
    <t>Passive: +1 to Basic Attack Rolls.</t>
  </si>
  <si>
    <t>White Obisidian Risers</t>
  </si>
  <si>
    <t>Firey Sandals: Legendary Feet Piece Sandals; +3 Defense; +1 Stamina; 60% Fire Resistance; Passive: Immune to Frostbite; Active: (≈) Cover yourself in Fire for 3 Turns Burning Entities in Melee for 30 Fire Damage at the Start of your Turn. (1/Day).</t>
  </si>
  <si>
    <t>Firey Sandals</t>
  </si>
  <si>
    <t>Passive: Immune to Frostbite</t>
  </si>
  <si>
    <t>Active: (≈) Cover yourself in Fire for 3 Turns Burning Entities in Melee for 30 Fire Damage at the Start of your Turn. (1/Day)</t>
  </si>
  <si>
    <t>Spectators Sandals: Legendary Feet Piece Sandals; Passive: You cannot interact with any Landmark or Entity and you may not unequip this Gear normally; Active: (≈) Unequip this Gear. (3 Stamina).</t>
  </si>
  <si>
    <t>Spectators Sandals</t>
  </si>
  <si>
    <t>Passive: You cannot interact with any Landmark or Entity and you may not unequip this Gear normally</t>
  </si>
  <si>
    <t>Active: (≈) Unequip this Gear. (3 Stamina)</t>
  </si>
  <si>
    <t>Archaicandreans: Mythic Feet Piece Sandals; Passive: +10 Strength or Power; +100 Health or Mana; Active: (≈) Renounce your Faction and Banner and instead of choosing you gain both Stats from this Gear.</t>
  </si>
  <si>
    <t>Archaicandreans</t>
  </si>
  <si>
    <t>Passive: +10 Strength or Power; +100 Health or Mana</t>
  </si>
  <si>
    <t>Active: (≈) Renounce your Faction and Banner and instead of choosing you gain both Stats from this Gear.</t>
  </si>
  <si>
    <t>Jewelry</t>
  </si>
  <si>
    <t>Ring of Fire</t>
  </si>
  <si>
    <t>Ring Piece</t>
  </si>
  <si>
    <t>Ring of Frost</t>
  </si>
  <si>
    <t>Ring of Dark</t>
  </si>
  <si>
    <t>Ring of Light</t>
  </si>
  <si>
    <t>Ring of Wind</t>
  </si>
  <si>
    <t>Ring of Earth</t>
  </si>
  <si>
    <t>Ring of Bleed</t>
  </si>
  <si>
    <t>Ring of Poison</t>
  </si>
  <si>
    <t>Ring of Lightning</t>
  </si>
  <si>
    <t>Ring of Empowerment</t>
  </si>
  <si>
    <t>Featherfall Ring</t>
  </si>
  <si>
    <t>Passive: You no longer Lose Health when Falling off the map.</t>
  </si>
  <si>
    <t>Blacksmiths Ring</t>
  </si>
  <si>
    <t>Passive: When Crafting Non-Unique Metal Type Gear at the Foundry you may choose the option.</t>
  </si>
  <si>
    <t>Fossil Ring</t>
  </si>
  <si>
    <t>Passive: Exploring a Hex guarantees an extra Bone Marrow regardless of roll.</t>
  </si>
  <si>
    <t>Smiling Ring</t>
  </si>
  <si>
    <t>Active: Flash; Grant your next D20 Roll +1. (1/Day)</t>
  </si>
  <si>
    <t>Screeching Ring</t>
  </si>
  <si>
    <t>Active: Taunt Target Non-Heroic Entity in 1 Hex range forcing them to come to you. (1/Day)</t>
  </si>
  <si>
    <t>Silkmaker's Ring</t>
  </si>
  <si>
    <t>Passive: When Crafting Non-Unique Cloth Type Gear at the Foundry you may choose the option.</t>
  </si>
  <si>
    <t>Ring of Dexterity</t>
  </si>
  <si>
    <t>Ring of Power</t>
  </si>
  <si>
    <t>Ring of Strength</t>
  </si>
  <si>
    <t>Blue Tear Ring</t>
  </si>
  <si>
    <t>Passive: Gain Resilient when below 25% Max Health.</t>
  </si>
  <si>
    <t>Red Tear Ring</t>
  </si>
  <si>
    <t>Gain Surged when below 25% Max Health.</t>
  </si>
  <si>
    <t>Dragonscale Ring: Rare Ring Piece; Active: (≈) Gain 8 Defense until End of Combat. (1/Combat).</t>
  </si>
  <si>
    <t>Dragonscale Ring</t>
  </si>
  <si>
    <t>Active: (≈) Gain 8 Defense until End of Combat. (1/Combat)</t>
  </si>
  <si>
    <t>Mountain Ring</t>
  </si>
  <si>
    <t>Raven Ring</t>
  </si>
  <si>
    <t>Passive: Gain +1 Hex Range on Abilities/Attacks that have Hex Range.</t>
  </si>
  <si>
    <t>Silver Ring</t>
  </si>
  <si>
    <t>Ring Set Piece</t>
  </si>
  <si>
    <t xml:space="preserve"> Passive: Gain 20% Total Damage against Demons, Undead, Eldritch and Fae.</t>
  </si>
  <si>
    <t>Ring of Madness</t>
  </si>
  <si>
    <t>Passive: At the start of your Turn in Combat all Entities on Hex Lose 10 Health.</t>
  </si>
  <si>
    <t>Elvish Ring</t>
  </si>
  <si>
    <t>Ring of Pure Balance: Epic Ring Piece; Passive: +1 Attribute of your Choice; Active: (≈) Average out your Max Health and Max Mana which becomes your new Max Health and Max Mana. (E.g. 100 Hp and 50 Mana -&gt; 75 HP and 75 mana).</t>
  </si>
  <si>
    <t>Ring of Pure Balance</t>
  </si>
  <si>
    <t>Passive: +1 Attribute of your Choice</t>
  </si>
  <si>
    <t>Active: (≈) Average out your Max Health and Max Mana which becomes your new Max Health and Max Mana. (E.g. 100 Hp and 50 Mana -&gt; 75 HP and 75 mana)</t>
  </si>
  <si>
    <t>Ring of Solomon's Mines: Epic Ring Piece; Active: (≈) Roll d2, if 1 Gain 500 Gold, if 2 Lose 25 Health. (1/Day).</t>
  </si>
  <si>
    <t>Ring of Solomon's Mines</t>
  </si>
  <si>
    <t>Active: (≈) Roll d2, if 1 Gain 500 Gold, if 2 Lose 25 Health. (1/Day)</t>
  </si>
  <si>
    <t>Cowards Ring</t>
  </si>
  <si>
    <t>Hornet Ring</t>
  </si>
  <si>
    <t>Skyfall Ring</t>
  </si>
  <si>
    <t>On Hit: +5 Earth Damage</t>
  </si>
  <si>
    <t>Active: Powerplay; (&gt;) Calls down a meteorite to strike at a target for 50 Earth Damage.</t>
  </si>
  <si>
    <t>Search of Death: Epic Ring Piece; +25 Health; +25 Mana; Active: (≈) Point the Direction of the closest Boss.</t>
  </si>
  <si>
    <t>Search of Death</t>
  </si>
  <si>
    <t>Active: (≈) Point the Direction of the closest Boss. </t>
  </si>
  <si>
    <t>Ring of Endurance</t>
  </si>
  <si>
    <t>Qaroth's Agony</t>
  </si>
  <si>
    <t>Passive: Upon taking Lethal damage the Ring will Selfdestruct and nullify all incoming attacks and cleanse all statuses.</t>
  </si>
  <si>
    <t>Bannerman Ring: Legendary Ring Piece; Passive: Gain 2 Banner Slots; Active: (≈) Selfdestruct; Summons a Hero to fight in your stead or for you to Fight; Hero has to accept or you gain 800 Experience.</t>
  </si>
  <si>
    <t>Bannerman Ring</t>
  </si>
  <si>
    <t>Passive: Gain 2 Banner Slots</t>
  </si>
  <si>
    <t>Active: (≈) Selfdestruct; Summons a Hero to fight in your stead or for you to Fight; Hero has to accept or you gain 800 Experience.</t>
  </si>
  <si>
    <t>Sacrificial Ring</t>
  </si>
  <si>
    <t>Passive: Selfdestruct; Revive at a random spot with 25% Health upon Death; YOU LOSE UNEQUIPED ITEMS.</t>
  </si>
  <si>
    <t>Darkblades Ring</t>
  </si>
  <si>
    <t>Active: (+) Absorb life essence from the enemy, Draining 40 Health and dealing 20 Dark Damage to Target. (1/Day)</t>
  </si>
  <si>
    <t>Ring of Total Destruction</t>
  </si>
  <si>
    <t>Active: (+) Roll a D100 and deal True damage equal to the roll to the enemy as True Damage; If Damage proves Lethal Destroy the Entity. (1/Day)</t>
  </si>
  <si>
    <t>Ring of Soul Leech</t>
  </si>
  <si>
    <t>Passive: Recover 30 Health from every Enemy Killed or Destroyed.</t>
  </si>
  <si>
    <t>Ring of the Flaming Embers</t>
  </si>
  <si>
    <t>Passive: Your Attacks inflict 25 Fire Damage On Hit.</t>
  </si>
  <si>
    <t>Ring of Revelation: Legendary Ring Piece; Active: (≈) You can ask the Gods any Yes or No Question. (1/Day).</t>
  </si>
  <si>
    <t>Ring of Revelation</t>
  </si>
  <si>
    <t>Active: (≈) You can ask the Gods any Yes or No Question. (1/Day)</t>
  </si>
  <si>
    <t>Ring of True Insight</t>
  </si>
  <si>
    <t>Ring of Absolute Force</t>
  </si>
  <si>
    <t>The Magnet</t>
  </si>
  <si>
    <t>Active: (+) Teleport any Gear within your Hex that you can See into your Respective Empty Slot or Inventory. (1/Day)</t>
  </si>
  <si>
    <t>Layered Cataclysm</t>
  </si>
  <si>
    <t>Passive: [Requires Combat] Each Attack you make increases the Total Damage of your next Attack by 10%.</t>
  </si>
  <si>
    <t>Happiness: Mythic Ring Piece; Active: [Requires Combat] Active: (≈) Instant; Reroll Target D20 Dice you threw; This Ability refreshes at the Start of your Turn.</t>
  </si>
  <si>
    <t>Happiness</t>
  </si>
  <si>
    <t>[Requires Combat] Active: (≈) Instant; Reroll Target D20 Dice you threw; This Ability refreshes at the Start of your Turn.</t>
  </si>
  <si>
    <t>Flowing Despair</t>
  </si>
  <si>
    <t>Passive: The cost of your First Ability per Day will be evenly shared between all other Entities on a Hex.</t>
  </si>
  <si>
    <t>Aureolin Moris</t>
  </si>
  <si>
    <t>Lucky Charm: Common Necklace Piece; Active: (≈) Selfdestruct; Instant; Reroll Target Nat 1 Roll from a D20.</t>
  </si>
  <si>
    <t>Lucky Charm</t>
  </si>
  <si>
    <t>Necklace Piece</t>
  </si>
  <si>
    <t>Active: (≈) Selfdestruct; Instant; Reroll Target Nat 1 Roll from a D20.</t>
  </si>
  <si>
    <t>Unknown Guidance</t>
  </si>
  <si>
    <t>Active: Reveal the direction of closest Random Landmark. (2/Day)</t>
  </si>
  <si>
    <t>Necklace of Regret</t>
  </si>
  <si>
    <t>On Hit: 4 Dark Damage</t>
  </si>
  <si>
    <t>Passive: Whenever you Roll a 1 on Landmarks or Encounters Increase the On Hit Damage of this Gear by 4.</t>
  </si>
  <si>
    <t>Necklace of Rain</t>
  </si>
  <si>
    <t>Active: (+) Inflict Target with Wet for 3 Turns. (1/Day)</t>
  </si>
  <si>
    <t>Glassmakers Necklace</t>
  </si>
  <si>
    <t>Hermits Necklace: Uncommon Necklace Piece; Active: (≈) Counter; Gain 30% Fortitude until the start of your next Turn. (1/Combat).</t>
  </si>
  <si>
    <t>Hermits Necklace</t>
  </si>
  <si>
    <t>Active: (≈) Counter; Gain 30% Fortitude until the start of your next Turn. (1/Combat)</t>
  </si>
  <si>
    <t>The Amethyst(Stone Amulet): Rare Necklace Piece; +2 Dispersion; 40% Dark Resistance; Active: (≈) If you Control all 5 Stone(Diamond; Amethyst. Topaz. Ruby And Sapphire) Amulets. Combine them into the Elemental Fury.</t>
  </si>
  <si>
    <t>The Amethyst(Stone Amulet)</t>
  </si>
  <si>
    <t>Active: (≈) If you Control all 5 Stone(Diamond; Amethyst. Topaz. Ruby And Sapphire) Amulets. Combine them into the Elemental Fury.</t>
  </si>
  <si>
    <t>The Topaz(Stone Amulet): Rare Necklace Piece; +2 Dispersion; 40% Wind Resistance; Active: (≈) If you Control all 5 Stone(Diamond; Amethyst. Topaz. Ruby And Sapphire) Amulets. Combine them into the Elemental Fury.</t>
  </si>
  <si>
    <t>The Topaz(Stone Amulet)</t>
  </si>
  <si>
    <t>The Ruby(Stone Amulet): Rare Necklace Piece; +2 Dispersion; 40% Fire Resistance; Active: (≈) If you Control all 5 Stone(Diamond; Amethyst. Topaz. Ruby And Sapphire) Amulets. Combine them into the Elemental Fury.</t>
  </si>
  <si>
    <t>The Ruby(Stone Amulet)</t>
  </si>
  <si>
    <t>The Sapphire(Stone Amulet): Rare Necklace Piece; +2 Dispersion; 40% Frost Resistance; Active: (≈) If you Control all 5 Stone(Diamond; Amethyst. Topaz. Ruby And Sapphire) Amulets. Combine them into the Elemental Fury.Elemental Fury.</t>
  </si>
  <si>
    <t>The Sapphire(Stone Amulet)</t>
  </si>
  <si>
    <t>Active: (≈) If you Control all 5 Stone(Diamond; Amethyst. Topaz. Ruby And Sapphire) Amulets. Combine them into the Elemental Fury.Elemental Fury.</t>
  </si>
  <si>
    <t>The Diamond(Stone Amulet): Rare Necklace Piece; +2 Dispersion; 40% Light Resistance; Active: (≈) If you Control all 5 Stone(Diamond; Amethyst. Topaz. Ruby And Sapphire) Amulets. Combine them into the Elemental Fury.Elemental Fury.</t>
  </si>
  <si>
    <t>The Diamond(Stone Amulet)</t>
  </si>
  <si>
    <t>Jewel of the Sands</t>
  </si>
  <si>
    <t>Passive: Deserts no longer slow your movement down. (Traversing them takes 1 stamina)</t>
  </si>
  <si>
    <t>Silver Amulet</t>
  </si>
  <si>
    <t>Necklace Set Piece</t>
  </si>
  <si>
    <t>Necklace of Wisdom</t>
  </si>
  <si>
    <t>Necklace of Might</t>
  </si>
  <si>
    <t>Necklace of Mobility</t>
  </si>
  <si>
    <t>Spell-Eater</t>
  </si>
  <si>
    <t>Active: (+) Selfdestruct; Counter; Eat Target Spell Targeting you.</t>
  </si>
  <si>
    <t>Locket of the Dryad</t>
  </si>
  <si>
    <t>Passive: Gain +5 on your Roll when Entering Forests.</t>
  </si>
  <si>
    <t>Necklace of the Rebelious One</t>
  </si>
  <si>
    <t>Passive: You will always be first to take Action in Combat. (Overrides Heavy)</t>
  </si>
  <si>
    <t>Necklace of the Devout Believer: Epic Necklace Piece; +1 Faith; Active: (≈) Selfdestruct; Place the Necklace onto the ground; The Necklace breaks but the current Hex will Function like a Shrine until End of Day.</t>
  </si>
  <si>
    <t>Necklace of the Devout Believer</t>
  </si>
  <si>
    <t>Active: (≈) Selfdestruct; Place the Necklace onto the ground; The Necklace breaks but the current Hex will Function like a Shrine until End of Day.</t>
  </si>
  <si>
    <t>Ravens Eye</t>
  </si>
  <si>
    <t>Passive: +1 Vision.</t>
  </si>
  <si>
    <t>Bonetooth Necklace: Epic Necklace Piece; Active: (≈) [1 Use] Tells how many Hexes away and The Direction of the closest Hero; Passive: Upon Killing an Entity the Active gains 1 Use.</t>
  </si>
  <si>
    <t>Bonetooth Necklace</t>
  </si>
  <si>
    <t>Active: (≈) [1 Use] Tells how many Hexes away and The Direction of the closest Hero; Passive: Upon Killing an Entity the Active gains 1 Use.</t>
  </si>
  <si>
    <t>The Black Pendant: Legendary Necklace Piece; +7 Strength; Active: (≈) Reflex; For the Next 5 Turns become Immune to all Statuses. (1/Day).</t>
  </si>
  <si>
    <t>The Black Pendant</t>
  </si>
  <si>
    <t>Active: (≈) Reflex; For the Next 5 Turns become Immune to all Statuses. (1/Day)</t>
  </si>
  <si>
    <t>Lava Charm</t>
  </si>
  <si>
    <t>Passive; You may Traverse Lava Hexes without suffering their Negative Effect.</t>
  </si>
  <si>
    <t>Necklace of the Carrying Desert Sands</t>
  </si>
  <si>
    <t>Active: (o) Powerplay; Turn Adjacent Hexes into Desert Hexes Until End of Day.</t>
  </si>
  <si>
    <t>Gods Pathway</t>
  </si>
  <si>
    <t>Passive: Killing Heroic Entities Grants you 1 Attunemnt Point, Once you've Gained 8 Attunement Points from this Gear it will no longer Grant Stats.</t>
  </si>
  <si>
    <t>Necklace of Demeters Flowers: Legendary Necklace Piece; Active: Active; (≈) Counter; Block 50% of Target Basic Attack or Non-Ultimate Projectiles Damage. (7 Uses).</t>
  </si>
  <si>
    <t>Necklace of Demeters Flowers</t>
  </si>
  <si>
    <t>Active; (≈) Counter; Block 50% of Target Basic Attack or Non-Ultimate Projectiles Damage. (7 Uses)</t>
  </si>
  <si>
    <t>Potioner's Necklace</t>
  </si>
  <si>
    <t>Passive: Potions have a 20% Chance to not get consumed when used on yourself; Active: Combine Target Ingredient with a Random Ingredient of Epic or lower Rarity to craft a potion.</t>
  </si>
  <si>
    <t>The Crimson Amulet: Legendary Necklace Set Piece; Passive: You may drain X of your own Current Health and store it in the Amulet at any time as an; Active: Action; Active: (≈) Gain Stored Health.</t>
  </si>
  <si>
    <t>The Crimson Amulet</t>
  </si>
  <si>
    <t xml:space="preserve">Passive: You may drain X of your own Current Health and store it in the Amulet at any time as an </t>
  </si>
  <si>
    <t>Action; Active: (≈) Gain Stored Health.</t>
  </si>
  <si>
    <t>Resonating Archstone: Legendary Necklace Piece; Active: (≈) Refresh 4 Resonance. (1/Day).</t>
  </si>
  <si>
    <t>Resonating Archstone</t>
  </si>
  <si>
    <t>Active: (≈) Refresh 4 Resonance. (1/Day)</t>
  </si>
  <si>
    <t>Necklace of the Uncursed</t>
  </si>
  <si>
    <t>Passive: For every Unique Curse removed Gain an Attunement Point.</t>
  </si>
  <si>
    <t>Unbound Loyalty</t>
  </si>
  <si>
    <t>Active: (+) If you are in Combat with more than 1 Hostile entity choose Target Non-Heroic; Target is now under your Banner. it dies at the end of the combat unless you Die first in which case it is returned to its original Banner. (1/Day)</t>
  </si>
  <si>
    <t>Drink Up: Mythic Necklace Piece; Active: (≈) Transform Target Gear into a Potion of equal Rarity of your choice. (1/Day).</t>
  </si>
  <si>
    <t>Drink Up</t>
  </si>
  <si>
    <t>Active: (≈) Transform Target Gear into a Potion of equal Rarity of your choice. (1/Day)</t>
  </si>
  <si>
    <t>Tales of Void: Mythic Necklace Piece; Passive: +25 Health per Void Hex on Map; When there are 10 Void Hexes on the Map summon a Sharakonid under your control on current Hex a single time; Active: (≈) Transform Target Adjacent Hex which holds no Entity on it into a Void Hex. (1/Day).</t>
  </si>
  <si>
    <t>Tales of Void</t>
  </si>
  <si>
    <t>Passive: +25 Health per Void Hex on Map; When there are 10 Void Hexes on the Map summon a Sharakonid under your control on current Hex a single time</t>
  </si>
  <si>
    <t>Active: (≈) Transform Target Adjacent Hex which holds no Entity on it into a Void Hex. (1/Day)</t>
  </si>
  <si>
    <t>Time Dial: Mythic Necklace Piece; Active: (≈)  Flash; Refresh all of your Non-Ultimate Daily or Turn based Cooldowns. (1/Vendal).</t>
  </si>
  <si>
    <t>Time Dial</t>
  </si>
  <si>
    <t>Active: (≈)  Flash; Refresh all of your Non-Ultimate Daily or Turn based Cooldowns. (1/Vendal)</t>
  </si>
  <si>
    <t>Stasis Clock: Legendary Artifact; Active: (≈) Counter; You stop yourself in Time becoming Untargetable and Invincible for 1 Turn. (1/Day).</t>
  </si>
  <si>
    <t>Stasis Clock</t>
  </si>
  <si>
    <t>Active: (≈) Counter; You stop yourself in Time becoming Untargetable and Invincible for 1 Turn. (1/Day)</t>
  </si>
  <si>
    <t>Jack's Compass: Legendary Artifact; Active: (≈) Will point the cardinal direction of any Landmark or Entity you wish. (1/Day).</t>
  </si>
  <si>
    <t>Jack's Compass</t>
  </si>
  <si>
    <t>Active: (≈) Will point the cardinal direction of any Landmark or Entity you wish. (1/Day)</t>
  </si>
  <si>
    <t>Sabien's Bag</t>
  </si>
  <si>
    <t>Passive: Store unlimited amount of Items and Gear inside; It takes 1 Combat Turn to take out Items from it into your Inventory.</t>
  </si>
  <si>
    <t>Hourglass</t>
  </si>
  <si>
    <t>Passive: Hold 2 charges and need to be turned around consuming 1 turn after its charges are consumed.</t>
  </si>
  <si>
    <t>Skira</t>
  </si>
  <si>
    <t>Passive: [WARNING: TORMENT MODE] Can be obtained by typing Skira in the first turn of the 8 Ones. Locks Artifact Slot and Evaporates constantly all your Gold.</t>
  </si>
  <si>
    <t>Crystal Book: Legendary Artifact; Active: (≈) Store Up to 3 Spells you have inside this book by paying their respective Cost; You can use the Book to Cast the Spell Consuming it in the process.</t>
  </si>
  <si>
    <t>Crystal Book</t>
  </si>
  <si>
    <t>Active: (≈) Store Up to 3 Spells you have inside this book by paying their respective Cost; You can use the Book to Cast the Spell Consuming it in the process.</t>
  </si>
  <si>
    <t>Prismatic Pyramid</t>
  </si>
  <si>
    <t>Active: (+) Encase Target Entity with Less than 50% Health in a Stasis Stunning them for 2 Turns. (1/Day)</t>
  </si>
  <si>
    <t>Philosopher's Stone: Legendary Artifact; Passive: It becomes Permanently Equipped; Active: (≈) Upgrade Target Gear/Item Rarity up to Mythic. (1 Stamina; 1/Day).</t>
  </si>
  <si>
    <t>Philosopher's Stone</t>
  </si>
  <si>
    <t>Passive: It becomes Permanently Equipped; Active: (≈) Upgrade Target Gear/Item Rarity up to Mythic. (1 Stamina; 1/Day)</t>
  </si>
  <si>
    <t>Idiots Fate</t>
  </si>
  <si>
    <t>Passive: Gain +2 on Every single Dice Roll you throw. </t>
  </si>
  <si>
    <t>Loaded Dice</t>
  </si>
  <si>
    <t>Passive: You can subtract or add 1 on any of your Dice Rolls.</t>
  </si>
  <si>
    <t>Death Chain</t>
  </si>
  <si>
    <t>Passive: Gain 500 Max Health; Locks Artifact Slot; You get Destroyed in 8 Days; If any effect prevents this it triggers again.</t>
  </si>
  <si>
    <t>Old Tree's Leaf</t>
  </si>
  <si>
    <t>Passive: You Regenerate 40 Health more on Rest.</t>
  </si>
  <si>
    <t>Groko Statue</t>
  </si>
  <si>
    <t>Passive: Entities can no longer cast Spells on current Hex.</t>
  </si>
  <si>
    <t>Light Helix</t>
  </si>
  <si>
    <t>Artifact/Necklace</t>
  </si>
  <si>
    <t>Active: (+) Open a Portal to a Previously Traversed Hex; While in Combat the Portal is opened on an adjacent empty Tile; Entities ending up on Target Tile are automatically Teleported; Entity that steps through the Portal loses 1 Stamina; Portal Closes after 1 Entity goes through it. (50 Mana/Health); Active: (+) Counter; Open a Portal redirecting Target Non-Ultimate Projectile to a different Target. (50 Mana/Health)</t>
  </si>
  <si>
    <t>Dark Helix</t>
  </si>
  <si>
    <t>Fire Helix</t>
  </si>
  <si>
    <t>Frost Helix</t>
  </si>
  <si>
    <t>Wind Helix</t>
  </si>
  <si>
    <t>Earth Helix</t>
  </si>
  <si>
    <t>Lightning Helix</t>
  </si>
  <si>
    <t>Blood Helix</t>
  </si>
  <si>
    <t>Arcane Helix</t>
  </si>
  <si>
    <t>Blink Drive</t>
  </si>
  <si>
    <t>Passive: [Requires Combat] Every time you suffer Damage, you Teleport 1 Tile away from Target that Inflicted Damage to you if possible.</t>
  </si>
  <si>
    <t>Pandoras Box</t>
  </si>
  <si>
    <t>Passive: At the Start of the Day gain 1 Random Gear or Item. (Any Random Rarity)</t>
  </si>
  <si>
    <t>The Second Die: Legendary Artifact; Passive: (≈) Whenever you roll D20 outside of Combat you roll once more and choose which outcome to keep; Active: (≈) [Requires Combat] Flash; Your next D20 Dice Roll is rolled Twice and you choose which outcome to keep. (1/Combat).</t>
  </si>
  <si>
    <t>The Second Die</t>
  </si>
  <si>
    <t>Passive: (≈) Whenever you roll D20 outside of Combat you roll once more and choose which outcome to keep</t>
  </si>
  <si>
    <t>Active: (≈) [Requires Combat] Flash; Your next D20 Dice Roll is rolled Twice and you choose which outcome to keep. (1/Combat)</t>
  </si>
  <si>
    <t>Mana-Tech Catalyst: Legendary Artifact; Active: (≈) Reset the Cooldown of target Non-Ultimate Ability or Gear. (1/Day).</t>
  </si>
  <si>
    <t>Mana-Tech Catalyst</t>
  </si>
  <si>
    <t>Active: (≈) Reset the Cooldown of target Non-Ultimate Ability or Gear. (1/Day)</t>
  </si>
  <si>
    <t>Nature's Heart</t>
  </si>
  <si>
    <t>Passive: The First Wavelength Non-Ultimate Ability Cast each Day costs 0 Resonance; Toggle Abilities are not affected.</t>
  </si>
  <si>
    <t>Joker's Blank: Legendary Artifact; Active: (≈) Cast Target Ability 1 Rank Higher at no cost but with Powerplay. (1/Day).</t>
  </si>
  <si>
    <t>Joker's Blank</t>
  </si>
  <si>
    <t>Active: (≈) Cast Target Ability 1 Rank Higher at no cost but with Powerplay. (1/Day)</t>
  </si>
  <si>
    <t>Locket of Tiredness</t>
  </si>
  <si>
    <t>Active: [Requires "The Key of Melancholy" Artifact] Consume The Lock of Tiredness and The Key of Melancholy to Gain 800 Max Mana, 800 Max Health -4 Mobility and -1 Stamina.</t>
  </si>
  <si>
    <t>Key of Melancholy</t>
  </si>
  <si>
    <t>Active: [Requires "Locket of Tiredness" Artifact] Consume The Lock of Tiredness and The Key of Melancholy to Gain 800 Max Mana, 800 Max Health -4 Mobility and -1 Stamina.</t>
  </si>
  <si>
    <t>Forbidden Reliquary: Legendary Artifact; Active: (≈) Powerplay; Lock your Artifact Slot and Double a Natural Non-Scaling Number on Target Non-Ultimate Ability you have(This Includes, Damage, Resource Cost, Summon Cap, Summon Amount, Any Stat); Ranking up the Ability Cancels this Effect.</t>
  </si>
  <si>
    <t>Forbidden Reliquary</t>
  </si>
  <si>
    <t>Active: (≈) Powerplay; Lock your Artifact Slot and Double a Natural Non-Scaling Number on Target Non-Ultimate Ability you have(This Includes, Damage, Resource Cost, Summon Cap, Summon Amount, Any Stat); Ranking up the Ability Cancels this Effect.</t>
  </si>
  <si>
    <t>Flag of Rite: Legendary Artifact; +80 Health; +2 Power; +2 Might; Active: (≈) Grant your Banner +2 Might until End of Combat. (1/Day).</t>
  </si>
  <si>
    <t>Flag of Rite</t>
  </si>
  <si>
    <t>Active: (≈) Grant your Banner +2 Might until End of Combat. (1/Day)</t>
  </si>
  <si>
    <t>Userpers Wish</t>
  </si>
  <si>
    <t>Passive: All your Attempts gain +2 to their Rolls.</t>
  </si>
  <si>
    <t>Westward Chalice: Legendary Artifact; +100 Health; +100 Mana; +2 Might; +2 Wisdom; Passive: Lock Artifact Slot; You may only move North-West, South-West or West; Active: (≈) Summon a "Random" Landmark on Western Hex. (1/Day).</t>
  </si>
  <si>
    <t>Westward Chalice</t>
  </si>
  <si>
    <t>Passive: Lock Artifact Slot; You may only move North-West, South-West or West</t>
  </si>
  <si>
    <t>Active: (≈) Summon a "Random" Landmark on Western Hex. (1/Day)</t>
  </si>
  <si>
    <t>Scale of Selfishness</t>
  </si>
  <si>
    <t>Active: (+) [Requires Combat] Target Non-Heroic Entity is no longer under anyones Banner and becomes Hostile towards all other Entities on Hex until End of Combat. (1/Day)</t>
  </si>
  <si>
    <t>Stagehands Bowtie</t>
  </si>
  <si>
    <t>Passive: Your Non-Ultimate Abilities have Hidden and your Damage dealing Ultimate Abilities have 20% Lifedrain.</t>
  </si>
  <si>
    <t>Passive: Instant; Herald(Legion is Turning!); Upon receiving this Item 3 Legendary Swords Fall onto the Planes and you will Know their Locations; Acquiring All 3 and Placing them Inside Legion(Consuming them in the process) Gear will Trigger a Mechanis</t>
  </si>
  <si>
    <t>The Crucifier: Mythic Artifact; -20 Mobility; -1 Stamina; Active: (≈) Drain 50 Mana or 25 Health from the Stone. (1/Day).</t>
  </si>
  <si>
    <t>The Crucifier</t>
  </si>
  <si>
    <t>Active: (≈) Drain 50 Mana or 25 Health from the Stone. (1/Day)</t>
  </si>
  <si>
    <t>Unawaken Sun: Mythic Artifact; Active: [Requires you to be at Max Stamina] (≈) Herald(The Black Sun is Awakening!); You start a state of Channeling that can only be interrupted by Traversal Actions; You are Revealed on the Map for all other Entities; Non-Hero Hostile Entities in a 3 Hex Range Move towards you; At the end of the next Day, if you are still Channeling, Transform Unawakened Sun into The Black Sun. (All Stamina).</t>
  </si>
  <si>
    <t>Unawaken Sun</t>
  </si>
  <si>
    <t>Active: [Requires you to be at Max Stamina] (≈) Herald(The Black Sun is Awakening!); You start a state of Channeling that can only be interrupted by Traversal Actions; You are Revealed on the Map for all other Entities; Non-Hero Hostile Entities in a 3 Hex Range Move towards you; At the end of the next Day, if you are still Channeling, Transform Unawakened Sun into The Black Sun. (All Stamina)</t>
  </si>
  <si>
    <t>The Chamber of Balance: Mythic Artifact; Passive: Gain a Tier I/II/III Ability Slot; Active: (≈) Learn an Unlearnt Tier I Ability; If this ability was Cast before Learn an Unlearnt Tier II Ability; if this ability was Cast twice before Learn an Unlearnt Tier III Ability. (1/Day).</t>
  </si>
  <si>
    <t>The Chamber of Balance</t>
  </si>
  <si>
    <t>Passive: Gain a Tier I/II/III Ability Slot</t>
  </si>
  <si>
    <t>Active: (≈) Learn an Unlearnt Tier I Ability; If this ability was Cast before Learn an Unlearnt Tier II Ability; if this ability was Cast twice before Learn an Unlearnt Tier III Ability. (1/Day)</t>
  </si>
  <si>
    <t>Handle of Wonders</t>
  </si>
  <si>
    <t>[Requires Empty Main and Off-Hand]</t>
  </si>
  <si>
    <t>Passive: Powerplay; Upon Equipping Also Equip a Random Acterosa in your Main/Off-Hand</t>
  </si>
  <si>
    <t>Active: Reroll your Acterosa. (50 Health)</t>
  </si>
  <si>
    <t>Black Sun</t>
  </si>
  <si>
    <t>Passive: All other Entities in Combat with you take 30 Dark Damage Per Action/Sub-Action taken.</t>
  </si>
  <si>
    <t>Void Bell: Astral Artifact; Active: (≈) Summon the Sharakonid on the Plains, if it is already on the Planes, Teleport the Sharakonid on your Hex. (1/Day) (WARNING: It is not under your Control) [Sharakonids can be Found in Legends Tab].</t>
  </si>
  <si>
    <t>Void Bell</t>
  </si>
  <si>
    <t>Active: (≈) Summon the Sharakonid on the Plains, if it is already on the Planes, Teleport the Sharakonid on your Hex. (1/Day) (WARNING: It is not under your Control) [Sharakonids can be Found in Legends Tab]</t>
  </si>
  <si>
    <t>Pyrus</t>
  </si>
  <si>
    <t>Artifact/Two-Handed</t>
  </si>
  <si>
    <t>20 Arcane Damage</t>
  </si>
  <si>
    <t>On Hit: 80 Pyro Damage</t>
  </si>
  <si>
    <t>Passive: Locks Both Artifact and Main Hand Slot; At the Start of your Turn in Combat Everything takes 20 Scorch Damage.</t>
  </si>
  <si>
    <t>Creatorum</t>
  </si>
  <si>
    <t>Active: (+) Counter; Lock target Projectile in Air for 3 Turns; Moving out of its way causes it to miss. (1 Stamina); Active: (+) Flash; Change Entities Stat by adding or Subtracting 10. (1 For Attribute/Mobility/Stamina/Faith) (1/Day)</t>
  </si>
  <si>
    <t>Imaginarum</t>
  </si>
  <si>
    <t>Active: (+) Teleport yourself and Target into your own pocket dimension for 3 Turns, Whilst in this Dimension your Stats are Infinite, you are Indestructable and Unstoppable, This Action resets Combat State. (1/Day)</t>
  </si>
  <si>
    <t>Orb of Infinity</t>
  </si>
  <si>
    <t>Passive: All Magic Damage becomes Arcane.</t>
  </si>
  <si>
    <t>Fury Stone: Astral Artifact; +40 Strength; Active: (≈) Blitz; Strike Target dealing Fire Damage equal to 4 times your Strength.</t>
  </si>
  <si>
    <t>Fury Stone</t>
  </si>
  <si>
    <t>Active: (≈) Blitz; Strike Target dealing Fire Damage equal to 4 times your Strength.</t>
  </si>
  <si>
    <t>Kog'Dal Egg</t>
  </si>
  <si>
    <t>Passive: Immunity to Earth Damage.</t>
  </si>
  <si>
    <t>Void Heart</t>
  </si>
  <si>
    <t>Passive: Immune to Void Hexes; Stats are Hidden; Every Action is Hidden; Can not be Overriden.</t>
  </si>
  <si>
    <t>Exodus Lightseeker</t>
  </si>
  <si>
    <t>Active: (o) Engulf every Entity on Hex in radiating light for 200 Light Damage. (1/Day)</t>
  </si>
  <si>
    <t>Ortogot Fangs</t>
  </si>
  <si>
    <t>Passive: Gain Counter on all Actions and detect Invisible Entities and Objects.</t>
  </si>
  <si>
    <t>Null Breaker</t>
  </si>
  <si>
    <t>Passive: At the start of your every third turn Freeze all Other Entities for 2 Turns.</t>
  </si>
  <si>
    <t>Final Shard</t>
  </si>
  <si>
    <t>Passive: Gain 1 extra Action and 1 extra Flash Action per Turn.</t>
  </si>
  <si>
    <t>The Xernovol: Ultimate: Artifact; Passive: It is a Book containing all the information in the Planes; Complete knowledge over everything; Access to The entire Map; Active: (+) Instant; Cause Targets next Roll to be any number you wish. (1/Day).</t>
  </si>
  <si>
    <t>Ultimate </t>
  </si>
  <si>
    <t>The Xernovol</t>
  </si>
  <si>
    <t>Passive: It is a Book containing all the information in the Planes; Complete knowledge over everything; Access to The entire Map.</t>
  </si>
  <si>
    <t>Active: (+) Instant; Cause Targets next Roll to be any number you wish. (1/Day)</t>
  </si>
  <si>
    <t>Tome of Power: Common One-handed Tome; +5 Power.</t>
  </si>
  <si>
    <t>Tome of Mana: Uncommon One-handed Tome; +80 Mana.</t>
  </si>
  <si>
    <t>Tome of Intelligence: Rare One-handed Tome; Passive: Your Spells Cost 20% Less Mana.</t>
  </si>
  <si>
    <t>Book of Secrets: Rare One-handed Tome; Passive: Your Abilities now have the Hidden Keyword.</t>
  </si>
  <si>
    <t>Tome of Dread: Epic One-handed Tome; +8 Power; Passive: Your Damaging Abilities will inflict Fear for 2 Turns.</t>
  </si>
  <si>
    <t>Vampiric Codex: Legendary One-handed Tome; Passive: Your Damaging Projectile Abilities have 30% Lifedrain.</t>
  </si>
  <si>
    <t>Ancient Scroll Emporium: Legendary One-handed Tome; Passive: Non-Legendary or higher Rarity Scrolls now have 1 Day Cooldown instead of being Consumed on use; Active: Powerplay; Destroy Target Legendary Scroll and Absorb it in this Tome, You may now cast the Scrolls Active Ability 1/Day.</t>
  </si>
  <si>
    <t>Basic Sigil: Common One-handed Sigil; Passive: +3 Attributes of your Choice.</t>
  </si>
  <si>
    <t>Blue Sigil: Rare One-handed Sigil; +8 Power.</t>
  </si>
  <si>
    <t>Red Sigil: Rare One-handed Sigil; +8 Strength.</t>
  </si>
  <si>
    <t>Yellow Sigil: Rare One-handed Sigil; +8 Dexterity.</t>
  </si>
  <si>
    <t>Advanced Sigil: Epic One-handed Sigil; Passive: +8 Attributes of your Choice.</t>
  </si>
  <si>
    <t>Rasonian Imbuement Badge: Legendary One-handed Sigil; +5 Strength; +5 Dexterity; Passive: Melee Weapon equipped in your Main Hand gain +10 Base Damage, Allows you to equip Two-Handed Melee Weapons in your Main Hand.</t>
  </si>
  <si>
    <t>Invigroths Pentagram: Mythic One-handed Sigil; -100% Fire Resistance; Passive: +10 Attributes of your Choice; Passive: At the Start of Combat you gain a 200 Health Demon Minion with 20 Physical Damage Ranged Basic Attack, It's Health and Attack increase by 50 and 5 for every Victorious Combat you had with this Sigil Equipped.</t>
  </si>
  <si>
    <t>A Piece of Plank: Common One-handed Buckler; +20 Health; Passive: Blocks 10% of incoming Physical Damage.</t>
  </si>
  <si>
    <t>Tinker’s Buckler: Uncommon One-handed Buckler; +30 Health; Passive: Blocks 15% of incoming Physical Damage.</t>
  </si>
  <si>
    <t>Hardened Buckler: Rare One-handed Buckler; Passive: 20% Chance to Parry incoming Basic Attack.</t>
  </si>
  <si>
    <t>All Round Buckler: Rare One-handed Buckler; +50 Health.</t>
  </si>
  <si>
    <t>Ice Buckler: Epic One-handed Buckler; +50 Health; 60% Frost Resistance; Passive: Blocks 10% of all Damage.</t>
  </si>
  <si>
    <t>Hearthbone: Epic One-handed Buckler; +20 Fortitude; Passive: Blocks 20% of all Damage.</t>
  </si>
  <si>
    <t>Aegis of The Sun: Legendary One-handed Buckler; +2 Dispersion; 40% Light Resistance; 40% Fire Resistance; Passive: Being hit by a Basic Attack will Blind the Target for 1 Turn.</t>
  </si>
  <si>
    <t>Spiked Buckler: Legendary One-handed Buckler; +200 Health; Passive: Reflects 20% of Physical Damage taken back to the original attacker.</t>
  </si>
  <si>
    <t>Poor Mans Shield: Common One-handed Shield; +2 Defense; Passive: Blocks 10% of incoming Physical Damage.</t>
  </si>
  <si>
    <t>Imaginary Shield: Common One-handed Shield; +2 Dispersion; +10 Fortitude.</t>
  </si>
  <si>
    <t>Wallguard: Uncommon One-handed Shield; Passive: Blocks 20% of incoming Physical Damage.</t>
  </si>
  <si>
    <t>The Silver Barricade: Rare One-handed Shield; +6 Defense; 20% Light Resistance; 20% Dark Resistance; 20% Fire Resistance; 20% Frost Resistance; 20% Wind Resistance; 2% Earth Resistance; 20% Lightning Resistance; 20% Bleed Resistance; 20% Poison Resistance.</t>
  </si>
  <si>
    <t>Mana-Tech Guard: Epic One-handed Shield; -5 Basic Attack Damage; +100 Mana; -5 Defense; +8 Dispersion; Passive: Absorbs 20% of Damage from Projectiles and converts it in to Mana.</t>
  </si>
  <si>
    <t>The High Guard: Epic One-handed Shield; -5 Basic Attack Damage; -5 Power; +1 Might; +5 Defense; +5 Dispersion; Passive: Blocks 30% of all Physical Damage; +5 Defense; +5 Dispersion; -5 Basic Attack Damage; -5 Power.</t>
  </si>
  <si>
    <t>Forts Door: Epic One-handed Shield; Passive: Blocks 30% of all Physical Damage and 30% of all Magic Damage.</t>
  </si>
  <si>
    <t>The Immoral Bulwark: Legendary Two-handed Shield; -5 Mobility; +1 Might; +2 Defense; Passive: In Combat you occupy 2x2 Tiles, Your Elemental Resistance is converted to Defense at 10 to 1 Ratio(Positive and Negative) and all Elemental Damage is Reduced by Defense.</t>
  </si>
  <si>
    <t> </t>
  </si>
  <si>
    <t>Scalability</t>
  </si>
  <si>
    <t>Day of Decay: Legendary Two-handed Ranged Crossbow; 1 Ammo Capacity; 12-16 Physical Damage; On Hit: 8 Dark Damage; On Crit: Inflict Rotting; Passive: If you are Rotting, your Vitals inflict Rotting Twice.</t>
  </si>
  <si>
    <t>Bosses are the tough type of Enemy; they have Level 6, an average Health of 300, they grant 800 Xp upon being Killed and their Loot Gold Average is 2000(Legendary); Their Prime Versions are stronger, Level 7, grant 1000 Xp and their Loot Gold Average is 2500(Legendary).</t>
  </si>
  <si>
    <t>Wooden Bat: Common One-handed Melee Club; 6-9 Physical Damage.</t>
  </si>
  <si>
    <t>(P) All Attacks and Abilities Targeting you or your Tile have 50% Chance to land against you.</t>
  </si>
  <si>
    <t>(P) All Attacks and Abilities Targeting you or your Tile have 25% Chance to land against you.</t>
  </si>
  <si>
    <t>Conditions</t>
  </si>
  <si>
    <t>The Guild</t>
  </si>
  <si>
    <t>The Archive</t>
  </si>
  <si>
    <t>The Just</t>
  </si>
  <si>
    <t>Every 3 Victorious Battles will grant you 1 Faith.</t>
  </si>
  <si>
    <t>The Vanguard</t>
  </si>
  <si>
    <t>Killing Bosses will grant a Bonus Level Up but no Experience.</t>
  </si>
  <si>
    <t>Upon killing a Hero/Boss/Guardian gain 800 Gold.</t>
  </si>
  <si>
    <t>The Lotus</t>
  </si>
  <si>
    <t>Choose a Landmark at the start of the game. You'll know the direction of the closest chosen Landmark.</t>
  </si>
  <si>
    <t>Start the Game with a Bonus Level.</t>
  </si>
  <si>
    <t>The Innovators</t>
  </si>
  <si>
    <t>Start the Game with a Mana-Tech Catalyst. Active: Reset the Cooldown of target Ability or Gear. (1/Day)</t>
  </si>
  <si>
    <t>The Nobility</t>
  </si>
  <si>
    <t>+150 Gold per Day.</t>
  </si>
  <si>
    <t>The Equilibrium</t>
  </si>
  <si>
    <t>Put Target Below 20 Health or 10% Max Health to Infinite Rest. Killing Entities will cause you to be Banished.</t>
  </si>
  <si>
    <t>The Brotherhood</t>
  </si>
  <si>
    <t>You have +1 Banner Slot and you gain 1 Mercenary upon Pillaging a Zone.</t>
  </si>
  <si>
    <t>The Syndicate</t>
  </si>
  <si>
    <t>Powerplay: Steal 5000 Gold from a Zone Hex [Requires 3 Followers + Zone Hex]; One Follower dies at random; You are not Banished.</t>
  </si>
  <si>
    <t>The Groveseeker</t>
  </si>
  <si>
    <t>Instead of rolling a D20 when entering Forests you may retain your Hex Vision instead; After Traversing 10 unique Forests Gain 3 Stat Points and 3 Attribute Points.</t>
  </si>
  <si>
    <t>The Hearthbound</t>
  </si>
  <si>
    <t>Start the Game with +20% Fire Resistance; Targets you kill are Destroyed instead.</t>
  </si>
  <si>
    <t>The Cascadians</t>
  </si>
  <si>
    <t>Start the Game with Powerplay: Fall off the Map on a Random Non-Lava Hex; You Lose 25 Health instead of 50 when Falling off the Map.</t>
  </si>
  <si>
    <t>The Gladefang</t>
  </si>
  <si>
    <t>Start the Game with a Random Easy Quest; when completed Gain a Medium Quest, then a Hard Quest, then 1000 extra XP.</t>
  </si>
  <si>
    <t>The Undervipers</t>
  </si>
  <si>
    <t>Choose 2 Zone Types; Gain 500 Gold for each new Zone of those 2 types that you Traverse.</t>
  </si>
  <si>
    <t>The Mirfall</t>
  </si>
  <si>
    <t>You are forced to Kill every Non-Undead Entity you encounter; After killing 20 Elites/Bosses/Heroic Entities Gain a Random Astral Gear.</t>
  </si>
  <si>
    <t>Skeletal; Adaptive</t>
  </si>
  <si>
    <t>Fearless; Adaptive</t>
  </si>
  <si>
    <t>Cold Blooded; Adaptive</t>
  </si>
  <si>
    <t>Solid; Adaptive</t>
  </si>
  <si>
    <t>Incorporated; Adaptive</t>
  </si>
  <si>
    <t>Clarity; Adaptive</t>
  </si>
  <si>
    <t>Fireborn; Adaptive</t>
  </si>
  <si>
    <t>Insane; Adaptive</t>
  </si>
  <si>
    <t>Nocturnal; Adaptive</t>
  </si>
  <si>
    <t>Animated; Adaptive</t>
  </si>
  <si>
    <t>Resistant; Thick-furred</t>
  </si>
  <si>
    <t>Fearless; Thick-furred</t>
  </si>
  <si>
    <t>Coldblooded; Thick-furred</t>
  </si>
  <si>
    <t>Foresight; Thick-furred</t>
  </si>
  <si>
    <t>Nimble; Thick-furred</t>
  </si>
  <si>
    <t>Fireborn; Thick-furred</t>
  </si>
  <si>
    <t>Solid; Thick-furred</t>
  </si>
  <si>
    <t>Insane; Thick-furred</t>
  </si>
  <si>
    <t>Ambusher; Thick-furred</t>
  </si>
  <si>
    <t>Ambusher; Nimble</t>
  </si>
  <si>
    <t>Resistant; Nimble</t>
  </si>
  <si>
    <t>Solid; Nimble</t>
  </si>
  <si>
    <t>Scaled; Nimble</t>
  </si>
  <si>
    <t>Disciplined; Nimble</t>
  </si>
  <si>
    <t>Vile; Nimble</t>
  </si>
  <si>
    <t>Brawn; Nimble</t>
  </si>
  <si>
    <t>Agile; Nimble</t>
  </si>
  <si>
    <t>Thick-furred; Nimble</t>
  </si>
  <si>
    <t>Vile; Psionic</t>
  </si>
  <si>
    <t>Brawn; Psionic</t>
  </si>
  <si>
    <t>Foresight; Psionic</t>
  </si>
  <si>
    <t>Resistant; Psionic</t>
  </si>
  <si>
    <t>Scaled; Psionic</t>
  </si>
  <si>
    <t>Disciplined; Psionic</t>
  </si>
  <si>
    <t>Unstable; Psionic</t>
  </si>
  <si>
    <t>Agile; Psionic</t>
  </si>
  <si>
    <t>Rusting; Psionic</t>
  </si>
  <si>
    <t>Indomitable; Psionic</t>
  </si>
  <si>
    <t>Psionic; Rusting</t>
  </si>
  <si>
    <t>Resistant; Rusting</t>
  </si>
  <si>
    <t>Vile; Rusting</t>
  </si>
  <si>
    <t>Scaled; Rusting</t>
  </si>
  <si>
    <t>Indomitable; Rusting</t>
  </si>
  <si>
    <t>Foresight; Rusting</t>
  </si>
  <si>
    <t>Fireborn; Rusting</t>
  </si>
  <si>
    <t>Agile; Rusting</t>
  </si>
  <si>
    <t>Animated; Rusting</t>
  </si>
  <si>
    <t>Nimble; Rusting</t>
  </si>
  <si>
    <t>Brawn; Vile</t>
  </si>
  <si>
    <t>Fireborn; Vile</t>
  </si>
  <si>
    <t>Cold Blooded; Vile</t>
  </si>
  <si>
    <t>Agile; Vile</t>
  </si>
  <si>
    <t>Psionic; Vile</t>
  </si>
  <si>
    <t>Animated; Vile</t>
  </si>
  <si>
    <t>Thick-furred; Vile</t>
  </si>
  <si>
    <t>Insane; Vile</t>
  </si>
  <si>
    <t>Scaled; Vile</t>
  </si>
  <si>
    <t>Animated; Disciplined</t>
  </si>
  <si>
    <t>Foresight; Disciplined</t>
  </si>
  <si>
    <t>Cold Blooded; Disciplined</t>
  </si>
  <si>
    <t>Vile; Disciplined</t>
  </si>
  <si>
    <t>Indomitable; Disciplined</t>
  </si>
  <si>
    <t>Scaled; Disciplined</t>
  </si>
  <si>
    <t>Fireborn; Disciplined</t>
  </si>
  <si>
    <t>Solid; Disciplined</t>
  </si>
  <si>
    <t>Psionic; Disciplined</t>
  </si>
  <si>
    <t>Nimble; Disciplined</t>
  </si>
  <si>
    <t>Ambusher; Agile</t>
  </si>
  <si>
    <t>Psionic; Nimble</t>
  </si>
  <si>
    <t>Brawn; Resistant</t>
  </si>
  <si>
    <t>Tempered; Solid</t>
  </si>
  <si>
    <t>Agile; Cold Blooded</t>
  </si>
  <si>
    <t>Tempered; Fireborn</t>
  </si>
  <si>
    <t>Disciplined; Scaled</t>
  </si>
  <si>
    <t>Animated; Resistant</t>
  </si>
  <si>
    <t>Clarity; Agile</t>
  </si>
  <si>
    <t>Insane; Agile</t>
  </si>
  <si>
    <t>Cold Blooded; Agile</t>
  </si>
  <si>
    <t>Fearless; Agile</t>
  </si>
  <si>
    <t>Incorporated; Agile</t>
  </si>
  <si>
    <t>Skeletal; Agile</t>
  </si>
  <si>
    <t>Fireborn; Agile</t>
  </si>
  <si>
    <t>Animated; Agile</t>
  </si>
  <si>
    <t>Nocturnal; Agile</t>
  </si>
  <si>
    <t>Solid; Agile</t>
  </si>
  <si>
    <t>Skeletal; Fearless</t>
  </si>
  <si>
    <t>Cold Blooded; Scaled</t>
  </si>
  <si>
    <t>Unstable;  Psionic</t>
  </si>
  <si>
    <t>Infernal; Fireborn</t>
  </si>
  <si>
    <t>Adaptive; Animated</t>
  </si>
  <si>
    <t>Fearless; Insane</t>
  </si>
  <si>
    <t>Ambusher; Unstable</t>
  </si>
  <si>
    <t>Resolute; Disciplined</t>
  </si>
  <si>
    <t>Foresight; Vile</t>
  </si>
  <si>
    <t>Adaptive; Brawn</t>
  </si>
  <si>
    <t>Scaled; Skeletal</t>
  </si>
  <si>
    <t>Scaled; Reflector</t>
  </si>
  <si>
    <t>Unstable; Amphibious</t>
  </si>
  <si>
    <t>Resistant; Voidstain</t>
  </si>
  <si>
    <t>Traveling Migration</t>
  </si>
  <si>
    <t xml:space="preserve">Path to Exile </t>
  </si>
  <si>
    <t>One that Shall not be named</t>
  </si>
  <si>
    <t>Forest where the clots live</t>
  </si>
  <si>
    <t>You feel the blood around you seeming to be living</t>
  </si>
  <si>
    <t>Ice Statues</t>
  </si>
  <si>
    <t>You approach what seems to be people frozen in Ice blocks.</t>
  </si>
  <si>
    <t>One Fun Snow Storm Day</t>
  </si>
  <si>
    <t>You feel an unstoppable urge to have fun in the snow.</t>
  </si>
  <si>
    <t>[Requires Follower] have a snowball fight! (Gain 200 Experience, if the Follower is a Companion he gains 200 Experience as well)</t>
  </si>
  <si>
    <t>You see travellers that seem to be going away from their homes. They ask for your help.</t>
  </si>
  <si>
    <t xml:space="preserve">Give them food and water! (You have -5 Inititative for your next Combat and you get a 50% discount on the next item you Purchase at a Zone) </t>
  </si>
  <si>
    <t xml:space="preserve">Help them build a Campfire! (You gain -0.5 Stamina and Gain 50% Frost Resistance until end of Day) </t>
  </si>
  <si>
    <t>[Requires a Map] You get to lead them away. (Refresh 1 Stamina)</t>
  </si>
  <si>
    <t>Give them nothing! (Nothing Happens)</t>
  </si>
  <si>
    <t>They are making stories! (Nothing Happens)</t>
  </si>
  <si>
    <t>Continue on! (Become Banished)</t>
  </si>
  <si>
    <t>You are feeling a bit of isolation.</t>
  </si>
  <si>
    <t>Help those in need to make a name! (You gain 1 easy quest you must finish by today or Become Banished)</t>
  </si>
  <si>
    <t>Take the hardship! (Roll D10: Take Damage equal to the number Rolled * 5 of Random Elemental Damage)</t>
  </si>
  <si>
    <t>[Requires Pathfinder] You find the Holy Land! (spwan a shirne on this Hex)</t>
  </si>
  <si>
    <t>A hunters group warns you of a beast.</t>
  </si>
  <si>
    <t xml:space="preserve">Make Fun of it, yelling its name! (A Boss spawns 3 Hexes away and will hunt you down starting from the next Day) </t>
  </si>
  <si>
    <t>Look for its nest getting clues, you find Horrors! (Roll a Basic Attack, if it deals less than 25 Damage you immediately engage Combat with  Prime Elite)</t>
  </si>
  <si>
    <t>[Requires Large] You are scarier than it! (You get a Fearing flask)</t>
  </si>
  <si>
    <t>Push some down and see them turn into shards! (Nothing Happens)</t>
  </si>
  <si>
    <t>Melt them to see if they can be free! (Roll D10: 1-5 Get loot from a sentient Elite; 6-10 You engage Combat against an Undead Elite Creature)</t>
  </si>
  <si>
    <t xml:space="preserve">Pray that you will have a better fate than them! (You may Spend 500 Gold to gain 1 Faith Once) </t>
  </si>
  <si>
    <t>Snare a lantern! (Roll D10: 1–4 Electric Zap → Take 20 Lightning Damage; 5–8 Gain 1 Sparking Solution; 9–10 Lantern of Wisdom → Gain 1 Permanent Wisdom)</t>
  </si>
  <si>
    <t>[Requires Rotting or Rusting] You stand still to find what happened to them! (Tame a Frostrot → Gain a Frostrot Elite Creature under your Banner)</t>
  </si>
  <si>
    <t>Protectron X3</t>
  </si>
  <si>
    <t>Construct (Sentient)</t>
  </si>
  <si>
    <t>400  (+50 per Total Level of all other Entities on Hex; +500 per Zone Pillaged)</t>
  </si>
  <si>
    <t>400  (+50 per Total Level of all other Entities on Hex; +100 per Zone Pillaged)</t>
  </si>
  <si>
    <t>5 (+1 per Total Level of all other Entities on Hex; +10 per Zone Pillaged)</t>
  </si>
  <si>
    <t>20% (+10% per Total Level of all other Entities on Hex/4; +10% per Zone Pillaged)</t>
  </si>
  <si>
    <t>2(+1 per Total Level of all other Entities on Hex)</t>
  </si>
  <si>
    <t>0 (+1 per Total Level of all other Entities on Hex/2)</t>
  </si>
  <si>
    <t>Brawn; Mechanical</t>
  </si>
  <si>
    <t>20% (+10% per Total Level of all other Entities on Hex/4)</t>
  </si>
  <si>
    <t>(&gt;) Deal 25(+100% Power; 100% Dexterity; 100% Strength) Elemental Damage of choice to Target; If at least 1 Zone has been Pillaged this ability gains Flash. (50 Mana)</t>
  </si>
  <si>
    <t>(o) Deal 50(+100% Power; 100% Dexterity; 100% Strength) Random Elemental Combination Damage to alll other Entities. (75 Mana)</t>
  </si>
  <si>
    <t>(+) Inflict Target with Weak or Vulnerable for 5 Turns; If 1 Zone was Pillaged also Reduce their Elemental Resistances, Defense and Dispersion by 50%. (100 Mana)</t>
  </si>
  <si>
    <t>(P) Can not be Killed or Destroyed if above 50% Max Health; Can not take more than 20% of his Max Health as Damage from 1 Attack.</t>
  </si>
  <si>
    <t>Basic Attack: Melee 10(+100% Dex, +50% Pwr, +100% Str) Physical Damage OR (specify when basic attacking which you choose) Ranged 5(+50% Dex, +100% Pwr, +50% Str) Magic Damage</t>
  </si>
  <si>
    <t>Agile; Winged</t>
  </si>
  <si>
    <t>Fierce; Indomitable</t>
  </si>
  <si>
    <t>Heavy; Wise</t>
  </si>
  <si>
    <t>Vigilent; Vile</t>
  </si>
  <si>
    <t>Large; Heavy</t>
  </si>
  <si>
    <t>Brawn; Large</t>
  </si>
  <si>
    <t>Fireborn; Ionized</t>
  </si>
  <si>
    <t>Skeletal; Animated</t>
  </si>
  <si>
    <t>Adaptive; Fearless</t>
  </si>
  <si>
    <t>Nimble; Winged</t>
  </si>
  <si>
    <t>Vile; Fierce</t>
  </si>
  <si>
    <t>Seducer; Clarity</t>
  </si>
  <si>
    <t>Disciplined; Cold Blooded</t>
  </si>
  <si>
    <t>Seducer; Foresight</t>
  </si>
  <si>
    <t>Insane; Indomitable</t>
  </si>
  <si>
    <t>Skeletal; Absorber</t>
  </si>
  <si>
    <t>Solid; Armored</t>
  </si>
  <si>
    <t>Rotting; Nocturnal</t>
  </si>
  <si>
    <t>Solid; Foresight</t>
  </si>
  <si>
    <t>Large; Incorporated</t>
  </si>
  <si>
    <t>Large; Cold Blooded</t>
  </si>
  <si>
    <t>Large; Winged</t>
  </si>
  <si>
    <t>Large; Resistant</t>
  </si>
  <si>
    <t>Large; Absorber</t>
  </si>
  <si>
    <t>Large; Ambusher</t>
  </si>
  <si>
    <t>Large; Armored</t>
  </si>
  <si>
    <t>Titanic; Fireborn</t>
  </si>
  <si>
    <t>Titanic; Mechanical</t>
  </si>
  <si>
    <t>Titanic; Infernal</t>
  </si>
  <si>
    <t>Titanic; Fierce</t>
  </si>
  <si>
    <t>Large; Insane</t>
  </si>
  <si>
    <t>Titanic; Incorporated</t>
  </si>
  <si>
    <t>Large; Regeneration</t>
  </si>
  <si>
    <t>Large; Solid</t>
  </si>
  <si>
    <t>Reflector; Scaled</t>
  </si>
  <si>
    <t>Nimble; Agile</t>
  </si>
  <si>
    <t>Titanic; Amphibious</t>
  </si>
  <si>
    <t>Legendary Mimic</t>
  </si>
  <si>
    <t>???</t>
  </si>
  <si>
    <t>Gain Total Actions, Flash Actions and Counter Actions per round equal to the amount of Heroes on Hex; 20% total Damage Reduction (+10% per Zone Pillaged) capped at 90%; Can not use the same Ability twice in a row unless it has Flash; Locked at 20 Intelligence.</t>
  </si>
  <si>
    <t>Upon being engaged in Combat with immediately Transform into the highest Level Entity on Hex; Set your Initiative to Last overriding everything.</t>
  </si>
  <si>
    <t>Random Mythic Gear</t>
  </si>
  <si>
    <t>ITEM TYPE</t>
  </si>
  <si>
    <t>SPEC TYPE</t>
  </si>
  <si>
    <t>Ingredient</t>
  </si>
  <si>
    <t>Material</t>
  </si>
  <si>
    <t>Potion</t>
  </si>
  <si>
    <t>Throwable</t>
  </si>
  <si>
    <t>Ward</t>
  </si>
  <si>
    <t>Make a Snowman! (Take 20 Cryo Damage and Gain 200 Xp)</t>
  </si>
  <si>
    <t>Make a snow angel! (Take 10 Cryo Damage and Gain 100 Xp)</t>
  </si>
  <si>
    <t>Go ice skating! (Roll D10: 1-3 You are a perfect dancer → 100 Experience; 4-6 you fall on your ass a bit take 10 Frost Damage but get 100 Experience; 7-9 you fall on your face take 20 Frost Damage; 10 You fall through the ice you take 10 Hypothermic Damage and Lose 0.5 stam)</t>
  </si>
  <si>
    <t>Wait for them to pass! (Nothing Happens)</t>
  </si>
  <si>
    <t>Help with Studies</t>
  </si>
  <si>
    <t>A guy in Robes is standing at a stone Bridge</t>
  </si>
  <si>
    <t>Look through the looking glass</t>
  </si>
  <si>
    <t>Void bag</t>
  </si>
  <si>
    <t>You find a odd looking bag on the ground.</t>
  </si>
  <si>
    <t>Burns are worse than forstbite?</t>
  </si>
  <si>
    <t>The trial by fire to a blacksmith</t>
  </si>
  <si>
    <t>Hell Madmax</t>
  </si>
  <si>
    <t>Walk pass them they not to be bothered! (Nothing happens)</t>
  </si>
  <si>
    <t>You ask what is wrong; they said they need help finding rocks! (Transform current Hex into a Crystal Hex, Lose 40 Mana/Health and Summon a Library Zone on Current Hex)</t>
  </si>
  <si>
    <t xml:space="preserve">Show the Student a wonderful spell! (Spend 50 Mana/Health to Gain +2 Power) </t>
  </si>
  <si>
    <t>[Requires Resistant or Resistance Buildup Skill] Be the test subject to their spells! (Take 40 Random Elemental Damage and Gain 4 Attribute Points)</t>
  </si>
  <si>
    <t>You sense danager from it! (Nothing happens)</t>
  </si>
  <si>
    <t>Reach into the bag! (Pull out a dangerous Weakling Creature [gm's choice] to fight you)</t>
  </si>
  <si>
    <t>Make it inside out! (Take 40 Fatal damage Gain a Fatality Flask)</t>
  </si>
  <si>
    <t>[Requires Vile or Revelation Skill] You know of its evil nature, however you might make use of it! (Your Main Stash gains 1 Extra Inventory Slot)</t>
  </si>
  <si>
    <t>You find a stopwatch on the ground.</t>
  </si>
  <si>
    <t>You can see the time seeing you are late (Nothing happens)</t>
  </si>
  <si>
    <t>Follow the compass! (Gain the direction of the closest Mountain, upon traversing it Gain 1 Chest)</t>
  </si>
  <si>
    <t>You feel like you are going mad! (You become Surged and Mind Controlled by the Gods for the next Non-PvP Combat) [GM will do your Combat]</t>
  </si>
  <si>
    <t>[Requires Hourglass Artifact] You know of its nature! (Your next Ability this Day will have its cost halved)</t>
  </si>
  <si>
    <t>It seems longer than you thought! (Lose 1 Stamina)</t>
  </si>
  <si>
    <t>Emerging Bridge to the spiritfarer</t>
  </si>
  <si>
    <t>You see a Bridge over a gap.</t>
  </si>
  <si>
    <t>The gap is an illusion? (Roll d10: 1-3 No, it is not → Lose 1 Stamina; 4-6 It was a Strong illusion → Lose 100 Experience [Can't be lower than 0]; 7-10 Weak Illusion → You Gain 100 Experience)</t>
  </si>
  <si>
    <t>Get on the boat instead! (Engage Combat with a Spirit Feline [Elite]; gain a Lucky Charm [Common Necklace] as loot instead of its normal loot)</t>
  </si>
  <si>
    <t>[Requires Resolute] You are welcomed and shown a detour! (If your level is 5 or lower immediately Level up, otherwise gain 500 Experience)</t>
  </si>
  <si>
    <t>The area is getting too hot for you to walk on.</t>
  </si>
  <si>
    <t>Just deal with it! (Take 10 Fire Damage and Lose 0.5 Stamina)</t>
  </si>
  <si>
    <t>Take off the armor to manage the Heat! (Destroy one of your Non-Feet Piece Equipped Armor piece and Gain 250 Experience)</t>
  </si>
  <si>
    <t xml:space="preserve">You think lava rocks are cool! (Take 25 Gire Damage and Explore for Double rewards) </t>
  </si>
  <si>
    <t>[Requires Fireborn] You are fine in this land! (Gain 1 Stamina and 20 Health and Resource)</t>
  </si>
  <si>
    <t>Blacksmith wants your help with a contest he is in.</t>
  </si>
  <si>
    <t>Suggest you bring him the materials! (Roll d10 1 Gain 1 Legendary; Ore 2-3 Gain 1 Epic Ore; 4-5 Gain 1 Rare Ore; 6-7 Gain 1 Uncommon Ore; 8-9 Gain 1 Common ore; 10 You cause the Blacksmith extreme shame, his wife is a well known diplomat and she banishes you [You become Banished])</t>
  </si>
  <si>
    <t>Try to help him at the Forge! (Spend X Stamina; Gain 100 Experience and Gold per stamina Spent)</t>
  </si>
  <si>
    <t>[Requires Blacksmith Class] You work together on a masterpiece; He splits the contest rewards with you! (Gain 1 Metal Type Legendary Weapon or Armor of your Choice)</t>
  </si>
  <si>
    <t>What is hotter and cooler than riding a desert dune? Riding a Lava Wave!</t>
  </si>
  <si>
    <t>Watch the riders do their crazy tricks! (Nothing Happens)</t>
  </si>
  <si>
    <t xml:space="preserve">Try it yourself! (Roll a D20, if it is 14 or above you gain the Unstable Condition; if it is less you take 50 Fire Damage) </t>
  </si>
  <si>
    <t>Explore the magma stable! (Engage Combat with 3 Hellcharger [Elites]; They have +10 Initiative)</t>
  </si>
  <si>
    <t>[Requires Insane] You rather go bigger and bolder! (Pull the most insane trick ever; You Gain 700 Experience and Herald: "The Master Lava Rider is Here!")</t>
  </si>
  <si>
    <t>None of your business! (Nothing happens)</t>
  </si>
  <si>
    <t xml:space="preserve">You have to go through reeds that are as sharp as kinfes. </t>
  </si>
  <si>
    <t>Cut the reeds but get lost in the process! (Gain 1 Uncommon Fabric but Lose 0.5 Stamina)</t>
  </si>
  <si>
    <t>Explore the Reeds! (Roll D10: 1-2 Find a Non-Heilx Artifact; 3-4 Take a Hit from a Common Warhammer [Roll D20 for the Attack assuming just the Base Damage] 5-6 Take a hit from a Rare Warhammer; 7-8 Take a hit from an Epic Warhammer; 9 take a hit from a Legendary Warhammer; 10 Take 50 bleed damage)</t>
  </si>
  <si>
    <t>[Requires Reflector] The reeds mean nothing to you! (Gain 50% Lifedrain on your Basic Attacks for your next Combat)</t>
  </si>
  <si>
    <t>Blood Weeds &amp; Reeds</t>
  </si>
  <si>
    <t>Let the reeds bleed you! (You take 10 Bleed Damage)</t>
  </si>
  <si>
    <t>Phallanxion: Rare Two-handed Melee Spear; 7-9 Physical Damage; Passive: Basic Attack Targets that move in melee range of you during their turn. (1/Entity/Combat).</t>
  </si>
  <si>
    <t>(P) Unseen Presence: Gain Stealth for 2 Turns on Combat start.</t>
  </si>
  <si>
    <t>(P) Perfect Aim: Your first 2 Basic Attacks have Precise.</t>
  </si>
  <si>
    <t>(&gt;) Catch This! : Throw a Enfeebling Flask: -5 To all Attributes; Lasts Until End of Combat. (&gt;) (60 Mana)</t>
  </si>
  <si>
    <t>(&gt;) Catch This! II : Throw a Enfeebling Flask: -6 To all Attributes; Lasts Until End of Combat. (&gt;) (50 Mana)</t>
  </si>
  <si>
    <t>(&gt;) Catch This! III : Throw a Enfeebling Flask: -8 To all Attributes; Lasts Until End of Combat. (&gt;) (40 Mana)</t>
  </si>
  <si>
    <t>(≈) Gold Slug: Your next projectile will deal 1 Damage per 30 gold in targets Purse. (30 mana)</t>
  </si>
  <si>
    <t>(≈) Gold Slug II: Your next projectile will deal 1 Damage per 25 gold in targets Purse. (25 mana)</t>
  </si>
  <si>
    <t>(≈) Gold Slug III: Your next projectile will deal 1 Damage per 20 gold in targets Purse. (20 Mana)</t>
  </si>
  <si>
    <t>(P) Your Basic Attacks have 1(+200% Level) Physical Damage on Hit.</t>
  </si>
  <si>
    <t>(P) Rasonian Highguard: Decrease all incoming Physical Damage by (100% level).</t>
  </si>
  <si>
    <t>(P) Ignore the first Status a Hostile Entity inflicts you with</t>
  </si>
  <si>
    <t>(&gt;) Throw a Rock! II: Throw a rock at a target, stagering them and dealing 30 pysical damage (30 mana)</t>
  </si>
  <si>
    <t>(&gt;) Throw a Rock! III: Throw a rock at a target, stagering them and dealing 40 pysical damage (40 mana)</t>
  </si>
  <si>
    <t>(P) Physical Resistance: Take 25% less physical damage</t>
  </si>
  <si>
    <t>(P) Physical Resistance II: Take 30% less physical damage</t>
  </si>
  <si>
    <t>(P) Physical Resistance III: Take 40% less physical damage</t>
  </si>
  <si>
    <t>(P) Magic Resistance: Take 25% less magic damage</t>
  </si>
  <si>
    <t>(P) Magic Resistance II: Take 30% less magic damage</t>
  </si>
  <si>
    <t>(P) Magic Resistance III: Take 40% less magic damage</t>
  </si>
  <si>
    <t>(P) Power of God: Gain 5 light damage on hit.</t>
  </si>
  <si>
    <t>(P) Power of God II: Gain 10 light damage on hit.</t>
  </si>
  <si>
    <t>(P) Power of God III: Gain 15 light damage on hit</t>
  </si>
  <si>
    <t>(≈) Snack: Eat a snack healing 20 health (20 mana)</t>
  </si>
  <si>
    <t>(≈) Snack II: Eat a snack healing 40 health. (40 mana)</t>
  </si>
  <si>
    <t>(≈) Snack III: Eat a snack healing 60 health (60 mana)</t>
  </si>
  <si>
    <t>(P) Grand Strike : Upon taking Fatal Damage, Basic attack target one last time with +3 roll modifier. 1/day</t>
  </si>
  <si>
    <t>(P) Grand Strike II : Upon taking Fatal Damage, Basic attack target one last time with +4 roll modifier. 1/day</t>
  </si>
  <si>
    <t>(P) When Entities Flee from Combat immediately deal them 5(+200% Level) Magic Damage.</t>
  </si>
  <si>
    <t>(P) Frost Attack: Your Basic Attacks have 2(+100% Level) Frost Damage on Hit.</t>
  </si>
  <si>
    <t>(P) Frost Attack II: Your Basic Attacks have 4(+150% Level) Frost Damage on Hit.</t>
  </si>
  <si>
    <t>(P) Frost Attack III: Your Basic Attacks have 7(+150% Level) Frost Damage on Hit.</t>
  </si>
  <si>
    <t>(P) Dark Attack:  Your Basic Attacks have 2(+100% Level) Dark Damage on Hit.</t>
  </si>
  <si>
    <t>(P) Dark Attack II:  Your Basic Attacks have 4(+150% Level) Dark Damage on Hit.</t>
  </si>
  <si>
    <t>(P)  Magic Guard: Decrease all incoming Magic damage by (100% level). (Locks 40 mana)</t>
  </si>
  <si>
    <t>(P) Magic Guard II: Decrease all incoming Magic damage by (100% level). (Locks 40 mana)</t>
  </si>
  <si>
    <t>(P) Magic Guard III: Decrease all incoming Magic damage by (+100% level). (Locks 40 mana)</t>
  </si>
  <si>
    <t>Alevandar's Armor: Astral Body Piece Breastplate; [Requires no other Armor Equipped]; +600 Health; +200 Mana; +20 Strength; +20 Dexterity; +20 Power; Passive: At the Start of Combat gain a 400 Health Barrier that lasts until End of Combat. (1/Combat).</t>
  </si>
  <si>
    <t>The Core: +200 Health; +10 Defense; +50% Fire Resistance; +1 Critical Multiplier; On Hit: +20 Fire Damage; Passive: Regenerate 50 Health and Resource at the Start of Day instead of 10.</t>
  </si>
  <si>
    <t>The Core</t>
  </si>
  <si>
    <t>Chakram Flinger: Epic One-handed Melee Sword; 10 Physical Damage; Active: (≈) [Requires at least 2 Hostile Entities] Fling a Chakram out of your blade at Target Entity that Bounces twice off of Random Hostile Entities for 20 Physical Damage which is reduced by 5 Total Damage with each Bounce. (2/Day).</t>
  </si>
  <si>
    <t>The Pride of Orgor: Astral One-handed Melee Sword; 25 True Damage; Passive: Permanently Locks the Slot in which it was Equipped; Active: (≈) Roll d100 and Deal True Damage Equal to Roll to Target Entity. (1/Entity).</t>
  </si>
  <si>
    <t>Light Sparrow: Epic One-handed Melee Spear; Flexible; 7 Physical Damage; On Hit: 6 Light Damage; Active: (≈) Selfdestruct; Throw the Spear into the sky. at the start of your next Turn the Spear will hit Target dealing 30 Light Damage.</t>
  </si>
  <si>
    <t>Dark Sparrow: Epic One-handed Melee Spear; Flexible; 7 Physical Damage; On Hit: 6 Dark Damage; Active: (≈) Selfdestruct; Throw the Spear into the sky. at the start of your next Turn the Spear will hit Target dealing 30 Dark Damage.</t>
  </si>
  <si>
    <t>Alevandar's Spear: Astral One-handed Melee Spear; [Requires Blessed by The Gods Condition to Equip]; 40 Holy Damage; Passive: If you Lose the Blessed by the Gods Condition, you immediately Drop the Weapon on the ground; Active: (≈) Powerplay; Cause Hundreds of Light Sparrows to fall on Target Hex. dealing a total of 400 Light Damage to all Entities and destroying the Hex.</t>
  </si>
  <si>
    <t>Lance of Reality: Legendary Two-handed Melee Spear; 20 Physical Damage; Active: (≈) Powerplay; Teleport all Entities on current Hex to a Different Reality where faith cannot be used and where you may see Invisible Targets; Entities can't Flee and will return at the end of the Combat to original Hex.</t>
  </si>
  <si>
    <t>Visera: Mythic Two-handed Melee Spear; 18 Physical Damage; On Hit: 10 Fire Damage; Active:[Channel for 1 Turn] Transform Weapon into Visera Dominatus: (≈) Dealing 100 Fire Damage to all Entities on Hex.</t>
  </si>
  <si>
    <t>Heaven's Roar: Mythic Two-handed Melee Spear; 20 Physical Damage &amp; 20 Lightning Damage; Active: (≈) Converge a storm on your Hex which lasts 5 Turns. Every Turn, it Staggers for 1 Turn and deals 10 Lightning Damage to all Entities in the Combat Area. (1/Day).</t>
  </si>
  <si>
    <t>Visera-Dominatus: Astral Two-handed Melee Spear; a; Passive: Take 10 Fire Damage each turn you are Holding this in combat; Active: (≈) 1 Hex Range; Selfdestruct; Throw the Spear to deal 200 Fire Damage and Transforming Target Hex into a Scorched Hex.</t>
  </si>
  <si>
    <t>Boomeraxe: Legendary One-handed Melee Axe; 10 Physical Damage; On Hit: 15 Wind Damage; Active: (≈) Throw your Axe at Target Dealing Basic Attack Damage; It returns into the respective Slot at the end of your next Turn.</t>
  </si>
  <si>
    <t>Golden Parade: Legendary One-handed Melee Mace; 16-18 Physical Damage; Active: (≈) Cause Target Entity to drop 100 Gold upon Death; Passive: This Gear sells at full value.</t>
  </si>
  <si>
    <t>Pond Rod: Legendary Two-handed Melee Flail; 10 Hydro Damage; Active: (≈) [Requires Adjacent Water Hex] Hook Target Entity bringing them immediately onto your Hex; Infinite Hex Range. (1/Day).</t>
  </si>
  <si>
    <t>Stalker's Revenge: Legendary One-handed Melee Knife; Set Piece; 1 Dark Damage; Passive: Scales with Dexterity and Power if your Off-Hand Slot is Empty; Active: (≈) Deal double the Damage taken last Turn as Dark Damage to Target. (1/Day).</t>
  </si>
  <si>
    <t>Necros: Epic Two-handed Melee Scythe; 12-20 Physical Damage; Active: (≈) Summon a 25 Health and 10 Physical Damage Melee Basic Attack Skeleton Minion to aid you until end of Combat. (1/Combat).</t>
  </si>
  <si>
    <t>Rust of the Sea: Legendary Two-handed Melee Scythe; 15 Physical Damage; Passive: This Weapon deals 20 Poison Damage On Hit against Rooted Targets; Active: (≈) Flash; Chain Target Rooting them for 2 Turns. (1/Day).</t>
  </si>
  <si>
    <t>The Tormenting One: Mythic One-handed Half-Ranged Whip; 15 Terror Damage; Active: (≈) Torment Target for 7 Turns. (1/Combat).</t>
  </si>
  <si>
    <t>Long Bow: Rare Two-handed Ranged Bow; 12 Physical Damage; Active: (≈) 1 Hex Range; Basic Attack Target. (2/Day).</t>
  </si>
  <si>
    <t>Scouter: Epic Two-handed Ranged Bow; 14-17 Physical Damage; Active: (≈) 1 Hex Range; Shoot an Arrow at Target Hex placing a 1 Hex Vision Ward on it. (1/Day).</t>
  </si>
  <si>
    <t>Starfall: Legendary Two-handed Ranged Bow; 10 Magic Damage; Passive: Contains 2 Charges of Stellar Shower; Active: (≈) 1 Hex Range; Consume A Charge of Stellar Shower; Roll your Dexterity amount and cause that many Arrows to rain upon Target for 10 Light Damage each. (1/Day).</t>
  </si>
  <si>
    <t>Reneva's Heirloom: Mythic Two-handed Ranged Bow; 14 True Damage; Active: (≈) [Requires 1 Turn of Prepare] Blitz; Basic Attack Target with +0.5 Scaling and +0.5 Critical Multiplier. (3/Combat) Passive: If the Active has been used 3 Times this combat then Double this weapons Base Damage until End of Combat.</t>
  </si>
  <si>
    <t>Pistolinho: Epic One-handed Ranged Pistol; 3 Ammo Capacity; 10 Physical Damage; Active: (≈) Ayy Caramba! Fire Remaining Loaded Pellets with 30% Total Damage Penalty.</t>
  </si>
  <si>
    <t>Bullet Caster: Legendary One-handed Ranged Pistol; 2 Ammo Capacity; 10 Physical Damage; Active: (≈) Counter; Reflect Target Ranged Basic Attack back to the Entity that Shot it with a 50% chance to Stun Target for 1 Turn. (1 Bullet; 1/Combat).</t>
  </si>
  <si>
    <t>Selvion: Legendary One-handed Ranged Pistol; 1 Ammo Capacity; 12 Magic Damage; Passive: Basic Attacks will always Fire a clone of the Pellet in its Chamber at the cost of 5 Mana/Health; Active: (≈) Fire the Chambered Pellet with +1 Crit Multiplier Consuming it in the process.</t>
  </si>
  <si>
    <t>Belvion: Legendary One-handed Ranged Pistol; 1 Ammo Capacity; 12 Physical Damage; Passive: Basic Attacks will always Fire a clone of the Pellet in its Chamber at the cost of 5 Mana/Health; Active: (≈) Fire the Chambered Pellet with +1 Crit Multiplier Consuming it in the process.</t>
  </si>
  <si>
    <t>Clear-Sight Rifle: Epic Two-handed Ranged Rifle; 1 Ammo Capacity; 14-18 Physical Damage; Active: (≈) 1 Hex Range; Basic Attack Target; If it lands Reveal their Equipped Gear. (1/Day).</t>
  </si>
  <si>
    <t>Fractured Sky: Epic Two-handed Ranged Staff; 10 Wind Damage; +50 Mana; +6 Power; Active: (≈) Launch a powerful torrent at Target dealing 20 Wind Damage and inflicting Chilled for 2 Turns. (1/Combat).</t>
  </si>
  <si>
    <t>Banner Of the Saint: Legendary Two-handed Melee Staff; 15 Physical Damage; On Hit: 10 Light Damage; Active: (≈) Powerplay; Flash; Drain 2 Faith from Target Entity.</t>
  </si>
  <si>
    <t>Sealrod: Uncommon Two-handed Ranged Scepter; 7-9 Magic Damage; Active: (≈) Seal Target Entity for 3 Turns. (1/Day).</t>
  </si>
  <si>
    <t>Gods' Fury: Legendary Two-handed Ranged Scepter; 16-20 Light Damage; Active: (≈) All other Entities on your Hex gain -1 Faith. (1/Day).</t>
  </si>
  <si>
    <t>Sea of Flowers: Legendary Two-handed Ranged Scepter; 15 Earth Damage; Active: (≈) Powerplay; Remove all Negative Status Effects from all Entities on Hex and Turn Current Hex into a Sacred Sakura Grove; Entities on it have Regeneration Condition and +50% Elemental Resistance.</t>
  </si>
  <si>
    <t>Kingsley: Legendary Two-handed Ranged Scepter; 10-15 Magic Damage; +5 Power; Active: (≈) Basic Attack; If it lands and the Target is left below 20% Max Health. Kill Target. (1/Day).</t>
  </si>
  <si>
    <t>Mindbreaker: Mythic Two-handed Ranged Scepter; 12 Magic Damage; +100 Mana; Active: (≈) Pierce Target's mind, dealing 30 Magic Damage and Confusing them for 3 Turns. (1/Day).</t>
  </si>
  <si>
    <t>Kablom: Rare One-handed Ranged Orb; 8 Magic Damage; Active: (≈) Selfdestruct; Throw the Orb at Target causing it to explode 25 Arcane Damage.</t>
  </si>
  <si>
    <t>Explorers Guidebook: Epic One-handed Tome; Active: (≈) Explore rolling a d5 instead at no Stamina Cost (1/Vendal) Passive: The Active Ability Refreshes after a Victorious Combat. (1/Day).</t>
  </si>
  <si>
    <t>The Chronicles of Ashtonkat: Legendary One-handed Tome; Active: (≈) Powerplay; Razorfen: Deal 50 Arcane Damage. (50 Mana); Active: Hyperblade: (≈) [Channel for 1 Turn] Powerplay; Unleash a Sharp Edge Arcane Blade That Slices for 50 Arcane Damage; 50% Chance to Dismember.</t>
  </si>
  <si>
    <t>Librarian Manifesto: Mythic One-handed Tome; Active: (≈) Choose Target, If Target was the first to deal Damage to you in Combat, Mind Control them for 2 Turns.</t>
  </si>
  <si>
    <t>Velsek Grimoire: Mythic One-handed Tome; Active: (≈) Your next Ability will cast 1 Rank higher. (1/Day).</t>
  </si>
  <si>
    <t>Entropic Sigil: Uncommon One-handed Sigil; +2 Strength; +2 Dexterity; +2 Power; Active: (≈) Remove Target Non-Impairing Status effect from Target Entity.</t>
  </si>
  <si>
    <t>Cursed Bane of Curses: Epic One-handed Sigil; Passive: Gain 50 Health for each unique Curse on yourself; Upon equipping become Cursed; Curse: You no longer Regenerate Health at the Start of Day; Active: (≈) Selfdestruct and remove Target Curse.</t>
  </si>
  <si>
    <t>Seal of the High Order: Legendary One-handed Sigil; +3 Faith; Passive: Killing a Boss grants you +1 Faith; Active: (≈) Powerplay; Deal 50 Holy Damage; Active: (≈) Powerplay; Deal 50 Holy Damage.</t>
  </si>
  <si>
    <t>Parrying Buckler: Epic One-handed Buckler; +30 Health; Active: (≈) Counter; Parry Target Basic Attack. (3 Turn Cooldown).</t>
  </si>
  <si>
    <t>Hoplite Shield: Rare One-handed Shield; +5 Defense; +5 Dispersion; Active: (≈) Counter; Raise Shield; If raised the Stats are raised to 10 Defense and 10 Dispersion and you get -5 Str; -5 Dex; -5 Power; You become unable to move or do any Movement Actions.</t>
  </si>
  <si>
    <t>Solar Zenith: Legendary One-handed Shield; -6 Strength; -6 Dexterity; Passive: Blocks 20% of all Damage; Entities that Strike you are Dealt 10 Solar Damage; Active: (≈) Counter; Block Target Non-Ultimate Attack. (1/Day).</t>
  </si>
  <si>
    <t>The Hero's Story: Legendary One-handed Shield; Passive: Heal 10% of Total Damage Taken, Record all Damage taken; Active: (≈) Selfdestruct; Gain Barrier equal to Double the Recorded amount.</t>
  </si>
  <si>
    <t>Sutton Hoo Helmet: Legendary Head Piece Helmet; +50 Health; +1 Might; +2 Defense; +3 Dispersion; Active: (≈) Fear Target for 2 turns. (1/Day).</t>
  </si>
  <si>
    <t>Medusa's Head: Legendary Head Piece Helmet; +3 Defense; +3 Dispersion; 30% Dark Resistance; 30% Poison Resistance; Active: (≈) Gaze at Target. Stunning them for 1 Turn and Dealing 20 Earth Damage. (1/Day).</t>
  </si>
  <si>
    <t>Helm of the Elemental Divine: Mythic Head Set Piece Helmet; +5 Defense; +5 Dispersion; 50% Wind Resistance; Passive: +1 Hex Vision; Active: (≈) Deal 40 Wind Damage to Target Entity. (1/Combat).</t>
  </si>
  <si>
    <t>Bride's Veil: Legendary Head Piece Cap; +6 Dexterity; +6 Dispersion; 20% Light Resistance; 20% Wind Resistance; Passive: Active: (≈) Reveal your face Charming all Entities on Hex for 2 Turns. (1/Day).</t>
  </si>
  <si>
    <t>Sun Hat: Epic Head Piece Hat; +25 Mana; +3 Power; +3 Dispersion; 30% Fire Resistance; Active: (≈) Blind Target for 2 Turns. (1/Combat).</t>
  </si>
  <si>
    <t>Buzzsaw Hat: Legendary Head Piece Hat; +4 Dexterity; +4 Defense; 40% Wind Resistance; Active: (≈) [1 Preparation Stack] Activate the Saw and throw your Hat at Target for 40 Bleed Damage; 20% Chance to Dismember. (1/Day).</t>
  </si>
  <si>
    <t>Alchemists Hat: Mythic Head Piece Hat; +100 Mana; +5 Dispersion; Active: (≈) Gain 1 Random Epic Potion. (1/Day).</t>
  </si>
  <si>
    <t>Lord's Pauldron: Epic Shoulder Piece Pauldron; +5 Defense; 20% Frost Resistance; 20% Lightning Resistance; Active: (≈) 2 Hex Range; Move Target Weakling 1 Hex or 1 Tile; At Level 8 it can be used on Elites.</t>
  </si>
  <si>
    <t>Mushroom Landers: Mythic Shoulder Piece Spaulder; 20% Dark Resistance; 20% Bleed Resistance; 20% Poison Resistance; +20 Fortitude; Active: (≈) Poison all other Entities on Hex for 20 Poison Damage per Turn over 5 Turns. (1/Day).</t>
  </si>
  <si>
    <t>Prisoner's Chains: Legendary Body Piece Chainmail; +70 Health; +7 Defense; Active: (≈) Throw a cluster of Chains at Target. Rooting them for 3 Turns. (1/Combat).</t>
  </si>
  <si>
    <t>Plate of the Elemental Divine: Mythic Body Set Piece Breastplate; +100 Health; +5 Defense; +5 Dispersion; 50% Light Resistance; Active: (≈) Deal 40 Light Damage to Target. (1/Combat).</t>
  </si>
  <si>
    <t>Stalkers Coat: Legendary Body Set Piece Gambeson; +8 Dexterity; +4 Power; +2 Mobility; Active: (≈) Throw a Knife that deals 15 Physical Damage and has On Hit: 5 Poison Per Tick Over 2 Turns.</t>
  </si>
  <si>
    <t>Trixy’s Flashrug: Legendary Body Piece Gambeson; +6 Dexterity; +6 Defense; Active: (≈) 1 Hex Range; Teleport in Melee Range of Target. (1/Day).</t>
  </si>
  <si>
    <t>Tectonicause: Legendary Arms Piece Bracers; +4 Defense; +4 Dispersion; Active: (≈) Deal 40 Earth Damage in a 3x3 Tile Range; If any Entity Dies from this Ability then Retrigger. (1/Combat).</t>
  </si>
  <si>
    <t>Shadow Wraps: Epic Arms/Hands Piece Sleeves; +3 Dexterity; +3 Power; +1 Defense; 30% Dark Resistance; Active: (≈) Fear Target for 1 Turn. (1/Day).</t>
  </si>
  <si>
    <t>Gauntlets of the Elemental Divine: Mythic Hand Set Piece Gauntlets; +12 Strength; +5 Defense; +5 Dispersion; 50% Fire Resistance; Active: (≈) Deal 40 Fire Damage to Target. (1/Combat).</t>
  </si>
  <si>
    <t>Captains Hook: Epic Hand Set Piece Handguard; [Requires Amputated Hand Slot]; +4 Defense; 20% Bleed Resistance; Active: (≈) Flash; Deal 15 Physical Damage and Hook Target 1 Tile closer to you. (2/Combat).</t>
  </si>
  <si>
    <t>High Priests Healers: Legendary Hand Piece Gloves; +2 Defense; +2 Dispersion; 20% Light Resistance; Active: (≈) Heal Target Entity for 30 Health. (1/Day).</t>
  </si>
  <si>
    <t>Neverwinter: Astral Hand Piece Gloves; +10 Defense; 80% Frost Resistance; Active: (≈) Counter; Negate Targets Action and become Resilient for 3 Turns. (1/Day).</t>
  </si>
  <si>
    <t>Shadow Wraps: Epic Arm/Hand Piece Wraps; +3 Dexterity; +3 Power; +1 Defense; 30% Dark Resistance; Active: (≈) Fear Target for 1 Turn. (1/Day).</t>
  </si>
  <si>
    <t>Living Bonds: Mythic Hand Piece Wraps; +5 Power; +5 Dispersion; Active: (≈) Seal Target for X/2 Turns where X is Targets Level. (1/Day).</t>
  </si>
  <si>
    <t>Legplates of the Sunburial: Mythic Leg Piece Cuisses; +4 Defense; +4 Dispersion; 20% Light Resistance; 20% Wind Resistance; Active: (≈) Engulf Target in Sundunic Sand causing them to take 10 Wind Damage, 10 Light Damage and 10 Earth Damage and to be Rooted, Staggered or Sealed at random for 2 Turns. (3 Turn Cooldown).</t>
  </si>
  <si>
    <t>False Promises: Legendary Leg Piece Faulds; -40 Health; -40 Mana; -2 Mobility; -4 Defense; -4 Dispersion; Passive: Locks Slot upon Equipping; Active: (≈) [Requires 3 Rests with this Gear Equipped] Switch your Leg Slot with Target Entity; Overrides Locked.</t>
  </si>
  <si>
    <t>Faulds of the Elemental Divine: Mythic Leg Set Piece Faulds; +2 Mobility; +7 Defense; +7 Dispersion; 50% Frost Resistance; Active: (≈) Deal 40 Frost Damage to Target. (1/Combat).</t>
  </si>
  <si>
    <t>Pristine Beetlers: Mythic Leg Piece Faulds; +6 Strength; +4 Defense; +4 Dispersion; 10% Light Resistance; 10% Dark Resistance; 10% Fire Resistance; 10% Frost Resistance; 10% Wind Resistance; 10% Earth Resistance; 10% Lightning Resistance; 10% Bleed Resistance; 10% Poison Resistance; Active: (≈) Flash; Blind all other Entities on Hex for 3 Turns. (1/Day).</t>
  </si>
  <si>
    <t>Spidersilk Stockings: Rare Leg Piece Leggings; On Hit: 10% Chance to inflict 5 Poison Damage per Tick Over 2 Turns; 10% Poison Resistance; Active: (≈) Spin a Web; Slow all other Entities on Hex for 3 Turns. (1/Day).</t>
  </si>
  <si>
    <t>Sabatons of the Elemental Divine: Mythic Feet Set Piece Sabatons; +4 Defense; +4 Dispersion; +2 Stamina; 50% Earth Resistance; Active: (≈) Deal 40 Earth Damage to Target. (1/Combat).</t>
  </si>
  <si>
    <t>Captains Pegleg: Epic Feet Set Piece Boots; [Requires an Amputated Leg Slot]; -1 Mobility; +5 Defense; +1 Stamina; Active: (≈) Fire a pellet out of your Amputated Leg dealing 40 Blast damage. (1/Combat).</t>
  </si>
  <si>
    <t>Skyfall Ring: Epic Ring Piece; On Hit: +5 Earth Damage; Active: Powerplay; (≈) Calls down a meteorite to strike at a target for 50 Earth Damage.</t>
  </si>
  <si>
    <t>Darkblades Ring: Legendary Ring Piece; Active: (≈) Absorb life essence from the enemy, Draining 40 Health and dealing 20 Dark Damage to Target. (1/Day).</t>
  </si>
  <si>
    <t>Ring of Total Destruction: Legendary Ring Piece; Active: (≈) Roll a D100 and deal True damage equal to the roll to the enemy as True Damage; If Damage proves Lethal Destroy the Entity. (1/Day).</t>
  </si>
  <si>
    <t>The Magnet: Mythic Ring Piece; Active: (≈) Teleport any Gear within your Hex that you can See into your Respective Empty Slot or Inventory. (1/Day).</t>
  </si>
  <si>
    <t>Necklace of Rain: Uncommon Necklace Piece; 20% Frost Resistance; Active: (≈) Inflict Target with Wet for 3 Turns. (1/Day).</t>
  </si>
  <si>
    <t>Spell-Eater: Epic Necklace Piece; Active: (≈) Selfdestruct; Counter; Eat Target Spell Targeting you.</t>
  </si>
  <si>
    <t>Necklace of the Carrying Desert Sands: Legendary Necklace Piece; 20% Light Resistance; 20% Wind Resistance; 20% Earth Resistance; Active: (≈) Powerplay; Turn Adjacent Hexes into Desert Hexes Until End of Day.</t>
  </si>
  <si>
    <t>Unbound Loyalty: Mythic Necklace Piece; Active: (≈) If you are in Combat with more than 1 Hostile entity choose Target Non-Heroic; Target is now under your Banner. it dies at the end of the combat unless you Die first in which case it is returned to its original Banner. (1/Day).</t>
  </si>
  <si>
    <t>Prismatic Pyramid: Legendary Artifact; +50 Mana; 50% Earth Resistance; Active: (≈) Encase Target Entity with Less than 50% Health in a Stasis Stunning them for 2 Turns. (1/Day).</t>
  </si>
  <si>
    <t>Light Helix: Legendary Artifact/Necklace; +100 Mana; 50% Light Resistance; Active: (≈) Open a Portal to a Previously Traversed Hex; While in Combat the Portal is opened on an adjacent empty Tile; Entities ending up on Target Tile are automatically Teleported; Entity that steps through the Portal loses 1 Stamina; Portal Closes after 1 Entity goes through it. (50 Mana/Health); Active: (≈) Counter; Open a Portal redirecting Target Non-Ultimate Projectile to a different Target. (50 Mana/Health).</t>
  </si>
  <si>
    <t>Dark Helix: Legendary Artifact/Necklace; +100 Mana; 50% Dark Resistance; Active: (≈) Open a Portal to a Previously Traversed Hex; While in Combat the Portal is opened on an adjacent empty Tile; Entities ending up on Target Tile are automatically Teleported; Entity that steps through the Portal loses 1 Stamina; Portal Closes after 1 Entity goes through it. (50 Mana/Health); Active: (≈) Counter; Open a Portal redirecting Target Non-Ultimate Projectile to a different Target. (50 Mana/Health).</t>
  </si>
  <si>
    <t>Fire Helix: Legendary Artifact/Necklace; +100 Mana; 50% Fire Resistance; Active: (≈) Open a Portal to a Previously Traversed Hex; While in Combat the Portal is opened on an adjacent empty Tile; Entities ending up on Target Tile are automatically Teleported; Entity that steps through the Portal loses 1 Stamina; Portal Closes after 1 Entity goes through it. (50 Mana/Health); Active: (≈) Counter; Open a Portal redirecting Target Non-Ultimate Projectile to a different Target. (50 Mana/Health).</t>
  </si>
  <si>
    <t>Frost Helix: Legendary Artifact/Necklace; +100 Mana; 50% Frost Resistance; Active: (≈) Open a Portal to a Previously Traversed Hex; While in Combat the Portal is opened on an adjacent empty Tile; Entities ending up on Target Tile are automatically Teleported; Entity that steps through the Portal loses 1 Stamina; Portal Closes after 1 Entity goes through it. (50 Mana/Health); Active: (≈) Counter; Open a Portal redirecting Target Non-Ultimate Projectile to a different Target. (50 Mana/Health).</t>
  </si>
  <si>
    <t>Wind Helix: Legendary Artifact/Necklace; +100 Mana; 50% Wind Resistance; Active: (≈) Open a Portal to a Previously Traversed Hex; While in Combat the Portal is opened on an adjacent empty Tile; Entities ending up on Target Tile are automatically Teleported; Entity that steps through the Portal loses 1 Stamina; Portal Closes after 1 Entity goes through it. (50 Mana/Health); Active: (≈) Counter; Open a Portal redirecting Target Non-Ultimate Projectile to a different Target. (50 Mana/Health).</t>
  </si>
  <si>
    <t>Earth Helix: Legendary Artifact/Necklace; +100 Mana; 50% Earth Resistance; Active: (≈) Open a Portal to a Previously Traversed Hex; While in Combat the Portal is opened on an adjacent empty Tile; Entities ending up on Target Tile are automatically Teleported; Entity that steps through the Portal loses 1 Stamina; Portal Closes after 1 Entity goes through it. (50 Mana/Health); Active: (≈) Counter; Open a Portal redirecting Target Non-Ultimate Projectile to a different Target. (50 Mana/Health).</t>
  </si>
  <si>
    <t>Lightning Helix: Legendary Artifact/Necklace; +100 Mana; 50% Lightning Resistance; Active: (≈) Open a Portal to a Previously Traversed Hex; While in Combat the Portal is opened on an adjacent empty Tile; Entities ending up on Target Tile are automatically Teleported; Entity that steps through the Portal loses 1 Stamina; Portal Closes after 1 Entity goes through it. (50 Mana/Health); Active: (≈) Counter; Open a Portal redirecting Target Non-Ultimate Projectile to a different Target. (50 Mana/Health).</t>
  </si>
  <si>
    <t>Blood Helix: Legendary Artifact/Necklace; +100 Mana; 50% Bleed Resistance; Active: (≈) Open a Portal to a Previously Traversed Hex; While in Combat the Portal is opened on an adjacent empty Tile; Entities ending up on Target Tile are automatically Teleported; Entity that steps through the Portal loses 1 Stamina; Portal Closes after 1 Entity goes through it. (50 Mana/Health); Active: (≈) Counter; Open a Portal redirecting Target Non-Ultimate Projectile to a different Target. (50 Mana/Health).</t>
  </si>
  <si>
    <t>Arcane Helix: Legendary Artifact/Necklace; +150 Mana; Active: (≈) Open a Portal to a Previously Traversed Hex; While in Combat the Portal is opened on an adjacent empty Tile; Entities ending up on Target Tile are automatically Teleported; Entity that steps through the Portal loses 1 Stamina; Portal Closes after 1 Entity goes through it. (50 Mana/Health); Active: (≈) Counter; Open a Portal redirecting Target Non-Ultimate Projectile to a different Target. (50 Mana/Health).</t>
  </si>
  <si>
    <t>Scale of Selfishness: Legendary Artifact; Active: (≈) [Requires Combat] Target Non-Heroic Entity is no longer under anyones Banner and becomes Hostile towards all other Entities on Hex until End of Combat. (1/Day).</t>
  </si>
  <si>
    <t>Creatorum: Astral Artifact; Active: (≈) Counter; Lock target Projectile in Air for 3 Turns; Moving out of its way causes it to miss. (1 Stamina); Active: (≈) Flash; Change Entities Stat by adding or Subtracting 10. (1 For Attribute/Mobility/Stamina/Faith) (1/Day).</t>
  </si>
  <si>
    <t>Imaginarum: Astral Artifact; Active: (≈) Teleport yourself and Target into your own pocket dimension for 3 Turns, Whilst in this Dimension your Stats are Infinite, you are Indestructable and Unstoppable, This Action resets Combat State. (1/Day).</t>
  </si>
  <si>
    <t>Exodus Lightseeker: Astral Artifact; Active: (≈) Engulf every Entity on Hex in radiating light for 200 Light Damage. (1/Day).</t>
  </si>
  <si>
    <t>The Xernovol: Ultimate Artifact; Passive: It is a Book containing all the information in the Planes; Complete knowledge over everything; Access to The entire Map; Active: (≈) Instant; Cause Targets next Roll to be any number you wish. (1/Day).</t>
  </si>
  <si>
    <t xml:space="preserve">Scroll of Healing Light: Restores 20 Health to Target.  (≈) </t>
  </si>
  <si>
    <t>Allsoul Rune: Can be applied to Gear; Armor Piece Gains 10% Fortitude; Weapons Gain Active: (≈) Deal 30 Arcane Damage to Target Entity. (1/Day)</t>
  </si>
  <si>
    <t>Sunbloom Negator Elixir: Gain the following Ability Until End of Day: Active: (≈) Counter; Powerplay; Nullify Target Action. (≈)</t>
  </si>
  <si>
    <t>The Merciless: Mythic One-handed Melee Sword; 18-20 Physical Damage; +30% Deflection; Passive: At the Start of your Turn Gain 5 Bleed Damage On Hit until End of Combat.</t>
  </si>
  <si>
    <t>The Merciful: Mythic One-handed Melee Sword; 1 True Damage; +50% Deflection; Active: (≈) Heal Damage taken last turn. (1/Day).</t>
  </si>
  <si>
    <t>Shadownull: Legendary One-handed Ranged Wand; 20 Dark Damage; +10% Deflection; Passive: Can not Crit.</t>
  </si>
  <si>
    <t>Tower Shield: Rare One-handed Shield; +3 Defense; +10% Deflection; Passive: Blocks 20% of all Physical Damage.</t>
  </si>
  <si>
    <t>The Barrier: Legendary One-handed Shield; -12 Strength; -12 Power; +8 Defense; +8 Dispersion; +20% Deflection; Passive: Blocks 30% of all Damage.</t>
  </si>
  <si>
    <t>Glass Mirror: Mythic One-handed Shield; -5 Strength; -5 Dexterity; -5 Power; +5 Dispersion; +50% Deflection.</t>
  </si>
  <si>
    <t>Deflectorium Sallet: Epic Head Piece Helmet; +50 Health; +20% Deflection.</t>
  </si>
  <si>
    <t>Crystal Cone: Epic Head Set Piece Cap; +50 Mana; +2 Power; +2 Dispersion; +10% Deflection.</t>
  </si>
  <si>
    <t>Pauldrons of the Elemental Divine: Mythic Shoulder Set Piece Pauldron; +20 Health; +6 Defense; +6 Dispersion; 50% Lightning Resistance; +20% Deflection; Active: (≈) Deal 40 Lightning Damage to Target. (1/Combat).</t>
  </si>
  <si>
    <t>Tough Deflectors: Epic Shoulder Piece Spaulder; +2 Defense; +20% Deflection; Passive: For every% Deflection trigger gain 2 Defense until End of Combat.</t>
  </si>
  <si>
    <t>The Imperyans: Legendary Shoulder Piece Spaulder; +1 Wisdom; +10 Fortitude; +10% Deflection; Passive: Gain Winged Condition and Lock Shoulder Slot; Active: Take flight and become Untargetable by Strikes and Alterations for 3 Turns. (1/Combat).</t>
  </si>
  <si>
    <t>Nameless Shawl: Legendary Shoulder Piece Shawl; +30% Deflection; Passive: At the Start of your Turn 10% Chance to become Invisible for 2 Turns.</t>
  </si>
  <si>
    <t>Crystalmail: Legendary Body Set Piece Chainmail; +30 Mana; +3 Defense; +3 Dispersion; +30% Deflection.</t>
  </si>
  <si>
    <t>Legionares Lorica Segmentata: Epic Body Set Piece Breastplate; +40 Health; +3 Defense; +1 Dispersion; 20% Bleed Resistance; +10% Deflection.</t>
  </si>
  <si>
    <t>Karna's Body Crystal: Legendary Body Set Piece Breastplate; +4 Defense; +8 Dispersion; 10% Light Resistance; 10% Dark Resistance; 10% Fire Resistance; 10% Frost Resistance; 10% Wind Resistance; 10% Earth Resistance; 10% Lightning Resistance; 10% Bleed Resistance; 10% Poison Resistance; +10% Deflection; Active: (≈) Selfdestruct; Your Basic Attacks are converted to Scorch Damage and your Attacks Deal 20 Fire Damage on Hit; Lasts Until End of Day.</t>
  </si>
  <si>
    <t>Heavenfly: Mythic Arms Piece Sleeves; -10 Defense; -10 Dispersion; +20 Fortitude; +20% Deflection; Passive: Your Fortitude and% Deflection Trigger once more.</t>
  </si>
  <si>
    <t>Earth Gauntlet: Legendary Hand Piece Gauntlets; +3 Strength; +3 Power; +5 Defense; +2 Dispersion; 50% Earth Resistance; +20% Deflection.</t>
  </si>
  <si>
    <t>Grip Wraps: Uncommon Hand Piece Wraps; +10% Deflection.</t>
  </si>
  <si>
    <t>Karna's Cuisses: Legendary Leg Set Piece Cuisses; +2 Defense; +4 Dispersion; 10% Light Resistance; 10% Dark Resistance; 10% Fire Resistance; 10% Frost Resistance; 10% Wind Resistance; 10% Earth Resistance; 10% Lightning Resistance; 10% Bleed Resistance; 10% Poison Resistance; +10% Deflection; Active: (≈) Selfdestruct; Gain 3 Might for every Gear you Selfdestruct this Day; Lasts until End of Day.</t>
  </si>
  <si>
    <t>Crystal Protectors: Epic Leg Set Piece Faulds; +50 Mana; +3 Dispersion; +10% Deflection.</t>
  </si>
  <si>
    <t>Slippery Skirt: Epic Leg Piece Pants; +3 Power; +1 Mobility; +1 Dispersion; +20% Deflection.</t>
  </si>
  <si>
    <t>Thigh Highs: Legendary Leg Piece Leggings; +4 Dexterity; +4 Dispersion; +20% Deflection; Passive: Charm the attacker for 1 Turn when your% Deflection is Triggered; Entities you Charm also become Vulnerable for the same Duration.</t>
  </si>
  <si>
    <t>Naga Scaled Flippers: Legendary Feet Piece Sabatons; +1 Mobility; +3 Defense; +3 Dispersion; 30% Frost Resistance; +20% Deflection; Passive: You may Traverse Water Hexes; Immune to Hydro Damage.</t>
  </si>
  <si>
    <t>Aureolin Moris: Mythic Ring Piece; Active: (≈) Consume 100 Gold and Grant this Gear at Random 2 Random Attributes / 25 Health / 25 Mana / 0.5 Stamina / 20% Elemental Resistance in 1 Random Element / 10% Fortitude / 10%% Deflection / 1 Mobility / 1 Might / 1 Wisdom. (4/Day).</t>
  </si>
  <si>
    <t>Glassmakers Necklace: Uncommon Necklace Piece; Active: (≈) Counter; Gain 30%% Deflection until the start of your next Turn. (1/Combat).</t>
  </si>
  <si>
    <t>Nullifix Rune: Can be applied to Gear; Armor Piece Gains 10%% Deflection; Weapons Gain Active: (≈) Counter; Nullify Target Non-Ultimate Projectile. (1/Day)</t>
  </si>
  <si>
    <t>Deflection Pilefering Potion: Drain 20%% Deflection from all other Entities on Hex Until End of Combat. (≈)</t>
  </si>
  <si>
    <t>Greater% Deflection Potion: Gain 40%% Deflection until End of Day. (≈)</t>
  </si>
  <si>
    <t>Deflection Potion: Gain 20%% Deflection until End of Day. (≈)</t>
  </si>
  <si>
    <t>Tower Shield: Rare One-handed N/A Shield; +3 Defense; +10% Deflection; Passive: Blocks 20% of all Physical Damage.</t>
  </si>
  <si>
    <t>The Barrier: Legendary One-handed N/A Shield; -12 Strength; -12 Power; +8 Defense; +8 Dispersion; +20% Deflection; Passive: Blocks 30% of all Damage.</t>
  </si>
  <si>
    <t>Glass Mirror: Mythic One-handed N/A Shield; -5 Strength; -5 Dexterity; -5 Power; +5 Dispersion; +50% Deflection.</t>
  </si>
  <si>
    <t>Pauldrons of the Elemental Divine: Mythic Shoulder Set Piece Pauldron; +20 Health; +6 Defense; +6 Dispersion; 50% Lightning Resistance; +20% Deflection; Active: (+) Deal 40 Lightning Damage to Target. (1/Combat).</t>
  </si>
  <si>
    <t>Passive: For every% Deflection trigger gain 2 Defense until End of Combat.</t>
  </si>
  <si>
    <t>Passive: Your Fortitude and% Deflection Trigger once more.</t>
  </si>
  <si>
    <t>Passive: Charm the attacker for 1 Turn when your% Deflection is Triggered; Entities you Charm also become Vulnerable for the same Duration.</t>
  </si>
  <si>
    <t>Active: (≈) Consume 100 Gold and Grant this Gear at Random 2 Random Attributes / 25 Health / 25 Mana / 0.5 Stamina / 20% Elemental Resistance in 1 Random Element / 10% Fortitude / 10%% Deflection / 1 Mobility / 1 Might / 1 Wisdom. (4/Day)</t>
  </si>
  <si>
    <t>Active: (≈) Counter; Gain 30%% Deflection until the start of your next Turn. (1/Combat)</t>
  </si>
  <si>
    <t>Necklace of the Uncursed: Legendary Necklace Piece; +5 Dispersion; 40% Dark Resistance; Passive: For every Unique Curse removed Gain an Attunement Point; Active: (≈) Remove a Curse from Target Entity.</t>
  </si>
  <si>
    <t>Active: (≈) Remove a Curse from Target Entity.</t>
  </si>
  <si>
    <t>Tome of Everlasting Spite: Legendary One-handed N/A Tome; Active: (+) Flash; If Target Hostile Entity's next roll is higher than your previous roll, add the difference to your next roll.</t>
  </si>
  <si>
    <t>Active: (+) Flash; If Target Hostile Entity's next roll is higher than your previous roll, add the difference to your next roll.</t>
  </si>
  <si>
    <t>Tome of Everlasting Spite: Active: (+) Flash; If Target Hostile Entity's next roll is higher than your previous roll, add the difference to your next roll.</t>
  </si>
</sst>
</file>

<file path=xl/styles.xml><?xml version="1.0" encoding="utf-8"?>
<styleSheet xmlns="http://schemas.openxmlformats.org/spreadsheetml/2006/main" xmlns:mc="http://schemas.openxmlformats.org/markup-compatibility/2006" xmlns:x14ac="http://schemas.microsoft.com/office/spreadsheetml/2009/9/ac" mc:Ignorable="x14ac">
  <fonts count="179">
    <font>
      <sz val="11"/>
      <color theme="1"/>
      <name val="Arial"/>
    </font>
    <font>
      <b/>
      <sz val="11"/>
      <color theme="0"/>
      <name val="Calibri"/>
      <scheme val="minor"/>
    </font>
    <font>
      <sz val="12"/>
      <color theme="1"/>
      <name val="Arial"/>
    </font>
    <font>
      <b/>
      <sz val="12"/>
      <name val="Arial"/>
    </font>
    <font>
      <sz val="12"/>
      <name val="Arial"/>
    </font>
    <font>
      <i/>
      <sz val="12"/>
      <name val="Arial"/>
    </font>
    <font>
      <b/>
      <i/>
      <sz val="12"/>
      <name val="Arial"/>
    </font>
    <font>
      <b/>
      <sz val="12"/>
      <color theme="1"/>
      <name val="Arial"/>
    </font>
    <font>
      <sz val="13"/>
      <color theme="1"/>
      <name val="Arial"/>
    </font>
    <font>
      <sz val="13"/>
      <name val="Arial"/>
    </font>
    <font>
      <sz val="12"/>
      <color theme="1"/>
      <name val="Calibri"/>
      <scheme val="minor"/>
    </font>
    <font>
      <b/>
      <sz val="12"/>
      <color theme="1"/>
      <name val="Times New Roman"/>
    </font>
    <font>
      <sz val="12"/>
      <color indexed="65"/>
      <name val="Arial"/>
    </font>
    <font>
      <sz val="12"/>
      <color theme="1"/>
      <name val="Times New Roman"/>
    </font>
    <font>
      <sz val="12"/>
      <color theme="1"/>
      <name val="Helvetica LT Std"/>
    </font>
    <font>
      <sz val="10"/>
      <color theme="1"/>
      <name val="Arial"/>
    </font>
    <font>
      <b/>
      <sz val="12"/>
      <name val="Helvetica LT Std"/>
    </font>
    <font>
      <b/>
      <sz val="12"/>
      <color theme="1"/>
      <name val="Calibri"/>
      <scheme val="minor"/>
    </font>
    <font>
      <b/>
      <sz val="10"/>
      <color theme="1"/>
      <name val="Arial"/>
    </font>
    <font>
      <sz val="12"/>
      <name val="Helvetica LT Std"/>
    </font>
    <font>
      <sz val="12"/>
      <color rgb="FFC76AE6"/>
      <name val="Helvetica LT Std"/>
    </font>
    <font>
      <sz val="12"/>
      <color rgb="FFED7D31"/>
      <name val="Helvetica LT Std"/>
    </font>
    <font>
      <sz val="14"/>
      <color theme="1"/>
      <name val="Arial"/>
    </font>
    <font>
      <b/>
      <sz val="11"/>
      <name val="Arial"/>
    </font>
    <font>
      <sz val="11"/>
      <color theme="1"/>
      <name val="Arial"/>
    </font>
    <font>
      <sz val="11"/>
      <color indexed="65"/>
      <name val="Arial"/>
    </font>
    <font>
      <sz val="11"/>
      <color theme="1"/>
      <name val="Helvetica LT Std"/>
    </font>
    <font>
      <b/>
      <sz val="14"/>
      <color indexed="65"/>
      <name val="Arial Black"/>
    </font>
    <font>
      <sz val="14"/>
      <color indexed="65"/>
      <name val="Arial Black"/>
    </font>
    <font>
      <b/>
      <sz val="13"/>
      <name val="Arial"/>
    </font>
    <font>
      <b/>
      <sz val="13"/>
      <color rgb="FF70AD47"/>
      <name val="Arial"/>
    </font>
    <font>
      <b/>
      <sz val="13"/>
      <color rgb="FFCC8ADE"/>
      <name val="Arial"/>
    </font>
    <font>
      <sz val="11"/>
      <name val="Arial"/>
    </font>
    <font>
      <b/>
      <sz val="13"/>
      <color theme="1"/>
      <name val="Arial"/>
    </font>
    <font>
      <sz val="11"/>
      <color theme="1"/>
      <name val="Calibri"/>
      <scheme val="minor"/>
    </font>
    <font>
      <b/>
      <sz val="14"/>
      <color theme="1"/>
      <name val="Calibri"/>
      <scheme val="minor"/>
    </font>
    <font>
      <sz val="48"/>
      <color rgb="FF5B9BD5"/>
      <name val="Calibri"/>
      <scheme val="minor"/>
    </font>
    <font>
      <b/>
      <sz val="13"/>
      <color indexed="65"/>
      <name val="Calibri"/>
      <scheme val="minor"/>
    </font>
    <font>
      <b/>
      <sz val="13"/>
      <color theme="1"/>
      <name val="Calibri"/>
      <scheme val="minor"/>
    </font>
    <font>
      <b/>
      <sz val="13"/>
      <name val="Calibri"/>
      <scheme val="minor"/>
    </font>
    <font>
      <b/>
      <sz val="11"/>
      <color theme="1"/>
      <name val="Calibri"/>
      <scheme val="minor"/>
    </font>
    <font>
      <b/>
      <sz val="12"/>
      <name val="Calibri"/>
      <scheme val="minor"/>
    </font>
    <font>
      <sz val="12"/>
      <color rgb="FFC00000"/>
      <name val="Calibri"/>
      <scheme val="minor"/>
    </font>
    <font>
      <sz val="12"/>
      <color rgb="FF4472C4"/>
      <name val="Calibri"/>
      <scheme val="minor"/>
    </font>
    <font>
      <sz val="12"/>
      <name val="Calibri"/>
      <scheme val="minor"/>
    </font>
    <font>
      <sz val="12"/>
      <color rgb="FF548135"/>
      <name val="Calibri"/>
      <scheme val="minor"/>
    </font>
    <font>
      <sz val="12"/>
      <color rgb="FF7F7F7F"/>
      <name val="Calibri"/>
      <scheme val="minor"/>
    </font>
    <font>
      <sz val="12"/>
      <color indexed="2"/>
      <name val="Calibri"/>
      <scheme val="minor"/>
    </font>
    <font>
      <sz val="12"/>
      <color rgb="FF2E75B5"/>
      <name val="Calibri"/>
      <scheme val="minor"/>
    </font>
    <font>
      <sz val="12"/>
      <color rgb="FF70AD47"/>
      <name val="Calibri"/>
      <scheme val="minor"/>
    </font>
    <font>
      <sz val="12"/>
      <color rgb="FF7F6000"/>
      <name val="Calibri"/>
      <scheme val="minor"/>
    </font>
    <font>
      <sz val="12"/>
      <color rgb="FFFFC000"/>
      <name val="Calibri"/>
      <scheme val="minor"/>
    </font>
    <font>
      <sz val="12"/>
      <color rgb="FF2F5496"/>
      <name val="Calibri"/>
      <scheme val="minor"/>
    </font>
    <font>
      <b/>
      <sz val="12"/>
      <color rgb="FF7F6000"/>
      <name val="Calibri"/>
      <scheme val="minor"/>
    </font>
    <font>
      <sz val="12"/>
      <color rgb="FFBF9000"/>
      <name val="Calibri"/>
      <scheme val="minor"/>
    </font>
    <font>
      <sz val="12"/>
      <name val="Calibri"/>
    </font>
    <font>
      <b/>
      <sz val="12"/>
      <color indexed="65"/>
      <name val="Calibri"/>
      <scheme val="minor"/>
    </font>
    <font>
      <b/>
      <sz val="12"/>
      <color indexed="2"/>
      <name val="Calibri"/>
      <scheme val="minor"/>
    </font>
    <font>
      <b/>
      <sz val="12"/>
      <color indexed="2"/>
      <name val="Arial"/>
    </font>
    <font>
      <b/>
      <sz val="12"/>
      <name val="Calibri"/>
    </font>
    <font>
      <sz val="12"/>
      <color rgb="FFC00000"/>
      <name val="Calibri"/>
    </font>
    <font>
      <sz val="12"/>
      <color rgb="FF4472C4"/>
      <name val="Calibri"/>
    </font>
    <font>
      <sz val="12"/>
      <color rgb="FF548135"/>
      <name val="Calibri"/>
    </font>
    <font>
      <sz val="12"/>
      <color rgb="FF7F7F7F"/>
      <name val="Calibri"/>
    </font>
    <font>
      <sz val="12"/>
      <color indexed="2"/>
      <name val="Calibri"/>
    </font>
    <font>
      <sz val="12"/>
      <color rgb="FF2E75B5"/>
      <name val="Calibri"/>
    </font>
    <font>
      <sz val="12"/>
      <color rgb="FFBF9000"/>
      <name val="Calibri"/>
    </font>
    <font>
      <sz val="12"/>
      <color rgb="FF7F6000"/>
      <name val="Calibri"/>
    </font>
    <font>
      <sz val="12"/>
      <color rgb="FFFFC000"/>
      <name val="Calibri"/>
    </font>
    <font>
      <sz val="12"/>
      <color rgb="FF2F5496"/>
      <name val="Calibri"/>
    </font>
    <font>
      <sz val="12"/>
      <color rgb="FF70AD47"/>
      <name val="Calibri"/>
    </font>
    <font>
      <b/>
      <sz val="12"/>
      <color rgb="FF7F6000"/>
      <name val="Calibri"/>
    </font>
    <font>
      <sz val="12"/>
      <color theme="1"/>
      <name val="Calibri"/>
    </font>
    <font>
      <sz val="48"/>
      <color rgb="FFED7D31"/>
      <name val="Calibri"/>
      <scheme val="minor"/>
    </font>
    <font>
      <sz val="11"/>
      <name val="Calibri"/>
      <scheme val="minor"/>
    </font>
    <font>
      <sz val="12"/>
      <color rgb="FF806000"/>
      <name val="Helvetica LT Std"/>
    </font>
    <font>
      <sz val="12"/>
      <color rgb="FF4472C4"/>
      <name val="Helvetica LT Std"/>
    </font>
    <font>
      <b/>
      <sz val="12"/>
      <color theme="1"/>
      <name val="Calibri"/>
    </font>
    <font>
      <sz val="48"/>
      <color indexed="2"/>
      <name val="Calibri"/>
      <scheme val="minor"/>
    </font>
    <font>
      <sz val="48"/>
      <color rgb="FF70AD47"/>
      <name val="Calibri"/>
      <scheme val="minor"/>
    </font>
    <font>
      <b/>
      <sz val="11"/>
      <color indexed="5"/>
      <name val="Calibri"/>
      <scheme val="minor"/>
    </font>
    <font>
      <sz val="72"/>
      <color theme="1"/>
      <name val="Calibri"/>
      <scheme val="minor"/>
    </font>
    <font>
      <b/>
      <sz val="16"/>
      <color theme="0"/>
      <name val="Arial Black"/>
    </font>
    <font>
      <b/>
      <sz val="16"/>
      <color theme="1"/>
      <name val="Arial"/>
    </font>
    <font>
      <sz val="16"/>
      <color theme="1"/>
      <name val="Arial"/>
    </font>
    <font>
      <sz val="12"/>
      <color rgb="FF806000"/>
      <name val="Arial"/>
    </font>
    <font>
      <b/>
      <sz val="14"/>
      <name val="Arial"/>
    </font>
    <font>
      <b/>
      <sz val="11"/>
      <color rgb="FF806000"/>
      <name val="Arial"/>
    </font>
    <font>
      <b/>
      <sz val="11"/>
      <color rgb="FF4472C4"/>
      <name val="Arial"/>
    </font>
    <font>
      <b/>
      <sz val="11"/>
      <color rgb="FFC76AE6"/>
      <name val="Arial"/>
    </font>
    <font>
      <b/>
      <sz val="11"/>
      <color rgb="FFED7D31"/>
      <name val="Arial"/>
    </font>
    <font>
      <b/>
      <sz val="11"/>
      <color theme="1"/>
      <name val="Arial"/>
    </font>
    <font>
      <b/>
      <sz val="11"/>
      <color indexed="2"/>
      <name val="Arial"/>
    </font>
    <font>
      <b/>
      <sz val="11"/>
      <color rgb="FF00B0F0"/>
      <name val="Arial"/>
    </font>
    <font>
      <b/>
      <sz val="12"/>
      <color indexed="65"/>
      <name val="Arial"/>
    </font>
    <font>
      <b/>
      <sz val="20"/>
      <color theme="0"/>
      <name val="Arial Black"/>
    </font>
    <font>
      <b/>
      <sz val="20"/>
      <color indexed="65"/>
      <name val="Arial Black"/>
    </font>
    <font>
      <sz val="15"/>
      <color indexed="65"/>
      <name val="Arial Black"/>
    </font>
    <font>
      <sz val="16"/>
      <color indexed="65"/>
      <name val="Arial Black"/>
    </font>
    <font>
      <sz val="11"/>
      <color indexed="2"/>
      <name val="Arial"/>
    </font>
    <font>
      <b/>
      <sz val="16"/>
      <color indexed="65"/>
      <name val="Arial Black"/>
    </font>
    <font>
      <b/>
      <sz val="16"/>
      <name val="Arial"/>
    </font>
    <font>
      <i/>
      <sz val="16"/>
      <name val="Arial"/>
    </font>
    <font>
      <b/>
      <sz val="16"/>
      <name val="Algerian"/>
    </font>
    <font>
      <b/>
      <sz val="20"/>
      <color theme="1"/>
      <name val="Arial"/>
    </font>
    <font>
      <sz val="72"/>
      <color theme="4" tint="-0.249977111117893"/>
      <name val="Arial Black"/>
    </font>
    <font>
      <b/>
      <sz val="14"/>
      <color theme="0"/>
      <name val="Calibri"/>
    </font>
    <font>
      <b/>
      <sz val="12"/>
      <color rgb="FFC00000"/>
      <name val="Calibri"/>
    </font>
    <font>
      <b/>
      <sz val="12"/>
      <color rgb="FF4472C4"/>
      <name val="Calibri"/>
    </font>
    <font>
      <b/>
      <sz val="12"/>
      <color theme="1" tint="0.499984740745262"/>
      <name val="Calibri"/>
    </font>
    <font>
      <b/>
      <sz val="12"/>
      <color rgb="FF548135"/>
      <name val="Calibri"/>
    </font>
    <font>
      <sz val="12"/>
      <color theme="5" tint="-0.249977111117893"/>
      <name val="Calibri"/>
    </font>
    <font>
      <sz val="12"/>
      <color rgb="FF66BD2B"/>
      <name val="Calibri"/>
    </font>
    <font>
      <sz val="72"/>
      <color theme="5" tint="-0.249977111117893"/>
      <name val="Arial Black"/>
    </font>
    <font>
      <sz val="72"/>
      <color theme="9" tint="-0.249977111117893"/>
      <name val="Arial Black"/>
    </font>
    <font>
      <b/>
      <sz val="14"/>
      <color theme="1"/>
      <name val="Tahoma"/>
    </font>
    <font>
      <sz val="12"/>
      <color rgb="FF679C44"/>
      <name val="Arial"/>
    </font>
    <font>
      <b/>
      <sz val="11"/>
      <color theme="1"/>
      <name val="Arial"/>
      <family val="2"/>
    </font>
    <font>
      <b/>
      <sz val="11"/>
      <name val="Arial"/>
      <family val="2"/>
    </font>
    <font>
      <sz val="11"/>
      <color theme="1"/>
      <name val="Arial"/>
      <family val="2"/>
    </font>
    <font>
      <b/>
      <sz val="11"/>
      <color rgb="FF679C44"/>
      <name val="Arial"/>
      <family val="2"/>
    </font>
    <font>
      <b/>
      <sz val="11"/>
      <color rgb="FF000000"/>
      <name val="Arial"/>
    </font>
    <font>
      <b/>
      <sz val="12"/>
      <color rgb="FFFFFFFF"/>
      <name val="Arial"/>
    </font>
    <font>
      <b/>
      <sz val="12"/>
      <color rgb="FF7F6000"/>
      <name val="Calibri"/>
      <family val="2"/>
    </font>
    <font>
      <sz val="11"/>
      <color rgb="FF000000"/>
      <name val="Arial"/>
    </font>
    <font>
      <sz val="12"/>
      <color rgb="FF806000"/>
      <name val="Helvetica LT Std"/>
      <family val="2"/>
    </font>
    <font>
      <sz val="12"/>
      <color rgb="FF000000"/>
      <name val="Helvetica LT Std"/>
      <family val="2"/>
    </font>
    <font>
      <sz val="12"/>
      <color rgb="FF679C44"/>
      <name val="Helvetica LT Std"/>
    </font>
    <font>
      <sz val="12"/>
      <color rgb="FF4472C4"/>
      <name val="Helvetica LT Std"/>
      <family val="2"/>
    </font>
    <font>
      <sz val="12"/>
      <color rgb="FFC76AE6"/>
      <name val="Helvetica LT Std"/>
      <family val="2"/>
    </font>
    <font>
      <sz val="12"/>
      <color rgb="FFED7D31"/>
      <name val="Helvetica LT Std"/>
      <family val="2"/>
    </font>
    <font>
      <sz val="12"/>
      <color rgb="FFD9292C"/>
      <name val="Helvetica LT Std"/>
      <family val="2"/>
    </font>
    <font>
      <sz val="12"/>
      <name val="Helvetica LT Std"/>
      <family val="2"/>
    </font>
    <font>
      <sz val="11"/>
      <color rgb="FF000000"/>
      <name val="Helvetica LT Std"/>
      <family val="2"/>
    </font>
    <font>
      <sz val="12"/>
      <color rgb="FF000000"/>
      <name val="Gg Sans"/>
      <charset val="1"/>
    </font>
    <font>
      <sz val="12"/>
      <color rgb="FFED7D31"/>
      <name val="Helvetica LT Std"/>
      <charset val="1"/>
    </font>
    <font>
      <sz val="11"/>
      <name val="Arial Black"/>
      <family val="2"/>
    </font>
    <font>
      <b/>
      <sz val="12"/>
      <name val="Helvetica LT Std"/>
      <family val="2"/>
    </font>
    <font>
      <sz val="12"/>
      <color rgb="FF000000"/>
      <name val="Helvetica LT Std"/>
      <charset val="1"/>
    </font>
    <font>
      <sz val="12"/>
      <color rgb="FF00B0F0"/>
      <name val="Helvetica LT Std"/>
      <family val="2"/>
    </font>
    <font>
      <sz val="11"/>
      <color rgb="FF000000"/>
      <name val="Arial Black"/>
      <family val="2"/>
    </font>
    <font>
      <b/>
      <sz val="12"/>
      <color rgb="FF000000"/>
      <name val="Helvetica LT Std"/>
      <family val="2"/>
    </font>
    <font>
      <b/>
      <sz val="11"/>
      <color rgb="FF000000"/>
      <name val="Helvetica LT Std"/>
      <family val="2"/>
    </font>
    <font>
      <b/>
      <sz val="14"/>
      <color rgb="FF000000"/>
      <name val="Arial"/>
    </font>
    <font>
      <sz val="11"/>
      <color rgb="FFED7D31"/>
      <name val="Arial"/>
    </font>
    <font>
      <sz val="11"/>
      <color theme="0"/>
      <name val="Calibri"/>
      <family val="2"/>
      <charset val="1"/>
      <scheme val="minor"/>
    </font>
    <font>
      <sz val="11"/>
      <color rgb="FF000000"/>
      <name val="Arial"/>
      <family val="2"/>
    </font>
    <font>
      <b/>
      <sz val="12"/>
      <name val="Arial"/>
      <family val="2"/>
    </font>
    <font>
      <sz val="12"/>
      <color rgb="FF000000"/>
      <name val="Arial"/>
      <family val="2"/>
    </font>
    <font>
      <b/>
      <sz val="15"/>
      <name val="Century"/>
      <family val="1"/>
    </font>
    <font>
      <b/>
      <sz val="14"/>
      <name val="Arial"/>
      <family val="2"/>
    </font>
    <font>
      <b/>
      <sz val="13"/>
      <name val="Arial"/>
      <family val="2"/>
    </font>
    <font>
      <b/>
      <sz val="14"/>
      <color indexed="65"/>
      <name val="Arial Black"/>
      <family val="2"/>
    </font>
    <font>
      <b/>
      <sz val="10"/>
      <name val="Century"/>
      <family val="1"/>
    </font>
    <font>
      <b/>
      <sz val="10"/>
      <name val="Arial"/>
      <family val="2"/>
    </font>
    <font>
      <sz val="12"/>
      <name val="Arial"/>
      <family val="2"/>
    </font>
    <font>
      <b/>
      <sz val="16"/>
      <color theme="0"/>
      <name val="Arial Black"/>
      <family val="2"/>
    </font>
    <font>
      <b/>
      <sz val="16"/>
      <name val="Arial"/>
      <family val="2"/>
    </font>
    <font>
      <sz val="16"/>
      <color indexed="65"/>
      <name val="Arial Black"/>
      <family val="2"/>
    </font>
    <font>
      <b/>
      <sz val="12"/>
      <name val="Calibri"/>
      <family val="2"/>
    </font>
    <font>
      <sz val="12"/>
      <color theme="1"/>
      <name val="Arial"/>
      <family val="2"/>
    </font>
    <font>
      <sz val="11"/>
      <color theme="1"/>
      <name val="Calibri"/>
      <family val="2"/>
      <scheme val="minor"/>
    </font>
    <font>
      <sz val="14"/>
      <color indexed="65"/>
      <name val="Arial Black"/>
      <family val="2"/>
    </font>
    <font>
      <sz val="12"/>
      <color rgb="FF00B0F0"/>
      <name val="Arial"/>
    </font>
    <font>
      <sz val="12"/>
      <color rgb="FFD9292C"/>
      <name val="Arial"/>
    </font>
    <font>
      <sz val="12"/>
      <color rgb="FFFF80E5"/>
      <name val="Arial"/>
    </font>
    <font>
      <sz val="11"/>
      <color rgb="FF000000"/>
      <name val="Calibri"/>
      <family val="2"/>
      <scheme val="minor"/>
    </font>
    <font>
      <sz val="12"/>
      <color rgb="FF000000"/>
      <name val="Arial"/>
    </font>
    <font>
      <sz val="11"/>
      <color rgb="FF242424"/>
      <name val="Aptos Narrow"/>
    </font>
    <font>
      <sz val="11"/>
      <color rgb="FF000000"/>
      <name val="Consolas"/>
    </font>
    <font>
      <sz val="12"/>
      <color rgb="FF242424"/>
      <name val="Aptos Narrow"/>
    </font>
    <font>
      <sz val="14"/>
      <color rgb="FF000000"/>
      <name val="Arial"/>
    </font>
    <font>
      <sz val="11"/>
      <color rgb="FFFF0000"/>
      <name val="Arial"/>
    </font>
    <font>
      <sz val="12"/>
      <color rgb="FFFF0000"/>
      <name val="Arial"/>
    </font>
    <font>
      <sz val="11"/>
      <color rgb="FF000000"/>
      <name val="Calibri"/>
      <charset val="1"/>
    </font>
    <font>
      <sz val="12"/>
      <color rgb="FF000000"/>
      <name val="Calibri"/>
      <family val="2"/>
    </font>
    <font>
      <sz val="13"/>
      <color rgb="FF000000"/>
      <name val="Arial"/>
      <family val="2"/>
    </font>
    <font>
      <sz val="12"/>
      <color theme="1"/>
      <name val="&quot;gg sans&quot;"/>
    </font>
    <font>
      <sz val="11"/>
      <color theme="1"/>
      <name val="&quot;gg sans&quot;"/>
    </font>
  </fonts>
  <fills count="145">
    <fill>
      <patternFill patternType="none"/>
    </fill>
    <fill>
      <patternFill patternType="gray125"/>
    </fill>
    <fill>
      <patternFill patternType="solid">
        <fgColor rgb="FFA5A5A5"/>
      </patternFill>
    </fill>
    <fill>
      <patternFill patternType="solid"/>
    </fill>
    <fill>
      <patternFill patternType="solid">
        <fgColor theme="7" tint="0.79998168889431442"/>
        <bgColor indexed="65"/>
      </patternFill>
    </fill>
    <fill>
      <patternFill patternType="solid">
        <fgColor indexed="2"/>
      </patternFill>
    </fill>
    <fill>
      <patternFill patternType="solid">
        <fgColor rgb="FFFFC000"/>
      </patternFill>
    </fill>
    <fill>
      <patternFill patternType="solid">
        <fgColor theme="9" tint="0.79998168889431442"/>
        <bgColor indexed="65"/>
      </patternFill>
    </fill>
    <fill>
      <patternFill patternType="solid">
        <fgColor rgb="FF548235"/>
      </patternFill>
    </fill>
    <fill>
      <patternFill patternType="solid">
        <fgColor theme="5" tint="0.79998168889431442"/>
        <bgColor indexed="65"/>
      </patternFill>
    </fill>
    <fill>
      <patternFill patternType="solid">
        <fgColor rgb="FF4472C4"/>
      </patternFill>
    </fill>
    <fill>
      <patternFill patternType="solid">
        <fgColor rgb="FF00B0F0"/>
      </patternFill>
    </fill>
    <fill>
      <patternFill patternType="solid">
        <fgColor theme="9" tint="0.59999389629810485"/>
        <bgColor indexed="65"/>
      </patternFill>
    </fill>
    <fill>
      <patternFill patternType="solid">
        <fgColor rgb="FFDBDBDB"/>
        <bgColor rgb="FFDBDBDB"/>
      </patternFill>
    </fill>
    <fill>
      <patternFill patternType="solid">
        <fgColor rgb="FF404040"/>
        <bgColor rgb="FF404040"/>
      </patternFill>
    </fill>
    <fill>
      <patternFill patternType="solid">
        <fgColor indexed="2"/>
        <bgColor indexed="2"/>
      </patternFill>
    </fill>
    <fill>
      <patternFill patternType="solid">
        <fgColor rgb="FFFFC000"/>
        <bgColor rgb="FFFFC000"/>
      </patternFill>
    </fill>
    <fill>
      <patternFill patternType="solid">
        <fgColor rgb="FFA5A5A5"/>
        <bgColor rgb="FFA5A5A5"/>
      </patternFill>
    </fill>
    <fill>
      <patternFill patternType="solid">
        <fgColor rgb="FF548235"/>
        <bgColor rgb="FF548235"/>
      </patternFill>
    </fill>
    <fill>
      <patternFill patternType="solid">
        <fgColor rgb="FF4472C4"/>
        <bgColor rgb="FF4472C4"/>
      </patternFill>
    </fill>
    <fill>
      <patternFill patternType="solid">
        <fgColor rgb="FF00B0F0"/>
        <bgColor rgb="FF00B0F0"/>
      </patternFill>
    </fill>
    <fill>
      <patternFill patternType="solid">
        <fgColor rgb="FFF8CBAD"/>
        <bgColor rgb="FFF8CBAD"/>
      </patternFill>
    </fill>
    <fill>
      <patternFill patternType="solid">
        <fgColor rgb="FFC6E0B4"/>
        <bgColor rgb="FFC6E0B4"/>
      </patternFill>
    </fill>
    <fill>
      <patternFill patternType="solid">
        <fgColor rgb="FFBDD7EE"/>
        <bgColor rgb="FFBDD7EE"/>
      </patternFill>
    </fill>
    <fill>
      <patternFill patternType="solid">
        <fgColor rgb="FFBF8F00"/>
        <bgColor rgb="FFBF8F00"/>
      </patternFill>
    </fill>
    <fill>
      <patternFill patternType="solid">
        <fgColor rgb="FFC65911"/>
        <bgColor rgb="FFC65911"/>
      </patternFill>
    </fill>
    <fill>
      <patternFill patternType="solid">
        <fgColor rgb="FF595959"/>
        <bgColor rgb="FF595959"/>
      </patternFill>
    </fill>
    <fill>
      <patternFill patternType="solid">
        <fgColor rgb="FFE37F7F"/>
        <bgColor rgb="FFE37F7F"/>
      </patternFill>
    </fill>
    <fill>
      <patternFill patternType="solid">
        <fgColor rgb="FFA7B8D9"/>
        <bgColor rgb="FFA7B8D9"/>
      </patternFill>
    </fill>
    <fill>
      <patternFill patternType="solid">
        <fgColor indexed="23"/>
        <bgColor indexed="23"/>
      </patternFill>
    </fill>
    <fill>
      <patternFill patternType="solid">
        <fgColor rgb="FFFF7300"/>
        <bgColor rgb="FFFF7300"/>
      </patternFill>
    </fill>
    <fill>
      <patternFill patternType="solid">
        <fgColor rgb="FF9DE3DB"/>
        <bgColor rgb="FF9DE3DB"/>
      </patternFill>
    </fill>
    <fill>
      <patternFill patternType="solid">
        <fgColor rgb="FFFF2929"/>
        <bgColor rgb="FFFF2929"/>
      </patternFill>
    </fill>
    <fill>
      <patternFill patternType="solid">
        <fgColor rgb="FFFFD966"/>
        <bgColor rgb="FFFFD966"/>
      </patternFill>
    </fill>
    <fill>
      <patternFill patternType="solid">
        <fgColor rgb="FF8BC961"/>
        <bgColor rgb="FF8BC961"/>
      </patternFill>
    </fill>
    <fill>
      <patternFill patternType="solid">
        <fgColor rgb="FFCC8ADE"/>
        <bgColor rgb="FFCC8ADE"/>
      </patternFill>
    </fill>
    <fill>
      <patternFill patternType="solid">
        <fgColor indexed="5"/>
        <bgColor indexed="5"/>
      </patternFill>
    </fill>
    <fill>
      <patternFill patternType="solid">
        <fgColor rgb="FFD0EBBE"/>
        <bgColor rgb="FFD0EBBE"/>
      </patternFill>
    </fill>
    <fill>
      <patternFill patternType="solid">
        <fgColor rgb="FFEDC5C5"/>
        <bgColor rgb="FFEDC5C5"/>
      </patternFill>
    </fill>
    <fill>
      <patternFill patternType="solid">
        <fgColor rgb="FFD9E1F2"/>
        <bgColor rgb="FFD9E1F2"/>
      </patternFill>
    </fill>
    <fill>
      <patternFill patternType="solid">
        <fgColor rgb="FFF2F2F2"/>
        <bgColor rgb="FFF2F2F2"/>
      </patternFill>
    </fill>
    <fill>
      <patternFill patternType="solid">
        <fgColor rgb="FFED7D31"/>
        <bgColor rgb="FFED7D31"/>
      </patternFill>
    </fill>
    <fill>
      <patternFill patternType="solid">
        <fgColor rgb="FF9BC2E6"/>
        <bgColor rgb="FF9BC2E6"/>
      </patternFill>
    </fill>
    <fill>
      <patternFill patternType="solid">
        <fgColor rgb="FFDBBF69"/>
        <bgColor rgb="FFDBBF69"/>
      </patternFill>
    </fill>
    <fill>
      <patternFill patternType="solid">
        <fgColor rgb="FFF04A4A"/>
        <bgColor rgb="FFF04A4A"/>
      </patternFill>
    </fill>
    <fill>
      <patternFill patternType="solid">
        <fgColor rgb="FFA9D08E"/>
        <bgColor rgb="FFA9D08E"/>
      </patternFill>
    </fill>
    <fill>
      <patternFill patternType="solid">
        <fgColor rgb="FF8EA9DB"/>
        <bgColor rgb="FF8EA9DB"/>
      </patternFill>
    </fill>
    <fill>
      <patternFill patternType="solid">
        <fgColor rgb="FFC6EFCE"/>
        <bgColor rgb="FFC6EFCE"/>
      </patternFill>
    </fill>
    <fill>
      <patternFill patternType="solid">
        <fgColor rgb="FFFFC7CE"/>
        <bgColor rgb="FFFFC7CE"/>
      </patternFill>
    </fill>
    <fill>
      <patternFill patternType="solid">
        <fgColor rgb="FFB8D8F5"/>
        <bgColor rgb="FFB8D8F5"/>
      </patternFill>
    </fill>
    <fill>
      <patternFill patternType="solid">
        <fgColor rgb="FFF57558"/>
        <bgColor rgb="FFF57558"/>
      </patternFill>
    </fill>
    <fill>
      <patternFill patternType="solid">
        <fgColor rgb="FFB3FFEC"/>
        <bgColor rgb="FFB3FFEC"/>
      </patternFill>
    </fill>
    <fill>
      <patternFill patternType="solid">
        <fgColor rgb="FFE6FF82"/>
        <bgColor rgb="FFE6FF82"/>
      </patternFill>
    </fill>
    <fill>
      <patternFill patternType="solid">
        <fgColor rgb="FFC76AE6"/>
      </patternFill>
    </fill>
    <fill>
      <patternFill patternType="solid">
        <fgColor rgb="FFDDEBF7"/>
      </patternFill>
    </fill>
    <fill>
      <patternFill patternType="solid">
        <fgColor rgb="FF404040"/>
      </patternFill>
    </fill>
    <fill>
      <patternFill patternType="solid">
        <fgColor rgb="FFE7E6E6"/>
      </patternFill>
    </fill>
    <fill>
      <patternFill patternType="solid">
        <fgColor rgb="FFF57558"/>
      </patternFill>
    </fill>
    <fill>
      <patternFill patternType="solid">
        <fgColor theme="0" tint="-0.249977111117893"/>
        <bgColor indexed="65"/>
      </patternFill>
    </fill>
    <fill>
      <patternFill patternType="solid">
        <fgColor rgb="FFCC8ADE"/>
      </patternFill>
    </fill>
    <fill>
      <patternFill patternType="solid">
        <fgColor rgb="FF92D050"/>
      </patternFill>
    </fill>
    <fill>
      <patternFill patternType="solid">
        <fgColor rgb="FFB8D8F5"/>
      </patternFill>
    </fill>
    <fill>
      <patternFill patternType="solid">
        <fgColor rgb="FFB4C6E7"/>
      </patternFill>
    </fill>
    <fill>
      <patternFill patternType="solid">
        <fgColor rgb="FFB3FFEC"/>
      </patternFill>
    </fill>
    <fill>
      <patternFill patternType="solid">
        <fgColor rgb="FFFF80E5"/>
      </patternFill>
    </fill>
    <fill>
      <patternFill patternType="solid">
        <fgColor rgb="FFFFD966"/>
      </patternFill>
    </fill>
    <fill>
      <patternFill patternType="solid">
        <fgColor theme="7" tint="0.59999389629810485"/>
        <bgColor indexed="65"/>
      </patternFill>
    </fill>
    <fill>
      <patternFill patternType="solid">
        <fgColor rgb="FFC2EBA7"/>
      </patternFill>
    </fill>
    <fill>
      <patternFill patternType="solid">
        <fgColor rgb="FF595959"/>
      </patternFill>
    </fill>
    <fill>
      <patternFill patternType="solid">
        <fgColor rgb="FFF8CBAD"/>
      </patternFill>
    </fill>
    <fill>
      <patternFill patternType="solid">
        <fgColor rgb="FF9957BD"/>
      </patternFill>
    </fill>
    <fill>
      <patternFill patternType="solid">
        <fgColor rgb="FF99F5FF"/>
      </patternFill>
    </fill>
    <fill>
      <patternFill patternType="solid">
        <fgColor rgb="FF02CFB3"/>
      </patternFill>
    </fill>
    <fill>
      <patternFill patternType="solid">
        <fgColor rgb="FFA9D08E"/>
      </patternFill>
    </fill>
    <fill>
      <patternFill patternType="solid">
        <fgColor rgb="FFB4C6E7"/>
        <bgColor rgb="FFB4C6E7"/>
      </patternFill>
    </fill>
    <fill>
      <patternFill patternType="solid">
        <fgColor rgb="FFE2EFD9"/>
        <bgColor rgb="FFE2EFD9"/>
      </patternFill>
    </fill>
    <fill>
      <patternFill patternType="solid">
        <fgColor rgb="FFFCE4D6"/>
      </patternFill>
    </fill>
    <fill>
      <patternFill patternType="solid">
        <fgColor rgb="FFFFA6A7"/>
      </patternFill>
    </fill>
    <fill>
      <patternFill patternType="solid">
        <fgColor rgb="FFE2EFDA"/>
      </patternFill>
    </fill>
    <fill>
      <patternFill patternType="solid">
        <fgColor theme="6" tint="-0.499984740745262"/>
        <bgColor indexed="65"/>
      </patternFill>
    </fill>
    <fill>
      <patternFill patternType="solid">
        <fgColor theme="0"/>
      </patternFill>
    </fill>
    <fill>
      <patternFill patternType="solid">
        <fgColor indexed="65"/>
      </patternFill>
    </fill>
    <fill>
      <patternFill patternType="solid">
        <fgColor rgb="FFCC8DF0"/>
        <bgColor rgb="FFCC8DF0"/>
      </patternFill>
    </fill>
    <fill>
      <patternFill patternType="solid">
        <fgColor theme="4" tint="0.79998168889431442"/>
        <bgColor indexed="65"/>
      </patternFill>
    </fill>
    <fill>
      <patternFill patternType="solid">
        <fgColor rgb="FFFFE699"/>
        <bgColor rgb="FFFFE699"/>
      </patternFill>
    </fill>
    <fill>
      <patternFill patternType="solid">
        <fgColor rgb="FFFF4A4A"/>
        <bgColor rgb="FFFF4A4A"/>
      </patternFill>
    </fill>
    <fill>
      <patternFill patternType="solid">
        <fgColor rgb="FFFFA6A6"/>
        <bgColor rgb="FFFFA6A6"/>
      </patternFill>
    </fill>
    <fill>
      <patternFill patternType="solid">
        <fgColor rgb="FFD3ACE8"/>
        <bgColor rgb="FFD3ACE8"/>
      </patternFill>
    </fill>
    <fill>
      <patternFill patternType="solid">
        <fgColor rgb="FFFF5900"/>
        <bgColor rgb="FFFF5900"/>
      </patternFill>
    </fill>
    <fill>
      <patternFill patternType="solid">
        <fgColor rgb="FF6B92D6"/>
        <bgColor rgb="FF6B92D6"/>
      </patternFill>
    </fill>
    <fill>
      <patternFill patternType="solid">
        <fgColor rgb="FFFFF2CC"/>
        <bgColor rgb="FFFFF2CC"/>
      </patternFill>
    </fill>
    <fill>
      <patternFill patternType="solid">
        <fgColor rgb="FFC99B10"/>
        <bgColor rgb="FFC99B10"/>
      </patternFill>
    </fill>
    <fill>
      <patternFill patternType="solid">
        <fgColor rgb="FFFF3B3B"/>
        <bgColor rgb="FFFF3B3B"/>
      </patternFill>
    </fill>
    <fill>
      <patternFill patternType="solid">
        <fgColor rgb="FF70AD47"/>
        <bgColor rgb="FF70AD47"/>
      </patternFill>
    </fill>
    <fill>
      <patternFill patternType="solid">
        <fgColor rgb="FFD97736"/>
      </patternFill>
    </fill>
    <fill>
      <patternFill patternType="solid">
        <fgColor rgb="FFD97736"/>
        <bgColor rgb="FFD97736"/>
      </patternFill>
    </fill>
    <fill>
      <patternFill patternType="solid">
        <fgColor rgb="FFE3A276"/>
        <bgColor rgb="FFE3A276"/>
      </patternFill>
    </fill>
    <fill>
      <patternFill patternType="solid">
        <fgColor rgb="FF8F8F8F"/>
        <bgColor rgb="FF8F8F8F"/>
      </patternFill>
    </fill>
    <fill>
      <patternFill patternType="solid">
        <fgColor rgb="FFA6A6A6"/>
        <bgColor rgb="FFA6A6A6"/>
      </patternFill>
    </fill>
    <fill>
      <patternFill patternType="solid">
        <fgColor rgb="FF84BA4A"/>
        <bgColor rgb="FF84BA4A"/>
      </patternFill>
    </fill>
    <fill>
      <patternFill patternType="solid">
        <fgColor rgb="FF84B064"/>
        <bgColor rgb="FF84B064"/>
      </patternFill>
    </fill>
    <fill>
      <patternFill patternType="solid">
        <fgColor rgb="FFE371C3"/>
        <bgColor rgb="FFE371C3"/>
      </patternFill>
    </fill>
    <fill>
      <patternFill patternType="solid">
        <fgColor rgb="FFE58CCB"/>
        <bgColor rgb="FFE58CCB"/>
      </patternFill>
    </fill>
    <fill>
      <patternFill patternType="solid">
        <fgColor rgb="FF5693CC"/>
        <bgColor rgb="FF5693CC"/>
      </patternFill>
    </fill>
    <fill>
      <patternFill patternType="solid">
        <fgColor rgb="FF6AAAE6"/>
        <bgColor rgb="FF6AAAE6"/>
      </patternFill>
    </fill>
    <fill>
      <patternFill patternType="solid">
        <fgColor rgb="FF3EB38E"/>
        <bgColor rgb="FF3EB38E"/>
      </patternFill>
    </fill>
    <fill>
      <patternFill patternType="solid">
        <fgColor rgb="FF58A38B"/>
        <bgColor rgb="FF58A38B"/>
      </patternFill>
    </fill>
    <fill>
      <patternFill patternType="solid">
        <fgColor rgb="FF6EB9B0"/>
        <bgColor rgb="FF6EB9B0"/>
      </patternFill>
    </fill>
    <fill>
      <patternFill patternType="solid">
        <fgColor rgb="FFFF82BA"/>
        <bgColor rgb="FFFF82BA"/>
      </patternFill>
    </fill>
    <fill>
      <patternFill patternType="solid">
        <fgColor rgb="FF4D4D4D"/>
        <bgColor rgb="FF4D4D4D"/>
      </patternFill>
    </fill>
    <fill>
      <patternFill patternType="solid">
        <fgColor rgb="FF99BD80"/>
        <bgColor rgb="FF99BD80"/>
      </patternFill>
    </fill>
    <fill>
      <patternFill patternType="solid">
        <fgColor rgb="FF81ACD4"/>
        <bgColor rgb="FF81ACD4"/>
      </patternFill>
    </fill>
    <fill>
      <patternFill patternType="solid">
        <fgColor rgb="FFFAD464"/>
        <bgColor rgb="FFFAD464"/>
      </patternFill>
    </fill>
    <fill>
      <patternFill patternType="solid">
        <fgColor theme="8" tint="0.39997558519241921"/>
        <bgColor indexed="65"/>
      </patternFill>
    </fill>
    <fill>
      <patternFill patternType="solid">
        <fgColor theme="5" tint="0.39997558519241921"/>
        <bgColor indexed="65"/>
      </patternFill>
    </fill>
    <fill>
      <patternFill patternType="solid">
        <fgColor theme="4" tint="-0.249977111117893"/>
        <bgColor indexed="65"/>
      </patternFill>
    </fill>
    <fill>
      <patternFill patternType="solid">
        <fgColor rgb="FF7030A0"/>
      </patternFill>
    </fill>
    <fill>
      <patternFill patternType="solid">
        <fgColor rgb="FFD3ACE8"/>
      </patternFill>
    </fill>
    <fill>
      <patternFill patternType="solid">
        <fgColor theme="9" tint="0.39997558519241921"/>
        <bgColor indexed="65"/>
      </patternFill>
    </fill>
    <fill>
      <patternFill patternType="solid">
        <fgColor theme="5" tint="-0.249977111117893"/>
        <bgColor indexed="65"/>
      </patternFill>
    </fill>
    <fill>
      <patternFill patternType="solid">
        <fgColor theme="7" tint="0.39997558519241921"/>
        <bgColor indexed="65"/>
      </patternFill>
    </fill>
    <fill>
      <patternFill patternType="solid">
        <fgColor rgb="FFF0D851"/>
      </patternFill>
    </fill>
    <fill>
      <patternFill patternType="solid">
        <fgColor rgb="FFFF8282"/>
      </patternFill>
    </fill>
    <fill>
      <patternFill patternType="solid">
        <fgColor theme="5" tint="0.59999389629810485"/>
        <bgColor indexed="65"/>
      </patternFill>
    </fill>
    <fill>
      <patternFill patternType="solid">
        <fgColor theme="4" tint="0.59999389629810485"/>
        <bgColor indexed="65"/>
      </patternFill>
    </fill>
    <fill>
      <patternFill patternType="solid">
        <fgColor theme="6" tint="0.79998168889431442"/>
        <bgColor indexed="65"/>
      </patternFill>
    </fill>
    <fill>
      <patternFill patternType="solid">
        <fgColor rgb="FF8EA9DB"/>
      </patternFill>
    </fill>
    <fill>
      <patternFill patternType="solid">
        <fgColor rgb="FFBDD7EE"/>
      </patternFill>
    </fill>
    <fill>
      <patternFill patternType="solid">
        <fgColor rgb="FFE7DB90"/>
      </patternFill>
    </fill>
    <fill>
      <patternFill patternType="solid">
        <fgColor rgb="FFC6E0B4"/>
      </patternFill>
    </fill>
    <fill>
      <patternFill patternType="solid">
        <fgColor rgb="FFFF4A4A"/>
      </patternFill>
    </fill>
    <fill>
      <patternFill patternType="solid">
        <fgColor rgb="FFFFA6A6"/>
      </patternFill>
    </fill>
    <fill>
      <patternFill patternType="solid">
        <fgColor rgb="FFCC8DF0"/>
      </patternFill>
    </fill>
    <fill>
      <patternFill patternType="solid">
        <fgColor indexed="65"/>
        <bgColor rgb="FF000000"/>
      </patternFill>
    </fill>
    <fill>
      <patternFill patternType="solid">
        <fgColor theme="4" tint="0.39997558519241921"/>
        <bgColor indexed="65"/>
      </patternFill>
    </fill>
    <fill>
      <patternFill patternType="solid">
        <fgColor rgb="FFB7E200"/>
        <bgColor rgb="FFE6FF82"/>
      </patternFill>
    </fill>
    <fill>
      <patternFill patternType="solid">
        <fgColor rgb="FFC6E0B4"/>
        <bgColor rgb="FF000000"/>
      </patternFill>
    </fill>
    <fill>
      <patternFill patternType="solid">
        <fgColor rgb="FFEDEDED"/>
        <bgColor rgb="FF000000"/>
      </patternFill>
    </fill>
    <fill>
      <patternFill patternType="solid">
        <fgColor rgb="FFBDD7EE"/>
        <bgColor rgb="FF000000"/>
      </patternFill>
    </fill>
    <fill>
      <patternFill patternType="solid">
        <fgColor rgb="FFE7DB90"/>
        <bgColor rgb="FF000000"/>
      </patternFill>
    </fill>
    <fill>
      <patternFill patternType="solid">
        <fgColor rgb="FFFFA6A6"/>
        <bgColor rgb="FF000000"/>
      </patternFill>
    </fill>
    <fill>
      <patternFill patternType="solid">
        <fgColor rgb="FFD3ACE8"/>
        <bgColor rgb="FF000000"/>
      </patternFill>
    </fill>
    <fill>
      <patternFill patternType="solid">
        <fgColor rgb="FFF8CBAD"/>
        <bgColor rgb="FF000000"/>
      </patternFill>
    </fill>
    <fill>
      <patternFill patternType="solid">
        <fgColor rgb="FFB4C6E7"/>
        <bgColor rgb="FF000000"/>
      </patternFill>
    </fill>
    <fill>
      <patternFill patternType="solid">
        <fgColor rgb="FFFFFFFF"/>
      </patternFill>
    </fill>
  </fills>
  <borders count="48">
    <border>
      <left/>
      <right/>
      <top/>
      <bottom/>
      <diagonal/>
    </border>
    <border>
      <left style="double">
        <color rgb="FF3F3F3F"/>
      </left>
      <right style="double">
        <color rgb="FF3F3F3F"/>
      </right>
      <top style="double">
        <color rgb="FF3F3F3F"/>
      </top>
      <bottom style="double">
        <color rgb="FF3F3F3F"/>
      </bottom>
      <diagonal/>
    </border>
    <border>
      <left style="medium">
        <color auto="1"/>
      </left>
      <right/>
      <top style="medium">
        <color auto="1"/>
      </top>
      <bottom/>
      <diagonal/>
    </border>
    <border>
      <left/>
      <right style="medium">
        <color auto="1"/>
      </right>
      <top style="medium">
        <color auto="1"/>
      </top>
      <bottom/>
      <diagonal/>
    </border>
    <border>
      <left style="thin">
        <color auto="1"/>
      </left>
      <right style="thin">
        <color auto="1"/>
      </right>
      <top style="thin">
        <color auto="1"/>
      </top>
      <bottom style="thin">
        <color auto="1"/>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style="medium">
        <color auto="1"/>
      </right>
      <top/>
      <bottom style="medium">
        <color auto="1"/>
      </bottom>
      <diagonal/>
    </border>
    <border>
      <left style="thin">
        <color auto="1"/>
      </left>
      <right/>
      <top style="thin">
        <color auto="1"/>
      </top>
      <bottom style="thin">
        <color auto="1"/>
      </bottom>
      <diagonal/>
    </border>
    <border>
      <left style="thin">
        <color auto="1"/>
      </left>
      <right/>
      <top style="thin">
        <color auto="1"/>
      </top>
      <bottom/>
      <diagonal/>
    </border>
    <border>
      <left style="thin">
        <color auto="1"/>
      </left>
      <right style="thin">
        <color auto="1"/>
      </right>
      <top style="thin">
        <color auto="1"/>
      </top>
      <bottom/>
      <diagonal/>
    </border>
    <border>
      <left style="thin">
        <color auto="1"/>
      </left>
      <right/>
      <top/>
      <bottom/>
      <diagonal/>
    </border>
    <border>
      <left style="thin">
        <color auto="1"/>
      </left>
      <right style="thin">
        <color auto="1"/>
      </right>
      <top/>
      <bottom/>
      <diagonal/>
    </border>
    <border>
      <left style="thin">
        <color auto="1"/>
      </left>
      <right/>
      <top/>
      <bottom style="thin">
        <color auto="1"/>
      </bottom>
      <diagonal/>
    </border>
    <border>
      <left style="thin">
        <color auto="1"/>
      </left>
      <right style="thin">
        <color auto="1"/>
      </right>
      <top/>
      <bottom style="thin">
        <color auto="1"/>
      </bottom>
      <diagonal/>
    </border>
    <border>
      <left/>
      <right/>
      <top style="thin">
        <color auto="1"/>
      </top>
      <bottom/>
      <diagonal/>
    </border>
    <border>
      <left/>
      <right/>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right style="thin">
        <color auto="1"/>
      </right>
      <top/>
      <bottom/>
      <diagonal/>
    </border>
    <border>
      <left/>
      <right style="thin">
        <color auto="1"/>
      </right>
      <top/>
      <bottom style="thin">
        <color auto="1"/>
      </bottom>
      <diagonal/>
    </border>
    <border>
      <left style="thin">
        <color theme="8" tint="0.59999389629810485"/>
      </left>
      <right/>
      <top style="thin">
        <color theme="8" tint="0.59999389629810485"/>
      </top>
      <bottom/>
      <diagonal/>
    </border>
    <border>
      <left/>
      <right/>
      <top style="thin">
        <color theme="8" tint="0.59999389629810485"/>
      </top>
      <bottom/>
      <diagonal/>
    </border>
    <border>
      <left/>
      <right style="thin">
        <color theme="8" tint="0.59999389629810485"/>
      </right>
      <top style="thin">
        <color theme="8" tint="0.59999389629810485"/>
      </top>
      <bottom/>
      <diagonal/>
    </border>
    <border>
      <left style="thin">
        <color theme="8" tint="0.59999389629810485"/>
      </left>
      <right/>
      <top/>
      <bottom/>
      <diagonal/>
    </border>
    <border>
      <left/>
      <right style="thin">
        <color theme="8" tint="0.59999389629810485"/>
      </right>
      <top/>
      <bottom/>
      <diagonal/>
    </border>
    <border>
      <left style="thin">
        <color rgb="FFB2B2B2"/>
      </left>
      <right/>
      <top style="thin">
        <color rgb="FFB2B2B2"/>
      </top>
      <bottom style="thin">
        <color rgb="FFB2B2B2"/>
      </bottom>
      <diagonal/>
    </border>
    <border>
      <left style="thin">
        <color theme="8" tint="0.59999389629810485"/>
      </left>
      <right style="thin">
        <color theme="8" tint="0.59999389629810485"/>
      </right>
      <top style="thin">
        <color theme="8" tint="0.59999389629810485"/>
      </top>
      <bottom/>
      <diagonal/>
    </border>
    <border>
      <left style="thin">
        <color theme="8" tint="0.59999389629810485"/>
      </left>
      <right style="thin">
        <color theme="8" tint="0.59999389629810485"/>
      </right>
      <top/>
      <bottom/>
      <diagonal/>
    </border>
    <border>
      <left style="thin">
        <color theme="8" tint="0.59999389629810485"/>
      </left>
      <right style="thin">
        <color theme="8" tint="0.59999389629810485"/>
      </right>
      <top/>
      <bottom style="thin">
        <color theme="8" tint="0.59999389629810485"/>
      </bottom>
      <diagonal/>
    </border>
    <border>
      <left/>
      <right/>
      <top/>
      <bottom style="thin">
        <color theme="8" tint="0.59999389629810485"/>
      </bottom>
      <diagonal/>
    </border>
    <border>
      <left style="thin">
        <color theme="8" tint="0.59999389629810485"/>
      </left>
      <right/>
      <top/>
      <bottom style="thin">
        <color theme="8" tint="0.59999389629810485"/>
      </bottom>
      <diagonal/>
    </border>
    <border>
      <left/>
      <right style="thin">
        <color theme="8" tint="0.59999389629810485"/>
      </right>
      <top/>
      <bottom style="thin">
        <color theme="8" tint="0.59999389629810485"/>
      </bottom>
      <diagonal/>
    </border>
    <border>
      <left style="thin">
        <color rgb="FFB2B2B2"/>
      </left>
      <right style="thin">
        <color rgb="FFB2B2B2"/>
      </right>
      <top style="thin">
        <color rgb="FFB2B2B2"/>
      </top>
      <bottom style="thin">
        <color rgb="FFB2B2B2"/>
      </bottom>
      <diagonal/>
    </border>
    <border>
      <left style="thin">
        <color rgb="FFB2B2B2"/>
      </left>
      <right/>
      <top/>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auto="1"/>
      </left>
      <right/>
      <top style="thin">
        <color auto="1"/>
      </top>
      <bottom/>
      <diagonal/>
    </border>
    <border>
      <left/>
      <right style="medium">
        <color auto="1"/>
      </right>
      <top style="thin">
        <color auto="1"/>
      </top>
      <bottom/>
      <diagonal/>
    </border>
    <border>
      <left/>
      <right style="thin">
        <color rgb="FF000000"/>
      </right>
      <top/>
      <bottom/>
      <diagonal/>
    </border>
    <border>
      <left style="thin">
        <color rgb="FF000000"/>
      </left>
      <right/>
      <top/>
      <bottom/>
      <diagonal/>
    </border>
    <border>
      <left style="thin">
        <color rgb="FFD9D9D9"/>
      </left>
      <right style="thin">
        <color rgb="FFD9D9D9"/>
      </right>
      <top style="thin">
        <color rgb="FFD9D9D9"/>
      </top>
      <bottom style="thin">
        <color rgb="FFD9D9D9"/>
      </bottom>
      <diagonal/>
    </border>
    <border>
      <left style="thin">
        <color rgb="FFBDD7EE"/>
      </left>
      <right/>
      <top/>
      <bottom/>
      <diagonal/>
    </border>
    <border>
      <left/>
      <right style="thin">
        <color rgb="FFBDD7EE"/>
      </right>
      <top/>
      <bottom/>
      <diagonal/>
    </border>
  </borders>
  <cellStyleXfs count="6">
    <xf numFmtId="0" fontId="0" fillId="0" borderId="0"/>
    <xf numFmtId="0" fontId="1" fillId="2" borderId="1"/>
    <xf numFmtId="0" fontId="145" fillId="134" borderId="0"/>
    <xf numFmtId="0" fontId="161" fillId="0" borderId="0"/>
    <xf numFmtId="0" fontId="145" fillId="134" borderId="0" applyNumberFormat="0" applyBorder="0" applyAlignment="0" applyProtection="0"/>
    <xf numFmtId="0" fontId="34" fillId="0" borderId="0"/>
  </cellStyleXfs>
  <cellXfs count="847">
    <xf numFmtId="0" fontId="0" fillId="0" borderId="0" xfId="0"/>
    <xf numFmtId="0" fontId="2" fillId="0" borderId="0" xfId="0" applyFont="1"/>
    <xf numFmtId="0" fontId="4" fillId="0" borderId="0" xfId="0" applyFont="1" applyAlignment="1">
      <alignment horizontal="left"/>
    </xf>
    <xf numFmtId="0" fontId="4" fillId="0" borderId="0" xfId="0" applyFont="1" applyAlignment="1">
      <alignment horizontal="left" wrapText="1"/>
    </xf>
    <xf numFmtId="0" fontId="4" fillId="0" borderId="0" xfId="0" quotePrefix="1" applyFont="1" applyAlignment="1">
      <alignment horizontal="left"/>
    </xf>
    <xf numFmtId="0" fontId="5" fillId="0" borderId="0" xfId="0" applyFont="1" applyAlignment="1">
      <alignment horizontal="left"/>
    </xf>
    <xf numFmtId="0" fontId="3" fillId="0" borderId="0" xfId="0" quotePrefix="1" applyFont="1" applyAlignment="1">
      <alignment horizontal="left"/>
    </xf>
    <xf numFmtId="0" fontId="6" fillId="0" borderId="0" xfId="0" applyFont="1" applyAlignment="1">
      <alignment horizontal="left"/>
    </xf>
    <xf numFmtId="0" fontId="7" fillId="0" borderId="0" xfId="0" quotePrefix="1" applyFont="1" applyAlignment="1">
      <alignment horizontal="left"/>
    </xf>
    <xf numFmtId="0" fontId="2" fillId="0" borderId="0" xfId="0" quotePrefix="1" applyFont="1" applyAlignment="1">
      <alignment horizontal="left"/>
    </xf>
    <xf numFmtId="0" fontId="7" fillId="0" borderId="0" xfId="0" applyFont="1" applyAlignment="1">
      <alignment horizontal="left"/>
    </xf>
    <xf numFmtId="0" fontId="3" fillId="0" borderId="0" xfId="0" applyFont="1" applyAlignment="1">
      <alignment horizontal="left" vertical="center"/>
    </xf>
    <xf numFmtId="0" fontId="2" fillId="0" borderId="0" xfId="0" applyFont="1" applyAlignment="1">
      <alignment horizontal="left" wrapText="1"/>
    </xf>
    <xf numFmtId="0" fontId="4" fillId="0" borderId="0" xfId="0" applyFont="1" applyAlignment="1">
      <alignment horizontal="left" vertical="center"/>
    </xf>
    <xf numFmtId="0" fontId="8" fillId="0" borderId="0" xfId="0" applyFont="1" applyAlignment="1">
      <alignment horizontal="left"/>
    </xf>
    <xf numFmtId="0" fontId="10" fillId="0" borderId="0" xfId="0" applyFont="1"/>
    <xf numFmtId="0" fontId="10" fillId="0" borderId="0" xfId="0" applyFont="1" applyAlignment="1">
      <alignment horizontal="center"/>
    </xf>
    <xf numFmtId="0" fontId="10" fillId="0" borderId="0" xfId="0" applyFont="1" applyAlignment="1">
      <alignment horizontal="left" vertical="center"/>
    </xf>
    <xf numFmtId="0" fontId="0" fillId="0" borderId="0" xfId="0" applyAlignment="1">
      <alignment horizontal="center"/>
    </xf>
    <xf numFmtId="0" fontId="11" fillId="0" borderId="0" xfId="0" applyFont="1" applyAlignment="1">
      <alignment horizontal="center"/>
    </xf>
    <xf numFmtId="0" fontId="7" fillId="0" borderId="0" xfId="0" applyFont="1" applyAlignment="1">
      <alignment horizontal="center"/>
    </xf>
    <xf numFmtId="0" fontId="7" fillId="0" borderId="2" xfId="0" applyFont="1" applyBorder="1" applyAlignment="1">
      <alignment horizontal="center"/>
    </xf>
    <xf numFmtId="0" fontId="7" fillId="0" borderId="3" xfId="0" applyFont="1" applyBorder="1" applyAlignment="1">
      <alignment horizontal="center"/>
    </xf>
    <xf numFmtId="0" fontId="0" fillId="0" borderId="4" xfId="0" applyBorder="1" applyAlignment="1">
      <alignment horizontal="center"/>
    </xf>
    <xf numFmtId="9" fontId="0" fillId="0" borderId="4" xfId="0" applyNumberFormat="1" applyBorder="1" applyAlignment="1">
      <alignment horizontal="center"/>
    </xf>
    <xf numFmtId="49" fontId="10" fillId="0" borderId="0" xfId="0" applyNumberFormat="1" applyFont="1" applyAlignment="1">
      <alignment horizontal="center" vertical="center"/>
    </xf>
    <xf numFmtId="0" fontId="12" fillId="3" borderId="5" xfId="0" applyFont="1" applyFill="1" applyBorder="1" applyAlignment="1">
      <alignment horizontal="center"/>
    </xf>
    <xf numFmtId="49" fontId="10" fillId="0" borderId="6" xfId="0" applyNumberFormat="1" applyFont="1" applyBorder="1" applyAlignment="1">
      <alignment horizontal="center" vertical="center"/>
    </xf>
    <xf numFmtId="0" fontId="13" fillId="4" borderId="0" xfId="0" applyFont="1" applyFill="1"/>
    <xf numFmtId="0" fontId="12" fillId="5" borderId="5" xfId="0" applyFont="1" applyFill="1" applyBorder="1" applyAlignment="1">
      <alignment horizontal="center"/>
    </xf>
    <xf numFmtId="0" fontId="12" fillId="6" borderId="5" xfId="0" applyFont="1" applyFill="1" applyBorder="1" applyAlignment="1">
      <alignment horizontal="center"/>
    </xf>
    <xf numFmtId="0" fontId="13" fillId="7" borderId="0" xfId="0" applyFont="1" applyFill="1"/>
    <xf numFmtId="0" fontId="12" fillId="2" borderId="5" xfId="0" applyFont="1" applyFill="1" applyBorder="1" applyAlignment="1">
      <alignment horizontal="center"/>
    </xf>
    <xf numFmtId="0" fontId="14" fillId="7" borderId="0" xfId="0" applyFont="1" applyFill="1"/>
    <xf numFmtId="0" fontId="12" fillId="8" borderId="5" xfId="0" applyFont="1" applyFill="1" applyBorder="1" applyAlignment="1">
      <alignment horizontal="center"/>
    </xf>
    <xf numFmtId="0" fontId="13" fillId="9" borderId="0" xfId="0" applyFont="1" applyFill="1"/>
    <xf numFmtId="0" fontId="12" fillId="10" borderId="5" xfId="0" applyFont="1" applyFill="1" applyBorder="1" applyAlignment="1">
      <alignment horizontal="center"/>
    </xf>
    <xf numFmtId="0" fontId="12" fillId="11" borderId="7" xfId="0" applyFont="1" applyFill="1" applyBorder="1" applyAlignment="1">
      <alignment horizontal="center"/>
    </xf>
    <xf numFmtId="49" fontId="10" fillId="0" borderId="8" xfId="0" applyNumberFormat="1" applyFont="1" applyBorder="1" applyAlignment="1">
      <alignment horizontal="center" vertical="center"/>
    </xf>
    <xf numFmtId="0" fontId="15" fillId="0" borderId="4" xfId="0" applyFont="1" applyBorder="1" applyAlignment="1">
      <alignment horizontal="center" readingOrder="1"/>
    </xf>
    <xf numFmtId="9" fontId="10" fillId="0" borderId="4" xfId="0" applyNumberFormat="1" applyFont="1" applyBorder="1" applyAlignment="1">
      <alignment horizontal="center" vertical="center"/>
    </xf>
    <xf numFmtId="0" fontId="7" fillId="0" borderId="0" xfId="0" applyFont="1"/>
    <xf numFmtId="0" fontId="16" fillId="0" borderId="0" xfId="0" applyFont="1"/>
    <xf numFmtId="49" fontId="17" fillId="0" borderId="0" xfId="0" applyNumberFormat="1" applyFont="1" applyAlignment="1">
      <alignment horizontal="center" vertical="center"/>
    </xf>
    <xf numFmtId="49" fontId="17" fillId="0" borderId="0" xfId="0" applyNumberFormat="1" applyFont="1" applyAlignment="1">
      <alignment vertical="center"/>
    </xf>
    <xf numFmtId="0" fontId="18" fillId="0" borderId="9" xfId="0" applyFont="1" applyBorder="1" applyAlignment="1">
      <alignment horizontal="center" readingOrder="1"/>
    </xf>
    <xf numFmtId="0" fontId="18" fillId="0" borderId="4" xfId="0" applyFont="1" applyBorder="1" applyAlignment="1">
      <alignment horizontal="center" readingOrder="1"/>
    </xf>
    <xf numFmtId="0" fontId="15" fillId="0" borderId="10" xfId="0" applyFont="1" applyBorder="1" applyAlignment="1">
      <alignment horizontal="center" readingOrder="1"/>
    </xf>
    <xf numFmtId="0" fontId="15" fillId="0" borderId="11" xfId="0" applyFont="1" applyBorder="1" applyAlignment="1">
      <alignment horizontal="center" readingOrder="1"/>
    </xf>
    <xf numFmtId="0" fontId="15" fillId="0" borderId="12" xfId="0" applyFont="1" applyBorder="1" applyAlignment="1">
      <alignment horizontal="center" readingOrder="1"/>
    </xf>
    <xf numFmtId="0" fontId="15" fillId="0" borderId="13" xfId="0" applyFont="1" applyBorder="1" applyAlignment="1">
      <alignment horizontal="center" readingOrder="1"/>
    </xf>
    <xf numFmtId="0" fontId="19" fillId="0" borderId="0" xfId="0" applyFont="1" applyAlignment="1">
      <alignment horizontal="left" vertical="center"/>
    </xf>
    <xf numFmtId="49" fontId="10" fillId="0" borderId="0" xfId="0" applyNumberFormat="1" applyFont="1" applyAlignment="1">
      <alignment vertical="center"/>
    </xf>
    <xf numFmtId="0" fontId="15" fillId="0" borderId="14" xfId="0" applyFont="1" applyBorder="1" applyAlignment="1">
      <alignment horizontal="center" readingOrder="1"/>
    </xf>
    <xf numFmtId="9" fontId="15" fillId="0" borderId="15" xfId="0" applyNumberFormat="1" applyFont="1" applyBorder="1" applyAlignment="1">
      <alignment horizontal="center" readingOrder="1"/>
    </xf>
    <xf numFmtId="1" fontId="18" fillId="0" borderId="13" xfId="0" applyNumberFormat="1" applyFont="1" applyBorder="1" applyAlignment="1">
      <alignment horizontal="center" readingOrder="1"/>
    </xf>
    <xf numFmtId="0" fontId="15" fillId="12" borderId="14" xfId="0" applyFont="1" applyFill="1" applyBorder="1" applyAlignment="1">
      <alignment horizontal="center" readingOrder="1"/>
    </xf>
    <xf numFmtId="1" fontId="18" fillId="12" borderId="15" xfId="0" applyNumberFormat="1" applyFont="1" applyFill="1" applyBorder="1" applyAlignment="1">
      <alignment horizontal="center" readingOrder="1"/>
    </xf>
    <xf numFmtId="0" fontId="10" fillId="0" borderId="0" xfId="0" applyFont="1" applyAlignment="1">
      <alignment horizontal="left"/>
    </xf>
    <xf numFmtId="0" fontId="20" fillId="0" borderId="0" xfId="0" applyFont="1" applyAlignment="1">
      <alignment horizontal="left" vertical="center"/>
    </xf>
    <xf numFmtId="0" fontId="21" fillId="0" borderId="0" xfId="0" applyFont="1" applyAlignment="1">
      <alignment horizontal="left" vertical="center"/>
    </xf>
    <xf numFmtId="0" fontId="14" fillId="0" borderId="0" xfId="0" applyFont="1"/>
    <xf numFmtId="0" fontId="22" fillId="0" borderId="0" xfId="0" applyFont="1"/>
    <xf numFmtId="0" fontId="22" fillId="0" borderId="0" xfId="0" applyFont="1" applyAlignment="1">
      <alignment horizontal="left"/>
    </xf>
    <xf numFmtId="0" fontId="24" fillId="0" borderId="0" xfId="0" applyFont="1" applyAlignment="1">
      <alignment horizontal="left"/>
    </xf>
    <xf numFmtId="0" fontId="23" fillId="0" borderId="0" xfId="0" applyFont="1" applyAlignment="1">
      <alignment horizontal="center"/>
    </xf>
    <xf numFmtId="0" fontId="25" fillId="14" borderId="0" xfId="0" applyFont="1" applyFill="1" applyAlignment="1">
      <alignment horizontal="center" wrapText="1"/>
    </xf>
    <xf numFmtId="0" fontId="25" fillId="14" borderId="0" xfId="0" applyFont="1" applyFill="1" applyAlignment="1">
      <alignment horizontal="center"/>
    </xf>
    <xf numFmtId="0" fontId="25" fillId="18" borderId="0" xfId="0" applyFont="1" applyFill="1" applyAlignment="1">
      <alignment horizontal="center" wrapText="1"/>
    </xf>
    <xf numFmtId="0" fontId="25" fillId="20" borderId="0" xfId="0" applyFont="1" applyFill="1" applyAlignment="1">
      <alignment horizontal="center"/>
    </xf>
    <xf numFmtId="0" fontId="25" fillId="14" borderId="11" xfId="0" applyFont="1" applyFill="1" applyBorder="1" applyAlignment="1">
      <alignment horizontal="center"/>
    </xf>
    <xf numFmtId="0" fontId="25" fillId="15" borderId="13" xfId="0" applyFont="1" applyFill="1" applyBorder="1" applyAlignment="1">
      <alignment horizontal="center"/>
    </xf>
    <xf numFmtId="0" fontId="25" fillId="16" borderId="13" xfId="0" applyFont="1" applyFill="1" applyBorder="1" applyAlignment="1">
      <alignment horizontal="center"/>
    </xf>
    <xf numFmtId="0" fontId="25" fillId="17" borderId="13" xfId="0" applyFont="1" applyFill="1" applyBorder="1" applyAlignment="1">
      <alignment horizontal="center"/>
    </xf>
    <xf numFmtId="0" fontId="25" fillId="20" borderId="15" xfId="0" applyFont="1" applyFill="1" applyBorder="1" applyAlignment="1">
      <alignment horizontal="center"/>
    </xf>
    <xf numFmtId="0" fontId="23" fillId="0" borderId="10" xfId="0" applyFont="1" applyBorder="1" applyAlignment="1">
      <alignment horizontal="center"/>
    </xf>
    <xf numFmtId="0" fontId="23" fillId="0" borderId="11" xfId="0" applyFont="1" applyBorder="1" applyAlignment="1">
      <alignment horizontal="center"/>
    </xf>
    <xf numFmtId="0" fontId="23" fillId="0" borderId="16" xfId="0" applyFont="1" applyBorder="1" applyAlignment="1">
      <alignment horizontal="center" wrapText="1"/>
    </xf>
    <xf numFmtId="0" fontId="23" fillId="0" borderId="11" xfId="0" applyFont="1" applyBorder="1" applyAlignment="1">
      <alignment horizontal="center" wrapText="1"/>
    </xf>
    <xf numFmtId="0" fontId="25" fillId="18" borderId="13" xfId="0" applyFont="1" applyFill="1" applyBorder="1" applyAlignment="1">
      <alignment horizontal="center"/>
    </xf>
    <xf numFmtId="0" fontId="12" fillId="18" borderId="13" xfId="0" applyFont="1" applyFill="1" applyBorder="1" applyAlignment="1">
      <alignment horizontal="center" vertical="center"/>
    </xf>
    <xf numFmtId="0" fontId="0" fillId="18" borderId="13" xfId="0" applyFill="1" applyBorder="1" applyAlignment="1">
      <alignment horizontal="left" vertical="center"/>
    </xf>
    <xf numFmtId="0" fontId="25" fillId="19" borderId="13" xfId="0" applyFont="1" applyFill="1" applyBorder="1" applyAlignment="1">
      <alignment horizontal="center"/>
    </xf>
    <xf numFmtId="0" fontId="12" fillId="19" borderId="13" xfId="0" applyFont="1" applyFill="1" applyBorder="1" applyAlignment="1">
      <alignment horizontal="center" wrapText="1"/>
    </xf>
    <xf numFmtId="0" fontId="25" fillId="24" borderId="12" xfId="0" applyFont="1" applyFill="1" applyBorder="1" applyAlignment="1">
      <alignment horizontal="center"/>
    </xf>
    <xf numFmtId="0" fontId="25" fillId="24" borderId="13" xfId="0" applyFont="1" applyFill="1" applyBorder="1" applyAlignment="1">
      <alignment horizontal="center"/>
    </xf>
    <xf numFmtId="0" fontId="25" fillId="24" borderId="0" xfId="0" applyFont="1" applyFill="1" applyAlignment="1">
      <alignment horizontal="center"/>
    </xf>
    <xf numFmtId="0" fontId="12" fillId="24" borderId="13" xfId="0" applyFont="1" applyFill="1" applyBorder="1" applyAlignment="1">
      <alignment horizontal="center" vertical="center"/>
    </xf>
    <xf numFmtId="0" fontId="0" fillId="24" borderId="13" xfId="0" applyFill="1" applyBorder="1" applyAlignment="1">
      <alignment horizontal="left" vertical="center"/>
    </xf>
    <xf numFmtId="0" fontId="25" fillId="25" borderId="12" xfId="0" applyFont="1" applyFill="1" applyBorder="1" applyAlignment="1">
      <alignment horizontal="center"/>
    </xf>
    <xf numFmtId="0" fontId="25" fillId="25" borderId="13" xfId="0" applyFont="1" applyFill="1" applyBorder="1" applyAlignment="1">
      <alignment horizontal="center"/>
    </xf>
    <xf numFmtId="0" fontId="25" fillId="25" borderId="0" xfId="0" applyFont="1" applyFill="1" applyAlignment="1">
      <alignment horizontal="center"/>
    </xf>
    <xf numFmtId="0" fontId="12" fillId="25" borderId="13" xfId="0" applyFont="1" applyFill="1" applyBorder="1" applyAlignment="1">
      <alignment horizontal="center" vertical="center" wrapText="1"/>
    </xf>
    <xf numFmtId="0" fontId="0" fillId="25" borderId="13" xfId="0" applyFill="1" applyBorder="1" applyAlignment="1">
      <alignment horizontal="left" vertical="center"/>
    </xf>
    <xf numFmtId="0" fontId="25" fillId="25" borderId="14" xfId="0" applyFont="1" applyFill="1" applyBorder="1" applyAlignment="1">
      <alignment horizontal="center"/>
    </xf>
    <xf numFmtId="0" fontId="25" fillId="25" borderId="15" xfId="0" applyFont="1" applyFill="1" applyBorder="1" applyAlignment="1">
      <alignment horizontal="center"/>
    </xf>
    <xf numFmtId="0" fontId="25" fillId="25" borderId="17" xfId="0" applyFont="1" applyFill="1" applyBorder="1" applyAlignment="1">
      <alignment horizontal="center"/>
    </xf>
    <xf numFmtId="0" fontId="0" fillId="25" borderId="15" xfId="0" applyFill="1" applyBorder="1" applyAlignment="1">
      <alignment horizontal="left" vertical="center"/>
    </xf>
    <xf numFmtId="0" fontId="26" fillId="0" borderId="0" xfId="0" applyFont="1"/>
    <xf numFmtId="0" fontId="27" fillId="26" borderId="4" xfId="0" applyFont="1" applyFill="1" applyBorder="1" applyAlignment="1">
      <alignment horizontal="center"/>
    </xf>
    <xf numFmtId="0" fontId="27" fillId="26" borderId="14" xfId="0" applyFont="1" applyFill="1" applyBorder="1" applyAlignment="1">
      <alignment horizontal="center"/>
    </xf>
    <xf numFmtId="0" fontId="27" fillId="26" borderId="0" xfId="0" applyFont="1" applyFill="1" applyAlignment="1">
      <alignment horizontal="center"/>
    </xf>
    <xf numFmtId="0" fontId="28" fillId="27" borderId="12" xfId="0" applyFont="1" applyFill="1" applyBorder="1" applyAlignment="1">
      <alignment horizontal="center" vertical="center"/>
    </xf>
    <xf numFmtId="0" fontId="28" fillId="28" borderId="0" xfId="0" applyFont="1" applyFill="1" applyAlignment="1">
      <alignment horizontal="center" vertical="center"/>
    </xf>
    <xf numFmtId="0" fontId="28" fillId="29" borderId="0" xfId="0" applyFont="1" applyFill="1" applyAlignment="1">
      <alignment horizontal="center" vertical="center"/>
    </xf>
    <xf numFmtId="0" fontId="28" fillId="30" borderId="0" xfId="0" applyFont="1" applyFill="1" applyAlignment="1">
      <alignment horizontal="center" vertical="center"/>
    </xf>
    <xf numFmtId="0" fontId="28" fillId="31" borderId="0" xfId="0" applyFont="1" applyFill="1" applyAlignment="1">
      <alignment horizontal="center" vertical="center"/>
    </xf>
    <xf numFmtId="0" fontId="28" fillId="32" borderId="0" xfId="0" applyFont="1" applyFill="1" applyAlignment="1">
      <alignment horizontal="center" vertical="center"/>
    </xf>
    <xf numFmtId="0" fontId="28" fillId="33" borderId="0" xfId="0" applyFont="1" applyFill="1" applyAlignment="1">
      <alignment horizontal="center" vertical="center"/>
    </xf>
    <xf numFmtId="0" fontId="28" fillId="20" borderId="0" xfId="0" applyFont="1" applyFill="1" applyAlignment="1">
      <alignment horizontal="center" vertical="center"/>
    </xf>
    <xf numFmtId="0" fontId="28" fillId="34" borderId="0" xfId="0" applyFont="1" applyFill="1" applyAlignment="1">
      <alignment horizontal="center" vertical="center"/>
    </xf>
    <xf numFmtId="0" fontId="28" fillId="35" borderId="0" xfId="0" applyFont="1" applyFill="1" applyAlignment="1">
      <alignment horizontal="center" vertical="center"/>
    </xf>
    <xf numFmtId="0" fontId="29" fillId="37" borderId="11" xfId="0" applyFont="1" applyFill="1" applyBorder="1" applyAlignment="1">
      <alignment horizontal="center"/>
    </xf>
    <xf numFmtId="0" fontId="29" fillId="38" borderId="18" xfId="0" applyFont="1" applyFill="1" applyBorder="1" applyAlignment="1">
      <alignment horizontal="center"/>
    </xf>
    <xf numFmtId="0" fontId="29" fillId="39" borderId="15" xfId="0" applyFont="1" applyFill="1" applyBorder="1" applyAlignment="1">
      <alignment horizontal="center"/>
    </xf>
    <xf numFmtId="0" fontId="29" fillId="0" borderId="0" xfId="0" applyFont="1" applyAlignment="1">
      <alignment horizontal="center"/>
    </xf>
    <xf numFmtId="49" fontId="30" fillId="0" borderId="0" xfId="0" applyNumberFormat="1" applyFont="1" applyAlignment="1">
      <alignment horizontal="center"/>
    </xf>
    <xf numFmtId="49" fontId="31" fillId="0" borderId="0" xfId="0" applyNumberFormat="1" applyFont="1" applyAlignment="1">
      <alignment horizontal="center"/>
    </xf>
    <xf numFmtId="9" fontId="29" fillId="40" borderId="14" xfId="0" applyNumberFormat="1" applyFont="1" applyFill="1" applyBorder="1" applyAlignment="1">
      <alignment horizontal="center"/>
    </xf>
    <xf numFmtId="9" fontId="29" fillId="29" borderId="17" xfId="0" applyNumberFormat="1" applyFont="1" applyFill="1" applyBorder="1" applyAlignment="1">
      <alignment horizontal="center"/>
    </xf>
    <xf numFmtId="9" fontId="29" fillId="41" borderId="19" xfId="0" applyNumberFormat="1" applyFont="1" applyFill="1" applyBorder="1" applyAlignment="1">
      <alignment horizontal="center"/>
    </xf>
    <xf numFmtId="9" fontId="29" fillId="42" borderId="19" xfId="0" applyNumberFormat="1" applyFont="1" applyFill="1" applyBorder="1" applyAlignment="1">
      <alignment horizontal="center"/>
    </xf>
    <xf numFmtId="9" fontId="29" fillId="22" borderId="19" xfId="0" applyNumberFormat="1" applyFont="1" applyFill="1" applyBorder="1" applyAlignment="1">
      <alignment horizontal="center"/>
    </xf>
    <xf numFmtId="9" fontId="29" fillId="43" borderId="19" xfId="0" applyNumberFormat="1" applyFont="1" applyFill="1" applyBorder="1" applyAlignment="1">
      <alignment horizontal="center"/>
    </xf>
    <xf numFmtId="9" fontId="29" fillId="16" borderId="19" xfId="0" applyNumberFormat="1" applyFont="1" applyFill="1" applyBorder="1" applyAlignment="1">
      <alignment horizontal="center"/>
    </xf>
    <xf numFmtId="9" fontId="29" fillId="44" borderId="19" xfId="0" applyNumberFormat="1" applyFont="1" applyFill="1" applyBorder="1" applyAlignment="1">
      <alignment horizontal="center"/>
    </xf>
    <xf numFmtId="9" fontId="29" fillId="45" borderId="18" xfId="0" applyNumberFormat="1" applyFont="1" applyFill="1" applyBorder="1" applyAlignment="1">
      <alignment horizontal="center"/>
    </xf>
    <xf numFmtId="0" fontId="23" fillId="0" borderId="0" xfId="0" applyFont="1" applyAlignment="1">
      <alignment horizontal="left"/>
    </xf>
    <xf numFmtId="0" fontId="32" fillId="0" borderId="0" xfId="0" applyFont="1" applyAlignment="1">
      <alignment horizontal="left"/>
    </xf>
    <xf numFmtId="0" fontId="29" fillId="37" borderId="13" xfId="0" applyFont="1" applyFill="1" applyBorder="1" applyAlignment="1">
      <alignment horizontal="center"/>
    </xf>
    <xf numFmtId="0" fontId="29" fillId="37" borderId="15" xfId="0" applyFont="1" applyFill="1" applyBorder="1" applyAlignment="1">
      <alignment horizontal="center"/>
    </xf>
    <xf numFmtId="0" fontId="29" fillId="38" borderId="4" xfId="0" applyFont="1" applyFill="1" applyBorder="1" applyAlignment="1">
      <alignment horizontal="center"/>
    </xf>
    <xf numFmtId="0" fontId="29" fillId="39" borderId="4" xfId="0" applyFont="1" applyFill="1" applyBorder="1" applyAlignment="1">
      <alignment horizontal="center"/>
    </xf>
    <xf numFmtId="9" fontId="29" fillId="40" borderId="9" xfId="0" applyNumberFormat="1" applyFont="1" applyFill="1" applyBorder="1" applyAlignment="1">
      <alignment horizontal="center"/>
    </xf>
    <xf numFmtId="9" fontId="29" fillId="29" borderId="19" xfId="0" applyNumberFormat="1" applyFont="1" applyFill="1" applyBorder="1" applyAlignment="1">
      <alignment horizontal="center"/>
    </xf>
    <xf numFmtId="9" fontId="29" fillId="22" borderId="17" xfId="0" applyNumberFormat="1" applyFont="1" applyFill="1" applyBorder="1" applyAlignment="1">
      <alignment horizontal="center"/>
    </xf>
    <xf numFmtId="0" fontId="29" fillId="49" borderId="11" xfId="0" applyFont="1" applyFill="1" applyBorder="1" applyAlignment="1">
      <alignment horizontal="center"/>
    </xf>
    <xf numFmtId="0" fontId="29" fillId="49" borderId="13" xfId="0" applyFont="1" applyFill="1" applyBorder="1" applyAlignment="1">
      <alignment horizontal="center"/>
    </xf>
    <xf numFmtId="0" fontId="29" fillId="49" borderId="15" xfId="0" applyFont="1" applyFill="1" applyBorder="1" applyAlignment="1">
      <alignment horizontal="center"/>
    </xf>
    <xf numFmtId="0" fontId="29" fillId="33" borderId="11" xfId="0" applyFont="1" applyFill="1" applyBorder="1" applyAlignment="1">
      <alignment horizontal="center"/>
    </xf>
    <xf numFmtId="0" fontId="29" fillId="33" borderId="13" xfId="0" applyFont="1" applyFill="1" applyBorder="1" applyAlignment="1">
      <alignment horizontal="center"/>
    </xf>
    <xf numFmtId="0" fontId="29" fillId="33" borderId="15" xfId="0" applyFont="1" applyFill="1" applyBorder="1" applyAlignment="1">
      <alignment horizontal="center"/>
    </xf>
    <xf numFmtId="0" fontId="29" fillId="35" borderId="11" xfId="0" applyFont="1" applyFill="1" applyBorder="1" applyAlignment="1">
      <alignment horizontal="center"/>
    </xf>
    <xf numFmtId="0" fontId="29" fillId="35" borderId="13" xfId="0" applyFont="1" applyFill="1" applyBorder="1" applyAlignment="1">
      <alignment horizontal="center"/>
    </xf>
    <xf numFmtId="0" fontId="29" fillId="35" borderId="15" xfId="0" applyFont="1" applyFill="1" applyBorder="1" applyAlignment="1">
      <alignment horizontal="center"/>
    </xf>
    <xf numFmtId="0" fontId="29" fillId="50" borderId="11" xfId="0" applyFont="1" applyFill="1" applyBorder="1" applyAlignment="1">
      <alignment horizontal="center"/>
    </xf>
    <xf numFmtId="0" fontId="29" fillId="50" borderId="13" xfId="0" applyFont="1" applyFill="1" applyBorder="1" applyAlignment="1">
      <alignment horizontal="center"/>
    </xf>
    <xf numFmtId="0" fontId="29" fillId="50" borderId="15" xfId="0" applyFont="1" applyFill="1" applyBorder="1" applyAlignment="1">
      <alignment horizontal="center"/>
    </xf>
    <xf numFmtId="0" fontId="29" fillId="51" borderId="11" xfId="0" applyFont="1" applyFill="1" applyBorder="1" applyAlignment="1">
      <alignment horizontal="center"/>
    </xf>
    <xf numFmtId="0" fontId="29" fillId="51" borderId="13" xfId="0" applyFont="1" applyFill="1" applyBorder="1" applyAlignment="1">
      <alignment horizontal="center"/>
    </xf>
    <xf numFmtId="0" fontId="29" fillId="51" borderId="15" xfId="0" applyFont="1" applyFill="1" applyBorder="1" applyAlignment="1">
      <alignment horizontal="center"/>
    </xf>
    <xf numFmtId="0" fontId="29" fillId="0" borderId="17" xfId="0" applyFont="1" applyBorder="1" applyAlignment="1">
      <alignment horizontal="center"/>
    </xf>
    <xf numFmtId="0" fontId="29" fillId="0" borderId="15" xfId="0" applyFont="1" applyBorder="1" applyAlignment="1">
      <alignment horizontal="center"/>
    </xf>
    <xf numFmtId="49" fontId="30" fillId="0" borderId="17" xfId="0" applyNumberFormat="1" applyFont="1" applyBorder="1" applyAlignment="1">
      <alignment horizontal="center"/>
    </xf>
    <xf numFmtId="0" fontId="26" fillId="0" borderId="0" xfId="0" applyFont="1" applyAlignment="1">
      <alignment horizontal="left"/>
    </xf>
    <xf numFmtId="0" fontId="33" fillId="0" borderId="0" xfId="0" applyFont="1" applyAlignment="1">
      <alignment horizontal="left"/>
    </xf>
    <xf numFmtId="0" fontId="8" fillId="0" borderId="0" xfId="0" applyFont="1" applyAlignment="1">
      <alignment horizontal="left" wrapText="1"/>
    </xf>
    <xf numFmtId="0" fontId="29" fillId="52" borderId="11" xfId="0" applyFont="1" applyFill="1" applyBorder="1" applyAlignment="1">
      <alignment horizontal="center"/>
    </xf>
    <xf numFmtId="0" fontId="34" fillId="0" borderId="0" xfId="0" applyFont="1" applyAlignment="1">
      <alignment horizontal="center" vertical="center"/>
    </xf>
    <xf numFmtId="49" fontId="35" fillId="53" borderId="0" xfId="0" applyNumberFormat="1" applyFont="1" applyFill="1" applyAlignment="1">
      <alignment horizontal="center" vertical="center"/>
    </xf>
    <xf numFmtId="0" fontId="17" fillId="0" borderId="0" xfId="0" applyFont="1" applyAlignment="1">
      <alignment horizontal="center" vertical="center"/>
    </xf>
    <xf numFmtId="49" fontId="17" fillId="53" borderId="0" xfId="0" applyNumberFormat="1" applyFont="1" applyFill="1" applyAlignment="1">
      <alignment horizontal="center" vertical="center"/>
    </xf>
    <xf numFmtId="0" fontId="37" fillId="55" borderId="0" xfId="0" applyFont="1" applyFill="1" applyAlignment="1">
      <alignment horizontal="center" vertical="center"/>
    </xf>
    <xf numFmtId="0" fontId="17" fillId="56" borderId="0" xfId="0" applyFont="1" applyFill="1" applyAlignment="1">
      <alignment horizontal="center" vertical="center"/>
    </xf>
    <xf numFmtId="0" fontId="38" fillId="57" borderId="0" xfId="0" applyFont="1" applyFill="1" applyAlignment="1">
      <alignment horizontal="center" vertical="center"/>
    </xf>
    <xf numFmtId="0" fontId="17" fillId="58" borderId="0" xfId="0" applyFont="1" applyFill="1" applyAlignment="1">
      <alignment horizontal="center" vertical="center"/>
    </xf>
    <xf numFmtId="0" fontId="39" fillId="59" borderId="0" xfId="0" applyFont="1" applyFill="1" applyAlignment="1">
      <alignment horizontal="center" vertical="center" wrapText="1"/>
    </xf>
    <xf numFmtId="0" fontId="17" fillId="60" borderId="0" xfId="0" applyFont="1" applyFill="1" applyAlignment="1">
      <alignment horizontal="center" vertical="center"/>
    </xf>
    <xf numFmtId="0" fontId="38" fillId="61" borderId="0" xfId="0" applyFont="1" applyFill="1" applyAlignment="1">
      <alignment horizontal="center" vertical="center"/>
    </xf>
    <xf numFmtId="0" fontId="17" fillId="62" borderId="0" xfId="0" applyFont="1" applyFill="1" applyAlignment="1">
      <alignment horizontal="center" vertical="center"/>
    </xf>
    <xf numFmtId="0" fontId="39" fillId="63" borderId="0" xfId="0" applyFont="1" applyFill="1" applyAlignment="1">
      <alignment horizontal="center" vertical="center"/>
    </xf>
    <xf numFmtId="0" fontId="17" fillId="64" borderId="0" xfId="0" applyFont="1" applyFill="1" applyAlignment="1">
      <alignment horizontal="center" vertical="center"/>
    </xf>
    <xf numFmtId="0" fontId="39" fillId="65" borderId="0" xfId="0" applyFont="1" applyFill="1" applyAlignment="1">
      <alignment horizontal="center" vertical="center"/>
    </xf>
    <xf numFmtId="0" fontId="17" fillId="66" borderId="0" xfId="0" applyFont="1" applyFill="1" applyAlignment="1">
      <alignment horizontal="center" vertical="center"/>
    </xf>
    <xf numFmtId="0" fontId="39" fillId="67" borderId="12" xfId="0" applyFont="1" applyFill="1" applyBorder="1" applyAlignment="1">
      <alignment horizontal="center" vertical="center"/>
    </xf>
    <xf numFmtId="0" fontId="17" fillId="5" borderId="0" xfId="0" applyFont="1" applyFill="1" applyAlignment="1">
      <alignment horizontal="center" vertical="center"/>
    </xf>
    <xf numFmtId="0" fontId="17" fillId="68" borderId="0" xfId="0" applyFont="1" applyFill="1" applyAlignment="1">
      <alignment horizontal="center" vertical="center"/>
    </xf>
    <xf numFmtId="0" fontId="17" fillId="69" borderId="0" xfId="0" applyFont="1" applyFill="1" applyAlignment="1">
      <alignment horizontal="center" vertical="center"/>
    </xf>
    <xf numFmtId="0" fontId="17" fillId="70" borderId="0" xfId="0" applyFont="1" applyFill="1" applyAlignment="1">
      <alignment horizontal="center" vertical="center"/>
    </xf>
    <xf numFmtId="49" fontId="40" fillId="65" borderId="0" xfId="0" applyNumberFormat="1" applyFont="1" applyFill="1" applyAlignment="1">
      <alignment horizontal="center" vertical="center"/>
    </xf>
    <xf numFmtId="0" fontId="17" fillId="71" borderId="0" xfId="0" applyFont="1" applyFill="1" applyAlignment="1">
      <alignment horizontal="center" vertical="center"/>
    </xf>
    <xf numFmtId="0" fontId="17" fillId="72" borderId="0" xfId="0" applyFont="1" applyFill="1" applyAlignment="1">
      <alignment horizontal="center" vertical="center"/>
    </xf>
    <xf numFmtId="49" fontId="35" fillId="65" borderId="0" xfId="0" applyNumberFormat="1" applyFont="1" applyFill="1" applyAlignment="1">
      <alignment horizontal="center" vertical="center"/>
    </xf>
    <xf numFmtId="0" fontId="41" fillId="59" borderId="22" xfId="0" applyFont="1" applyFill="1" applyBorder="1" applyAlignment="1">
      <alignment horizontal="center" vertical="center" wrapText="1"/>
    </xf>
    <xf numFmtId="0" fontId="41" fillId="59" borderId="23" xfId="0" applyFont="1" applyFill="1" applyBorder="1" applyAlignment="1">
      <alignment horizontal="center" vertical="center" wrapText="1"/>
    </xf>
    <xf numFmtId="0" fontId="41" fillId="59" borderId="24" xfId="0" applyFont="1" applyFill="1" applyBorder="1" applyAlignment="1">
      <alignment horizontal="center" vertical="center" wrapText="1"/>
    </xf>
    <xf numFmtId="0" fontId="41" fillId="59" borderId="0" xfId="0" applyFont="1" applyFill="1" applyAlignment="1">
      <alignment horizontal="center" vertical="center" wrapText="1"/>
    </xf>
    <xf numFmtId="0" fontId="41" fillId="73" borderId="0" xfId="0" applyFont="1" applyFill="1" applyAlignment="1">
      <alignment horizontal="center" vertical="center" wrapText="1"/>
    </xf>
    <xf numFmtId="0" fontId="17" fillId="56" borderId="25" xfId="0" applyFont="1" applyFill="1" applyBorder="1" applyAlignment="1">
      <alignment horizontal="center" vertical="center"/>
    </xf>
    <xf numFmtId="0" fontId="17" fillId="65" borderId="0" xfId="0" applyFont="1" applyFill="1" applyAlignment="1">
      <alignment horizontal="center" vertical="center"/>
    </xf>
    <xf numFmtId="0" fontId="17" fillId="71" borderId="26" xfId="0" applyFont="1" applyFill="1" applyBorder="1" applyAlignment="1">
      <alignment horizontal="center" vertical="center"/>
    </xf>
    <xf numFmtId="0" fontId="41" fillId="0" borderId="25" xfId="0" applyFont="1" applyBorder="1" applyAlignment="1">
      <alignment horizontal="center" vertical="center" wrapText="1"/>
    </xf>
    <xf numFmtId="0" fontId="41" fillId="0" borderId="0" xfId="0" applyFont="1" applyAlignment="1">
      <alignment horizontal="center" vertical="center" wrapText="1"/>
    </xf>
    <xf numFmtId="0" fontId="41" fillId="0" borderId="26" xfId="0" applyFont="1" applyBorder="1" applyAlignment="1">
      <alignment horizontal="center" vertical="center" wrapText="1"/>
    </xf>
    <xf numFmtId="0" fontId="17" fillId="48" borderId="0" xfId="0" applyFont="1" applyFill="1" applyAlignment="1">
      <alignment horizontal="center" vertical="center"/>
    </xf>
    <xf numFmtId="0" fontId="42" fillId="0" borderId="25" xfId="0" applyFont="1" applyBorder="1" applyAlignment="1">
      <alignment horizontal="center" vertical="center" wrapText="1"/>
    </xf>
    <xf numFmtId="0" fontId="42" fillId="0" borderId="0" xfId="0" applyFont="1" applyAlignment="1">
      <alignment horizontal="center" vertical="center" wrapText="1"/>
    </xf>
    <xf numFmtId="0" fontId="42" fillId="0" borderId="26" xfId="0" applyFont="1" applyBorder="1" applyAlignment="1">
      <alignment horizontal="center" vertical="center" wrapText="1"/>
    </xf>
    <xf numFmtId="0" fontId="17" fillId="74" borderId="0" xfId="0" applyFont="1" applyFill="1" applyAlignment="1">
      <alignment horizontal="center" vertical="center"/>
    </xf>
    <xf numFmtId="0" fontId="43" fillId="0" borderId="25" xfId="0" applyFont="1" applyBorder="1" applyAlignment="1">
      <alignment horizontal="center" vertical="center" wrapText="1"/>
    </xf>
    <xf numFmtId="0" fontId="43" fillId="0" borderId="0" xfId="0" applyFont="1" applyAlignment="1">
      <alignment horizontal="center" vertical="center" wrapText="1"/>
    </xf>
    <xf numFmtId="0" fontId="43" fillId="0" borderId="26" xfId="0" applyFont="1" applyBorder="1" applyAlignment="1">
      <alignment horizontal="center" vertical="center" wrapText="1"/>
    </xf>
    <xf numFmtId="0" fontId="17" fillId="17" borderId="0" xfId="0" applyFont="1" applyFill="1" applyAlignment="1">
      <alignment horizontal="center" vertical="center"/>
    </xf>
    <xf numFmtId="0" fontId="44" fillId="0" borderId="25" xfId="0" applyFont="1" applyBorder="1" applyAlignment="1">
      <alignment horizontal="center" vertical="center" wrapText="1"/>
    </xf>
    <xf numFmtId="0" fontId="44" fillId="0" borderId="0" xfId="0" applyFont="1" applyAlignment="1">
      <alignment horizontal="center" vertical="center" wrapText="1"/>
    </xf>
    <xf numFmtId="0" fontId="44" fillId="0" borderId="26" xfId="0" applyFont="1" applyBorder="1" applyAlignment="1">
      <alignment horizontal="center" vertical="center" wrapText="1"/>
    </xf>
    <xf numFmtId="0" fontId="17" fillId="75" borderId="0" xfId="0" applyFont="1" applyFill="1" applyAlignment="1">
      <alignment horizontal="center" vertical="center"/>
    </xf>
    <xf numFmtId="0" fontId="45" fillId="0" borderId="25" xfId="0" applyFont="1" applyBorder="1" applyAlignment="1">
      <alignment horizontal="center" vertical="center" wrapText="1"/>
    </xf>
    <xf numFmtId="0" fontId="45" fillId="0" borderId="0" xfId="0" applyFont="1" applyAlignment="1">
      <alignment horizontal="center" vertical="center" wrapText="1"/>
    </xf>
    <xf numFmtId="0" fontId="45" fillId="0" borderId="26" xfId="0" applyFont="1" applyBorder="1" applyAlignment="1">
      <alignment horizontal="center" vertical="center" wrapText="1"/>
    </xf>
    <xf numFmtId="9" fontId="46" fillId="0" borderId="25" xfId="0" applyNumberFormat="1" applyFont="1" applyBorder="1" applyAlignment="1">
      <alignment horizontal="center" vertical="center" wrapText="1"/>
    </xf>
    <xf numFmtId="9" fontId="46" fillId="0" borderId="0" xfId="0" applyNumberFormat="1" applyFont="1" applyAlignment="1">
      <alignment horizontal="center" vertical="center" wrapText="1"/>
    </xf>
    <xf numFmtId="9" fontId="46" fillId="0" borderId="26" xfId="0" applyNumberFormat="1" applyFont="1" applyBorder="1" applyAlignment="1">
      <alignment horizontal="center" vertical="center" wrapText="1"/>
    </xf>
    <xf numFmtId="9" fontId="44" fillId="0" borderId="25" xfId="0" applyNumberFormat="1" applyFont="1" applyBorder="1" applyAlignment="1">
      <alignment horizontal="center" vertical="center" wrapText="1"/>
    </xf>
    <xf numFmtId="9" fontId="44" fillId="0" borderId="0" xfId="0" applyNumberFormat="1" applyFont="1" applyAlignment="1">
      <alignment horizontal="center" vertical="center" wrapText="1"/>
    </xf>
    <xf numFmtId="9" fontId="44" fillId="0" borderId="26" xfId="0" applyNumberFormat="1" applyFont="1" applyBorder="1" applyAlignment="1">
      <alignment horizontal="center" vertical="center" wrapText="1"/>
    </xf>
    <xf numFmtId="9" fontId="47" fillId="0" borderId="25" xfId="0" applyNumberFormat="1" applyFont="1" applyBorder="1" applyAlignment="1">
      <alignment horizontal="center" vertical="center" wrapText="1"/>
    </xf>
    <xf numFmtId="9" fontId="47" fillId="0" borderId="0" xfId="0" applyNumberFormat="1" applyFont="1" applyAlignment="1">
      <alignment horizontal="center" vertical="center" wrapText="1"/>
    </xf>
    <xf numFmtId="9" fontId="47" fillId="0" borderId="26" xfId="0" applyNumberFormat="1" applyFont="1" applyBorder="1" applyAlignment="1">
      <alignment horizontal="center" vertical="center" wrapText="1"/>
    </xf>
    <xf numFmtId="9" fontId="48" fillId="0" borderId="25" xfId="0" applyNumberFormat="1" applyFont="1" applyBorder="1" applyAlignment="1">
      <alignment horizontal="center" vertical="center" wrapText="1"/>
    </xf>
    <xf numFmtId="9" fontId="48" fillId="0" borderId="0" xfId="0" applyNumberFormat="1" applyFont="1" applyAlignment="1">
      <alignment horizontal="center" vertical="center" wrapText="1"/>
    </xf>
    <xf numFmtId="9" fontId="48" fillId="0" borderId="26" xfId="0" applyNumberFormat="1" applyFont="1" applyBorder="1" applyAlignment="1">
      <alignment horizontal="center" vertical="center" wrapText="1"/>
    </xf>
    <xf numFmtId="0" fontId="17" fillId="0" borderId="27" xfId="0" applyFont="1" applyBorder="1" applyAlignment="1">
      <alignment horizontal="center" vertical="center"/>
    </xf>
    <xf numFmtId="9" fontId="49" fillId="0" borderId="25" xfId="0" applyNumberFormat="1" applyFont="1" applyBorder="1" applyAlignment="1">
      <alignment horizontal="center" vertical="center" wrapText="1"/>
    </xf>
    <xf numFmtId="9" fontId="49" fillId="0" borderId="0" xfId="0" applyNumberFormat="1" applyFont="1" applyAlignment="1">
      <alignment horizontal="center" vertical="center" wrapText="1"/>
    </xf>
    <xf numFmtId="9" fontId="49" fillId="0" borderId="26" xfId="0" applyNumberFormat="1" applyFont="1" applyBorder="1" applyAlignment="1">
      <alignment horizontal="center" vertical="center" wrapText="1"/>
    </xf>
    <xf numFmtId="9" fontId="50" fillId="0" borderId="25" xfId="0" applyNumberFormat="1" applyFont="1" applyBorder="1" applyAlignment="1">
      <alignment horizontal="center" vertical="center" wrapText="1"/>
    </xf>
    <xf numFmtId="9" fontId="50" fillId="0" borderId="0" xfId="0" applyNumberFormat="1" applyFont="1" applyAlignment="1">
      <alignment horizontal="center" vertical="center" wrapText="1"/>
    </xf>
    <xf numFmtId="9" fontId="50" fillId="0" borderId="26" xfId="0" applyNumberFormat="1" applyFont="1" applyBorder="1" applyAlignment="1">
      <alignment horizontal="center" vertical="center" wrapText="1"/>
    </xf>
    <xf numFmtId="9" fontId="51" fillId="0" borderId="25" xfId="0" applyNumberFormat="1" applyFont="1" applyBorder="1" applyAlignment="1">
      <alignment horizontal="center" vertical="center" wrapText="1"/>
    </xf>
    <xf numFmtId="9" fontId="51" fillId="0" borderId="0" xfId="0" applyNumberFormat="1" applyFont="1" applyAlignment="1">
      <alignment horizontal="center" vertical="center" wrapText="1"/>
    </xf>
    <xf numFmtId="9" fontId="51" fillId="0" borderId="28" xfId="0" applyNumberFormat="1" applyFont="1" applyBorder="1" applyAlignment="1">
      <alignment horizontal="center" vertical="center" wrapText="1"/>
    </xf>
    <xf numFmtId="9" fontId="42" fillId="0" borderId="25" xfId="0" applyNumberFormat="1" applyFont="1" applyBorder="1" applyAlignment="1">
      <alignment horizontal="center" vertical="center" wrapText="1"/>
    </xf>
    <xf numFmtId="9" fontId="42" fillId="0" borderId="0" xfId="0" applyNumberFormat="1" applyFont="1" applyAlignment="1">
      <alignment horizontal="center" vertical="center" wrapText="1"/>
    </xf>
    <xf numFmtId="9" fontId="42" fillId="0" borderId="29" xfId="0" applyNumberFormat="1" applyFont="1" applyBorder="1" applyAlignment="1">
      <alignment horizontal="center" vertical="center" wrapText="1"/>
    </xf>
    <xf numFmtId="9" fontId="45" fillId="0" borderId="25" xfId="0" applyNumberFormat="1" applyFont="1" applyBorder="1" applyAlignment="1">
      <alignment horizontal="center" vertical="center" wrapText="1"/>
    </xf>
    <xf numFmtId="9" fontId="45" fillId="0" borderId="0" xfId="0" applyNumberFormat="1" applyFont="1" applyAlignment="1">
      <alignment horizontal="center" vertical="center" wrapText="1"/>
    </xf>
    <xf numFmtId="9" fontId="45" fillId="0" borderId="29" xfId="0" applyNumberFormat="1" applyFont="1" applyBorder="1" applyAlignment="1">
      <alignment horizontal="center" vertical="center" wrapText="1"/>
    </xf>
    <xf numFmtId="0" fontId="44" fillId="0" borderId="29" xfId="0" applyFont="1" applyBorder="1" applyAlignment="1">
      <alignment horizontal="center" vertical="center" wrapText="1"/>
    </xf>
    <xf numFmtId="0" fontId="52" fillId="0" borderId="25" xfId="0" applyFont="1" applyBorder="1" applyAlignment="1">
      <alignment horizontal="center" vertical="center" wrapText="1"/>
    </xf>
    <xf numFmtId="0" fontId="52" fillId="0" borderId="0" xfId="0" applyFont="1" applyAlignment="1">
      <alignment horizontal="center" vertical="center" wrapText="1"/>
    </xf>
    <xf numFmtId="0" fontId="52" fillId="0" borderId="29" xfId="0" applyFont="1" applyBorder="1" applyAlignment="1">
      <alignment horizontal="center" vertical="center" wrapText="1"/>
    </xf>
    <xf numFmtId="0" fontId="17" fillId="47" borderId="0" xfId="0" applyFont="1" applyFill="1" applyAlignment="1">
      <alignment horizontal="center" vertical="center"/>
    </xf>
    <xf numFmtId="49" fontId="49" fillId="0" borderId="25" xfId="0" applyNumberFormat="1" applyFont="1" applyBorder="1" applyAlignment="1">
      <alignment horizontal="center" vertical="center" wrapText="1"/>
    </xf>
    <xf numFmtId="49" fontId="49" fillId="0" borderId="0" xfId="0" applyNumberFormat="1" applyFont="1" applyAlignment="1">
      <alignment horizontal="center" vertical="center" wrapText="1"/>
    </xf>
    <xf numFmtId="9" fontId="44" fillId="0" borderId="29" xfId="0" applyNumberFormat="1" applyFont="1" applyBorder="1" applyAlignment="1">
      <alignment horizontal="center" vertical="center" wrapText="1"/>
    </xf>
    <xf numFmtId="0" fontId="53" fillId="0" borderId="25" xfId="0" applyFont="1" applyBorder="1" applyAlignment="1">
      <alignment horizontal="center" vertical="center" wrapText="1"/>
    </xf>
    <xf numFmtId="0" fontId="53" fillId="0" borderId="0" xfId="0" applyFont="1" applyAlignment="1">
      <alignment horizontal="center" vertical="center" wrapText="1"/>
    </xf>
    <xf numFmtId="0" fontId="53" fillId="0" borderId="29" xfId="0" applyFont="1" applyBorder="1" applyAlignment="1">
      <alignment horizontal="center" vertical="center" wrapText="1"/>
    </xf>
    <xf numFmtId="0" fontId="10" fillId="0" borderId="25" xfId="0" applyFont="1" applyBorder="1" applyAlignment="1">
      <alignment horizontal="center" vertical="center"/>
    </xf>
    <xf numFmtId="0" fontId="10" fillId="0" borderId="0" xfId="0" applyFont="1" applyAlignment="1">
      <alignment horizontal="center" vertical="center"/>
    </xf>
    <xf numFmtId="0" fontId="10" fillId="0" borderId="29" xfId="0" applyFont="1" applyBorder="1" applyAlignment="1">
      <alignment horizontal="center" vertical="center"/>
    </xf>
    <xf numFmtId="0" fontId="17" fillId="0" borderId="25" xfId="0" applyFont="1" applyBorder="1" applyAlignment="1">
      <alignment horizontal="center" vertical="center"/>
    </xf>
    <xf numFmtId="0" fontId="34" fillId="0" borderId="29" xfId="0" applyFont="1" applyBorder="1" applyAlignment="1">
      <alignment horizontal="center" vertical="center"/>
    </xf>
    <xf numFmtId="0" fontId="17" fillId="67" borderId="25" xfId="0" applyFont="1" applyFill="1" applyBorder="1" applyAlignment="1">
      <alignment horizontal="center" vertical="center"/>
    </xf>
    <xf numFmtId="0" fontId="17" fillId="67" borderId="0" xfId="0" applyFont="1" applyFill="1" applyAlignment="1">
      <alignment horizontal="center" vertical="center"/>
    </xf>
    <xf numFmtId="0" fontId="17" fillId="67" borderId="29" xfId="0" applyFont="1" applyFill="1" applyBorder="1" applyAlignment="1">
      <alignment horizontal="center" vertical="center"/>
    </xf>
    <xf numFmtId="0" fontId="17" fillId="71" borderId="30" xfId="0" applyFont="1" applyFill="1" applyBorder="1" applyAlignment="1">
      <alignment horizontal="center" vertical="center"/>
    </xf>
    <xf numFmtId="0" fontId="17" fillId="0" borderId="26" xfId="0" applyFont="1" applyBorder="1" applyAlignment="1">
      <alignment horizontal="center" vertical="center"/>
    </xf>
    <xf numFmtId="9" fontId="51" fillId="0" borderId="26" xfId="0" applyNumberFormat="1" applyFont="1" applyBorder="1" applyAlignment="1">
      <alignment horizontal="center" vertical="center" wrapText="1"/>
    </xf>
    <xf numFmtId="9" fontId="42" fillId="0" borderId="26" xfId="0" applyNumberFormat="1" applyFont="1" applyBorder="1" applyAlignment="1">
      <alignment horizontal="center" vertical="center" wrapText="1"/>
    </xf>
    <xf numFmtId="9" fontId="45" fillId="0" borderId="26" xfId="0" applyNumberFormat="1" applyFont="1" applyBorder="1" applyAlignment="1">
      <alignment horizontal="center" vertical="center" wrapText="1"/>
    </xf>
    <xf numFmtId="0" fontId="52" fillId="0" borderId="26" xfId="0" applyFont="1" applyBorder="1" applyAlignment="1">
      <alignment horizontal="center" vertical="center" wrapText="1"/>
    </xf>
    <xf numFmtId="0" fontId="10" fillId="0" borderId="26" xfId="0" applyFont="1" applyBorder="1" applyAlignment="1">
      <alignment horizontal="center" vertical="center"/>
    </xf>
    <xf numFmtId="0" fontId="34" fillId="0" borderId="26" xfId="0" applyFont="1" applyBorder="1" applyAlignment="1">
      <alignment horizontal="center" vertical="center"/>
    </xf>
    <xf numFmtId="0" fontId="34" fillId="0" borderId="25" xfId="0" applyFont="1" applyBorder="1" applyAlignment="1">
      <alignment horizontal="center" vertical="center"/>
    </xf>
    <xf numFmtId="0" fontId="17" fillId="67" borderId="26" xfId="0" applyFont="1" applyFill="1" applyBorder="1" applyAlignment="1">
      <alignment horizontal="center" vertical="center"/>
    </xf>
    <xf numFmtId="0" fontId="53" fillId="0" borderId="26" xfId="0" applyFont="1" applyBorder="1" applyAlignment="1">
      <alignment horizontal="center" vertical="center" wrapText="1"/>
    </xf>
    <xf numFmtId="0" fontId="41" fillId="61" borderId="25" xfId="0" applyFont="1" applyFill="1" applyBorder="1" applyAlignment="1">
      <alignment horizontal="center" vertical="center" wrapText="1"/>
    </xf>
    <xf numFmtId="0" fontId="41" fillId="61" borderId="0" xfId="0" applyFont="1" applyFill="1" applyAlignment="1">
      <alignment horizontal="center" vertical="center" wrapText="1"/>
    </xf>
    <xf numFmtId="0" fontId="41" fillId="61" borderId="26" xfId="0" applyFont="1" applyFill="1" applyBorder="1" applyAlignment="1">
      <alignment horizontal="center" vertical="center" wrapText="1"/>
    </xf>
    <xf numFmtId="0" fontId="41" fillId="65" borderId="25" xfId="0" applyFont="1" applyFill="1" applyBorder="1" applyAlignment="1">
      <alignment horizontal="center" vertical="center" wrapText="1"/>
    </xf>
    <xf numFmtId="0" fontId="41" fillId="65" borderId="0" xfId="0" applyFont="1" applyFill="1" applyAlignment="1">
      <alignment horizontal="center" vertical="center" wrapText="1"/>
    </xf>
    <xf numFmtId="0" fontId="41" fillId="65" borderId="26" xfId="0" applyFont="1" applyFill="1" applyBorder="1" applyAlignment="1">
      <alignment horizontal="center" vertical="center" wrapText="1"/>
    </xf>
    <xf numFmtId="0" fontId="41" fillId="57" borderId="25" xfId="0" applyFont="1" applyFill="1" applyBorder="1" applyAlignment="1">
      <alignment horizontal="center" vertical="center" wrapText="1"/>
    </xf>
    <xf numFmtId="0" fontId="41" fillId="57" borderId="0" xfId="0" applyFont="1" applyFill="1" applyAlignment="1">
      <alignment horizontal="center" vertical="center" wrapText="1"/>
    </xf>
    <xf numFmtId="0" fontId="41" fillId="57" borderId="26" xfId="0" applyFont="1" applyFill="1" applyBorder="1" applyAlignment="1">
      <alignment horizontal="center" vertical="center" wrapText="1"/>
    </xf>
    <xf numFmtId="0" fontId="10" fillId="0" borderId="0" xfId="0" applyFont="1" applyAlignment="1">
      <alignment horizontal="center" vertical="center" wrapText="1"/>
    </xf>
    <xf numFmtId="0" fontId="41" fillId="63" borderId="0" xfId="0" applyFont="1" applyFill="1" applyAlignment="1">
      <alignment horizontal="center" vertical="center"/>
    </xf>
    <xf numFmtId="9" fontId="54" fillId="0" borderId="25" xfId="0" applyNumberFormat="1" applyFont="1" applyBorder="1" applyAlignment="1">
      <alignment horizontal="center" vertical="center" wrapText="1"/>
    </xf>
    <xf numFmtId="0" fontId="55" fillId="0" borderId="0" xfId="0" applyFont="1" applyAlignment="1">
      <alignment horizontal="center"/>
    </xf>
    <xf numFmtId="0" fontId="10" fillId="0" borderId="31" xfId="0" applyFont="1" applyBorder="1" applyAlignment="1">
      <alignment horizontal="center" vertical="center"/>
    </xf>
    <xf numFmtId="0" fontId="56" fillId="55" borderId="0" xfId="0" applyFont="1" applyFill="1" applyAlignment="1">
      <alignment horizontal="center" vertical="center"/>
    </xf>
    <xf numFmtId="0" fontId="57" fillId="55" borderId="0" xfId="0" applyFont="1" applyFill="1" applyAlignment="1">
      <alignment horizontal="center" vertical="center"/>
    </xf>
    <xf numFmtId="0" fontId="58" fillId="55" borderId="0" xfId="0" applyFont="1" applyFill="1" applyAlignment="1">
      <alignment horizontal="center"/>
    </xf>
    <xf numFmtId="0" fontId="59" fillId="0" borderId="0" xfId="0" applyFont="1" applyAlignment="1">
      <alignment horizontal="center" vertical="center" wrapText="1"/>
    </xf>
    <xf numFmtId="0" fontId="60" fillId="0" borderId="0" xfId="0" applyFont="1" applyAlignment="1">
      <alignment horizontal="center" vertical="center" wrapText="1"/>
    </xf>
    <xf numFmtId="0" fontId="61" fillId="0" borderId="0" xfId="0" applyFont="1" applyAlignment="1">
      <alignment horizontal="center" vertical="center" wrapText="1"/>
    </xf>
    <xf numFmtId="0" fontId="55" fillId="0" borderId="0" xfId="0" applyFont="1" applyAlignment="1">
      <alignment horizontal="center" vertical="center" wrapText="1"/>
    </xf>
    <xf numFmtId="0" fontId="62" fillId="0" borderId="0" xfId="0" applyFont="1" applyAlignment="1">
      <alignment horizontal="center" vertical="center" wrapText="1"/>
    </xf>
    <xf numFmtId="9" fontId="63" fillId="0" borderId="0" xfId="0" applyNumberFormat="1" applyFont="1" applyAlignment="1">
      <alignment horizontal="center" vertical="center" wrapText="1"/>
    </xf>
    <xf numFmtId="9" fontId="55" fillId="0" borderId="0" xfId="0" applyNumberFormat="1" applyFont="1" applyAlignment="1">
      <alignment horizontal="center" vertical="center" wrapText="1"/>
    </xf>
    <xf numFmtId="9" fontId="64" fillId="0" borderId="0" xfId="0" applyNumberFormat="1" applyFont="1" applyAlignment="1">
      <alignment horizontal="center" vertical="center" wrapText="1"/>
    </xf>
    <xf numFmtId="9" fontId="65" fillId="0" borderId="0" xfId="0" applyNumberFormat="1" applyFont="1" applyAlignment="1">
      <alignment horizontal="center" vertical="center" wrapText="1"/>
    </xf>
    <xf numFmtId="9" fontId="54" fillId="0" borderId="0" xfId="0" applyNumberFormat="1" applyFont="1" applyAlignment="1">
      <alignment horizontal="center" vertical="center" wrapText="1"/>
    </xf>
    <xf numFmtId="9" fontId="66" fillId="0" borderId="0" xfId="0" applyNumberFormat="1" applyFont="1" applyAlignment="1">
      <alignment horizontal="center" vertical="center" wrapText="1"/>
    </xf>
    <xf numFmtId="9" fontId="67" fillId="0" borderId="0" xfId="0" applyNumberFormat="1" applyFont="1" applyAlignment="1">
      <alignment horizontal="center" vertical="center" wrapText="1"/>
    </xf>
    <xf numFmtId="9" fontId="68" fillId="0" borderId="0" xfId="0" applyNumberFormat="1" applyFont="1" applyAlignment="1">
      <alignment horizontal="center" vertical="center" wrapText="1"/>
    </xf>
    <xf numFmtId="9" fontId="60" fillId="0" borderId="0" xfId="0" applyNumberFormat="1" applyFont="1" applyAlignment="1">
      <alignment horizontal="center" vertical="center" wrapText="1"/>
    </xf>
    <xf numFmtId="9" fontId="62" fillId="0" borderId="0" xfId="0" applyNumberFormat="1" applyFont="1" applyAlignment="1">
      <alignment horizontal="center" vertical="center" wrapText="1"/>
    </xf>
    <xf numFmtId="0" fontId="69" fillId="0" borderId="0" xfId="0" applyFont="1" applyAlignment="1">
      <alignment horizontal="center" vertical="center" wrapText="1"/>
    </xf>
    <xf numFmtId="0" fontId="55" fillId="0" borderId="0" xfId="0" applyFont="1" applyAlignment="1">
      <alignment horizontal="center" vertical="center"/>
    </xf>
    <xf numFmtId="49" fontId="70" fillId="0" borderId="0" xfId="0" applyNumberFormat="1" applyFont="1" applyAlignment="1">
      <alignment horizontal="center" vertical="center" wrapText="1"/>
    </xf>
    <xf numFmtId="0" fontId="71" fillId="0" borderId="0" xfId="0" applyFont="1" applyAlignment="1">
      <alignment horizontal="center" vertical="center" wrapText="1"/>
    </xf>
    <xf numFmtId="0" fontId="72" fillId="0" borderId="0" xfId="0" applyFont="1" applyAlignment="1">
      <alignment horizontal="center" vertical="center"/>
    </xf>
    <xf numFmtId="0" fontId="10" fillId="0" borderId="25" xfId="0" applyFont="1" applyBorder="1" applyAlignment="1">
      <alignment horizontal="center" vertical="center" wrapText="1"/>
    </xf>
    <xf numFmtId="0" fontId="10" fillId="0" borderId="32" xfId="0" applyFont="1" applyBorder="1" applyAlignment="1">
      <alignment horizontal="center" vertical="center" wrapText="1"/>
    </xf>
    <xf numFmtId="0" fontId="44" fillId="0" borderId="31" xfId="0" applyFont="1" applyBorder="1" applyAlignment="1">
      <alignment horizontal="center" vertical="center" wrapText="1"/>
    </xf>
    <xf numFmtId="0" fontId="10" fillId="0" borderId="32" xfId="0" applyFont="1" applyBorder="1" applyAlignment="1">
      <alignment horizontal="center" vertical="center"/>
    </xf>
    <xf numFmtId="0" fontId="10" fillId="0" borderId="31" xfId="0" applyFont="1" applyBorder="1" applyAlignment="1">
      <alignment horizontal="center" vertical="center" wrapText="1"/>
    </xf>
    <xf numFmtId="0" fontId="44" fillId="0" borderId="33" xfId="0" applyFont="1" applyBorder="1" applyAlignment="1">
      <alignment horizontal="center" vertical="center" wrapText="1"/>
    </xf>
    <xf numFmtId="0" fontId="72" fillId="0" borderId="0" xfId="0" applyFont="1" applyAlignment="1">
      <alignment horizontal="center" vertical="center" wrapText="1"/>
    </xf>
    <xf numFmtId="49" fontId="42" fillId="0" borderId="0" xfId="0" applyNumberFormat="1" applyFont="1" applyAlignment="1">
      <alignment horizontal="center" vertical="center" wrapText="1"/>
    </xf>
    <xf numFmtId="0" fontId="17" fillId="0" borderId="34" xfId="0" applyFont="1" applyBorder="1" applyAlignment="1">
      <alignment horizontal="center" vertical="center"/>
    </xf>
    <xf numFmtId="0" fontId="34" fillId="0" borderId="0" xfId="0" applyFont="1" applyAlignment="1">
      <alignment horizontal="center" vertical="center" wrapText="1"/>
    </xf>
    <xf numFmtId="0" fontId="74" fillId="0" borderId="0" xfId="0" applyFont="1" applyAlignment="1">
      <alignment horizontal="center" vertical="center"/>
    </xf>
    <xf numFmtId="0" fontId="75" fillId="0" borderId="0" xfId="0" applyFont="1"/>
    <xf numFmtId="0" fontId="76" fillId="0" borderId="0" xfId="0" applyFont="1"/>
    <xf numFmtId="0" fontId="20" fillId="0" borderId="0" xfId="0" applyFont="1"/>
    <xf numFmtId="0" fontId="34" fillId="0" borderId="11" xfId="0" applyFont="1" applyBorder="1" applyAlignment="1">
      <alignment horizontal="center" vertical="center"/>
    </xf>
    <xf numFmtId="0" fontId="34" fillId="0" borderId="13" xfId="0" applyFont="1" applyBorder="1" applyAlignment="1">
      <alignment horizontal="center" vertical="center"/>
    </xf>
    <xf numFmtId="0" fontId="34" fillId="0" borderId="15" xfId="0" applyFont="1" applyBorder="1" applyAlignment="1">
      <alignment horizontal="center" vertical="center"/>
    </xf>
    <xf numFmtId="0" fontId="17" fillId="57" borderId="0" xfId="0" applyFont="1" applyFill="1" applyAlignment="1">
      <alignment horizontal="center" vertical="center"/>
    </xf>
    <xf numFmtId="17" fontId="42" fillId="0" borderId="0" xfId="0" applyNumberFormat="1" applyFont="1" applyAlignment="1">
      <alignment horizontal="center" vertical="center" wrapText="1"/>
    </xf>
    <xf numFmtId="0" fontId="55" fillId="0" borderId="0" xfId="0" applyFont="1" applyAlignment="1">
      <alignment horizontal="center" wrapText="1"/>
    </xf>
    <xf numFmtId="0" fontId="77" fillId="0" borderId="0" xfId="0" applyFont="1" applyAlignment="1">
      <alignment horizontal="center" vertical="center"/>
    </xf>
    <xf numFmtId="9" fontId="70" fillId="0" borderId="0" xfId="0" applyNumberFormat="1" applyFont="1" applyAlignment="1">
      <alignment horizontal="center" vertical="center" wrapText="1"/>
    </xf>
    <xf numFmtId="0" fontId="1" fillId="2" borderId="1" xfId="1" applyAlignment="1">
      <alignment horizontal="center" vertical="center" wrapText="1"/>
    </xf>
    <xf numFmtId="46" fontId="44" fillId="0" borderId="0" xfId="0" applyNumberFormat="1" applyFont="1" applyAlignment="1">
      <alignment horizontal="center" vertical="center" wrapText="1"/>
    </xf>
    <xf numFmtId="9" fontId="41" fillId="0" borderId="0" xfId="0" applyNumberFormat="1" applyFont="1" applyAlignment="1">
      <alignment horizontal="center" vertical="center" wrapText="1"/>
    </xf>
    <xf numFmtId="49" fontId="59" fillId="0" borderId="0" xfId="0" applyNumberFormat="1" applyFont="1" applyAlignment="1">
      <alignment horizontal="center" wrapText="1"/>
    </xf>
    <xf numFmtId="0" fontId="80" fillId="2" borderId="1" xfId="1" applyFont="1" applyAlignment="1">
      <alignment horizontal="center" vertical="center" wrapText="1"/>
    </xf>
    <xf numFmtId="0" fontId="1" fillId="0" borderId="0" xfId="1" applyFill="1" applyBorder="1" applyAlignment="1">
      <alignment horizontal="center" vertical="center" wrapText="1"/>
    </xf>
    <xf numFmtId="0" fontId="81" fillId="0" borderId="0" xfId="0" applyFont="1" applyAlignment="1">
      <alignment horizontal="center" vertical="center" wrapText="1"/>
    </xf>
    <xf numFmtId="9" fontId="34" fillId="0" borderId="0" xfId="0" applyNumberFormat="1" applyFont="1" applyAlignment="1">
      <alignment horizontal="center" vertical="center"/>
    </xf>
    <xf numFmtId="0" fontId="19" fillId="0" borderId="0" xfId="0" applyFont="1" applyAlignment="1">
      <alignment horizontal="left" vertical="center" wrapText="1"/>
    </xf>
    <xf numFmtId="0" fontId="82" fillId="79" borderId="4" xfId="0" applyFont="1" applyFill="1" applyBorder="1" applyAlignment="1">
      <alignment horizontal="center"/>
    </xf>
    <xf numFmtId="0" fontId="84" fillId="0" borderId="0" xfId="0" applyFont="1"/>
    <xf numFmtId="0" fontId="14" fillId="0" borderId="0" xfId="0" applyFont="1" applyAlignment="1">
      <alignment horizontal="left" vertical="center"/>
    </xf>
    <xf numFmtId="0" fontId="19" fillId="0" borderId="0" xfId="0" applyFont="1" applyAlignment="1">
      <alignment vertical="center"/>
    </xf>
    <xf numFmtId="0" fontId="21" fillId="0" borderId="0" xfId="0" applyFont="1" applyAlignment="1">
      <alignment horizontal="left"/>
    </xf>
    <xf numFmtId="0" fontId="71" fillId="0" borderId="20" xfId="0" applyFont="1" applyBorder="1" applyAlignment="1">
      <alignment horizontal="center" wrapText="1"/>
    </xf>
    <xf numFmtId="0" fontId="71" fillId="0" borderId="20" xfId="0" applyFont="1" applyBorder="1" applyAlignment="1">
      <alignment horizontal="left" wrapText="1"/>
    </xf>
    <xf numFmtId="0" fontId="16" fillId="0" borderId="0" xfId="0" applyFont="1" applyAlignment="1">
      <alignment horizontal="left"/>
    </xf>
    <xf numFmtId="0" fontId="21" fillId="0" borderId="0" xfId="0" applyFont="1"/>
    <xf numFmtId="49" fontId="0" fillId="0" borderId="0" xfId="0" applyNumberFormat="1"/>
    <xf numFmtId="49" fontId="23" fillId="36" borderId="0" xfId="0" applyNumberFormat="1" applyFont="1" applyFill="1" applyAlignment="1">
      <alignment horizontal="left"/>
    </xf>
    <xf numFmtId="49" fontId="0" fillId="0" borderId="0" xfId="0" applyNumberFormat="1" applyAlignment="1">
      <alignment horizontal="left"/>
    </xf>
    <xf numFmtId="49" fontId="23" fillId="0" borderId="0" xfId="0" applyNumberFormat="1" applyFont="1" applyAlignment="1">
      <alignment horizontal="left"/>
    </xf>
    <xf numFmtId="49" fontId="23" fillId="0" borderId="0" xfId="0" quotePrefix="1" applyNumberFormat="1" applyFont="1" applyAlignment="1">
      <alignment horizontal="left"/>
    </xf>
    <xf numFmtId="49" fontId="23" fillId="41" borderId="0" xfId="0" applyNumberFormat="1" applyFont="1" applyFill="1" applyAlignment="1">
      <alignment horizontal="left"/>
    </xf>
    <xf numFmtId="49" fontId="23" fillId="19" borderId="0" xfId="0" applyNumberFormat="1" applyFont="1" applyFill="1" applyAlignment="1">
      <alignment horizontal="left"/>
    </xf>
    <xf numFmtId="49" fontId="23" fillId="24" borderId="0" xfId="0" applyNumberFormat="1" applyFont="1" applyFill="1" applyAlignment="1">
      <alignment horizontal="left"/>
    </xf>
    <xf numFmtId="49" fontId="23" fillId="0" borderId="0" xfId="0" applyNumberFormat="1" applyFont="1" applyAlignment="1">
      <alignment horizontal="left" vertical="center"/>
    </xf>
    <xf numFmtId="49" fontId="23" fillId="15" borderId="0" xfId="0" applyNumberFormat="1" applyFont="1" applyFill="1" applyAlignment="1">
      <alignment horizontal="left" vertical="center"/>
    </xf>
    <xf numFmtId="49" fontId="23" fillId="18" borderId="0" xfId="0" applyNumberFormat="1" applyFont="1" applyFill="1" applyAlignment="1">
      <alignment horizontal="left"/>
    </xf>
    <xf numFmtId="49" fontId="23" fillId="33" borderId="0" xfId="0" applyNumberFormat="1" applyFont="1" applyFill="1" applyAlignment="1">
      <alignment horizontal="left"/>
    </xf>
    <xf numFmtId="49" fontId="23" fillId="0" borderId="0" xfId="0" applyNumberFormat="1" applyFont="1" applyAlignment="1">
      <alignment horizontal="left" wrapText="1"/>
    </xf>
    <xf numFmtId="49" fontId="23" fillId="82" borderId="0" xfId="0" applyNumberFormat="1" applyFont="1" applyFill="1" applyAlignment="1">
      <alignment horizontal="left"/>
    </xf>
    <xf numFmtId="0" fontId="86" fillId="0" borderId="0" xfId="0" applyFont="1" applyAlignment="1">
      <alignment horizontal="center"/>
    </xf>
    <xf numFmtId="0" fontId="87" fillId="0" borderId="0" xfId="0" applyFont="1" applyAlignment="1">
      <alignment horizontal="center"/>
    </xf>
    <xf numFmtId="0" fontId="88" fillId="0" borderId="0" xfId="0" applyFont="1" applyAlignment="1">
      <alignment horizontal="center"/>
    </xf>
    <xf numFmtId="0" fontId="89" fillId="0" borderId="0" xfId="0" applyFont="1" applyAlignment="1">
      <alignment horizontal="center"/>
    </xf>
    <xf numFmtId="0" fontId="90" fillId="0" borderId="0" xfId="0" applyFont="1" applyAlignment="1">
      <alignment horizontal="center"/>
    </xf>
    <xf numFmtId="0" fontId="91" fillId="0" borderId="0" xfId="0" applyFont="1" applyAlignment="1">
      <alignment horizontal="left"/>
    </xf>
    <xf numFmtId="0" fontId="92" fillId="0" borderId="0" xfId="0" applyFont="1" applyAlignment="1">
      <alignment horizontal="center"/>
    </xf>
    <xf numFmtId="0" fontId="93" fillId="0" borderId="0" xfId="0" applyFont="1" applyAlignment="1">
      <alignment horizontal="center"/>
    </xf>
    <xf numFmtId="0" fontId="0" fillId="83" borderId="0" xfId="0" applyFill="1" applyAlignment="1">
      <alignment horizontal="center"/>
    </xf>
    <xf numFmtId="0" fontId="0" fillId="9" borderId="0" xfId="0" applyFill="1" applyAlignment="1">
      <alignment horizontal="center"/>
    </xf>
    <xf numFmtId="0" fontId="0" fillId="7" borderId="0" xfId="0" applyFill="1" applyAlignment="1">
      <alignment horizontal="center"/>
    </xf>
    <xf numFmtId="0" fontId="19" fillId="0" borderId="0" xfId="0" applyFont="1"/>
    <xf numFmtId="0" fontId="3" fillId="81" borderId="0" xfId="0" applyFont="1" applyFill="1" applyAlignment="1">
      <alignment horizontal="center"/>
    </xf>
    <xf numFmtId="0" fontId="3" fillId="46" borderId="0" xfId="0" applyFont="1" applyFill="1" applyAlignment="1">
      <alignment horizontal="center"/>
    </xf>
    <xf numFmtId="0" fontId="3" fillId="33" borderId="0" xfId="0" applyFont="1" applyFill="1" applyAlignment="1">
      <alignment horizontal="center"/>
    </xf>
    <xf numFmtId="0" fontId="3" fillId="45" borderId="0" xfId="0" applyFont="1" applyFill="1" applyAlignment="1">
      <alignment horizontal="center"/>
    </xf>
    <xf numFmtId="0" fontId="3" fillId="85" borderId="0" xfId="0" applyFont="1" applyFill="1" applyAlignment="1">
      <alignment horizontal="center"/>
    </xf>
    <xf numFmtId="0" fontId="3" fillId="82" borderId="0" xfId="0" applyFont="1" applyFill="1" applyAlignment="1">
      <alignment horizontal="center"/>
    </xf>
    <xf numFmtId="0" fontId="94" fillId="3" borderId="0" xfId="0" applyFont="1" applyFill="1" applyAlignment="1">
      <alignment horizontal="center"/>
    </xf>
    <xf numFmtId="0" fontId="3" fillId="88" borderId="0" xfId="0" applyFont="1" applyFill="1" applyAlignment="1">
      <alignment horizontal="center"/>
    </xf>
    <xf numFmtId="0" fontId="3" fillId="89" borderId="0" xfId="0" applyFont="1" applyFill="1" applyAlignment="1">
      <alignment horizontal="center"/>
    </xf>
    <xf numFmtId="0" fontId="3" fillId="90" borderId="34" xfId="0" applyFont="1" applyFill="1" applyBorder="1" applyAlignment="1">
      <alignment horizontal="center"/>
    </xf>
    <xf numFmtId="0" fontId="3" fillId="91" borderId="0" xfId="0" applyFont="1" applyFill="1" applyAlignment="1">
      <alignment horizontal="center"/>
    </xf>
    <xf numFmtId="0" fontId="3" fillId="36" borderId="0" xfId="0" applyFont="1" applyFill="1" applyAlignment="1">
      <alignment horizontal="center"/>
    </xf>
    <xf numFmtId="0" fontId="3" fillId="92" borderId="0" xfId="0" applyFont="1" applyFill="1" applyAlignment="1">
      <alignment horizontal="center"/>
    </xf>
    <xf numFmtId="0" fontId="3" fillId="93" borderId="0" xfId="0" applyFont="1" applyFill="1" applyAlignment="1">
      <alignment horizontal="center"/>
    </xf>
    <xf numFmtId="0" fontId="95" fillId="94" borderId="4" xfId="0" applyFont="1" applyFill="1" applyBorder="1" applyAlignment="1">
      <alignment horizontal="center"/>
    </xf>
    <xf numFmtId="0" fontId="96" fillId="95" borderId="4" xfId="0" applyFont="1" applyFill="1" applyBorder="1" applyAlignment="1">
      <alignment horizontal="center"/>
    </xf>
    <xf numFmtId="0" fontId="97" fillId="96" borderId="0" xfId="0" applyFont="1" applyFill="1" applyAlignment="1">
      <alignment horizontal="center"/>
    </xf>
    <xf numFmtId="0" fontId="95" fillId="79" borderId="18" xfId="0" applyFont="1" applyFill="1" applyBorder="1" applyAlignment="1">
      <alignment vertical="center"/>
    </xf>
    <xf numFmtId="0" fontId="96" fillId="97" borderId="4" xfId="0" applyFont="1" applyFill="1" applyBorder="1" applyAlignment="1">
      <alignment horizontal="center"/>
    </xf>
    <xf numFmtId="0" fontId="97" fillId="98" borderId="4" xfId="0" applyFont="1" applyFill="1" applyBorder="1" applyAlignment="1">
      <alignment horizontal="center"/>
    </xf>
    <xf numFmtId="0" fontId="82" fillId="79" borderId="4" xfId="0" quotePrefix="1" applyFont="1" applyFill="1" applyBorder="1" applyAlignment="1">
      <alignment horizontal="center"/>
    </xf>
    <xf numFmtId="0" fontId="96" fillId="99" borderId="4" xfId="0" applyFont="1" applyFill="1" applyBorder="1" applyAlignment="1">
      <alignment horizontal="center"/>
    </xf>
    <xf numFmtId="0" fontId="98" fillId="100" borderId="4" xfId="0" applyFont="1" applyFill="1" applyBorder="1" applyAlignment="1">
      <alignment horizontal="center"/>
    </xf>
    <xf numFmtId="0" fontId="96" fillId="101" borderId="4" xfId="0" applyFont="1" applyFill="1" applyBorder="1" applyAlignment="1">
      <alignment horizontal="center"/>
    </xf>
    <xf numFmtId="0" fontId="98" fillId="102" borderId="4" xfId="0" applyFont="1" applyFill="1" applyBorder="1" applyAlignment="1">
      <alignment horizontal="center"/>
    </xf>
    <xf numFmtId="0" fontId="96" fillId="103" borderId="4" xfId="0" applyFont="1" applyFill="1" applyBorder="1" applyAlignment="1">
      <alignment horizontal="center"/>
    </xf>
    <xf numFmtId="0" fontId="98" fillId="104" borderId="4" xfId="0" applyFont="1" applyFill="1" applyBorder="1" applyAlignment="1">
      <alignment horizontal="center"/>
    </xf>
    <xf numFmtId="0" fontId="97" fillId="104" borderId="4" xfId="0" applyFont="1" applyFill="1" applyBorder="1" applyAlignment="1">
      <alignment horizontal="center"/>
    </xf>
    <xf numFmtId="0" fontId="96" fillId="105" borderId="4" xfId="0" applyFont="1" applyFill="1" applyBorder="1" applyAlignment="1">
      <alignment horizontal="center"/>
    </xf>
    <xf numFmtId="0" fontId="98" fillId="106" borderId="4" xfId="0" applyFont="1" applyFill="1" applyBorder="1" applyAlignment="1">
      <alignment horizontal="center"/>
    </xf>
    <xf numFmtId="0" fontId="99" fillId="0" borderId="0" xfId="0" applyFont="1"/>
    <xf numFmtId="0" fontId="100" fillId="26" borderId="4" xfId="0" applyFont="1" applyFill="1" applyBorder="1" applyAlignment="1">
      <alignment horizontal="center"/>
    </xf>
    <xf numFmtId="0" fontId="100" fillId="45" borderId="11" xfId="0" applyFont="1" applyFill="1" applyBorder="1" applyAlignment="1">
      <alignment horizontal="center" vertical="center"/>
    </xf>
    <xf numFmtId="0" fontId="100" fillId="42" borderId="11" xfId="0" quotePrefix="1" applyFont="1" applyFill="1" applyBorder="1" applyAlignment="1">
      <alignment horizontal="center" vertical="center"/>
    </xf>
    <xf numFmtId="0" fontId="100" fillId="33" borderId="11" xfId="0" quotePrefix="1" applyFont="1" applyFill="1" applyBorder="1" applyAlignment="1">
      <alignment horizontal="center" vertical="center"/>
    </xf>
    <xf numFmtId="0" fontId="100" fillId="107" borderId="11" xfId="0" quotePrefix="1" applyFont="1" applyFill="1" applyBorder="1" applyAlignment="1">
      <alignment horizontal="center" vertical="center"/>
    </xf>
    <xf numFmtId="0" fontId="100" fillId="25" borderId="11" xfId="0" applyFont="1" applyFill="1" applyBorder="1" applyAlignment="1">
      <alignment horizontal="center" vertical="center"/>
    </xf>
    <xf numFmtId="0" fontId="100" fillId="108" borderId="11" xfId="0" applyFont="1" applyFill="1" applyBorder="1" applyAlignment="1">
      <alignment horizontal="center" vertical="center"/>
    </xf>
    <xf numFmtId="0" fontId="99" fillId="0" borderId="0" xfId="0" applyFont="1" applyAlignment="1">
      <alignment horizontal="left"/>
    </xf>
    <xf numFmtId="0" fontId="84" fillId="0" borderId="0" xfId="0" applyFont="1" applyAlignment="1">
      <alignment horizontal="left"/>
    </xf>
    <xf numFmtId="0" fontId="101" fillId="0" borderId="13" xfId="0" quotePrefix="1" applyFont="1" applyBorder="1" applyAlignment="1">
      <alignment horizontal="center" vertical="center"/>
    </xf>
    <xf numFmtId="0" fontId="101" fillId="0" borderId="13" xfId="0" applyFont="1" applyBorder="1" applyAlignment="1">
      <alignment horizontal="center" vertical="center"/>
    </xf>
    <xf numFmtId="0" fontId="101" fillId="0" borderId="13" xfId="0" quotePrefix="1" applyFont="1" applyBorder="1" applyAlignment="1">
      <alignment horizontal="center" vertical="center" wrapText="1"/>
    </xf>
    <xf numFmtId="0" fontId="101" fillId="0" borderId="12" xfId="0" quotePrefix="1" applyFont="1" applyBorder="1" applyAlignment="1">
      <alignment horizontal="center" vertical="center"/>
    </xf>
    <xf numFmtId="0" fontId="100" fillId="109" borderId="9" xfId="0" applyFont="1" applyFill="1" applyBorder="1" applyAlignment="1">
      <alignment horizontal="left"/>
    </xf>
    <xf numFmtId="0" fontId="102" fillId="0" borderId="12" xfId="0" quotePrefix="1" applyFont="1" applyBorder="1" applyAlignment="1">
      <alignment horizontal="center" vertical="center" wrapText="1"/>
    </xf>
    <xf numFmtId="0" fontId="102" fillId="0" borderId="12" xfId="0" applyFont="1" applyBorder="1" applyAlignment="1">
      <alignment horizontal="center" vertical="center"/>
    </xf>
    <xf numFmtId="0" fontId="0" fillId="109" borderId="9" xfId="0" applyFill="1" applyBorder="1" applyAlignment="1">
      <alignment horizontal="left"/>
    </xf>
    <xf numFmtId="0" fontId="0" fillId="0" borderId="0" xfId="0" quotePrefix="1" applyAlignment="1">
      <alignment horizontal="left"/>
    </xf>
    <xf numFmtId="0" fontId="101" fillId="0" borderId="20" xfId="0" quotePrefix="1" applyFont="1" applyBorder="1" applyAlignment="1">
      <alignment horizontal="center" vertical="center" wrapText="1"/>
    </xf>
    <xf numFmtId="0" fontId="101" fillId="0" borderId="20" xfId="0" applyFont="1" applyBorder="1" applyAlignment="1">
      <alignment horizontal="center" vertical="center" wrapText="1"/>
    </xf>
    <xf numFmtId="0" fontId="100" fillId="45" borderId="21" xfId="0" quotePrefix="1" applyFont="1" applyFill="1" applyBorder="1" applyAlignment="1">
      <alignment horizontal="center" vertical="center"/>
    </xf>
    <xf numFmtId="0" fontId="100" fillId="42" borderId="15" xfId="0" applyFont="1" applyFill="1" applyBorder="1" applyAlignment="1">
      <alignment horizontal="center" vertical="center"/>
    </xf>
    <xf numFmtId="0" fontId="100" fillId="33" borderId="14" xfId="0" applyFont="1" applyFill="1" applyBorder="1" applyAlignment="1">
      <alignment horizontal="center" vertical="center"/>
    </xf>
    <xf numFmtId="0" fontId="100" fillId="107" borderId="14" xfId="0" quotePrefix="1" applyFont="1" applyFill="1" applyBorder="1" applyAlignment="1">
      <alignment horizontal="center" vertical="center" wrapText="1"/>
    </xf>
    <xf numFmtId="0" fontId="100" fillId="25" borderId="14" xfId="0" quotePrefix="1" applyFont="1" applyFill="1" applyBorder="1" applyAlignment="1">
      <alignment horizontal="center" vertical="center" wrapText="1"/>
    </xf>
    <xf numFmtId="0" fontId="100" fillId="108" borderId="14" xfId="0" quotePrefix="1" applyFont="1" applyFill="1" applyBorder="1" applyAlignment="1">
      <alignment horizontal="center" vertical="center" wrapText="1"/>
    </xf>
    <xf numFmtId="0" fontId="100" fillId="110" borderId="0" xfId="0" quotePrefix="1" applyFont="1" applyFill="1" applyAlignment="1">
      <alignment horizontal="left" vertical="center"/>
    </xf>
    <xf numFmtId="0" fontId="100" fillId="111" borderId="0" xfId="0" quotePrefix="1" applyFont="1" applyFill="1" applyAlignment="1">
      <alignment horizontal="left" vertical="center"/>
    </xf>
    <xf numFmtId="0" fontId="100" fillId="112" borderId="0" xfId="0" quotePrefix="1" applyFont="1" applyFill="1" applyAlignment="1">
      <alignment horizontal="left" vertical="center"/>
    </xf>
    <xf numFmtId="0" fontId="100" fillId="107" borderId="0" xfId="0" applyFont="1" applyFill="1" applyAlignment="1">
      <alignment horizontal="left" vertical="center"/>
    </xf>
    <xf numFmtId="0" fontId="100" fillId="25" borderId="0" xfId="0" applyFont="1" applyFill="1" applyAlignment="1">
      <alignment horizontal="left" vertical="center"/>
    </xf>
    <xf numFmtId="0" fontId="100" fillId="108" borderId="0" xfId="0" applyFont="1" applyFill="1" applyAlignment="1">
      <alignment horizontal="left" vertical="center"/>
    </xf>
    <xf numFmtId="0" fontId="98" fillId="109" borderId="12" xfId="0" quotePrefix="1" applyFont="1" applyFill="1" applyBorder="1" applyAlignment="1">
      <alignment horizontal="left" vertical="center" wrapText="1"/>
    </xf>
    <xf numFmtId="0" fontId="98" fillId="109" borderId="12" xfId="0" applyFont="1" applyFill="1" applyBorder="1" applyAlignment="1">
      <alignment horizontal="left" vertical="center"/>
    </xf>
    <xf numFmtId="0" fontId="98" fillId="109" borderId="12" xfId="0" quotePrefix="1" applyFont="1" applyFill="1" applyBorder="1" applyAlignment="1">
      <alignment horizontal="left" vertical="center"/>
    </xf>
    <xf numFmtId="0" fontId="100" fillId="111" borderId="0" xfId="0" applyFont="1" applyFill="1" applyAlignment="1">
      <alignment horizontal="left" vertical="center"/>
    </xf>
    <xf numFmtId="0" fontId="100" fillId="112" borderId="0" xfId="0" applyFont="1" applyFill="1" applyAlignment="1">
      <alignment horizontal="left" vertical="center"/>
    </xf>
    <xf numFmtId="0" fontId="100" fillId="107" borderId="0" xfId="0" quotePrefix="1" applyFont="1" applyFill="1" applyAlignment="1">
      <alignment horizontal="left" vertical="center"/>
    </xf>
    <xf numFmtId="0" fontId="100" fillId="25" borderId="0" xfId="0" quotePrefix="1" applyFont="1" applyFill="1" applyAlignment="1">
      <alignment horizontal="left" vertical="center"/>
    </xf>
    <xf numFmtId="0" fontId="100" fillId="108" borderId="0" xfId="0" quotePrefix="1" applyFont="1" applyFill="1" applyAlignment="1">
      <alignment horizontal="left" vertical="center"/>
    </xf>
    <xf numFmtId="0" fontId="99" fillId="0" borderId="4" xfId="0" applyFont="1" applyBorder="1"/>
    <xf numFmtId="0" fontId="84" fillId="0" borderId="0" xfId="0" quotePrefix="1" applyFont="1" applyAlignment="1">
      <alignment horizontal="left"/>
    </xf>
    <xf numFmtId="0" fontId="103" fillId="0" borderId="0" xfId="0" applyFont="1" applyAlignment="1">
      <alignment horizontal="left"/>
    </xf>
    <xf numFmtId="0" fontId="99" fillId="0" borderId="9" xfId="0" applyFont="1" applyBorder="1"/>
    <xf numFmtId="0" fontId="99" fillId="0" borderId="0" xfId="0" quotePrefix="1" applyFont="1"/>
    <xf numFmtId="0" fontId="104" fillId="0" borderId="0" xfId="0" applyFont="1" applyAlignment="1">
      <alignment horizontal="left"/>
    </xf>
    <xf numFmtId="0" fontId="106" fillId="114" borderId="1" xfId="1" applyFont="1" applyFill="1" applyAlignment="1">
      <alignment horizontal="center" vertical="center" wrapText="1"/>
    </xf>
    <xf numFmtId="0" fontId="106" fillId="115" borderId="1" xfId="1" applyFont="1" applyFill="1" applyAlignment="1">
      <alignment horizontal="center" vertical="center" wrapText="1"/>
    </xf>
    <xf numFmtId="0" fontId="106" fillId="5" borderId="1" xfId="1" applyFont="1" applyFill="1" applyAlignment="1">
      <alignment horizontal="center" vertical="center" wrapText="1"/>
    </xf>
    <xf numFmtId="0" fontId="106" fillId="116" borderId="1" xfId="1" applyFont="1" applyFill="1" applyAlignment="1">
      <alignment horizontal="center" vertical="center" wrapText="1"/>
    </xf>
    <xf numFmtId="0" fontId="107" fillId="0" borderId="0" xfId="0" applyFont="1" applyAlignment="1">
      <alignment horizontal="center" wrapText="1"/>
    </xf>
    <xf numFmtId="0" fontId="108" fillId="0" borderId="0" xfId="0" applyFont="1" applyAlignment="1">
      <alignment horizontal="center" wrapText="1"/>
    </xf>
    <xf numFmtId="49" fontId="109" fillId="0" borderId="0" xfId="0" applyNumberFormat="1" applyFont="1" applyAlignment="1">
      <alignment horizontal="center" vertical="center" wrapText="1"/>
    </xf>
    <xf numFmtId="49" fontId="110" fillId="0" borderId="0" xfId="0" applyNumberFormat="1" applyFont="1" applyAlignment="1">
      <alignment horizontal="center" vertical="center" wrapText="1"/>
    </xf>
    <xf numFmtId="49" fontId="63" fillId="0" borderId="0" xfId="0" applyNumberFormat="1" applyFont="1" applyAlignment="1">
      <alignment horizontal="center" vertical="center" wrapText="1"/>
    </xf>
    <xf numFmtId="49" fontId="55" fillId="0" borderId="0" xfId="0" applyNumberFormat="1" applyFont="1" applyAlignment="1">
      <alignment horizontal="center" vertical="center" wrapText="1"/>
    </xf>
    <xf numFmtId="49" fontId="64" fillId="0" borderId="0" xfId="0" applyNumberFormat="1" applyFont="1" applyAlignment="1">
      <alignment horizontal="center" vertical="center" wrapText="1"/>
    </xf>
    <xf numFmtId="49" fontId="65" fillId="0" borderId="0" xfId="0" applyNumberFormat="1" applyFont="1" applyAlignment="1">
      <alignment horizontal="center" vertical="center" wrapText="1"/>
    </xf>
    <xf numFmtId="49" fontId="67" fillId="0" borderId="0" xfId="0" applyNumberFormat="1" applyFont="1" applyAlignment="1">
      <alignment horizontal="center" vertical="center" wrapText="1"/>
    </xf>
    <xf numFmtId="49" fontId="68" fillId="0" borderId="0" xfId="0" applyNumberFormat="1" applyFont="1" applyAlignment="1">
      <alignment horizontal="center" vertical="center" wrapText="1"/>
    </xf>
    <xf numFmtId="49" fontId="60" fillId="0" borderId="0" xfId="0" applyNumberFormat="1" applyFont="1" applyAlignment="1">
      <alignment horizontal="center" vertical="center" wrapText="1"/>
    </xf>
    <xf numFmtId="49" fontId="62" fillId="0" borderId="0" xfId="0" applyNumberFormat="1" applyFont="1" applyAlignment="1">
      <alignment horizontal="center" vertical="center" wrapText="1"/>
    </xf>
    <xf numFmtId="49" fontId="111" fillId="0" borderId="0" xfId="0" applyNumberFormat="1" applyFont="1" applyAlignment="1">
      <alignment horizontal="center" vertical="center" wrapText="1"/>
    </xf>
    <xf numFmtId="49" fontId="69" fillId="0" borderId="0" xfId="0" applyNumberFormat="1" applyFont="1" applyAlignment="1">
      <alignment horizontal="center" vertical="center" wrapText="1"/>
    </xf>
    <xf numFmtId="49" fontId="112" fillId="0" borderId="0" xfId="0" applyNumberFormat="1" applyFont="1" applyAlignment="1">
      <alignment horizontal="center" vertical="center" wrapText="1"/>
    </xf>
    <xf numFmtId="49" fontId="70" fillId="0" borderId="0" xfId="0" applyNumberFormat="1" applyFont="1" applyAlignment="1">
      <alignment horizontal="center" wrapText="1"/>
    </xf>
    <xf numFmtId="9" fontId="55" fillId="0" borderId="0" xfId="0" applyNumberFormat="1" applyFont="1" applyAlignment="1">
      <alignment horizontal="center" wrapText="1"/>
    </xf>
    <xf numFmtId="0" fontId="72" fillId="0" borderId="0" xfId="0" applyFont="1" applyAlignment="1">
      <alignment horizontal="center"/>
    </xf>
    <xf numFmtId="0" fontId="77" fillId="0" borderId="0" xfId="0" applyFont="1" applyAlignment="1">
      <alignment horizontal="center"/>
    </xf>
    <xf numFmtId="0" fontId="106" fillId="117" borderId="1" xfId="1" applyFont="1" applyFill="1" applyAlignment="1">
      <alignment horizontal="center" vertical="center" wrapText="1"/>
    </xf>
    <xf numFmtId="0" fontId="106" fillId="79" borderId="1" xfId="1" applyFont="1" applyFill="1" applyAlignment="1">
      <alignment horizontal="center" vertical="center" wrapText="1"/>
    </xf>
    <xf numFmtId="0" fontId="77" fillId="0" borderId="0" xfId="0" applyFont="1" applyAlignment="1">
      <alignment horizontal="center" wrapText="1"/>
    </xf>
    <xf numFmtId="0" fontId="106" fillId="119" borderId="1" xfId="1" applyFont="1" applyFill="1" applyAlignment="1">
      <alignment horizontal="center" vertical="center" wrapText="1"/>
    </xf>
    <xf numFmtId="0" fontId="115" fillId="120" borderId="0" xfId="0" applyFont="1" applyFill="1" applyAlignment="1">
      <alignment horizontal="center"/>
    </xf>
    <xf numFmtId="0" fontId="115" fillId="113" borderId="0" xfId="0" applyFont="1" applyFill="1" applyAlignment="1">
      <alignment horizontal="center"/>
    </xf>
    <xf numFmtId="0" fontId="115" fillId="118" borderId="0" xfId="0" applyFont="1" applyFill="1" applyAlignment="1">
      <alignment horizontal="center"/>
    </xf>
    <xf numFmtId="0" fontId="115" fillId="59" borderId="0" xfId="0" applyFont="1" applyFill="1" applyAlignment="1">
      <alignment horizontal="center"/>
    </xf>
    <xf numFmtId="0" fontId="91" fillId="0" borderId="12" xfId="0" applyFont="1" applyBorder="1" applyAlignment="1">
      <alignment horizontal="center"/>
    </xf>
    <xf numFmtId="0" fontId="3" fillId="0" borderId="12" xfId="0" applyFont="1" applyBorder="1" applyAlignment="1">
      <alignment horizontal="center"/>
    </xf>
    <xf numFmtId="0" fontId="91" fillId="80" borderId="0" xfId="0" applyFont="1" applyFill="1" applyAlignment="1">
      <alignment horizontal="center"/>
    </xf>
    <xf numFmtId="0" fontId="23" fillId="121" borderId="0" xfId="0" applyFont="1" applyFill="1" applyAlignment="1">
      <alignment horizontal="center"/>
    </xf>
    <xf numFmtId="0" fontId="91" fillId="121" borderId="0" xfId="0" applyFont="1" applyFill="1" applyAlignment="1">
      <alignment horizontal="center"/>
    </xf>
    <xf numFmtId="0" fontId="91" fillId="7" borderId="36" xfId="0" applyFont="1" applyFill="1" applyBorder="1" applyAlignment="1">
      <alignment horizontal="center"/>
    </xf>
    <xf numFmtId="0" fontId="91" fillId="7" borderId="37" xfId="0" applyFont="1" applyFill="1" applyBorder="1" applyAlignment="1">
      <alignment horizontal="center"/>
    </xf>
    <xf numFmtId="0" fontId="91" fillId="7" borderId="38" xfId="0" applyFont="1" applyFill="1" applyBorder="1" applyAlignment="1">
      <alignment horizontal="center"/>
    </xf>
    <xf numFmtId="0" fontId="91" fillId="7" borderId="0" xfId="0" applyFont="1" applyFill="1" applyAlignment="1">
      <alignment horizontal="center"/>
    </xf>
    <xf numFmtId="0" fontId="91" fillId="7" borderId="39" xfId="0" applyFont="1" applyFill="1" applyBorder="1" applyAlignment="1">
      <alignment horizontal="center"/>
    </xf>
    <xf numFmtId="0" fontId="91" fillId="7" borderId="19" xfId="0" applyFont="1" applyFill="1" applyBorder="1" applyAlignment="1">
      <alignment horizontal="center"/>
    </xf>
    <xf numFmtId="0" fontId="91" fillId="7" borderId="40" xfId="0" applyFont="1" applyFill="1" applyBorder="1" applyAlignment="1">
      <alignment horizontal="center"/>
    </xf>
    <xf numFmtId="0" fontId="91" fillId="7" borderId="41" xfId="0" applyFont="1" applyFill="1" applyBorder="1" applyAlignment="1">
      <alignment horizontal="center"/>
    </xf>
    <xf numFmtId="0" fontId="91" fillId="7" borderId="16" xfId="0" applyFont="1" applyFill="1" applyBorder="1" applyAlignment="1">
      <alignment horizontal="center"/>
    </xf>
    <xf numFmtId="0" fontId="91" fillId="7" borderId="42" xfId="0" applyFont="1" applyFill="1" applyBorder="1" applyAlignment="1">
      <alignment horizontal="center"/>
    </xf>
    <xf numFmtId="0" fontId="91" fillId="66" borderId="36" xfId="0" applyFont="1" applyFill="1" applyBorder="1" applyAlignment="1">
      <alignment horizontal="center"/>
    </xf>
    <xf numFmtId="0" fontId="91" fillId="66" borderId="37" xfId="0" applyFont="1" applyFill="1" applyBorder="1" applyAlignment="1">
      <alignment horizontal="center"/>
    </xf>
    <xf numFmtId="0" fontId="91" fillId="66" borderId="38" xfId="0" applyFont="1" applyFill="1" applyBorder="1" applyAlignment="1">
      <alignment horizontal="center"/>
    </xf>
    <xf numFmtId="0" fontId="91" fillId="66" borderId="0" xfId="0" applyFont="1" applyFill="1" applyAlignment="1">
      <alignment horizontal="center"/>
    </xf>
    <xf numFmtId="0" fontId="91" fillId="66" borderId="39" xfId="0" applyFont="1" applyFill="1" applyBorder="1" applyAlignment="1">
      <alignment horizontal="center"/>
    </xf>
    <xf numFmtId="0" fontId="91" fillId="66" borderId="19" xfId="0" applyFont="1" applyFill="1" applyBorder="1" applyAlignment="1">
      <alignment horizontal="center"/>
    </xf>
    <xf numFmtId="0" fontId="91" fillId="66" borderId="40" xfId="0" applyFont="1" applyFill="1" applyBorder="1" applyAlignment="1">
      <alignment horizontal="center"/>
    </xf>
    <xf numFmtId="0" fontId="91" fillId="66" borderId="19" xfId="0" applyFont="1" applyFill="1" applyBorder="1" applyAlignment="1">
      <alignment horizontal="center" wrapText="1"/>
    </xf>
    <xf numFmtId="0" fontId="91" fillId="66" borderId="41" xfId="0" applyFont="1" applyFill="1" applyBorder="1" applyAlignment="1">
      <alignment horizontal="center"/>
    </xf>
    <xf numFmtId="0" fontId="91" fillId="66" borderId="16" xfId="0" applyFont="1" applyFill="1" applyBorder="1" applyAlignment="1">
      <alignment horizontal="center"/>
    </xf>
    <xf numFmtId="0" fontId="91" fillId="66" borderId="42" xfId="0" applyFont="1" applyFill="1" applyBorder="1" applyAlignment="1">
      <alignment horizontal="center"/>
    </xf>
    <xf numFmtId="0" fontId="23" fillId="122" borderId="36" xfId="0" applyFont="1" applyFill="1" applyBorder="1" applyAlignment="1">
      <alignment horizontal="center"/>
    </xf>
    <xf numFmtId="0" fontId="23" fillId="122" borderId="37" xfId="0" applyFont="1" applyFill="1" applyBorder="1" applyAlignment="1">
      <alignment horizontal="center"/>
    </xf>
    <xf numFmtId="0" fontId="23" fillId="122" borderId="38" xfId="0" applyFont="1" applyFill="1" applyBorder="1" applyAlignment="1">
      <alignment horizontal="center"/>
    </xf>
    <xf numFmtId="0" fontId="23" fillId="122" borderId="0" xfId="0" applyFont="1" applyFill="1" applyAlignment="1">
      <alignment horizontal="center"/>
    </xf>
    <xf numFmtId="0" fontId="23" fillId="122" borderId="39" xfId="0" applyFont="1" applyFill="1" applyBorder="1" applyAlignment="1">
      <alignment horizontal="center"/>
    </xf>
    <xf numFmtId="0" fontId="23" fillId="122" borderId="19" xfId="0" applyFont="1" applyFill="1" applyBorder="1" applyAlignment="1">
      <alignment horizontal="center"/>
    </xf>
    <xf numFmtId="0" fontId="23" fillId="122" borderId="40" xfId="0" applyFont="1" applyFill="1" applyBorder="1" applyAlignment="1">
      <alignment horizontal="center"/>
    </xf>
    <xf numFmtId="0" fontId="23" fillId="122" borderId="19" xfId="0" applyFont="1" applyFill="1" applyBorder="1" applyAlignment="1">
      <alignment horizontal="center" wrapText="1"/>
    </xf>
    <xf numFmtId="0" fontId="23" fillId="122" borderId="41" xfId="0" applyFont="1" applyFill="1" applyBorder="1" applyAlignment="1">
      <alignment horizontal="center"/>
    </xf>
    <xf numFmtId="0" fontId="23" fillId="122" borderId="16" xfId="0" applyFont="1" applyFill="1" applyBorder="1" applyAlignment="1">
      <alignment horizontal="center"/>
    </xf>
    <xf numFmtId="0" fontId="23" fillId="122" borderId="42" xfId="0" applyFont="1" applyFill="1" applyBorder="1" applyAlignment="1">
      <alignment horizontal="center"/>
    </xf>
    <xf numFmtId="16" fontId="0" fillId="0" borderId="0" xfId="0" applyNumberFormat="1"/>
    <xf numFmtId="0" fontId="0" fillId="124" borderId="12" xfId="0" applyFill="1" applyBorder="1" applyAlignment="1">
      <alignment horizontal="center"/>
    </xf>
    <xf numFmtId="0" fontId="0" fillId="124" borderId="0" xfId="0" applyFill="1" applyAlignment="1">
      <alignment horizontal="center"/>
    </xf>
    <xf numFmtId="0" fontId="0" fillId="125" borderId="12" xfId="0" applyFill="1" applyBorder="1"/>
    <xf numFmtId="0" fontId="0" fillId="125" borderId="0" xfId="0" applyFill="1"/>
    <xf numFmtId="0" fontId="0" fillId="127" borderId="0" xfId="0" applyFill="1" applyAlignment="1">
      <alignment horizontal="center"/>
    </xf>
    <xf numFmtId="0" fontId="0" fillId="127" borderId="12" xfId="0" applyFill="1" applyBorder="1" applyAlignment="1">
      <alignment horizontal="center"/>
    </xf>
    <xf numFmtId="1" fontId="0" fillId="0" borderId="0" xfId="0" applyNumberFormat="1"/>
    <xf numFmtId="0" fontId="0" fillId="127" borderId="0" xfId="0" applyFill="1" applyAlignment="1">
      <alignment horizontal="center" wrapText="1"/>
    </xf>
    <xf numFmtId="0" fontId="0" fillId="127" borderId="12" xfId="0" applyFill="1" applyBorder="1" applyAlignment="1">
      <alignment horizontal="center" wrapText="1"/>
    </xf>
    <xf numFmtId="0" fontId="0" fillId="128" borderId="0" xfId="0" applyFill="1" applyAlignment="1">
      <alignment horizontal="center"/>
    </xf>
    <xf numFmtId="0" fontId="0" fillId="128" borderId="12" xfId="0" applyFill="1" applyBorder="1" applyAlignment="1">
      <alignment horizontal="center"/>
    </xf>
    <xf numFmtId="0" fontId="0" fillId="128" borderId="0" xfId="0" applyFill="1" applyAlignment="1">
      <alignment horizontal="center" wrapText="1"/>
    </xf>
    <xf numFmtId="0" fontId="0" fillId="129" borderId="0" xfId="0" applyFill="1" applyAlignment="1">
      <alignment horizontal="center"/>
    </xf>
    <xf numFmtId="0" fontId="0" fillId="129" borderId="12" xfId="0" applyFill="1" applyBorder="1" applyAlignment="1">
      <alignment horizontal="center"/>
    </xf>
    <xf numFmtId="0" fontId="0" fillId="131" borderId="0" xfId="0" applyFill="1" applyAlignment="1">
      <alignment horizontal="center"/>
    </xf>
    <xf numFmtId="0" fontId="0" fillId="131" borderId="12" xfId="0" applyFill="1" applyBorder="1" applyAlignment="1">
      <alignment horizontal="center"/>
    </xf>
    <xf numFmtId="0" fontId="0" fillId="131" borderId="0" xfId="0" applyFill="1"/>
    <xf numFmtId="0" fontId="0" fillId="131" borderId="12" xfId="0" applyFill="1" applyBorder="1"/>
    <xf numFmtId="0" fontId="0" fillId="117" borderId="0" xfId="0" applyFill="1"/>
    <xf numFmtId="0" fontId="0" fillId="117" borderId="12" xfId="0" applyFill="1" applyBorder="1"/>
    <xf numFmtId="0" fontId="0" fillId="0" borderId="0" xfId="0" applyAlignment="1">
      <alignment vertical="center"/>
    </xf>
    <xf numFmtId="0" fontId="3" fillId="0" borderId="0" xfId="0" applyFont="1"/>
    <xf numFmtId="0" fontId="4" fillId="0" borderId="0" xfId="0" applyFont="1"/>
    <xf numFmtId="0" fontId="85" fillId="0" borderId="0" xfId="0" applyFont="1"/>
    <xf numFmtId="0" fontId="4" fillId="0" borderId="0" xfId="0" applyFont="1" applyAlignment="1">
      <alignment wrapText="1"/>
    </xf>
    <xf numFmtId="0" fontId="4" fillId="133" borderId="0" xfId="0" applyFont="1" applyFill="1"/>
    <xf numFmtId="49" fontId="117" fillId="0" borderId="0" xfId="0" applyNumberFormat="1" applyFont="1"/>
    <xf numFmtId="49" fontId="118" fillId="0" borderId="0" xfId="0" applyNumberFormat="1" applyFont="1" applyAlignment="1">
      <alignment horizontal="left"/>
    </xf>
    <xf numFmtId="49" fontId="119" fillId="0" borderId="0" xfId="0" applyNumberFormat="1" applyFont="1"/>
    <xf numFmtId="0" fontId="118" fillId="0" borderId="0" xfId="0" applyFont="1" applyAlignment="1">
      <alignment horizontal="center"/>
    </xf>
    <xf numFmtId="0" fontId="120" fillId="0" borderId="0" xfId="0" applyFont="1" applyAlignment="1">
      <alignment horizontal="center"/>
    </xf>
    <xf numFmtId="0" fontId="121" fillId="0" borderId="0" xfId="0" applyFont="1"/>
    <xf numFmtId="0" fontId="122" fillId="26" borderId="0" xfId="0" applyFont="1" applyFill="1"/>
    <xf numFmtId="0" fontId="123" fillId="0" borderId="43" xfId="0" applyFont="1" applyBorder="1" applyAlignment="1">
      <alignment wrapText="1"/>
    </xf>
    <xf numFmtId="0" fontId="121" fillId="0" borderId="0" xfId="0" applyFont="1" applyAlignment="1">
      <alignment horizontal="center"/>
    </xf>
    <xf numFmtId="0" fontId="124" fillId="0" borderId="0" xfId="0" applyFont="1"/>
    <xf numFmtId="0" fontId="125" fillId="0" borderId="0" xfId="0" applyFont="1"/>
    <xf numFmtId="0" fontId="126" fillId="0" borderId="0" xfId="0" applyFont="1"/>
    <xf numFmtId="0" fontId="127" fillId="0" borderId="0" xfId="0" applyFont="1"/>
    <xf numFmtId="0" fontId="128" fillId="0" borderId="0" xfId="0" applyFont="1"/>
    <xf numFmtId="0" fontId="129" fillId="0" borderId="0" xfId="0" applyFont="1"/>
    <xf numFmtId="0" fontId="130" fillId="0" borderId="0" xfId="0" applyFont="1"/>
    <xf numFmtId="0" fontId="131" fillId="0" borderId="0" xfId="0" applyFont="1"/>
    <xf numFmtId="0" fontId="132" fillId="0" borderId="0" xfId="0" applyFont="1"/>
    <xf numFmtId="0" fontId="126" fillId="0" borderId="0" xfId="0" applyFont="1" applyAlignment="1">
      <alignment wrapText="1"/>
    </xf>
    <xf numFmtId="0" fontId="133" fillId="0" borderId="0" xfId="0" applyFont="1"/>
    <xf numFmtId="0" fontId="134" fillId="0" borderId="0" xfId="0" applyFont="1"/>
    <xf numFmtId="0" fontId="135" fillId="0" borderId="0" xfId="0" applyFont="1" applyAlignment="1">
      <alignment readingOrder="1"/>
    </xf>
    <xf numFmtId="0" fontId="3" fillId="0" borderId="12" xfId="0" applyFont="1" applyBorder="1" applyAlignment="1">
      <alignment horizontal="center" wrapText="1"/>
    </xf>
    <xf numFmtId="0" fontId="137" fillId="0" borderId="0" xfId="0" applyFont="1"/>
    <xf numFmtId="0" fontId="138" fillId="0" borderId="0" xfId="0" applyFont="1" applyAlignment="1">
      <alignment wrapText="1"/>
    </xf>
    <xf numFmtId="0" fontId="126" fillId="0" borderId="0" xfId="0" applyFont="1" applyAlignment="1">
      <alignment horizontal="left" vertical="center"/>
    </xf>
    <xf numFmtId="0" fontId="139" fillId="0" borderId="0" xfId="0" applyFont="1"/>
    <xf numFmtId="0" fontId="140" fillId="0" borderId="0" xfId="0" applyFont="1" applyAlignment="1">
      <alignment horizontal="center"/>
    </xf>
    <xf numFmtId="0" fontId="141" fillId="0" borderId="0" xfId="0" applyFont="1"/>
    <xf numFmtId="0" fontId="142" fillId="0" borderId="0" xfId="0" applyFont="1"/>
    <xf numFmtId="0" fontId="138" fillId="0" borderId="0" xfId="0" applyFont="1" applyAlignment="1">
      <alignment readingOrder="1"/>
    </xf>
    <xf numFmtId="0" fontId="123" fillId="0" borderId="43" xfId="0" applyFont="1" applyBorder="1" applyAlignment="1">
      <alignment horizontal="center" wrapText="1"/>
    </xf>
    <xf numFmtId="0" fontId="143" fillId="0" borderId="0" xfId="0" applyFont="1"/>
    <xf numFmtId="0" fontId="144" fillId="0" borderId="0" xfId="0" applyFont="1"/>
    <xf numFmtId="0" fontId="145" fillId="134" borderId="4" xfId="2" applyBorder="1" applyAlignment="1">
      <alignment horizontal="center" vertical="top"/>
    </xf>
    <xf numFmtId="0" fontId="145" fillId="134" borderId="0" xfId="2"/>
    <xf numFmtId="0" fontId="119" fillId="0" borderId="0" xfId="0" applyFont="1"/>
    <xf numFmtId="0" fontId="0" fillId="0" borderId="0" xfId="0"/>
    <xf numFmtId="9" fontId="145" fillId="134" borderId="4" xfId="2" applyNumberFormat="1" applyBorder="1" applyAlignment="1">
      <alignment horizontal="center" vertical="top"/>
    </xf>
    <xf numFmtId="9" fontId="0" fillId="0" borderId="0" xfId="0" applyNumberFormat="1"/>
    <xf numFmtId="0" fontId="146" fillId="0" borderId="0" xfId="0" applyFont="1"/>
    <xf numFmtId="49" fontId="118" fillId="0" borderId="0" xfId="0" applyNumberFormat="1" applyFont="1" applyAlignment="1">
      <alignment horizontal="left" wrapText="1"/>
    </xf>
    <xf numFmtId="0" fontId="148" fillId="0" borderId="0" xfId="0" applyFont="1"/>
    <xf numFmtId="0" fontId="149" fillId="37" borderId="20" xfId="0" applyFont="1" applyFill="1" applyBorder="1" applyAlignment="1">
      <alignment vertical="center"/>
    </xf>
    <xf numFmtId="0" fontId="149" fillId="49" borderId="13" xfId="0" applyFont="1" applyFill="1" applyBorder="1" applyAlignment="1">
      <alignment vertical="center"/>
    </xf>
    <xf numFmtId="0" fontId="149" fillId="33" borderId="20" xfId="0" applyFont="1" applyFill="1" applyBorder="1" applyAlignment="1">
      <alignment vertical="center"/>
    </xf>
    <xf numFmtId="0" fontId="149" fillId="35" borderId="20" xfId="0" applyFont="1" applyFill="1" applyBorder="1" applyAlignment="1">
      <alignment vertical="center"/>
    </xf>
    <xf numFmtId="0" fontId="149" fillId="50" borderId="20" xfId="0" applyFont="1" applyFill="1" applyBorder="1" applyAlignment="1">
      <alignment vertical="center"/>
    </xf>
    <xf numFmtId="0" fontId="149" fillId="51" borderId="20" xfId="0" applyFont="1" applyFill="1" applyBorder="1" applyAlignment="1">
      <alignment vertical="center"/>
    </xf>
    <xf numFmtId="0" fontId="149" fillId="52" borderId="20" xfId="0" applyFont="1" applyFill="1" applyBorder="1" applyAlignment="1">
      <alignment horizontal="left" vertical="center"/>
    </xf>
    <xf numFmtId="0" fontId="150" fillId="37" borderId="11" xfId="0" applyFont="1" applyFill="1" applyBorder="1" applyAlignment="1">
      <alignment vertical="center"/>
    </xf>
    <xf numFmtId="0" fontId="150" fillId="37" borderId="13" xfId="0" quotePrefix="1" applyFont="1" applyFill="1" applyBorder="1" applyAlignment="1">
      <alignment vertical="center"/>
    </xf>
    <xf numFmtId="0" fontId="150" fillId="37" borderId="11" xfId="0" quotePrefix="1" applyFont="1" applyFill="1" applyBorder="1" applyAlignment="1">
      <alignment vertical="center"/>
    </xf>
    <xf numFmtId="0" fontId="150" fillId="49" borderId="11" xfId="0" quotePrefix="1" applyFont="1" applyFill="1" applyBorder="1" applyAlignment="1">
      <alignment vertical="center"/>
    </xf>
    <xf numFmtId="0" fontId="150" fillId="33" borderId="11" xfId="0" quotePrefix="1" applyFont="1" applyFill="1" applyBorder="1" applyAlignment="1">
      <alignment vertical="center"/>
    </xf>
    <xf numFmtId="0" fontId="150" fillId="35" borderId="11" xfId="0" quotePrefix="1" applyFont="1" applyFill="1" applyBorder="1" applyAlignment="1">
      <alignment vertical="center"/>
    </xf>
    <xf numFmtId="0" fontId="150" fillId="50" borderId="11" xfId="0" quotePrefix="1" applyFont="1" applyFill="1" applyBorder="1" applyAlignment="1">
      <alignment vertical="center"/>
    </xf>
    <xf numFmtId="0" fontId="150" fillId="51" borderId="11" xfId="0" quotePrefix="1" applyFont="1" applyFill="1" applyBorder="1" applyAlignment="1">
      <alignment vertical="center"/>
    </xf>
    <xf numFmtId="0" fontId="151" fillId="52" borderId="11" xfId="0" applyFont="1" applyFill="1" applyBorder="1" applyAlignment="1">
      <alignment horizontal="center"/>
    </xf>
    <xf numFmtId="0" fontId="151" fillId="52" borderId="13" xfId="0" applyFont="1" applyFill="1" applyBorder="1" applyAlignment="1">
      <alignment horizontal="center"/>
    </xf>
    <xf numFmtId="0" fontId="151" fillId="52" borderId="20" xfId="0" applyFont="1" applyFill="1" applyBorder="1" applyAlignment="1">
      <alignment horizontal="center"/>
    </xf>
    <xf numFmtId="0" fontId="150" fillId="52" borderId="11" xfId="0" quotePrefix="1" applyFont="1" applyFill="1" applyBorder="1" applyAlignment="1">
      <alignment horizontal="left" vertical="center"/>
    </xf>
    <xf numFmtId="0" fontId="150" fillId="52" borderId="10" xfId="0" quotePrefix="1" applyFont="1" applyFill="1" applyBorder="1" applyAlignment="1">
      <alignment horizontal="left" vertical="center"/>
    </xf>
    <xf numFmtId="0" fontId="151" fillId="52" borderId="21" xfId="0" applyFont="1" applyFill="1" applyBorder="1" applyAlignment="1">
      <alignment horizontal="center"/>
    </xf>
    <xf numFmtId="0" fontId="151" fillId="52" borderId="15" xfId="0" applyFont="1" applyFill="1" applyBorder="1" applyAlignment="1">
      <alignment horizontal="center"/>
    </xf>
    <xf numFmtId="0" fontId="152" fillId="26" borderId="0" xfId="0" applyFont="1" applyFill="1" applyAlignment="1">
      <alignment horizontal="center"/>
    </xf>
    <xf numFmtId="0" fontId="151" fillId="37" borderId="11" xfId="0" applyFont="1" applyFill="1" applyBorder="1" applyAlignment="1">
      <alignment horizontal="center"/>
    </xf>
    <xf numFmtId="0" fontId="153" fillId="37" borderId="20" xfId="0" applyFont="1" applyFill="1" applyBorder="1" applyAlignment="1">
      <alignment vertical="center"/>
    </xf>
    <xf numFmtId="0" fontId="153" fillId="37" borderId="20" xfId="0" applyFont="1" applyFill="1" applyBorder="1" applyAlignment="1">
      <alignment vertical="center" wrapText="1"/>
    </xf>
    <xf numFmtId="0" fontId="154" fillId="37" borderId="11" xfId="0" applyFont="1" applyFill="1" applyBorder="1" applyAlignment="1">
      <alignment horizontal="left"/>
    </xf>
    <xf numFmtId="0" fontId="154" fillId="37" borderId="13" xfId="0" applyFont="1" applyFill="1" applyBorder="1" applyAlignment="1">
      <alignment horizontal="center"/>
    </xf>
    <xf numFmtId="0" fontId="154" fillId="37" borderId="15" xfId="0" applyFont="1" applyFill="1" applyBorder="1" applyAlignment="1">
      <alignment horizontal="center"/>
    </xf>
    <xf numFmtId="0" fontId="154" fillId="37" borderId="11" xfId="0" applyFont="1" applyFill="1" applyBorder="1" applyAlignment="1">
      <alignment horizontal="center"/>
    </xf>
    <xf numFmtId="0" fontId="155" fillId="0" borderId="0" xfId="0" applyFont="1" applyAlignment="1">
      <alignment horizontal="left"/>
    </xf>
    <xf numFmtId="0" fontId="9" fillId="0" borderId="0" xfId="0" applyFont="1" applyAlignment="1">
      <alignment horizontal="left"/>
    </xf>
    <xf numFmtId="0" fontId="9" fillId="0" borderId="0" xfId="0" applyFont="1" applyAlignment="1">
      <alignment horizontal="left" wrapText="1"/>
    </xf>
    <xf numFmtId="0" fontId="28" fillId="26" borderId="0" xfId="0" applyFont="1" applyFill="1" applyAlignment="1">
      <alignment horizontal="center" vertical="center"/>
    </xf>
    <xf numFmtId="0" fontId="28" fillId="26" borderId="16" xfId="0" applyFont="1" applyFill="1" applyBorder="1" applyAlignment="1">
      <alignment horizontal="center" vertical="center"/>
    </xf>
    <xf numFmtId="0" fontId="29" fillId="0" borderId="13" xfId="0" applyFont="1" applyBorder="1" applyAlignment="1">
      <alignment horizontal="center"/>
    </xf>
    <xf numFmtId="0" fontId="156" fillId="135" borderId="0" xfId="0" applyFont="1" applyFill="1" applyAlignment="1">
      <alignment horizontal="left" vertical="center"/>
    </xf>
    <xf numFmtId="0" fontId="156" fillId="135" borderId="0" xfId="0" applyFont="1" applyFill="1" applyAlignment="1">
      <alignment horizontal="center" vertical="center"/>
    </xf>
    <xf numFmtId="0" fontId="157" fillId="0" borderId="13" xfId="0" quotePrefix="1" applyFont="1" applyBorder="1" applyAlignment="1">
      <alignment horizontal="center" vertical="center" wrapText="1"/>
    </xf>
    <xf numFmtId="0" fontId="158" fillId="109" borderId="12" xfId="0" applyFont="1" applyFill="1" applyBorder="1" applyAlignment="1">
      <alignment horizontal="left" vertical="center"/>
    </xf>
    <xf numFmtId="0" fontId="158" fillId="109" borderId="12" xfId="0" quotePrefix="1" applyFont="1" applyFill="1" applyBorder="1" applyAlignment="1">
      <alignment horizontal="left" vertical="center"/>
    </xf>
    <xf numFmtId="49" fontId="159" fillId="0" borderId="0" xfId="0" applyNumberFormat="1" applyFont="1" applyAlignment="1">
      <alignment horizontal="center" wrapText="1"/>
    </xf>
    <xf numFmtId="0" fontId="28" fillId="26" borderId="16" xfId="0" applyFont="1" applyFill="1" applyBorder="1" applyAlignment="1">
      <alignment horizontal="left" vertical="center"/>
    </xf>
    <xf numFmtId="0" fontId="147" fillId="0" borderId="0" xfId="0" applyFont="1" applyAlignment="1">
      <alignment horizontal="left"/>
    </xf>
    <xf numFmtId="0" fontId="147" fillId="0" borderId="0" xfId="0" quotePrefix="1" applyFont="1" applyAlignment="1">
      <alignment horizontal="left"/>
    </xf>
    <xf numFmtId="0" fontId="160" fillId="0" borderId="0" xfId="0" applyFont="1"/>
    <xf numFmtId="0" fontId="25" fillId="15" borderId="0" xfId="0" applyFont="1" applyFill="1" applyAlignment="1">
      <alignment horizontal="center"/>
    </xf>
    <xf numFmtId="0" fontId="25" fillId="16" borderId="0" xfId="0" applyFont="1" applyFill="1" applyAlignment="1">
      <alignment horizontal="center"/>
    </xf>
    <xf numFmtId="0" fontId="25" fillId="17" borderId="0" xfId="0" applyFont="1" applyFill="1" applyAlignment="1">
      <alignment horizontal="center"/>
    </xf>
    <xf numFmtId="0" fontId="25" fillId="18" borderId="12" xfId="0" applyFont="1" applyFill="1" applyBorder="1" applyAlignment="1">
      <alignment horizontal="center"/>
    </xf>
    <xf numFmtId="0" fontId="25" fillId="18" borderId="0" xfId="0" applyFont="1" applyFill="1" applyAlignment="1">
      <alignment horizontal="center"/>
    </xf>
    <xf numFmtId="0" fontId="25" fillId="19" borderId="12" xfId="0" applyFont="1" applyFill="1" applyBorder="1" applyAlignment="1">
      <alignment horizontal="center"/>
    </xf>
    <xf numFmtId="0" fontId="25" fillId="19" borderId="0" xfId="0" applyFont="1" applyFill="1" applyAlignment="1">
      <alignment horizontal="center"/>
    </xf>
    <xf numFmtId="0" fontId="136" fillId="0" borderId="0" xfId="0" applyFont="1" applyAlignment="1">
      <alignment horizontal="center"/>
    </xf>
    <xf numFmtId="0" fontId="3" fillId="0" borderId="0" xfId="0" applyFont="1" applyAlignment="1">
      <alignment horizontal="left"/>
    </xf>
    <xf numFmtId="0" fontId="2" fillId="0" borderId="0" xfId="0" applyFont="1" applyAlignment="1">
      <alignment horizontal="left"/>
    </xf>
    <xf numFmtId="0" fontId="0" fillId="0" borderId="0" xfId="0" applyAlignment="1">
      <alignment horizontal="left"/>
    </xf>
    <xf numFmtId="0" fontId="0" fillId="125" borderId="0" xfId="0" applyFill="1" applyAlignment="1">
      <alignment horizontal="center" wrapText="1"/>
    </xf>
    <xf numFmtId="0" fontId="0" fillId="0" borderId="0" xfId="0" applyAlignment="1">
      <alignment vertical="top" wrapText="1"/>
    </xf>
    <xf numFmtId="0" fontId="125" fillId="0" borderId="0" xfId="3" applyFont="1" applyAlignment="1">
      <alignment horizontal="left" wrapText="1"/>
    </xf>
    <xf numFmtId="0" fontId="125" fillId="0" borderId="0" xfId="3" applyFont="1" applyAlignment="1">
      <alignment horizontal="left"/>
    </xf>
    <xf numFmtId="0" fontId="128" fillId="0" borderId="0" xfId="3" applyFont="1" applyAlignment="1">
      <alignment horizontal="left"/>
    </xf>
    <xf numFmtId="0" fontId="129" fillId="0" borderId="0" xfId="3" applyFont="1" applyAlignment="1">
      <alignment horizontal="left"/>
    </xf>
    <xf numFmtId="0" fontId="128" fillId="0" borderId="0" xfId="3" applyFont="1" applyAlignment="1">
      <alignment horizontal="left" wrapText="1"/>
    </xf>
    <xf numFmtId="0" fontId="130" fillId="0" borderId="0" xfId="3" applyFont="1" applyAlignment="1">
      <alignment horizontal="left" wrapText="1"/>
    </xf>
    <xf numFmtId="0" fontId="130" fillId="0" borderId="0" xfId="3" applyFont="1" applyAlignment="1">
      <alignment horizontal="left"/>
    </xf>
    <xf numFmtId="0" fontId="129" fillId="0" borderId="0" xfId="3" applyFont="1" applyAlignment="1">
      <alignment horizontal="left" wrapText="1"/>
    </xf>
    <xf numFmtId="0" fontId="131" fillId="0" borderId="0" xfId="3" applyFont="1" applyAlignment="1">
      <alignment horizontal="left"/>
    </xf>
    <xf numFmtId="0" fontId="131" fillId="0" borderId="0" xfId="3" applyFont="1" applyAlignment="1">
      <alignment horizontal="left" wrapText="1"/>
    </xf>
    <xf numFmtId="0" fontId="21" fillId="0" borderId="0" xfId="3" applyFont="1"/>
    <xf numFmtId="0" fontId="119" fillId="0" borderId="0" xfId="0" applyFont="1" applyAlignment="1">
      <alignment vertical="top" wrapText="1"/>
    </xf>
    <xf numFmtId="0" fontId="162" fillId="26" borderId="16" xfId="0" applyFont="1" applyFill="1" applyBorder="1" applyAlignment="1">
      <alignment horizontal="center" vertical="center"/>
    </xf>
    <xf numFmtId="0" fontId="0" fillId="0" borderId="0" xfId="0"/>
    <xf numFmtId="0" fontId="0" fillId="0" borderId="0" xfId="0"/>
    <xf numFmtId="0" fontId="0" fillId="0" borderId="0" xfId="0"/>
    <xf numFmtId="0" fontId="161" fillId="0" borderId="0" xfId="3"/>
    <xf numFmtId="0" fontId="83" fillId="0" borderId="0" xfId="3" applyFont="1"/>
    <xf numFmtId="0" fontId="84" fillId="0" borderId="0" xfId="3" applyFont="1"/>
    <xf numFmtId="0" fontId="84" fillId="0" borderId="0" xfId="3" applyFont="1" applyAlignment="1">
      <alignment wrapText="1"/>
    </xf>
    <xf numFmtId="0" fontId="0" fillId="0" borderId="0" xfId="0"/>
    <xf numFmtId="0" fontId="2" fillId="0" borderId="0" xfId="0" applyFont="1"/>
    <xf numFmtId="0" fontId="2" fillId="0" borderId="0" xfId="0" applyFont="1" applyAlignment="1">
      <alignment horizontal="left"/>
    </xf>
    <xf numFmtId="0" fontId="0" fillId="0" borderId="0" xfId="0"/>
    <xf numFmtId="0" fontId="0" fillId="0" borderId="0" xfId="0" quotePrefix="1"/>
    <xf numFmtId="0" fontId="0" fillId="0" borderId="0" xfId="0"/>
    <xf numFmtId="0" fontId="0" fillId="0" borderId="0" xfId="0"/>
    <xf numFmtId="0" fontId="23" fillId="23" borderId="0" xfId="0" applyFont="1" applyFill="1" applyAlignment="1">
      <alignment horizontal="center"/>
    </xf>
    <xf numFmtId="0" fontId="0" fillId="0" borderId="0" xfId="0"/>
    <xf numFmtId="0" fontId="0" fillId="0" borderId="0" xfId="0" applyAlignment="1">
      <alignment horizontal="center"/>
    </xf>
    <xf numFmtId="0" fontId="25" fillId="15" borderId="12" xfId="0" applyFont="1" applyFill="1" applyBorder="1" applyAlignment="1">
      <alignment horizontal="center"/>
    </xf>
    <xf numFmtId="0" fontId="23" fillId="22" borderId="0" xfId="0" applyFont="1" applyFill="1" applyAlignment="1">
      <alignment horizontal="center"/>
    </xf>
    <xf numFmtId="0" fontId="25" fillId="18" borderId="12" xfId="0" applyFont="1" applyFill="1" applyBorder="1" applyAlignment="1">
      <alignment horizontal="center"/>
    </xf>
    <xf numFmtId="0" fontId="25" fillId="19" borderId="12" xfId="0" applyFont="1" applyFill="1" applyBorder="1" applyAlignment="1">
      <alignment horizontal="center"/>
    </xf>
    <xf numFmtId="0" fontId="23" fillId="21" borderId="0" xfId="0" applyFont="1" applyFill="1" applyAlignment="1">
      <alignment horizontal="center"/>
    </xf>
    <xf numFmtId="0" fontId="25" fillId="16" borderId="12" xfId="0" applyFont="1" applyFill="1" applyBorder="1" applyAlignment="1">
      <alignment horizontal="center"/>
    </xf>
    <xf numFmtId="0" fontId="25" fillId="14" borderId="10" xfId="0" applyFont="1" applyFill="1" applyBorder="1" applyAlignment="1">
      <alignment horizontal="center"/>
    </xf>
    <xf numFmtId="0" fontId="23" fillId="13" borderId="0" xfId="0" applyFont="1" applyFill="1" applyAlignment="1">
      <alignment horizontal="center" wrapText="1"/>
    </xf>
    <xf numFmtId="0" fontId="25" fillId="20" borderId="14" xfId="0" applyFont="1" applyFill="1" applyBorder="1" applyAlignment="1">
      <alignment horizontal="center"/>
    </xf>
    <xf numFmtId="0" fontId="25" fillId="17" borderId="12" xfId="0" applyFont="1" applyFill="1" applyBorder="1" applyAlignment="1">
      <alignment horizontal="center"/>
    </xf>
    <xf numFmtId="0" fontId="23" fillId="0" borderId="0" xfId="0" applyFont="1" applyAlignment="1">
      <alignment horizontal="center" wrapText="1"/>
    </xf>
    <xf numFmtId="0" fontId="0" fillId="0" borderId="0" xfId="0" applyAlignment="1">
      <alignment horizontal="left"/>
    </xf>
    <xf numFmtId="0" fontId="2" fillId="0" borderId="0" xfId="0" applyFont="1"/>
    <xf numFmtId="0" fontId="3" fillId="0" borderId="0" xfId="0" applyFont="1" applyAlignment="1">
      <alignment horizontal="left"/>
    </xf>
    <xf numFmtId="0" fontId="2" fillId="0" borderId="0" xfId="0" applyFont="1" applyAlignment="1">
      <alignment horizontal="left"/>
    </xf>
    <xf numFmtId="0" fontId="0" fillId="0" borderId="0" xfId="0"/>
    <xf numFmtId="0" fontId="84" fillId="0" borderId="0" xfId="3" applyFont="1" applyFill="1"/>
    <xf numFmtId="0" fontId="0" fillId="0" borderId="0" xfId="0"/>
    <xf numFmtId="0" fontId="0" fillId="0" borderId="0" xfId="0"/>
    <xf numFmtId="0" fontId="131" fillId="0" borderId="0" xfId="3" applyFont="1"/>
    <xf numFmtId="0" fontId="129" fillId="0" borderId="0" xfId="3" applyFont="1"/>
    <xf numFmtId="0" fontId="128" fillId="0" borderId="0" xfId="3" applyFont="1"/>
    <xf numFmtId="0" fontId="21" fillId="0" borderId="0" xfId="3" applyFont="1"/>
    <xf numFmtId="0" fontId="85" fillId="0" borderId="0" xfId="3" applyFont="1"/>
    <xf numFmtId="0" fontId="116" fillId="0" borderId="0" xfId="3" applyFont="1"/>
    <xf numFmtId="0" fontId="163" fillId="0" borderId="0" xfId="3" applyFont="1"/>
    <xf numFmtId="0" fontId="164" fillId="0" borderId="0" xfId="3" applyFont="1"/>
    <xf numFmtId="0" fontId="165" fillId="0" borderId="0" xfId="3" applyFont="1"/>
    <xf numFmtId="0" fontId="0" fillId="0" borderId="0" xfId="0"/>
    <xf numFmtId="0" fontId="122" fillId="68" borderId="0" xfId="0" applyFont="1" applyFill="1"/>
    <xf numFmtId="0" fontId="121" fillId="0" borderId="0" xfId="0" applyFont="1" applyAlignment="1">
      <alignment wrapText="1"/>
    </xf>
    <xf numFmtId="0" fontId="4" fillId="129" borderId="0" xfId="0" applyFont="1" applyFill="1"/>
    <xf numFmtId="0" fontId="116" fillId="0" borderId="0" xfId="0" applyFont="1"/>
    <xf numFmtId="0" fontId="155" fillId="129" borderId="0" xfId="0" applyFont="1" applyFill="1"/>
    <xf numFmtId="0" fontId="167" fillId="0" borderId="0" xfId="0" applyFont="1"/>
    <xf numFmtId="0" fontId="4" fillId="129" borderId="0" xfId="0" applyFont="1" applyFill="1" applyAlignment="1">
      <alignment wrapText="1"/>
    </xf>
    <xf numFmtId="0" fontId="163" fillId="0" borderId="0" xfId="0" applyFont="1"/>
    <xf numFmtId="0" fontId="124" fillId="0" borderId="0" xfId="0" applyFont="1" applyAlignment="1">
      <alignment wrapText="1"/>
    </xf>
    <xf numFmtId="0" fontId="167" fillId="0" borderId="0" xfId="0" applyFont="1" applyAlignment="1">
      <alignment wrapText="1"/>
    </xf>
    <xf numFmtId="0" fontId="167" fillId="0" borderId="45" xfId="0" applyFont="1" applyBorder="1"/>
    <xf numFmtId="0" fontId="167" fillId="144" borderId="45" xfId="0" applyFont="1" applyFill="1" applyBorder="1"/>
    <xf numFmtId="0" fontId="124" fillId="0" borderId="45" xfId="0" applyFont="1" applyBorder="1"/>
    <xf numFmtId="0" fontId="168" fillId="0" borderId="0" xfId="0" applyFont="1"/>
    <xf numFmtId="0" fontId="169" fillId="0" borderId="0" xfId="0" applyFont="1"/>
    <xf numFmtId="0" fontId="167" fillId="129" borderId="0" xfId="0" applyFont="1" applyFill="1" applyAlignment="1">
      <alignment wrapText="1"/>
    </xf>
    <xf numFmtId="9" fontId="124" fillId="0" borderId="0" xfId="0" applyNumberFormat="1" applyFont="1"/>
    <xf numFmtId="0" fontId="167" fillId="144" borderId="0" xfId="0" applyFont="1" applyFill="1"/>
    <xf numFmtId="0" fontId="124" fillId="144" borderId="0" xfId="0" applyFont="1" applyFill="1"/>
    <xf numFmtId="0" fontId="155" fillId="129" borderId="0" xfId="0" applyFont="1" applyFill="1" applyAlignment="1">
      <alignment wrapText="1"/>
    </xf>
    <xf numFmtId="0" fontId="148" fillId="0" borderId="0" xfId="0" applyFont="1" applyAlignment="1">
      <alignment wrapText="1"/>
    </xf>
    <xf numFmtId="0" fontId="168" fillId="0" borderId="0" xfId="0" applyFont="1" applyAlignment="1">
      <alignment wrapText="1"/>
    </xf>
    <xf numFmtId="0" fontId="170" fillId="0" borderId="0" xfId="0" applyFont="1"/>
    <xf numFmtId="0" fontId="4" fillId="0" borderId="45" xfId="0" applyFont="1" applyBorder="1"/>
    <xf numFmtId="0" fontId="4" fillId="144" borderId="45" xfId="0" applyFont="1" applyFill="1" applyBorder="1"/>
    <xf numFmtId="0" fontId="171" fillId="144" borderId="45" xfId="0" applyFont="1" applyFill="1" applyBorder="1"/>
    <xf numFmtId="0" fontId="171" fillId="0" borderId="45" xfId="0" applyFont="1" applyBorder="1"/>
    <xf numFmtId="0" fontId="172" fillId="0" borderId="0" xfId="0" applyFont="1"/>
    <xf numFmtId="0" fontId="167" fillId="0" borderId="0" xfId="0" applyFont="1" applyAlignment="1">
      <alignment vertical="center" wrapText="1"/>
    </xf>
    <xf numFmtId="0" fontId="171" fillId="144" borderId="0" xfId="0" applyFont="1" applyFill="1"/>
    <xf numFmtId="0" fontId="173" fillId="0" borderId="45" xfId="0" applyFont="1" applyBorder="1"/>
    <xf numFmtId="0" fontId="172" fillId="0" borderId="45" xfId="0" applyFont="1" applyBorder="1"/>
    <xf numFmtId="0" fontId="165" fillId="0" borderId="0" xfId="0" applyFont="1"/>
    <xf numFmtId="0" fontId="0" fillId="0" borderId="0" xfId="0"/>
    <xf numFmtId="0" fontId="161" fillId="0" borderId="0" xfId="3"/>
    <xf numFmtId="0" fontId="174" fillId="0" borderId="0" xfId="3" applyFont="1"/>
    <xf numFmtId="0" fontId="175" fillId="0" borderId="46" xfId="0" applyFont="1" applyBorder="1" applyAlignment="1">
      <alignment horizontal="center" vertical="center" wrapText="1"/>
    </xf>
    <xf numFmtId="0" fontId="176" fillId="0" borderId="0" xfId="0" applyFont="1" applyAlignment="1">
      <alignment horizontal="center"/>
    </xf>
    <xf numFmtId="0" fontId="175" fillId="0" borderId="0" xfId="0" applyFont="1" applyAlignment="1">
      <alignment horizontal="center" vertical="center" wrapText="1"/>
    </xf>
    <xf numFmtId="0" fontId="175" fillId="0" borderId="47" xfId="0" applyFont="1" applyBorder="1" applyAlignment="1">
      <alignment horizontal="center" vertical="center" wrapText="1"/>
    </xf>
    <xf numFmtId="0" fontId="161" fillId="0" borderId="0" xfId="3" applyFill="1"/>
    <xf numFmtId="0" fontId="161" fillId="0" borderId="0" xfId="3"/>
    <xf numFmtId="0" fontId="0" fillId="0" borderId="0" xfId="0"/>
    <xf numFmtId="0" fontId="124" fillId="0" borderId="0" xfId="3" applyFont="1"/>
    <xf numFmtId="0" fontId="124" fillId="0" borderId="0" xfId="3" applyFont="1"/>
    <xf numFmtId="0" fontId="24" fillId="0" borderId="0" xfId="3" applyFont="1"/>
    <xf numFmtId="0" fontId="161" fillId="0" borderId="0" xfId="3"/>
    <xf numFmtId="0" fontId="0" fillId="0" borderId="0" xfId="0"/>
    <xf numFmtId="0" fontId="0" fillId="0" borderId="0" xfId="0" applyAlignment="1">
      <alignment wrapText="1"/>
    </xf>
    <xf numFmtId="16" fontId="0" fillId="0" borderId="0" xfId="0" quotePrefix="1" applyNumberFormat="1"/>
    <xf numFmtId="0" fontId="0" fillId="0" borderId="0" xfId="0"/>
    <xf numFmtId="0" fontId="34" fillId="0" borderId="0" xfId="5" applyFont="1" applyAlignment="1"/>
    <xf numFmtId="0" fontId="34" fillId="0" borderId="0" xfId="5" applyFont="1"/>
    <xf numFmtId="0" fontId="177" fillId="0" borderId="0" xfId="5" applyFont="1" applyAlignment="1">
      <alignment horizontal="left"/>
    </xf>
    <xf numFmtId="0" fontId="178" fillId="0" borderId="0" xfId="5" applyFont="1" applyAlignment="1">
      <alignment horizontal="left"/>
    </xf>
    <xf numFmtId="0" fontId="34" fillId="0" borderId="0" xfId="5" applyFont="1" applyAlignment="1"/>
    <xf numFmtId="0" fontId="34" fillId="0" borderId="0" xfId="5" applyFont="1"/>
    <xf numFmtId="0" fontId="177" fillId="0" borderId="0" xfId="5" applyFont="1" applyAlignment="1">
      <alignment horizontal="left"/>
    </xf>
    <xf numFmtId="0" fontId="178" fillId="0" borderId="0" xfId="5" applyFont="1" applyAlignment="1">
      <alignment horizontal="left"/>
    </xf>
    <xf numFmtId="0" fontId="0" fillId="0" borderId="0" xfId="0"/>
    <xf numFmtId="0" fontId="166" fillId="0" borderId="0" xfId="3" applyFont="1" applyAlignment="1">
      <alignment wrapText="1"/>
    </xf>
    <xf numFmtId="0" fontId="146" fillId="139" borderId="0" xfId="3" applyFont="1" applyFill="1" applyAlignment="1">
      <alignment wrapText="1"/>
    </xf>
    <xf numFmtId="0" fontId="146" fillId="136" borderId="0" xfId="3" applyFont="1" applyFill="1" applyAlignment="1">
      <alignment wrapText="1"/>
    </xf>
    <xf numFmtId="0" fontId="146" fillId="136" borderId="0" xfId="3" applyFont="1" applyFill="1"/>
    <xf numFmtId="0" fontId="146" fillId="140" borderId="0" xfId="3" applyFont="1" applyFill="1" applyAlignment="1">
      <alignment wrapText="1"/>
    </xf>
    <xf numFmtId="0" fontId="146" fillId="140" borderId="0" xfId="3" applyFont="1" applyFill="1"/>
    <xf numFmtId="0" fontId="146" fillId="141" borderId="0" xfId="3" applyFont="1" applyFill="1"/>
    <xf numFmtId="0" fontId="146" fillId="141" borderId="0" xfId="3" applyFont="1" applyFill="1" applyAlignment="1">
      <alignment wrapText="1"/>
    </xf>
    <xf numFmtId="0" fontId="146" fillId="138" borderId="0" xfId="3" applyFont="1" applyFill="1"/>
    <xf numFmtId="0" fontId="146" fillId="138" borderId="0" xfId="3" applyFont="1" applyFill="1" applyAlignment="1">
      <alignment wrapText="1"/>
    </xf>
    <xf numFmtId="0" fontId="146" fillId="139" borderId="0" xfId="3" applyFont="1" applyFill="1"/>
    <xf numFmtId="0" fontId="146" fillId="137" borderId="0" xfId="3" applyFont="1" applyFill="1" applyAlignment="1">
      <alignment horizontal="center" wrapText="1"/>
    </xf>
    <xf numFmtId="0" fontId="166" fillId="0" borderId="0" xfId="3" applyFont="1" applyAlignment="1">
      <alignment wrapText="1"/>
    </xf>
    <xf numFmtId="0" fontId="146" fillId="138" borderId="44" xfId="3" applyFont="1" applyFill="1" applyBorder="1" applyAlignment="1">
      <alignment wrapText="1"/>
    </xf>
    <xf numFmtId="0" fontId="146" fillId="139" borderId="44" xfId="3" applyFont="1" applyFill="1" applyBorder="1" applyAlignment="1">
      <alignment wrapText="1"/>
    </xf>
    <xf numFmtId="0" fontId="146" fillId="139" borderId="0" xfId="3" applyFont="1" applyFill="1" applyAlignment="1">
      <alignment wrapText="1"/>
    </xf>
    <xf numFmtId="0" fontId="146" fillId="136" borderId="44" xfId="3" applyFont="1" applyFill="1" applyBorder="1" applyAlignment="1">
      <alignment wrapText="1"/>
    </xf>
    <xf numFmtId="0" fontId="146" fillId="136" borderId="0" xfId="3" applyFont="1" applyFill="1" applyAlignment="1">
      <alignment wrapText="1"/>
    </xf>
    <xf numFmtId="0" fontId="146" fillId="140" borderId="0" xfId="3" applyFont="1" applyFill="1" applyAlignment="1">
      <alignment wrapText="1"/>
    </xf>
    <xf numFmtId="0" fontId="146" fillId="141" borderId="0" xfId="3" applyFont="1" applyFill="1" applyAlignment="1">
      <alignment wrapText="1"/>
    </xf>
    <xf numFmtId="0" fontId="146" fillId="141" borderId="44" xfId="3" applyFont="1" applyFill="1" applyBorder="1" applyAlignment="1">
      <alignment wrapText="1"/>
    </xf>
    <xf numFmtId="0" fontId="146" fillId="137" borderId="0" xfId="3" applyFont="1" applyFill="1" applyAlignment="1">
      <alignment horizontal="center" wrapText="1"/>
    </xf>
    <xf numFmtId="0" fontId="166" fillId="0" borderId="0" xfId="3" applyFont="1" applyAlignment="1">
      <alignment wrapText="1"/>
    </xf>
    <xf numFmtId="0" fontId="146" fillId="138" borderId="44" xfId="3" applyFont="1" applyFill="1" applyBorder="1" applyAlignment="1">
      <alignment wrapText="1"/>
    </xf>
    <xf numFmtId="0" fontId="146" fillId="139" borderId="44" xfId="3" applyFont="1" applyFill="1" applyBorder="1" applyAlignment="1">
      <alignment wrapText="1"/>
    </xf>
    <xf numFmtId="0" fontId="146" fillId="139" borderId="0" xfId="3" applyFont="1" applyFill="1" applyAlignment="1">
      <alignment wrapText="1"/>
    </xf>
    <xf numFmtId="0" fontId="146" fillId="136" borderId="44" xfId="3" applyFont="1" applyFill="1" applyBorder="1" applyAlignment="1">
      <alignment wrapText="1"/>
    </xf>
    <xf numFmtId="0" fontId="146" fillId="136" borderId="0" xfId="3" applyFont="1" applyFill="1" applyAlignment="1">
      <alignment wrapText="1"/>
    </xf>
    <xf numFmtId="0" fontId="146" fillId="140" borderId="0" xfId="3" applyFont="1" applyFill="1" applyAlignment="1">
      <alignment wrapText="1"/>
    </xf>
    <xf numFmtId="0" fontId="146" fillId="141" borderId="0" xfId="3" applyFont="1" applyFill="1" applyAlignment="1">
      <alignment wrapText="1"/>
    </xf>
    <xf numFmtId="0" fontId="146" fillId="141" borderId="44" xfId="3" applyFont="1" applyFill="1" applyBorder="1" applyAlignment="1">
      <alignment wrapText="1"/>
    </xf>
    <xf numFmtId="0" fontId="146" fillId="143" borderId="44" xfId="3" applyFont="1" applyFill="1" applyBorder="1" applyAlignment="1">
      <alignment horizontal="center"/>
    </xf>
    <xf numFmtId="0" fontId="146" fillId="143" borderId="0" xfId="3" applyFont="1" applyFill="1" applyAlignment="1">
      <alignment horizontal="center"/>
    </xf>
    <xf numFmtId="0" fontId="146" fillId="137" borderId="44" xfId="3" applyFont="1" applyFill="1" applyBorder="1"/>
    <xf numFmtId="0" fontId="146" fillId="137" borderId="0" xfId="3" applyFont="1" applyFill="1"/>
    <xf numFmtId="0" fontId="146" fillId="140" borderId="44" xfId="3" applyFont="1" applyFill="1" applyBorder="1" applyAlignment="1">
      <alignment wrapText="1"/>
    </xf>
    <xf numFmtId="0" fontId="73" fillId="76" borderId="0" xfId="0" applyFont="1" applyFill="1" applyAlignment="1">
      <alignment horizontal="center" vertical="center"/>
    </xf>
    <xf numFmtId="0" fontId="34" fillId="0" borderId="0" xfId="0" applyFont="1" applyAlignment="1">
      <alignment horizontal="center" vertical="center"/>
    </xf>
    <xf numFmtId="0" fontId="36" fillId="54" borderId="0" xfId="0" applyFont="1" applyFill="1" applyAlignment="1">
      <alignment horizontal="center" vertical="center"/>
    </xf>
    <xf numFmtId="0" fontId="79" fillId="78" borderId="0" xfId="0" applyFont="1" applyFill="1" applyAlignment="1">
      <alignment horizontal="center" vertical="center"/>
    </xf>
    <xf numFmtId="0" fontId="79" fillId="61" borderId="0" xfId="0" applyFont="1" applyFill="1" applyAlignment="1">
      <alignment horizontal="center" vertical="center"/>
    </xf>
    <xf numFmtId="0" fontId="78" fillId="77" borderId="0" xfId="0" applyFont="1" applyFill="1" applyAlignment="1">
      <alignment horizontal="center" vertical="center"/>
    </xf>
    <xf numFmtId="0" fontId="136" fillId="0" borderId="0" xfId="0" applyFont="1" applyAlignment="1">
      <alignment horizontal="center"/>
    </xf>
    <xf numFmtId="0" fontId="26" fillId="0" borderId="0" xfId="0" applyFont="1"/>
    <xf numFmtId="0" fontId="3" fillId="84" borderId="0" xfId="0" applyFont="1" applyFill="1" applyAlignment="1">
      <alignment horizontal="left" wrapText="1"/>
    </xf>
    <xf numFmtId="0" fontId="2" fillId="0" borderId="0" xfId="0" applyFont="1"/>
    <xf numFmtId="0" fontId="3" fillId="87" borderId="0" xfId="0" applyFont="1" applyFill="1" applyAlignment="1">
      <alignment horizontal="left" wrapText="1"/>
    </xf>
    <xf numFmtId="0" fontId="0" fillId="0" borderId="0" xfId="0" applyAlignment="1">
      <alignment horizontal="left"/>
    </xf>
    <xf numFmtId="0" fontId="0" fillId="0" borderId="0" xfId="0"/>
    <xf numFmtId="0" fontId="3" fillId="86" borderId="0" xfId="0" applyFont="1" applyFill="1" applyAlignment="1">
      <alignment horizontal="left" wrapText="1"/>
    </xf>
    <xf numFmtId="0" fontId="3" fillId="23" borderId="0" xfId="0" applyFont="1" applyFill="1" applyAlignment="1">
      <alignment horizontal="left" wrapText="1"/>
    </xf>
    <xf numFmtId="0" fontId="3" fillId="22" borderId="0" xfId="0" applyFont="1" applyFill="1" applyAlignment="1">
      <alignment horizontal="left" wrapText="1"/>
    </xf>
    <xf numFmtId="0" fontId="7" fillId="88" borderId="0" xfId="0" applyFont="1" applyFill="1" applyAlignment="1">
      <alignment horizontal="left"/>
    </xf>
    <xf numFmtId="0" fontId="3" fillId="0" borderId="0" xfId="0" applyFont="1" applyAlignment="1">
      <alignment horizontal="left"/>
    </xf>
    <xf numFmtId="0" fontId="3" fillId="89" borderId="0" xfId="0" applyFont="1" applyFill="1" applyAlignment="1">
      <alignment horizontal="left"/>
    </xf>
    <xf numFmtId="0" fontId="7" fillId="93" borderId="0" xfId="0" applyFont="1" applyFill="1" applyAlignment="1">
      <alignment horizontal="left"/>
    </xf>
    <xf numFmtId="0" fontId="7" fillId="90" borderId="35" xfId="0" applyFont="1" applyFill="1" applyBorder="1" applyAlignment="1">
      <alignment horizontal="left"/>
    </xf>
    <xf numFmtId="0" fontId="2" fillId="0" borderId="0" xfId="0" applyFont="1" applyAlignment="1">
      <alignment horizontal="left"/>
    </xf>
    <xf numFmtId="0" fontId="94" fillId="3" borderId="0" xfId="0" applyFont="1" applyFill="1" applyAlignment="1">
      <alignment horizontal="left"/>
    </xf>
    <xf numFmtId="0" fontId="147" fillId="87" borderId="0" xfId="0" applyFont="1" applyFill="1" applyAlignment="1">
      <alignment horizontal="left" wrapText="1"/>
    </xf>
    <xf numFmtId="0" fontId="7" fillId="36" borderId="0" xfId="0" applyFont="1" applyFill="1" applyAlignment="1">
      <alignment horizontal="left"/>
    </xf>
    <xf numFmtId="0" fontId="7" fillId="91" borderId="0" xfId="0" applyFont="1" applyFill="1" applyAlignment="1">
      <alignment horizontal="left"/>
    </xf>
    <xf numFmtId="0" fontId="7" fillId="92" borderId="0" xfId="0" applyFont="1" applyFill="1" applyAlignment="1">
      <alignment horizontal="left"/>
    </xf>
    <xf numFmtId="0" fontId="58" fillId="0" borderId="0" xfId="0" applyFont="1" applyAlignment="1">
      <alignment horizontal="left"/>
    </xf>
    <xf numFmtId="0" fontId="114" fillId="118" borderId="0" xfId="0" applyFont="1" applyFill="1" applyAlignment="1">
      <alignment horizontal="center" vertical="center"/>
    </xf>
    <xf numFmtId="0" fontId="113" fillId="114" borderId="0" xfId="0" applyFont="1" applyFill="1" applyAlignment="1">
      <alignment horizontal="center" vertical="center"/>
    </xf>
    <xf numFmtId="0" fontId="105" fillId="113" borderId="0" xfId="0" applyFont="1" applyFill="1" applyAlignment="1">
      <alignment horizontal="center" vertical="center"/>
    </xf>
    <xf numFmtId="0" fontId="0" fillId="130" borderId="0" xfId="0" applyFill="1" applyAlignment="1">
      <alignment horizontal="center" vertical="center" wrapText="1"/>
    </xf>
    <xf numFmtId="0" fontId="0" fillId="123" borderId="12" xfId="0" applyFill="1" applyBorder="1" applyAlignment="1">
      <alignment horizontal="center" wrapText="1"/>
    </xf>
    <xf numFmtId="0" fontId="0" fillId="125" borderId="0" xfId="0" applyFill="1" applyAlignment="1">
      <alignment horizontal="center" wrapText="1"/>
    </xf>
    <xf numFmtId="0" fontId="0" fillId="132" borderId="0" xfId="0" applyFill="1" applyAlignment="1">
      <alignment horizontal="center" vertical="center" wrapText="1"/>
    </xf>
    <xf numFmtId="0" fontId="0" fillId="12" borderId="0" xfId="0" applyFill="1" applyAlignment="1">
      <alignment horizontal="center" wrapText="1"/>
    </xf>
    <xf numFmtId="0" fontId="0" fillId="73" borderId="0" xfId="0" applyFill="1" applyAlignment="1">
      <alignment horizontal="center" vertical="center" wrapText="1"/>
    </xf>
    <xf numFmtId="0" fontId="0" fillId="126" borderId="0" xfId="0" applyFill="1" applyAlignment="1">
      <alignment horizontal="center" vertical="center" wrapText="1"/>
    </xf>
    <xf numFmtId="0" fontId="0" fillId="65" borderId="0" xfId="0" applyFill="1" applyAlignment="1">
      <alignment horizontal="center" vertical="center" wrapText="1"/>
    </xf>
    <xf numFmtId="0" fontId="146" fillId="136" borderId="0" xfId="3" applyFont="1" applyFill="1" applyAlignment="1">
      <alignment horizontal="center" wrapText="1"/>
    </xf>
    <xf numFmtId="0" fontId="146" fillId="136" borderId="43" xfId="3" applyFont="1" applyFill="1" applyBorder="1" applyAlignment="1">
      <alignment horizontal="center" wrapText="1"/>
    </xf>
    <xf numFmtId="0" fontId="146" fillId="137" borderId="0" xfId="3" applyFont="1" applyFill="1" applyAlignment="1">
      <alignment horizontal="center" wrapText="1"/>
    </xf>
    <xf numFmtId="0" fontId="146" fillId="142" borderId="44" xfId="3" applyFont="1" applyFill="1" applyBorder="1" applyAlignment="1">
      <alignment horizontal="center" wrapText="1"/>
    </xf>
    <xf numFmtId="0" fontId="146" fillId="142" borderId="0" xfId="3" applyFont="1" applyFill="1" applyBorder="1" applyAlignment="1">
      <alignment horizontal="center" wrapText="1"/>
    </xf>
    <xf numFmtId="0" fontId="146" fillId="142" borderId="43" xfId="3" applyFont="1" applyFill="1" applyBorder="1" applyAlignment="1">
      <alignment horizontal="center" wrapText="1"/>
    </xf>
    <xf numFmtId="0" fontId="146" fillId="137" borderId="43" xfId="3" applyFont="1" applyFill="1" applyBorder="1" applyAlignment="1">
      <alignment horizontal="center" wrapText="1"/>
    </xf>
    <xf numFmtId="0" fontId="155" fillId="0" borderId="0" xfId="0" applyFont="1"/>
  </cellXfs>
  <cellStyles count="6">
    <cellStyle name="60% - Accent1" xfId="2" builtinId="32"/>
    <cellStyle name="60% - Accent1 2" xfId="4"/>
    <cellStyle name="Check Cell" xfId="1" builtinId="23"/>
    <cellStyle name="Normal" xfId="0" builtinId="0"/>
    <cellStyle name="Normal 2" xfId="3"/>
    <cellStyle name="Normal 3" xfId="5"/>
  </cellStyles>
  <dxfs count="3">
    <dxf>
      <font>
        <b/>
        <strike val="0"/>
        <vertAlign val="baseline"/>
        <sz val="11"/>
        <name val="Arial"/>
      </font>
      <fill>
        <patternFill patternType="solid">
          <fgColor rgb="FFFF8282"/>
          <bgColor rgb="FFFF8282"/>
        </patternFill>
      </fill>
      <alignment horizontal="center" vertical="bottom"/>
      <border>
        <left/>
        <right style="medium">
          <color auto="1"/>
        </right>
        <top style="thin">
          <color auto="1"/>
        </top>
        <bottom style="thin">
          <color auto="1"/>
        </bottom>
        <vertical/>
        <horizontal/>
      </border>
    </dxf>
    <dxf>
      <font>
        <b/>
        <strike val="0"/>
        <vertAlign val="baseline"/>
        <sz val="11"/>
        <name val="Arial"/>
      </font>
      <fill>
        <patternFill patternType="solid">
          <fgColor rgb="FFFF8282"/>
          <bgColor rgb="FFFF8282"/>
        </patternFill>
      </fill>
      <alignment horizontal="center" vertical="bottom"/>
      <border>
        <left/>
        <right/>
        <top style="thin">
          <color auto="1"/>
        </top>
        <bottom style="thin">
          <color auto="1"/>
        </bottom>
        <vertical/>
        <horizontal/>
      </border>
    </dxf>
    <dxf>
      <font>
        <b/>
        <strike val="0"/>
        <vertAlign val="baseline"/>
        <sz val="11"/>
        <name val="Arial"/>
      </font>
      <fill>
        <patternFill patternType="solid">
          <fgColor rgb="FFFF8282"/>
          <bgColor rgb="FFFF8282"/>
        </patternFill>
      </fill>
      <alignment horizontal="center" vertical="bottom"/>
      <border>
        <left style="medium">
          <color auto="1"/>
        </left>
        <right/>
        <top style="thin">
          <color auto="1"/>
        </top>
        <bottom style="thin">
          <color auto="1"/>
        </bottom>
        <vertical/>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tables/table1.xml><?xml version="1.0" encoding="utf-8"?>
<table xmlns="http://schemas.openxmlformats.org/spreadsheetml/2006/main" id="1" name="Table1" displayName="Table1" ref="A1:C61">
  <autoFilter ref="A1:C61"/>
  <tableColumns count="3">
    <tableColumn id="1" name="Name" dataDxfId="2"/>
    <tableColumn id="2" name="Quest" dataDxfId="1"/>
    <tableColumn id="3" name="Reward" dataDxfId="0"/>
  </tableColumns>
  <tableStyleInfo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5.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0.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9.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6"/>
  <sheetViews>
    <sheetView workbookViewId="0">
      <selection activeCell="C4" sqref="C4"/>
    </sheetView>
  </sheetViews>
  <sheetFormatPr defaultRowHeight="14.15"/>
  <cols>
    <col min="1" max="1" width="12.85546875" customWidth="1"/>
  </cols>
  <sheetData>
    <row r="1" spans="1:2">
      <c r="A1" t="s">
        <v>8670</v>
      </c>
      <c r="B1" t="s">
        <v>8671</v>
      </c>
    </row>
    <row r="2" spans="1:2">
      <c r="A2" t="s">
        <v>8672</v>
      </c>
      <c r="B2" t="s">
        <v>8673</v>
      </c>
    </row>
    <row r="3" spans="1:2">
      <c r="A3" t="s">
        <v>8668</v>
      </c>
      <c r="B3" t="s">
        <v>8674</v>
      </c>
    </row>
    <row r="4" spans="1:2">
      <c r="A4" t="s">
        <v>8675</v>
      </c>
      <c r="B4" t="s">
        <v>8676</v>
      </c>
    </row>
    <row r="5" spans="1:2">
      <c r="A5" t="s">
        <v>8669</v>
      </c>
      <c r="B5" t="s">
        <v>8677</v>
      </c>
    </row>
    <row r="6" spans="1:2">
      <c r="A6" t="s">
        <v>8678</v>
      </c>
      <c r="B6" t="s">
        <v>8679</v>
      </c>
    </row>
    <row r="7" spans="1:2">
      <c r="A7" t="s">
        <v>8680</v>
      </c>
      <c r="B7" t="s">
        <v>8681</v>
      </c>
    </row>
    <row r="8" spans="1:2">
      <c r="A8" t="s">
        <v>8682</v>
      </c>
      <c r="B8" t="s">
        <v>8683</v>
      </c>
    </row>
    <row r="9" spans="1:2">
      <c r="A9" t="s">
        <v>8684</v>
      </c>
      <c r="B9" t="s">
        <v>8685</v>
      </c>
    </row>
    <row r="10" spans="1:2">
      <c r="A10" t="s">
        <v>8686</v>
      </c>
      <c r="B10" t="s">
        <v>8687</v>
      </c>
    </row>
    <row r="11" spans="1:2">
      <c r="A11" t="s">
        <v>8688</v>
      </c>
      <c r="B11" t="s">
        <v>8689</v>
      </c>
    </row>
    <row r="12" spans="1:2">
      <c r="A12" t="s">
        <v>8690</v>
      </c>
      <c r="B12" t="s">
        <v>8691</v>
      </c>
    </row>
    <row r="13" spans="1:2">
      <c r="A13" t="s">
        <v>8692</v>
      </c>
      <c r="B13" t="s">
        <v>8693</v>
      </c>
    </row>
    <row r="14" spans="1:2">
      <c r="A14" t="s">
        <v>8694</v>
      </c>
      <c r="B14" t="s">
        <v>8695</v>
      </c>
    </row>
    <row r="15" spans="1:2">
      <c r="A15" t="s">
        <v>8696</v>
      </c>
      <c r="B15" t="s">
        <v>8697</v>
      </c>
    </row>
    <row r="16" spans="1:2">
      <c r="A16" t="s">
        <v>8698</v>
      </c>
      <c r="B16" t="s">
        <v>8699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K399"/>
  <sheetViews>
    <sheetView topLeftCell="A184" zoomScale="115" zoomScaleNormal="115" workbookViewId="0">
      <selection activeCell="A198" sqref="A198"/>
    </sheetView>
  </sheetViews>
  <sheetFormatPr defaultColWidth="9" defaultRowHeight="15.9" customHeight="1"/>
  <cols>
    <col min="1" max="1" width="26.5" style="1" customWidth="1"/>
    <col min="2" max="2" width="222.7109375" style="1" customWidth="1"/>
    <col min="3" max="3" width="9" style="1" customWidth="1"/>
    <col min="4" max="4" width="36" style="1" bestFit="1" customWidth="1"/>
    <col min="5" max="6" width="9" style="1" customWidth="1"/>
    <col min="7" max="7" width="12.2109375" style="1" customWidth="1"/>
    <col min="8" max="9" width="9" style="1" customWidth="1"/>
    <col min="10" max="10" width="22.5" style="1" customWidth="1"/>
    <col min="11" max="11" width="11.35546875" style="1" customWidth="1"/>
    <col min="12" max="12" width="9" style="1" customWidth="1"/>
    <col min="13" max="16384" width="9" style="1"/>
  </cols>
  <sheetData>
    <row r="1" spans="1:11" ht="15.9" customHeight="1">
      <c r="A1" s="640" t="s">
        <v>0</v>
      </c>
      <c r="B1" s="640" t="s">
        <v>1</v>
      </c>
      <c r="C1" s="641"/>
      <c r="D1" s="641"/>
      <c r="E1" s="641"/>
      <c r="F1" s="641"/>
      <c r="G1" s="641"/>
      <c r="H1" s="641"/>
      <c r="I1" s="641"/>
      <c r="J1" s="641"/>
      <c r="K1" s="641"/>
    </row>
    <row r="2" spans="1:11" s="687" customFormat="1" ht="15.9" customHeight="1">
      <c r="A2" s="688"/>
      <c r="B2" s="688"/>
      <c r="C2" s="689"/>
      <c r="D2" s="689"/>
      <c r="E2" s="689"/>
      <c r="F2" s="689"/>
      <c r="G2" s="689"/>
      <c r="H2" s="689"/>
      <c r="I2" s="689"/>
      <c r="J2" s="689"/>
      <c r="K2" s="689"/>
    </row>
    <row r="3" spans="1:11" ht="15.9" customHeight="1">
      <c r="A3" s="641"/>
      <c r="B3" s="641"/>
      <c r="C3" s="641"/>
      <c r="D3" s="641"/>
      <c r="E3" s="641"/>
      <c r="F3" s="641"/>
      <c r="G3" s="641"/>
      <c r="H3" s="641"/>
      <c r="I3" s="641"/>
      <c r="J3" s="641"/>
      <c r="K3" s="641"/>
    </row>
    <row r="4" spans="1:11" ht="15.9" customHeight="1">
      <c r="A4" s="640" t="s">
        <v>2</v>
      </c>
      <c r="B4" s="2" t="s">
        <v>3</v>
      </c>
      <c r="C4" s="641"/>
      <c r="D4" s="641"/>
      <c r="E4" s="641"/>
      <c r="F4" s="641"/>
      <c r="G4" s="641"/>
      <c r="H4" s="641"/>
      <c r="I4" s="641"/>
      <c r="J4" s="641"/>
      <c r="K4" s="641"/>
    </row>
    <row r="5" spans="1:11" ht="15.9" customHeight="1">
      <c r="A5" s="640" t="s">
        <v>4</v>
      </c>
      <c r="B5" s="2" t="s">
        <v>5</v>
      </c>
      <c r="C5" s="641"/>
      <c r="D5" s="641"/>
      <c r="E5" s="641"/>
      <c r="F5" s="641"/>
      <c r="G5" s="641"/>
      <c r="H5" s="641"/>
      <c r="I5" s="641"/>
      <c r="J5" s="641"/>
      <c r="K5" s="641"/>
    </row>
    <row r="6" spans="1:11" ht="15.9" customHeight="1">
      <c r="A6" s="2" t="s">
        <v>6</v>
      </c>
      <c r="B6" s="2" t="s">
        <v>7</v>
      </c>
      <c r="C6" s="641"/>
      <c r="D6" s="641"/>
      <c r="E6" s="641"/>
      <c r="F6" s="641"/>
      <c r="G6" s="641"/>
      <c r="H6" s="641"/>
      <c r="I6" s="641"/>
      <c r="J6" s="641"/>
      <c r="K6" s="641"/>
    </row>
    <row r="7" spans="1:11" ht="15.9" customHeight="1">
      <c r="A7" s="2" t="s">
        <v>8</v>
      </c>
      <c r="B7" s="2" t="s">
        <v>9</v>
      </c>
      <c r="C7" s="641"/>
      <c r="D7" s="641"/>
      <c r="E7" s="641"/>
      <c r="F7" s="641"/>
      <c r="G7" s="641"/>
      <c r="H7" s="641"/>
      <c r="I7" s="641"/>
      <c r="J7" s="641"/>
      <c r="K7" s="641"/>
    </row>
    <row r="8" spans="1:11" ht="15.9" customHeight="1">
      <c r="A8" s="2" t="s">
        <v>10</v>
      </c>
      <c r="B8" s="2" t="s">
        <v>11</v>
      </c>
      <c r="C8" s="641"/>
      <c r="D8" s="641"/>
      <c r="E8" s="641"/>
      <c r="F8" s="641"/>
      <c r="G8" s="641"/>
      <c r="H8" s="641"/>
      <c r="I8" s="641"/>
      <c r="J8" s="641"/>
      <c r="K8" s="641"/>
    </row>
    <row r="9" spans="1:11" ht="15.9" customHeight="1">
      <c r="A9" s="2" t="s">
        <v>12</v>
      </c>
      <c r="B9" s="2" t="s">
        <v>13</v>
      </c>
      <c r="C9" s="641"/>
      <c r="D9" s="641"/>
      <c r="E9" s="641"/>
      <c r="F9" s="641"/>
      <c r="G9" s="641"/>
      <c r="H9" s="641"/>
      <c r="I9" s="641"/>
      <c r="J9" s="641"/>
      <c r="K9" s="641"/>
    </row>
    <row r="10" spans="1:11" ht="15.9" customHeight="1">
      <c r="A10" s="2" t="s">
        <v>14</v>
      </c>
      <c r="B10" s="2" t="s">
        <v>15</v>
      </c>
      <c r="C10" s="641"/>
      <c r="D10" s="641"/>
      <c r="E10" s="641"/>
      <c r="F10" s="641"/>
      <c r="G10" s="641"/>
      <c r="H10" s="641"/>
      <c r="I10" s="641"/>
      <c r="J10" s="641"/>
      <c r="K10" s="641"/>
    </row>
    <row r="11" spans="1:11" ht="15.9" customHeight="1">
      <c r="A11" s="2" t="s">
        <v>16</v>
      </c>
      <c r="B11" s="2" t="s">
        <v>17</v>
      </c>
      <c r="C11" s="641"/>
      <c r="D11" s="641"/>
      <c r="E11" s="641"/>
      <c r="F11" s="641"/>
      <c r="G11" s="641"/>
      <c r="H11" s="641"/>
      <c r="I11" s="641"/>
      <c r="J11" s="641"/>
      <c r="K11" s="641"/>
    </row>
    <row r="12" spans="1:11" ht="15.9" customHeight="1">
      <c r="A12" s="2" t="s">
        <v>18</v>
      </c>
      <c r="B12" s="2" t="s">
        <v>19</v>
      </c>
      <c r="C12" s="641"/>
      <c r="D12" s="641"/>
      <c r="E12" s="641"/>
      <c r="F12" s="641"/>
      <c r="G12" s="641"/>
      <c r="H12" s="641"/>
      <c r="I12" s="641"/>
      <c r="J12" s="641"/>
      <c r="K12" s="641"/>
    </row>
    <row r="13" spans="1:11" ht="15.9" customHeight="1">
      <c r="A13" s="2" t="s">
        <v>20</v>
      </c>
      <c r="B13" s="2" t="s">
        <v>21</v>
      </c>
      <c r="C13" s="641"/>
      <c r="D13" s="641"/>
      <c r="E13" s="641"/>
      <c r="F13" s="641"/>
      <c r="G13" s="641"/>
      <c r="H13" s="641"/>
      <c r="I13" s="641"/>
      <c r="J13" s="641"/>
      <c r="K13" s="641"/>
    </row>
    <row r="14" spans="1:11" ht="15.9" customHeight="1">
      <c r="A14" s="2" t="s">
        <v>22</v>
      </c>
      <c r="B14" s="2" t="s">
        <v>23</v>
      </c>
      <c r="C14" s="641"/>
      <c r="D14" s="641"/>
      <c r="E14" s="641"/>
      <c r="F14" s="641"/>
      <c r="G14" s="641"/>
      <c r="H14" s="641"/>
      <c r="I14" s="641"/>
      <c r="J14" s="641"/>
      <c r="K14" s="641"/>
    </row>
    <row r="15" spans="1:11" ht="15.9" customHeight="1">
      <c r="A15" s="2" t="s">
        <v>24</v>
      </c>
      <c r="B15" s="2" t="s">
        <v>25</v>
      </c>
      <c r="C15" s="641"/>
      <c r="D15" s="641"/>
      <c r="E15" s="641"/>
      <c r="F15" s="641"/>
      <c r="G15" s="641"/>
      <c r="H15" s="641"/>
      <c r="I15" s="641"/>
      <c r="J15" s="641"/>
      <c r="K15" s="641"/>
    </row>
    <row r="16" spans="1:11" ht="15.9" customHeight="1">
      <c r="A16" s="2" t="s">
        <v>26</v>
      </c>
      <c r="B16" s="2" t="s">
        <v>27</v>
      </c>
      <c r="C16" s="641"/>
      <c r="D16" s="641"/>
      <c r="E16" s="641"/>
      <c r="F16" s="641"/>
      <c r="G16" s="641"/>
      <c r="H16" s="641"/>
      <c r="I16" s="641"/>
      <c r="J16" s="641"/>
      <c r="K16" s="641"/>
    </row>
    <row r="17" spans="1:11" ht="15.9" customHeight="1">
      <c r="A17" s="2" t="s">
        <v>28</v>
      </c>
      <c r="B17" s="2" t="s">
        <v>29</v>
      </c>
      <c r="C17" s="641"/>
      <c r="D17" s="641"/>
      <c r="E17" s="641"/>
      <c r="F17" s="641"/>
      <c r="G17" s="641"/>
      <c r="H17" s="641"/>
      <c r="I17" s="641"/>
      <c r="J17" s="641"/>
      <c r="K17" s="641"/>
    </row>
    <row r="18" spans="1:11" ht="15.9" customHeight="1">
      <c r="A18" s="2" t="s">
        <v>30</v>
      </c>
      <c r="B18" s="2" t="s">
        <v>31</v>
      </c>
      <c r="C18" s="641"/>
      <c r="D18" s="641"/>
      <c r="E18" s="641"/>
      <c r="F18" s="641"/>
      <c r="G18" s="641"/>
      <c r="H18" s="641"/>
      <c r="I18" s="641"/>
      <c r="J18" s="641"/>
      <c r="K18" s="641"/>
    </row>
    <row r="19" spans="1:11" ht="15.9" customHeight="1">
      <c r="A19" s="2" t="s">
        <v>32</v>
      </c>
      <c r="B19" s="2" t="s">
        <v>33</v>
      </c>
      <c r="C19" s="641"/>
      <c r="D19" s="641"/>
      <c r="E19" s="641"/>
      <c r="F19" s="641"/>
      <c r="G19" s="641"/>
      <c r="H19" s="641"/>
      <c r="I19" s="641"/>
      <c r="J19" s="641"/>
      <c r="K19" s="641"/>
    </row>
    <row r="20" spans="1:11" ht="15.9" customHeight="1">
      <c r="A20" s="2" t="s">
        <v>34</v>
      </c>
      <c r="B20" s="2" t="s">
        <v>35</v>
      </c>
      <c r="C20" s="641"/>
      <c r="D20" s="641"/>
      <c r="E20" s="641"/>
      <c r="F20" s="641"/>
      <c r="G20" s="641"/>
      <c r="H20" s="641"/>
      <c r="I20" s="641"/>
      <c r="J20" s="641"/>
      <c r="K20" s="641"/>
    </row>
    <row r="21" spans="1:11" ht="15.9" customHeight="1">
      <c r="A21" s="2" t="s">
        <v>36</v>
      </c>
      <c r="B21" s="2" t="s">
        <v>37</v>
      </c>
      <c r="C21" s="641"/>
      <c r="D21" s="641"/>
      <c r="E21" s="641"/>
      <c r="F21" s="641"/>
      <c r="G21" s="641"/>
      <c r="H21" s="641"/>
      <c r="I21" s="641"/>
      <c r="J21" s="641"/>
      <c r="K21" s="641"/>
    </row>
    <row r="22" spans="1:11" ht="15.9" customHeight="1">
      <c r="A22" s="2" t="s">
        <v>38</v>
      </c>
      <c r="B22" s="2" t="s">
        <v>39</v>
      </c>
      <c r="C22" s="641"/>
      <c r="D22" s="641"/>
      <c r="E22" s="641"/>
      <c r="F22" s="641"/>
      <c r="G22" s="641"/>
      <c r="H22" s="641"/>
      <c r="I22" s="641"/>
      <c r="J22" s="641"/>
      <c r="K22" s="641"/>
    </row>
    <row r="23" spans="1:11" ht="15.9" customHeight="1">
      <c r="A23" s="2" t="s">
        <v>40</v>
      </c>
      <c r="B23" s="2" t="s">
        <v>41</v>
      </c>
      <c r="C23" s="641"/>
      <c r="D23" s="641"/>
      <c r="E23" s="641"/>
      <c r="F23" s="641"/>
      <c r="G23" s="641"/>
      <c r="H23" s="641"/>
      <c r="I23" s="641"/>
      <c r="J23" s="641"/>
      <c r="K23" s="641"/>
    </row>
    <row r="24" spans="1:11" ht="15.9" customHeight="1">
      <c r="A24" s="2" t="s">
        <v>42</v>
      </c>
      <c r="B24" s="2" t="s">
        <v>43</v>
      </c>
      <c r="C24" s="641"/>
      <c r="D24" s="641"/>
      <c r="E24" s="641"/>
      <c r="F24" s="641"/>
      <c r="G24" s="641"/>
      <c r="H24" s="641"/>
      <c r="I24" s="641"/>
      <c r="J24" s="641"/>
      <c r="K24" s="641"/>
    </row>
    <row r="25" spans="1:11" ht="15.9" customHeight="1">
      <c r="A25" s="2" t="s">
        <v>44</v>
      </c>
      <c r="B25" s="2" t="s">
        <v>45</v>
      </c>
      <c r="C25" s="641"/>
      <c r="D25" s="641"/>
      <c r="E25" s="641"/>
      <c r="F25" s="641"/>
      <c r="G25" s="641"/>
      <c r="H25" s="641"/>
      <c r="I25" s="641"/>
      <c r="J25" s="641"/>
      <c r="K25" s="641"/>
    </row>
    <row r="26" spans="1:11" ht="15.9" customHeight="1">
      <c r="A26" s="1" t="s">
        <v>46</v>
      </c>
      <c r="B26" s="1" t="s">
        <v>47</v>
      </c>
    </row>
    <row r="27" spans="1:11" ht="15.9" customHeight="1">
      <c r="A27" s="616" t="s">
        <v>48</v>
      </c>
      <c r="B27" s="616" t="s">
        <v>49</v>
      </c>
    </row>
    <row r="28" spans="1:11" ht="15.9" customHeight="1">
      <c r="C28" s="641"/>
      <c r="D28" s="641"/>
      <c r="E28" s="641"/>
      <c r="F28" s="641"/>
      <c r="G28" s="641"/>
      <c r="H28" s="641"/>
      <c r="I28" s="641"/>
      <c r="J28" s="641"/>
      <c r="K28" s="641"/>
    </row>
    <row r="29" spans="1:11" ht="15.9" customHeight="1">
      <c r="A29" s="640" t="s">
        <v>50</v>
      </c>
      <c r="B29" s="641" t="s">
        <v>6043</v>
      </c>
      <c r="C29" s="641"/>
      <c r="D29" s="641"/>
      <c r="E29" s="641"/>
      <c r="F29" s="641"/>
      <c r="G29" s="641"/>
      <c r="H29" s="641"/>
      <c r="I29" s="641"/>
      <c r="J29" s="641"/>
      <c r="K29" s="641"/>
    </row>
    <row r="30" spans="1:11" ht="15.9" customHeight="1">
      <c r="A30" s="2" t="s">
        <v>51</v>
      </c>
      <c r="B30" s="2" t="s">
        <v>52</v>
      </c>
      <c r="C30" s="641"/>
      <c r="D30" s="641"/>
      <c r="E30" s="641"/>
      <c r="F30" s="641"/>
      <c r="G30" s="641"/>
      <c r="H30" s="641"/>
      <c r="I30" s="641"/>
      <c r="J30" s="641"/>
      <c r="K30" s="641"/>
    </row>
    <row r="31" spans="1:11" ht="15.9" customHeight="1">
      <c r="A31" s="2" t="s">
        <v>53</v>
      </c>
      <c r="B31" s="2" t="s">
        <v>54</v>
      </c>
      <c r="C31" s="641"/>
      <c r="D31" s="641"/>
      <c r="E31" s="641"/>
      <c r="F31" s="641"/>
      <c r="G31" s="641"/>
      <c r="H31" s="641"/>
      <c r="I31" s="641"/>
      <c r="J31" s="641"/>
      <c r="K31" s="641"/>
    </row>
    <row r="32" spans="1:11" ht="15.9" customHeight="1">
      <c r="A32" s="2" t="s">
        <v>55</v>
      </c>
      <c r="B32" s="2" t="s">
        <v>56</v>
      </c>
      <c r="C32" s="641"/>
      <c r="D32" s="641"/>
      <c r="E32" s="641"/>
      <c r="F32" s="641"/>
      <c r="G32" s="641"/>
      <c r="H32" s="641"/>
      <c r="I32" s="641"/>
      <c r="J32" s="641"/>
      <c r="K32" s="641"/>
    </row>
    <row r="33" spans="1:11" ht="15.9" customHeight="1">
      <c r="A33" s="641"/>
      <c r="B33" s="641"/>
      <c r="C33" s="641"/>
      <c r="D33" s="641"/>
      <c r="E33" s="641"/>
      <c r="F33" s="641"/>
      <c r="G33" s="641"/>
      <c r="H33" s="641"/>
      <c r="I33" s="641"/>
      <c r="J33" s="641"/>
      <c r="K33" s="641"/>
    </row>
    <row r="34" spans="1:11" ht="15.9" customHeight="1">
      <c r="A34" s="640" t="s">
        <v>57</v>
      </c>
      <c r="B34" s="2" t="s">
        <v>58</v>
      </c>
      <c r="C34" s="641"/>
      <c r="D34" s="641"/>
      <c r="E34" s="641"/>
      <c r="F34" s="641"/>
      <c r="G34" s="641"/>
      <c r="H34" s="641"/>
      <c r="I34" s="641"/>
      <c r="J34" s="641"/>
      <c r="K34" s="641"/>
    </row>
    <row r="35" spans="1:11" ht="15.9" customHeight="1">
      <c r="A35" s="2" t="s">
        <v>59</v>
      </c>
      <c r="B35" s="2" t="s">
        <v>60</v>
      </c>
      <c r="C35" s="641"/>
      <c r="D35" s="641"/>
      <c r="E35" s="641"/>
      <c r="F35" s="641"/>
      <c r="G35" s="641"/>
      <c r="H35" s="641"/>
      <c r="I35" s="641"/>
      <c r="J35" s="641"/>
      <c r="K35" s="641"/>
    </row>
    <row r="36" spans="1:11" ht="15.9" customHeight="1">
      <c r="A36" s="2" t="s">
        <v>61</v>
      </c>
      <c r="B36" s="2" t="s">
        <v>62</v>
      </c>
      <c r="C36" s="641"/>
      <c r="D36" s="641"/>
      <c r="E36" s="641"/>
      <c r="F36" s="641"/>
      <c r="G36" s="641"/>
      <c r="H36" s="641"/>
      <c r="I36" s="641"/>
      <c r="J36" s="641"/>
      <c r="K36" s="641"/>
    </row>
    <row r="37" spans="1:11" ht="15.9" customHeight="1">
      <c r="A37" s="2" t="s">
        <v>63</v>
      </c>
      <c r="B37" s="2" t="s">
        <v>64</v>
      </c>
      <c r="C37" s="641"/>
      <c r="D37" s="641"/>
      <c r="E37" s="641"/>
      <c r="F37" s="641"/>
      <c r="G37" s="641"/>
      <c r="H37" s="641"/>
      <c r="I37" s="641"/>
      <c r="J37" s="641"/>
      <c r="K37" s="641"/>
    </row>
    <row r="38" spans="1:11" ht="15.9" customHeight="1">
      <c r="A38" s="2" t="s">
        <v>65</v>
      </c>
      <c r="B38" s="2" t="s">
        <v>66</v>
      </c>
      <c r="C38" s="641"/>
      <c r="D38" s="641"/>
      <c r="E38" s="641"/>
      <c r="F38" s="641"/>
      <c r="G38" s="641"/>
      <c r="H38" s="641"/>
      <c r="I38" s="641"/>
      <c r="J38" s="641"/>
      <c r="K38" s="641"/>
    </row>
    <row r="39" spans="1:11" ht="15.9" customHeight="1">
      <c r="A39" s="2" t="s">
        <v>67</v>
      </c>
      <c r="B39" s="2" t="s">
        <v>68</v>
      </c>
      <c r="C39" s="641"/>
      <c r="D39" s="641"/>
      <c r="E39" s="641"/>
      <c r="F39" s="641"/>
      <c r="G39" s="641"/>
      <c r="H39" s="641"/>
      <c r="I39" s="641"/>
      <c r="J39" s="641"/>
      <c r="K39" s="641"/>
    </row>
    <row r="40" spans="1:11" ht="15.9" customHeight="1">
      <c r="A40" s="2" t="s">
        <v>69</v>
      </c>
      <c r="B40" s="2" t="s">
        <v>70</v>
      </c>
      <c r="C40" s="641"/>
      <c r="D40" s="641"/>
      <c r="E40" s="641"/>
      <c r="F40" s="641"/>
      <c r="G40" s="641"/>
      <c r="H40" s="641"/>
      <c r="I40" s="641"/>
      <c r="J40" s="641"/>
      <c r="K40" s="641"/>
    </row>
    <row r="41" spans="1:11" ht="15.9" customHeight="1">
      <c r="A41" s="2" t="s">
        <v>71</v>
      </c>
      <c r="B41" s="2" t="s">
        <v>72</v>
      </c>
      <c r="C41" s="641"/>
      <c r="D41" s="641"/>
      <c r="E41" s="641"/>
      <c r="F41" s="641"/>
      <c r="G41" s="641"/>
      <c r="H41" s="641"/>
      <c r="I41" s="641"/>
      <c r="J41" s="641"/>
      <c r="K41" s="641"/>
    </row>
    <row r="42" spans="1:11" ht="15.9" customHeight="1">
      <c r="A42" s="641"/>
      <c r="B42" s="641"/>
      <c r="C42" s="641"/>
      <c r="D42" s="641"/>
      <c r="E42" s="641"/>
      <c r="F42" s="641"/>
      <c r="G42" s="641"/>
      <c r="H42" s="641"/>
      <c r="I42" s="641"/>
      <c r="J42" s="641"/>
      <c r="K42" s="641"/>
    </row>
    <row r="43" spans="1:11" ht="15.9" customHeight="1">
      <c r="A43" s="641"/>
      <c r="B43" s="641"/>
      <c r="C43" s="641"/>
      <c r="D43" s="641"/>
      <c r="E43" s="641"/>
      <c r="F43" s="641"/>
      <c r="G43" s="641"/>
      <c r="H43" s="641"/>
      <c r="I43" s="641"/>
      <c r="J43" s="641"/>
      <c r="K43" s="641"/>
    </row>
    <row r="44" spans="1:11" ht="15.9" customHeight="1">
      <c r="A44" s="640" t="s">
        <v>73</v>
      </c>
      <c r="B44" s="2" t="s">
        <v>74</v>
      </c>
      <c r="C44" s="641"/>
      <c r="D44" s="641"/>
      <c r="E44" s="641"/>
      <c r="F44" s="641"/>
      <c r="G44" s="641"/>
      <c r="H44" s="641"/>
      <c r="I44" s="641"/>
      <c r="J44" s="641"/>
      <c r="K44" s="641"/>
    </row>
    <row r="45" spans="1:11" ht="15.9" customHeight="1">
      <c r="A45" s="2" t="s">
        <v>75</v>
      </c>
      <c r="B45" s="2" t="s">
        <v>76</v>
      </c>
      <c r="C45" s="641"/>
      <c r="D45" s="641"/>
      <c r="E45" s="641"/>
      <c r="F45" s="641"/>
      <c r="G45" s="641"/>
      <c r="H45" s="641"/>
      <c r="I45" s="641"/>
      <c r="J45" s="641"/>
      <c r="K45" s="641"/>
    </row>
    <row r="46" spans="1:11" ht="15.9" customHeight="1">
      <c r="A46" s="2" t="s">
        <v>77</v>
      </c>
      <c r="B46" s="2" t="s">
        <v>78</v>
      </c>
      <c r="C46" s="641"/>
      <c r="D46" s="641"/>
      <c r="E46" s="641"/>
      <c r="F46" s="641"/>
      <c r="G46" s="641"/>
      <c r="H46" s="641"/>
      <c r="I46" s="641"/>
      <c r="J46" s="641"/>
      <c r="K46" s="641"/>
    </row>
    <row r="47" spans="1:11" ht="15.9" customHeight="1">
      <c r="A47" s="2" t="s">
        <v>79</v>
      </c>
      <c r="B47" s="2" t="s">
        <v>80</v>
      </c>
      <c r="C47" s="641"/>
      <c r="D47" s="641"/>
      <c r="E47" s="641"/>
      <c r="F47" s="641"/>
      <c r="G47" s="641"/>
      <c r="H47" s="641"/>
      <c r="I47" s="641"/>
      <c r="J47" s="641"/>
      <c r="K47" s="641"/>
    </row>
    <row r="48" spans="1:11" ht="15.9" customHeight="1">
      <c r="A48" s="2" t="s">
        <v>81</v>
      </c>
      <c r="B48" s="2" t="s">
        <v>82</v>
      </c>
      <c r="C48" s="641"/>
      <c r="D48" s="641"/>
      <c r="E48" s="641"/>
      <c r="F48" s="641"/>
      <c r="G48" s="641"/>
      <c r="H48" s="641"/>
      <c r="I48" s="641"/>
      <c r="J48" s="641"/>
      <c r="K48" s="641"/>
    </row>
    <row r="49" spans="1:11" ht="15.9" customHeight="1">
      <c r="A49" s="2" t="s">
        <v>83</v>
      </c>
      <c r="B49" s="2" t="s">
        <v>84</v>
      </c>
      <c r="C49" s="641"/>
      <c r="D49" s="641"/>
      <c r="E49" s="641"/>
      <c r="F49" s="641"/>
      <c r="G49" s="641"/>
      <c r="H49" s="641"/>
      <c r="I49" s="641"/>
      <c r="J49" s="641"/>
      <c r="K49" s="641"/>
    </row>
    <row r="50" spans="1:11" ht="15.9" customHeight="1">
      <c r="A50" s="2" t="s">
        <v>71</v>
      </c>
      <c r="B50" s="2" t="s">
        <v>85</v>
      </c>
      <c r="C50" s="641"/>
      <c r="D50" s="641"/>
      <c r="E50" s="641"/>
      <c r="F50" s="641"/>
      <c r="G50" s="641"/>
      <c r="H50" s="641"/>
      <c r="I50" s="641"/>
      <c r="J50" s="641"/>
      <c r="K50" s="641"/>
    </row>
    <row r="51" spans="1:11" ht="15.9" customHeight="1">
      <c r="A51" s="2" t="s">
        <v>86</v>
      </c>
      <c r="B51" s="2" t="s">
        <v>87</v>
      </c>
      <c r="C51" s="641"/>
      <c r="D51" s="641"/>
      <c r="E51" s="641"/>
      <c r="F51" s="641"/>
      <c r="G51" s="641"/>
      <c r="H51" s="641"/>
      <c r="I51" s="641"/>
      <c r="J51" s="641"/>
      <c r="K51" s="641"/>
    </row>
    <row r="52" spans="1:11" ht="15.9" customHeight="1">
      <c r="A52" s="2" t="s">
        <v>88</v>
      </c>
      <c r="B52" s="2" t="s">
        <v>89</v>
      </c>
      <c r="C52" s="641"/>
      <c r="D52" s="641"/>
      <c r="E52" s="641"/>
      <c r="F52" s="641"/>
      <c r="G52" s="641"/>
      <c r="H52" s="641"/>
      <c r="I52" s="641"/>
      <c r="J52" s="641"/>
      <c r="K52" s="641"/>
    </row>
    <row r="53" spans="1:11" ht="15.9" customHeight="1">
      <c r="A53" s="2" t="s">
        <v>90</v>
      </c>
      <c r="B53" s="2" t="s">
        <v>91</v>
      </c>
      <c r="C53" s="641"/>
      <c r="D53" s="641"/>
      <c r="E53" s="641"/>
      <c r="F53" s="641"/>
      <c r="G53" s="641"/>
      <c r="H53" s="641"/>
      <c r="I53" s="641"/>
      <c r="J53" s="641"/>
      <c r="K53" s="641"/>
    </row>
    <row r="54" spans="1:11" ht="15.9" customHeight="1">
      <c r="A54" s="2" t="s">
        <v>92</v>
      </c>
      <c r="B54" s="2" t="s">
        <v>93</v>
      </c>
      <c r="C54" s="641"/>
      <c r="D54" s="641"/>
      <c r="E54" s="641"/>
      <c r="F54" s="641"/>
      <c r="G54" s="641"/>
      <c r="H54" s="641"/>
      <c r="I54" s="641"/>
      <c r="J54" s="641"/>
      <c r="K54" s="641"/>
    </row>
    <row r="55" spans="1:11" ht="15.9" customHeight="1">
      <c r="A55" s="2" t="s">
        <v>94</v>
      </c>
      <c r="B55" s="2" t="s">
        <v>95</v>
      </c>
      <c r="C55" s="641"/>
      <c r="D55" s="641"/>
      <c r="E55" s="641"/>
      <c r="F55" s="641"/>
      <c r="G55" s="641"/>
      <c r="H55" s="641"/>
      <c r="I55" s="641"/>
      <c r="J55" s="641"/>
      <c r="K55" s="641"/>
    </row>
    <row r="56" spans="1:11" ht="15.9" customHeight="1">
      <c r="A56" s="2" t="s">
        <v>96</v>
      </c>
      <c r="B56" s="2" t="s">
        <v>97</v>
      </c>
      <c r="C56" s="641"/>
      <c r="D56" s="641"/>
      <c r="E56" s="641"/>
      <c r="F56" s="641"/>
      <c r="G56" s="641"/>
      <c r="H56" s="641"/>
      <c r="I56" s="641"/>
      <c r="J56" s="641"/>
      <c r="K56" s="641"/>
    </row>
    <row r="57" spans="1:11" ht="15.9" customHeight="1">
      <c r="A57" s="641"/>
      <c r="B57" s="641"/>
      <c r="C57" s="641"/>
      <c r="D57" s="641"/>
      <c r="E57" s="641"/>
      <c r="F57" s="641"/>
      <c r="G57" s="641"/>
      <c r="H57" s="641"/>
      <c r="I57" s="641"/>
      <c r="J57" s="641"/>
      <c r="K57" s="641"/>
    </row>
    <row r="58" spans="1:11" ht="15.9" customHeight="1">
      <c r="A58" s="640" t="s">
        <v>98</v>
      </c>
      <c r="B58" s="2" t="s">
        <v>99</v>
      </c>
      <c r="C58" s="641"/>
      <c r="D58" s="641"/>
      <c r="E58" s="641"/>
      <c r="F58" s="641"/>
      <c r="G58" s="641"/>
      <c r="H58" s="641"/>
      <c r="I58" s="641"/>
      <c r="J58" s="641"/>
      <c r="K58" s="641"/>
    </row>
    <row r="59" spans="1:11" ht="15.9" customHeight="1">
      <c r="A59" s="2" t="s">
        <v>100</v>
      </c>
      <c r="B59" s="2" t="s">
        <v>101</v>
      </c>
      <c r="C59" s="641"/>
      <c r="D59" s="641"/>
      <c r="E59" s="641"/>
      <c r="F59" s="641"/>
      <c r="G59" s="641"/>
      <c r="H59" s="641"/>
      <c r="I59" s="641"/>
      <c r="J59" s="641"/>
      <c r="K59" s="641"/>
    </row>
    <row r="60" spans="1:11" ht="15.9" customHeight="1">
      <c r="A60" s="2" t="s">
        <v>102</v>
      </c>
      <c r="B60" s="2" t="s">
        <v>103</v>
      </c>
      <c r="C60" s="641"/>
      <c r="D60" s="641"/>
      <c r="E60" s="641"/>
      <c r="F60" s="641"/>
      <c r="G60" s="641"/>
      <c r="H60" s="641"/>
      <c r="I60" s="641"/>
      <c r="J60" s="641"/>
      <c r="K60" s="641"/>
    </row>
    <row r="61" spans="1:11" ht="15.9" customHeight="1">
      <c r="A61" s="2" t="s">
        <v>104</v>
      </c>
      <c r="B61" s="2" t="s">
        <v>105</v>
      </c>
      <c r="C61" s="641"/>
      <c r="D61" s="641"/>
      <c r="E61" s="641"/>
      <c r="F61" s="641"/>
      <c r="G61" s="641"/>
      <c r="H61" s="641"/>
      <c r="I61" s="641"/>
      <c r="J61" s="641"/>
      <c r="K61" s="641"/>
    </row>
    <row r="62" spans="1:11" ht="15.9" customHeight="1">
      <c r="A62" s="2" t="s">
        <v>106</v>
      </c>
      <c r="B62" s="2" t="s">
        <v>107</v>
      </c>
      <c r="C62" s="641"/>
      <c r="D62" s="641"/>
      <c r="E62" s="641"/>
      <c r="F62" s="641"/>
      <c r="G62" s="641"/>
      <c r="H62" s="641"/>
      <c r="I62" s="641"/>
      <c r="J62" s="641"/>
      <c r="K62" s="641"/>
    </row>
    <row r="63" spans="1:11" ht="15.9" customHeight="1">
      <c r="A63" s="2" t="s">
        <v>108</v>
      </c>
      <c r="B63" s="2" t="s">
        <v>109</v>
      </c>
      <c r="C63" s="641"/>
      <c r="D63" s="641"/>
      <c r="E63" s="641"/>
      <c r="F63" s="641"/>
      <c r="G63" s="641"/>
      <c r="H63" s="641"/>
      <c r="I63" s="641"/>
      <c r="J63" s="641"/>
      <c r="K63" s="641"/>
    </row>
    <row r="64" spans="1:11" ht="15.9" customHeight="1">
      <c r="A64" s="2" t="s">
        <v>110</v>
      </c>
      <c r="B64" s="2" t="s">
        <v>111</v>
      </c>
      <c r="C64" s="641"/>
      <c r="D64" s="641"/>
      <c r="E64" s="641"/>
      <c r="F64" s="641"/>
      <c r="G64" s="641"/>
      <c r="H64" s="641"/>
      <c r="I64" s="641"/>
      <c r="J64" s="641"/>
      <c r="K64" s="641"/>
    </row>
    <row r="65" spans="1:11" ht="15.9" customHeight="1">
      <c r="A65" s="2" t="s">
        <v>112</v>
      </c>
      <c r="B65" s="2" t="s">
        <v>113</v>
      </c>
      <c r="C65" s="641"/>
      <c r="D65" s="641"/>
      <c r="E65" s="641"/>
      <c r="F65" s="641"/>
      <c r="G65" s="641"/>
      <c r="H65" s="641"/>
      <c r="I65" s="641"/>
      <c r="J65" s="641"/>
      <c r="K65" s="641"/>
    </row>
    <row r="66" spans="1:11" ht="15.9" customHeight="1">
      <c r="A66" s="2" t="s">
        <v>114</v>
      </c>
      <c r="B66" s="2" t="s">
        <v>115</v>
      </c>
      <c r="C66" s="641"/>
      <c r="D66" s="641"/>
      <c r="E66" s="641"/>
      <c r="F66" s="641"/>
      <c r="G66" s="641"/>
      <c r="H66" s="641"/>
      <c r="I66" s="641"/>
      <c r="J66" s="641"/>
      <c r="K66" s="641"/>
    </row>
    <row r="67" spans="1:11" s="687" customFormat="1" ht="15.9" customHeight="1">
      <c r="A67" s="2" t="s">
        <v>3704</v>
      </c>
      <c r="B67" s="2" t="s">
        <v>6035</v>
      </c>
      <c r="C67" s="689"/>
      <c r="D67" s="689"/>
      <c r="E67" s="689"/>
      <c r="F67" s="689"/>
      <c r="G67" s="689"/>
      <c r="H67" s="689"/>
      <c r="I67" s="689"/>
      <c r="J67" s="689"/>
      <c r="K67" s="689"/>
    </row>
    <row r="68" spans="1:11" s="687" customFormat="1" ht="15.9" customHeight="1">
      <c r="A68" s="2" t="s">
        <v>3718</v>
      </c>
      <c r="B68" s="2" t="s">
        <v>6036</v>
      </c>
      <c r="C68" s="689"/>
      <c r="D68" s="689"/>
      <c r="E68" s="689"/>
      <c r="F68" s="689"/>
      <c r="G68" s="689"/>
      <c r="H68" s="689"/>
      <c r="I68" s="689"/>
      <c r="J68" s="689"/>
      <c r="K68" s="689"/>
    </row>
    <row r="69" spans="1:11" s="687" customFormat="1" ht="15.9" customHeight="1">
      <c r="A69" s="2" t="s">
        <v>6034</v>
      </c>
      <c r="B69" s="2" t="s">
        <v>6037</v>
      </c>
      <c r="C69" s="689"/>
      <c r="D69" s="689"/>
      <c r="E69" s="689"/>
      <c r="F69" s="689"/>
      <c r="G69" s="689"/>
      <c r="H69" s="689"/>
      <c r="I69" s="689"/>
      <c r="J69" s="689"/>
      <c r="K69" s="689"/>
    </row>
    <row r="70" spans="1:11" s="687" customFormat="1" ht="15.9" customHeight="1">
      <c r="A70" s="2" t="s">
        <v>3849</v>
      </c>
      <c r="B70" s="2" t="s">
        <v>6038</v>
      </c>
      <c r="C70" s="689"/>
      <c r="D70" s="689"/>
      <c r="E70" s="689"/>
      <c r="F70" s="689"/>
      <c r="G70" s="689"/>
      <c r="H70" s="689"/>
      <c r="I70" s="689"/>
      <c r="J70" s="689"/>
      <c r="K70" s="689"/>
    </row>
    <row r="71" spans="1:11" s="687" customFormat="1" ht="15.9" customHeight="1">
      <c r="A71" s="2" t="s">
        <v>6033</v>
      </c>
      <c r="B71" s="2" t="s">
        <v>6039</v>
      </c>
      <c r="C71" s="689"/>
      <c r="D71" s="689"/>
      <c r="E71" s="689"/>
      <c r="F71" s="689"/>
      <c r="G71" s="689"/>
      <c r="H71" s="689"/>
      <c r="I71" s="689"/>
      <c r="J71" s="689"/>
      <c r="K71" s="689"/>
    </row>
    <row r="72" spans="1:11" s="687" customFormat="1" ht="15.9" customHeight="1">
      <c r="A72" s="2" t="s">
        <v>3739</v>
      </c>
      <c r="B72" s="2" t="s">
        <v>6040</v>
      </c>
      <c r="C72" s="689"/>
      <c r="D72" s="689"/>
      <c r="E72" s="689"/>
      <c r="F72" s="689"/>
      <c r="G72" s="689"/>
      <c r="H72" s="689"/>
      <c r="I72" s="689"/>
      <c r="J72" s="689"/>
      <c r="K72" s="689"/>
    </row>
    <row r="73" spans="1:11" s="687" customFormat="1" ht="15.9" customHeight="1">
      <c r="A73" s="2" t="s">
        <v>3725</v>
      </c>
      <c r="B73" s="2" t="s">
        <v>6041</v>
      </c>
      <c r="C73" s="689"/>
      <c r="D73" s="689"/>
      <c r="E73" s="689"/>
      <c r="F73" s="689"/>
      <c r="G73" s="689"/>
      <c r="H73" s="689"/>
      <c r="I73" s="689"/>
      <c r="J73" s="689"/>
      <c r="K73" s="689"/>
    </row>
    <row r="74" spans="1:11" s="687" customFormat="1" ht="15.9" customHeight="1">
      <c r="A74" s="2" t="s">
        <v>3711</v>
      </c>
      <c r="B74" s="2" t="s">
        <v>6042</v>
      </c>
      <c r="C74" s="689"/>
      <c r="D74" s="689"/>
      <c r="E74" s="689"/>
      <c r="F74" s="689"/>
      <c r="G74" s="689"/>
      <c r="H74" s="689"/>
      <c r="I74" s="689"/>
      <c r="J74" s="689"/>
      <c r="K74" s="689"/>
    </row>
    <row r="75" spans="1:11" ht="15.9" customHeight="1">
      <c r="A75" s="2" t="s">
        <v>116</v>
      </c>
      <c r="B75" s="2" t="s">
        <v>117</v>
      </c>
      <c r="C75" s="641"/>
      <c r="D75" s="641"/>
      <c r="E75" s="641"/>
      <c r="F75" s="641"/>
      <c r="G75" s="641"/>
      <c r="H75" s="641"/>
      <c r="I75" s="641"/>
      <c r="J75" s="641"/>
      <c r="K75" s="641"/>
    </row>
    <row r="76" spans="1:11" ht="15.9" customHeight="1">
      <c r="A76" s="2" t="s">
        <v>118</v>
      </c>
      <c r="B76" s="2" t="s">
        <v>119</v>
      </c>
      <c r="C76" s="641"/>
      <c r="D76" s="641"/>
      <c r="E76" s="641"/>
      <c r="F76" s="641"/>
      <c r="G76" s="641"/>
      <c r="H76" s="641"/>
      <c r="I76" s="641"/>
      <c r="J76" s="641"/>
      <c r="K76" s="641"/>
    </row>
    <row r="77" spans="1:11" ht="15.9" customHeight="1">
      <c r="A77" s="2" t="s">
        <v>120</v>
      </c>
      <c r="B77" s="3" t="s">
        <v>121</v>
      </c>
      <c r="C77" s="641"/>
      <c r="D77" s="641"/>
      <c r="E77" s="641"/>
      <c r="F77" s="641"/>
      <c r="G77" s="641"/>
      <c r="H77" s="641"/>
      <c r="I77" s="641"/>
      <c r="J77" s="641"/>
      <c r="K77" s="641"/>
    </row>
    <row r="78" spans="1:11" ht="15.9" customHeight="1">
      <c r="A78" s="2" t="s">
        <v>122</v>
      </c>
      <c r="B78" s="2" t="s">
        <v>123</v>
      </c>
      <c r="C78" s="641"/>
      <c r="D78" s="641"/>
      <c r="E78" s="641"/>
      <c r="F78" s="641"/>
      <c r="G78" s="641"/>
      <c r="H78" s="641"/>
      <c r="I78" s="641"/>
      <c r="J78" s="641"/>
      <c r="K78" s="641"/>
    </row>
    <row r="79" spans="1:11" ht="15.9" customHeight="1">
      <c r="A79" s="2" t="s">
        <v>124</v>
      </c>
      <c r="B79" s="2" t="s">
        <v>125</v>
      </c>
      <c r="C79" s="641"/>
      <c r="D79" s="641"/>
      <c r="E79" s="641"/>
      <c r="F79" s="641"/>
      <c r="G79" s="641"/>
      <c r="H79" s="641"/>
      <c r="I79" s="641"/>
      <c r="J79" s="641"/>
      <c r="K79" s="641"/>
    </row>
    <row r="80" spans="1:11" ht="15.9" customHeight="1">
      <c r="A80" s="2" t="s">
        <v>126</v>
      </c>
      <c r="B80" s="2" t="s">
        <v>127</v>
      </c>
      <c r="C80" s="641"/>
      <c r="D80" s="641"/>
      <c r="E80" s="641"/>
      <c r="F80" s="641"/>
      <c r="G80" s="641"/>
      <c r="H80" s="641"/>
      <c r="I80" s="641"/>
      <c r="J80" s="641"/>
      <c r="K80" s="641"/>
    </row>
    <row r="81" spans="1:11" ht="15.9" customHeight="1">
      <c r="A81" s="2" t="s">
        <v>128</v>
      </c>
      <c r="B81" s="2" t="s">
        <v>129</v>
      </c>
      <c r="C81" s="641"/>
      <c r="D81" s="641"/>
      <c r="E81" s="641"/>
      <c r="F81" s="641"/>
      <c r="G81" s="641"/>
      <c r="H81" s="641"/>
      <c r="I81" s="641"/>
      <c r="J81" s="641"/>
      <c r="K81" s="641"/>
    </row>
    <row r="82" spans="1:11" ht="15.9" customHeight="1">
      <c r="A82" s="2" t="s">
        <v>130</v>
      </c>
      <c r="B82" s="2" t="s">
        <v>131</v>
      </c>
      <c r="C82" s="641"/>
      <c r="D82" s="641"/>
      <c r="E82" s="641"/>
      <c r="F82" s="641"/>
      <c r="G82" s="641"/>
      <c r="H82" s="641"/>
      <c r="I82" s="641"/>
      <c r="J82" s="641"/>
      <c r="K82" s="641"/>
    </row>
    <row r="83" spans="1:11" ht="15.9" customHeight="1">
      <c r="A83" s="641"/>
      <c r="B83" s="641"/>
      <c r="C83" s="641"/>
      <c r="D83" s="641"/>
      <c r="E83" s="641"/>
      <c r="F83" s="641"/>
      <c r="G83" s="641"/>
      <c r="H83" s="641"/>
      <c r="I83" s="641"/>
      <c r="J83" s="641"/>
      <c r="K83" s="641"/>
    </row>
    <row r="84" spans="1:11" ht="15.9" customHeight="1">
      <c r="A84" s="641"/>
      <c r="B84" s="641"/>
      <c r="C84" s="641"/>
      <c r="D84" s="641"/>
      <c r="E84" s="641"/>
      <c r="F84" s="641"/>
      <c r="G84" s="641"/>
      <c r="H84" s="641"/>
      <c r="I84" s="641"/>
      <c r="J84" s="641"/>
      <c r="K84" s="641"/>
    </row>
    <row r="85" spans="1:11" ht="15.9" customHeight="1">
      <c r="A85" s="641"/>
      <c r="B85" s="641"/>
      <c r="C85" s="641"/>
      <c r="D85" s="641"/>
      <c r="E85" s="641"/>
      <c r="F85" s="641"/>
      <c r="G85" s="641"/>
      <c r="H85" s="641"/>
      <c r="I85" s="641"/>
      <c r="J85" s="641"/>
      <c r="K85" s="641"/>
    </row>
    <row r="86" spans="1:11" ht="15.9" customHeight="1">
      <c r="A86" s="640" t="s">
        <v>132</v>
      </c>
      <c r="B86" s="2" t="s">
        <v>133</v>
      </c>
      <c r="C86" s="641"/>
      <c r="D86" s="641"/>
      <c r="E86" s="641"/>
      <c r="F86" s="641"/>
      <c r="G86" s="641"/>
      <c r="H86" s="641"/>
      <c r="I86" s="641"/>
      <c r="J86" s="641"/>
      <c r="K86" s="641"/>
    </row>
    <row r="87" spans="1:11" ht="15.9" customHeight="1">
      <c r="A87" s="4" t="s">
        <v>134</v>
      </c>
      <c r="B87" s="2" t="s">
        <v>135</v>
      </c>
      <c r="C87" s="641"/>
      <c r="D87" s="641"/>
      <c r="E87" s="641"/>
      <c r="F87" s="641"/>
      <c r="G87" s="641"/>
      <c r="H87" s="641"/>
      <c r="I87" s="641"/>
      <c r="J87" s="641"/>
      <c r="K87" s="641"/>
    </row>
    <row r="88" spans="1:11" ht="15.9" customHeight="1">
      <c r="A88" s="4" t="s">
        <v>136</v>
      </c>
      <c r="B88" s="2" t="s">
        <v>137</v>
      </c>
      <c r="C88" s="641"/>
      <c r="D88" s="641"/>
      <c r="E88" s="641"/>
      <c r="F88" s="641"/>
      <c r="G88" s="641"/>
      <c r="H88" s="641"/>
      <c r="I88" s="641"/>
      <c r="J88" s="641"/>
      <c r="K88" s="641"/>
    </row>
    <row r="89" spans="1:11" ht="15.9" customHeight="1">
      <c r="A89" s="5" t="s">
        <v>138</v>
      </c>
      <c r="B89" s="2" t="s">
        <v>139</v>
      </c>
      <c r="C89" s="641"/>
      <c r="D89" s="641"/>
      <c r="E89" s="641"/>
      <c r="F89" s="641"/>
      <c r="G89" s="641"/>
      <c r="H89" s="641"/>
      <c r="I89" s="641"/>
      <c r="J89" s="641"/>
      <c r="K89" s="641"/>
    </row>
    <row r="90" spans="1:11" ht="15.9" customHeight="1">
      <c r="A90" s="6" t="s">
        <v>140</v>
      </c>
      <c r="B90" s="2" t="s">
        <v>141</v>
      </c>
      <c r="C90" s="641"/>
      <c r="D90" s="641"/>
      <c r="E90" s="641"/>
      <c r="F90" s="641"/>
      <c r="G90" s="641"/>
      <c r="H90" s="641"/>
      <c r="I90" s="641"/>
      <c r="J90" s="641"/>
      <c r="K90" s="641"/>
    </row>
    <row r="91" spans="1:11" ht="15.9" customHeight="1">
      <c r="A91" s="7" t="s">
        <v>142</v>
      </c>
      <c r="B91" s="2" t="s">
        <v>143</v>
      </c>
      <c r="C91" s="641"/>
      <c r="D91" s="641"/>
      <c r="E91" s="641"/>
      <c r="F91" s="641"/>
      <c r="G91" s="641"/>
      <c r="H91" s="641"/>
      <c r="I91" s="641"/>
      <c r="J91" s="641"/>
      <c r="K91" s="641"/>
    </row>
    <row r="92" spans="1:11" ht="15.9" customHeight="1">
      <c r="A92" s="2" t="s">
        <v>144</v>
      </c>
      <c r="B92" s="2" t="s">
        <v>145</v>
      </c>
      <c r="C92" s="641"/>
      <c r="D92" s="641"/>
      <c r="E92" s="641"/>
      <c r="F92" s="641"/>
      <c r="G92" s="641"/>
      <c r="H92" s="641"/>
      <c r="I92" s="641"/>
      <c r="J92" s="641"/>
      <c r="K92" s="641"/>
    </row>
    <row r="93" spans="1:11" ht="15.9" customHeight="1">
      <c r="A93" s="2" t="s">
        <v>146</v>
      </c>
      <c r="B93" s="2" t="s">
        <v>147</v>
      </c>
      <c r="C93" s="641"/>
      <c r="D93" s="641"/>
      <c r="E93" s="641"/>
      <c r="F93" s="641"/>
      <c r="G93" s="641"/>
      <c r="H93" s="641"/>
      <c r="I93" s="641"/>
      <c r="J93" s="641"/>
      <c r="K93" s="641"/>
    </row>
    <row r="94" spans="1:11" ht="15.9" customHeight="1">
      <c r="A94" s="641"/>
      <c r="B94" s="641"/>
      <c r="C94" s="641"/>
      <c r="D94" s="641"/>
      <c r="E94" s="641"/>
      <c r="F94" s="641"/>
      <c r="G94" s="641"/>
      <c r="H94" s="641"/>
      <c r="I94" s="641"/>
      <c r="J94" s="641"/>
      <c r="K94" s="641"/>
    </row>
    <row r="95" spans="1:11" ht="15.9" customHeight="1">
      <c r="A95" s="6" t="s">
        <v>148</v>
      </c>
      <c r="B95" s="2" t="s">
        <v>149</v>
      </c>
      <c r="C95" s="641"/>
      <c r="D95" s="641"/>
      <c r="E95" s="641"/>
      <c r="F95" s="641"/>
      <c r="G95" s="641"/>
      <c r="H95" s="641"/>
      <c r="I95" s="641"/>
      <c r="J95" s="641"/>
      <c r="K95" s="641"/>
    </row>
    <row r="96" spans="1:11" ht="15.9" customHeight="1">
      <c r="A96" s="8"/>
      <c r="B96" s="641"/>
      <c r="C96" s="641"/>
      <c r="D96" s="641"/>
      <c r="E96" s="641"/>
      <c r="F96" s="641"/>
      <c r="G96" s="641"/>
      <c r="H96" s="641"/>
      <c r="I96" s="641"/>
      <c r="J96" s="641"/>
      <c r="K96" s="641"/>
    </row>
    <row r="97" spans="1:11" ht="15.9" customHeight="1">
      <c r="A97" s="6" t="s">
        <v>150</v>
      </c>
      <c r="B97" s="641"/>
      <c r="C97" s="641"/>
      <c r="D97" s="641"/>
      <c r="E97" s="641"/>
      <c r="F97" s="641"/>
      <c r="G97" s="641"/>
      <c r="H97" s="641"/>
      <c r="I97" s="641"/>
      <c r="J97" s="641"/>
      <c r="K97" s="641"/>
    </row>
    <row r="98" spans="1:11" ht="15.9" customHeight="1">
      <c r="A98" s="4" t="s">
        <v>151</v>
      </c>
      <c r="B98" s="2" t="s">
        <v>152</v>
      </c>
      <c r="C98" s="641"/>
      <c r="D98" s="641"/>
      <c r="E98" s="641"/>
      <c r="F98" s="641"/>
      <c r="G98" s="641"/>
      <c r="H98" s="641"/>
      <c r="I98" s="641"/>
      <c r="J98" s="641"/>
      <c r="K98" s="641"/>
    </row>
    <row r="99" spans="1:11" ht="15.9" customHeight="1">
      <c r="A99" s="4" t="s">
        <v>153</v>
      </c>
      <c r="B99" s="2" t="s">
        <v>154</v>
      </c>
      <c r="C99" s="641"/>
      <c r="D99" s="641"/>
      <c r="E99" s="641"/>
      <c r="F99" s="641"/>
      <c r="G99" s="641"/>
      <c r="H99" s="641"/>
      <c r="I99" s="641"/>
      <c r="J99" s="641"/>
      <c r="K99" s="641"/>
    </row>
    <row r="100" spans="1:11" ht="15.9" customHeight="1">
      <c r="A100" s="4" t="s">
        <v>155</v>
      </c>
      <c r="B100" s="2" t="s">
        <v>156</v>
      </c>
      <c r="C100" s="641"/>
      <c r="D100" s="641"/>
      <c r="E100" s="641"/>
      <c r="F100" s="641"/>
      <c r="G100" s="641"/>
      <c r="H100" s="641"/>
      <c r="I100" s="641"/>
      <c r="J100" s="641"/>
      <c r="K100" s="641"/>
    </row>
    <row r="101" spans="1:11" ht="15.9" customHeight="1">
      <c r="A101" s="4" t="s">
        <v>157</v>
      </c>
      <c r="B101" s="3" t="s">
        <v>158</v>
      </c>
      <c r="C101" s="641"/>
      <c r="D101" s="641"/>
      <c r="E101" s="641"/>
      <c r="F101" s="641"/>
      <c r="G101" s="641"/>
      <c r="H101" s="641"/>
      <c r="I101" s="641"/>
      <c r="J101" s="641"/>
      <c r="K101" s="641"/>
    </row>
    <row r="102" spans="1:11" ht="15.9" customHeight="1">
      <c r="A102" s="2" t="s">
        <v>159</v>
      </c>
      <c r="B102" s="3" t="s">
        <v>160</v>
      </c>
      <c r="C102" s="641"/>
      <c r="D102" s="641"/>
      <c r="E102" s="641"/>
      <c r="F102" s="641"/>
      <c r="G102" s="641"/>
      <c r="H102" s="641"/>
      <c r="I102" s="641"/>
      <c r="J102" s="641"/>
      <c r="K102" s="641"/>
    </row>
    <row r="103" spans="1:11" ht="15.9" customHeight="1">
      <c r="A103" s="2" t="s">
        <v>161</v>
      </c>
      <c r="B103" s="2" t="s">
        <v>162</v>
      </c>
      <c r="C103" s="641"/>
      <c r="D103" s="641"/>
      <c r="E103" s="641"/>
      <c r="F103" s="641"/>
      <c r="G103" s="641"/>
      <c r="H103" s="641"/>
      <c r="I103" s="641"/>
      <c r="J103" s="641"/>
      <c r="K103" s="641"/>
    </row>
    <row r="104" spans="1:11" ht="15.9" customHeight="1">
      <c r="A104" s="2" t="s">
        <v>163</v>
      </c>
      <c r="B104" s="2" t="s">
        <v>164</v>
      </c>
      <c r="C104" s="641"/>
      <c r="D104" s="641"/>
      <c r="E104" s="641"/>
      <c r="F104" s="641"/>
      <c r="G104" s="641"/>
      <c r="H104" s="641"/>
      <c r="I104" s="641"/>
      <c r="J104" s="641"/>
      <c r="K104" s="641"/>
    </row>
    <row r="105" spans="1:11" ht="15.9" customHeight="1">
      <c r="A105" s="2" t="s">
        <v>165</v>
      </c>
      <c r="B105" s="2" t="s">
        <v>166</v>
      </c>
      <c r="C105" s="641"/>
      <c r="D105" s="641"/>
      <c r="E105" s="641"/>
      <c r="F105" s="641"/>
      <c r="G105" s="641"/>
      <c r="H105" s="641"/>
      <c r="I105" s="641"/>
      <c r="J105" s="641"/>
      <c r="K105" s="641"/>
    </row>
    <row r="106" spans="1:11" ht="15.9" customHeight="1">
      <c r="A106" s="2" t="s">
        <v>167</v>
      </c>
      <c r="B106" s="2" t="s">
        <v>168</v>
      </c>
      <c r="C106" s="641"/>
      <c r="D106" s="641"/>
      <c r="E106" s="641"/>
      <c r="F106" s="641"/>
      <c r="G106" s="641"/>
      <c r="H106" s="641"/>
      <c r="I106" s="641"/>
      <c r="J106" s="641"/>
      <c r="K106" s="641"/>
    </row>
    <row r="107" spans="1:11" ht="15.9" customHeight="1">
      <c r="A107" s="2" t="s">
        <v>169</v>
      </c>
      <c r="B107" s="2" t="s">
        <v>170</v>
      </c>
      <c r="C107" s="641"/>
      <c r="D107" s="641"/>
      <c r="E107" s="641"/>
      <c r="F107" s="641"/>
      <c r="G107" s="641"/>
      <c r="H107" s="641"/>
      <c r="I107" s="641"/>
      <c r="J107" s="641"/>
      <c r="K107" s="641"/>
    </row>
    <row r="108" spans="1:11" ht="15.9" customHeight="1">
      <c r="A108" s="2" t="s">
        <v>171</v>
      </c>
      <c r="B108" s="2" t="s">
        <v>172</v>
      </c>
      <c r="C108" s="641"/>
      <c r="D108" s="641"/>
      <c r="E108" s="641"/>
      <c r="F108" s="641"/>
      <c r="G108" s="641"/>
      <c r="H108" s="641"/>
      <c r="I108" s="641"/>
      <c r="J108" s="641"/>
      <c r="K108" s="641"/>
    </row>
    <row r="109" spans="1:11" ht="15.9" customHeight="1">
      <c r="A109" s="2" t="s">
        <v>173</v>
      </c>
      <c r="B109" s="2" t="s">
        <v>174</v>
      </c>
      <c r="C109" s="641"/>
      <c r="D109" s="641"/>
      <c r="E109" s="641"/>
      <c r="F109" s="641"/>
      <c r="G109" s="641"/>
      <c r="H109" s="641"/>
      <c r="I109" s="641"/>
      <c r="J109" s="641"/>
      <c r="K109" s="641"/>
    </row>
    <row r="110" spans="1:11" ht="15.9" customHeight="1">
      <c r="A110" s="2" t="s">
        <v>175</v>
      </c>
      <c r="B110" s="2" t="s">
        <v>176</v>
      </c>
      <c r="C110" s="641"/>
      <c r="D110" s="641"/>
      <c r="E110" s="641"/>
      <c r="F110" s="641"/>
      <c r="G110" s="641"/>
      <c r="H110" s="641"/>
      <c r="I110" s="641"/>
      <c r="J110" s="641"/>
      <c r="K110" s="641"/>
    </row>
    <row r="111" spans="1:11" ht="15.9" customHeight="1">
      <c r="A111" s="2" t="s">
        <v>177</v>
      </c>
      <c r="B111" s="2" t="s">
        <v>178</v>
      </c>
      <c r="C111" s="641"/>
      <c r="D111" s="641"/>
      <c r="E111" s="641"/>
      <c r="F111" s="641"/>
      <c r="G111" s="641"/>
      <c r="H111" s="641"/>
      <c r="I111" s="641"/>
      <c r="J111" s="641"/>
      <c r="K111" s="641"/>
    </row>
    <row r="112" spans="1:11" ht="15.9" customHeight="1">
      <c r="A112" s="8"/>
      <c r="B112" s="641"/>
      <c r="C112" s="641"/>
      <c r="D112" s="641"/>
      <c r="E112" s="641"/>
      <c r="F112" s="641"/>
      <c r="G112" s="641"/>
      <c r="H112" s="641"/>
      <c r="I112" s="641"/>
      <c r="J112" s="641"/>
      <c r="K112" s="641"/>
    </row>
    <row r="113" spans="1:11" ht="15.9" customHeight="1">
      <c r="A113" s="6" t="s">
        <v>179</v>
      </c>
      <c r="B113" s="641"/>
      <c r="C113" s="641"/>
      <c r="D113" s="641"/>
      <c r="E113" s="641"/>
      <c r="F113" s="641"/>
      <c r="G113" s="641"/>
      <c r="H113" s="641"/>
      <c r="I113" s="641"/>
      <c r="J113" s="641"/>
      <c r="K113" s="641"/>
    </row>
    <row r="114" spans="1:11" ht="15.9" customHeight="1">
      <c r="A114" s="2" t="s">
        <v>180</v>
      </c>
      <c r="B114" s="2" t="s">
        <v>181</v>
      </c>
      <c r="C114" s="641"/>
      <c r="D114" s="641"/>
      <c r="E114" s="641"/>
      <c r="F114" s="641"/>
      <c r="G114" s="641"/>
      <c r="H114" s="641"/>
      <c r="I114" s="641"/>
      <c r="J114" s="641"/>
      <c r="K114" s="641"/>
    </row>
    <row r="115" spans="1:11" ht="15.9" customHeight="1">
      <c r="A115" s="2" t="s">
        <v>182</v>
      </c>
      <c r="B115" s="3" t="s">
        <v>183</v>
      </c>
      <c r="C115" s="641"/>
      <c r="D115" s="641"/>
      <c r="E115" s="641"/>
      <c r="F115" s="641"/>
      <c r="G115" s="641"/>
      <c r="H115" s="641"/>
      <c r="I115" s="641"/>
      <c r="J115" s="641"/>
      <c r="K115" s="641"/>
    </row>
    <row r="116" spans="1:11" ht="15.9" customHeight="1">
      <c r="A116" s="2" t="s">
        <v>184</v>
      </c>
      <c r="B116" s="3" t="s">
        <v>185</v>
      </c>
      <c r="C116" s="641"/>
      <c r="D116" s="641"/>
      <c r="E116" s="641"/>
      <c r="F116" s="641"/>
      <c r="G116" s="641"/>
      <c r="H116" s="641"/>
      <c r="I116" s="641"/>
      <c r="J116" s="641"/>
      <c r="K116" s="641"/>
    </row>
    <row r="117" spans="1:11" ht="15.9" customHeight="1">
      <c r="A117" s="2" t="s">
        <v>186</v>
      </c>
      <c r="B117" s="2" t="s">
        <v>187</v>
      </c>
      <c r="C117" s="641"/>
      <c r="D117" s="641"/>
      <c r="E117" s="641"/>
      <c r="F117" s="641"/>
      <c r="G117" s="641"/>
      <c r="H117" s="641"/>
      <c r="I117" s="641"/>
      <c r="J117" s="641"/>
      <c r="K117" s="641"/>
    </row>
    <row r="118" spans="1:11" ht="15.9" customHeight="1">
      <c r="A118" s="8"/>
      <c r="B118" s="641"/>
      <c r="C118" s="641"/>
      <c r="D118" s="641"/>
      <c r="E118" s="641"/>
      <c r="F118" s="641"/>
      <c r="G118" s="641"/>
      <c r="H118" s="641"/>
      <c r="I118" s="641"/>
      <c r="J118" s="641"/>
      <c r="K118" s="641"/>
    </row>
    <row r="119" spans="1:11" ht="15.9" customHeight="1">
      <c r="A119" s="6" t="s">
        <v>188</v>
      </c>
      <c r="B119" s="9"/>
      <c r="C119" s="641"/>
      <c r="D119" s="641"/>
      <c r="E119" s="641"/>
      <c r="F119" s="641"/>
      <c r="G119" s="641"/>
      <c r="H119" s="641"/>
      <c r="I119" s="641"/>
      <c r="J119" s="641"/>
      <c r="K119" s="641"/>
    </row>
    <row r="120" spans="1:11" ht="15.9" customHeight="1">
      <c r="A120" s="4" t="s">
        <v>189</v>
      </c>
      <c r="B120" s="4" t="s">
        <v>190</v>
      </c>
      <c r="C120" s="641"/>
      <c r="D120" s="641"/>
      <c r="E120" s="641"/>
      <c r="F120" s="641"/>
      <c r="G120" s="641"/>
      <c r="H120" s="641"/>
      <c r="I120" s="641"/>
      <c r="J120" s="641"/>
      <c r="K120" s="641"/>
    </row>
    <row r="121" spans="1:11" ht="15.9" customHeight="1">
      <c r="A121" s="4" t="s">
        <v>191</v>
      </c>
      <c r="B121" s="2" t="s">
        <v>192</v>
      </c>
      <c r="C121" s="641"/>
      <c r="D121" s="641"/>
      <c r="E121" s="641"/>
      <c r="F121" s="641"/>
      <c r="G121" s="641"/>
      <c r="H121" s="641"/>
      <c r="I121" s="641"/>
      <c r="J121" s="641"/>
      <c r="K121" s="641"/>
    </row>
    <row r="122" spans="1:11" ht="15.9" customHeight="1">
      <c r="A122" s="2" t="s">
        <v>193</v>
      </c>
      <c r="B122" s="2" t="s">
        <v>194</v>
      </c>
      <c r="C122" s="641"/>
      <c r="D122" s="641"/>
      <c r="E122" s="641"/>
      <c r="F122" s="641"/>
      <c r="G122" s="641"/>
      <c r="H122" s="641"/>
      <c r="I122" s="641"/>
      <c r="J122" s="641"/>
      <c r="K122" s="641"/>
    </row>
    <row r="123" spans="1:11" ht="15.9" customHeight="1">
      <c r="A123" s="2" t="s">
        <v>195</v>
      </c>
      <c r="B123" s="2" t="s">
        <v>196</v>
      </c>
      <c r="C123" s="641"/>
      <c r="D123" s="641"/>
      <c r="E123" s="641"/>
      <c r="F123" s="641"/>
      <c r="G123" s="641"/>
      <c r="H123" s="641"/>
      <c r="I123" s="641"/>
      <c r="J123" s="641"/>
      <c r="K123" s="641"/>
    </row>
    <row r="124" spans="1:11" ht="15.9" customHeight="1">
      <c r="A124" s="2" t="s">
        <v>197</v>
      </c>
      <c r="B124" s="2" t="s">
        <v>198</v>
      </c>
      <c r="C124" s="641"/>
      <c r="D124" s="641"/>
      <c r="E124" s="641"/>
      <c r="F124" s="641"/>
      <c r="G124" s="641"/>
      <c r="H124" s="641"/>
      <c r="I124" s="641"/>
      <c r="J124" s="641"/>
      <c r="K124" s="641"/>
    </row>
    <row r="125" spans="1:11" ht="15.9" customHeight="1">
      <c r="A125" s="2" t="s">
        <v>199</v>
      </c>
      <c r="B125" s="2" t="s">
        <v>200</v>
      </c>
      <c r="C125" s="641"/>
      <c r="D125" s="641"/>
      <c r="E125" s="641"/>
      <c r="F125" s="641"/>
      <c r="G125" s="641"/>
      <c r="H125" s="641"/>
      <c r="I125" s="641"/>
      <c r="J125" s="641"/>
      <c r="K125" s="641"/>
    </row>
    <row r="126" spans="1:11" ht="15.9" customHeight="1">
      <c r="A126" s="2" t="s">
        <v>201</v>
      </c>
      <c r="B126" s="2" t="s">
        <v>202</v>
      </c>
      <c r="C126" s="641"/>
      <c r="D126" s="641"/>
      <c r="E126" s="641"/>
      <c r="F126" s="641"/>
      <c r="G126" s="641"/>
      <c r="H126" s="641"/>
      <c r="I126" s="641"/>
      <c r="J126" s="641"/>
      <c r="K126" s="641"/>
    </row>
    <row r="127" spans="1:11" ht="15.9" customHeight="1">
      <c r="A127" s="2" t="s">
        <v>203</v>
      </c>
      <c r="B127" s="2" t="s">
        <v>204</v>
      </c>
      <c r="C127" s="641"/>
      <c r="D127" s="641"/>
      <c r="E127" s="641"/>
      <c r="F127" s="641"/>
      <c r="G127" s="641"/>
      <c r="H127" s="641"/>
      <c r="I127" s="641"/>
      <c r="J127" s="641"/>
      <c r="K127" s="641"/>
    </row>
    <row r="128" spans="1:11" ht="15.9" customHeight="1">
      <c r="A128" s="2" t="s">
        <v>205</v>
      </c>
      <c r="B128" s="2" t="s">
        <v>206</v>
      </c>
      <c r="C128" s="641"/>
      <c r="D128" s="641"/>
      <c r="E128" s="641"/>
      <c r="F128" s="641"/>
      <c r="G128" s="641"/>
      <c r="H128" s="641"/>
      <c r="I128" s="641"/>
      <c r="J128" s="641"/>
      <c r="K128" s="641"/>
    </row>
    <row r="129" spans="1:11" ht="15.9" customHeight="1">
      <c r="A129" s="2" t="s">
        <v>207</v>
      </c>
      <c r="B129" s="2" t="s">
        <v>208</v>
      </c>
      <c r="C129" s="641"/>
      <c r="D129" s="641"/>
      <c r="E129" s="641"/>
      <c r="F129" s="641"/>
      <c r="G129" s="641"/>
      <c r="H129" s="641"/>
      <c r="I129" s="641"/>
      <c r="J129" s="641"/>
      <c r="K129" s="641"/>
    </row>
    <row r="130" spans="1:11" ht="15.9" customHeight="1">
      <c r="A130" s="2" t="s">
        <v>209</v>
      </c>
      <c r="B130" s="2" t="s">
        <v>210</v>
      </c>
      <c r="C130" s="641"/>
      <c r="D130" s="641"/>
      <c r="E130" s="641"/>
      <c r="F130" s="641"/>
      <c r="G130" s="641"/>
      <c r="H130" s="641"/>
      <c r="I130" s="641"/>
      <c r="J130" s="641"/>
      <c r="K130" s="641"/>
    </row>
    <row r="131" spans="1:11" ht="15.9" customHeight="1">
      <c r="A131" s="2" t="s">
        <v>211</v>
      </c>
      <c r="B131" s="2" t="s">
        <v>212</v>
      </c>
      <c r="C131" s="641"/>
      <c r="D131" s="641"/>
      <c r="E131" s="641"/>
      <c r="F131" s="641"/>
      <c r="G131" s="641"/>
      <c r="H131" s="641"/>
      <c r="I131" s="641"/>
      <c r="J131" s="641"/>
      <c r="K131" s="641"/>
    </row>
    <row r="132" spans="1:11" ht="15.9" customHeight="1">
      <c r="A132" s="2" t="s">
        <v>213</v>
      </c>
      <c r="B132" s="2" t="s">
        <v>214</v>
      </c>
      <c r="C132" s="641"/>
      <c r="D132" s="641"/>
      <c r="E132" s="641"/>
      <c r="F132" s="641"/>
      <c r="G132" s="641"/>
      <c r="H132" s="641"/>
      <c r="I132" s="641"/>
      <c r="J132" s="641"/>
      <c r="K132" s="641"/>
    </row>
    <row r="133" spans="1:11" ht="15.9" customHeight="1">
      <c r="A133" s="2" t="s">
        <v>215</v>
      </c>
      <c r="B133" s="2" t="s">
        <v>216</v>
      </c>
      <c r="C133" s="641"/>
      <c r="D133" s="641"/>
      <c r="E133" s="641"/>
      <c r="F133" s="641"/>
      <c r="G133" s="641"/>
      <c r="H133" s="641"/>
      <c r="I133" s="641"/>
      <c r="J133" s="641"/>
      <c r="K133" s="641"/>
    </row>
    <row r="134" spans="1:11" ht="15.9" customHeight="1">
      <c r="A134" s="616" t="s">
        <v>217</v>
      </c>
      <c r="B134" s="616" t="s">
        <v>218</v>
      </c>
      <c r="C134" s="641"/>
      <c r="D134" s="641"/>
      <c r="E134" s="641"/>
      <c r="F134" s="641"/>
      <c r="G134" s="641"/>
      <c r="H134" s="641"/>
      <c r="I134" s="641"/>
      <c r="J134" s="641"/>
      <c r="K134" s="641"/>
    </row>
    <row r="135" spans="1:11" ht="15.9" customHeight="1">
      <c r="A135" s="616" t="s">
        <v>219</v>
      </c>
      <c r="B135" s="2" t="s">
        <v>220</v>
      </c>
      <c r="C135" s="641"/>
      <c r="D135" s="641"/>
      <c r="E135" s="641"/>
      <c r="F135" s="641"/>
      <c r="G135" s="641"/>
      <c r="H135" s="641"/>
      <c r="I135" s="641"/>
      <c r="J135" s="641"/>
      <c r="K135" s="641"/>
    </row>
    <row r="136" spans="1:11" ht="15.9" customHeight="1">
      <c r="A136" s="2" t="s">
        <v>221</v>
      </c>
      <c r="B136" s="2" t="s">
        <v>222</v>
      </c>
      <c r="C136" s="641"/>
      <c r="D136" s="641"/>
      <c r="E136" s="641"/>
      <c r="F136" s="641"/>
      <c r="G136" s="641"/>
      <c r="H136" s="641"/>
      <c r="I136" s="641"/>
      <c r="J136" s="641"/>
      <c r="K136" s="641"/>
    </row>
    <row r="137" spans="1:11" ht="15.9" customHeight="1">
      <c r="A137" s="2" t="s">
        <v>223</v>
      </c>
      <c r="B137" s="2" t="s">
        <v>224</v>
      </c>
      <c r="C137" s="641"/>
      <c r="D137" s="641"/>
      <c r="E137" s="641"/>
      <c r="F137" s="641"/>
      <c r="G137" s="641"/>
      <c r="H137" s="641"/>
      <c r="I137" s="641"/>
      <c r="J137" s="641"/>
      <c r="K137" s="641"/>
    </row>
    <row r="138" spans="1:11" ht="15.9" customHeight="1">
      <c r="A138" s="2" t="s">
        <v>225</v>
      </c>
      <c r="B138" s="2" t="s">
        <v>226</v>
      </c>
      <c r="C138" s="641"/>
      <c r="D138" s="641"/>
      <c r="E138" s="641"/>
      <c r="F138" s="641"/>
      <c r="G138" s="641"/>
      <c r="H138" s="641"/>
      <c r="I138" s="641"/>
      <c r="J138" s="641"/>
      <c r="K138" s="641"/>
    </row>
    <row r="139" spans="1:11" ht="15.9" customHeight="1">
      <c r="A139" s="2" t="s">
        <v>227</v>
      </c>
      <c r="B139" s="2" t="s">
        <v>228</v>
      </c>
      <c r="C139" s="641"/>
      <c r="D139" s="641"/>
      <c r="E139" s="641"/>
      <c r="F139" s="641"/>
      <c r="G139" s="641"/>
      <c r="H139" s="641"/>
      <c r="I139" s="641"/>
      <c r="J139" s="641"/>
      <c r="K139" s="641"/>
    </row>
    <row r="140" spans="1:11" ht="15.9" customHeight="1">
      <c r="A140" s="2" t="s">
        <v>229</v>
      </c>
      <c r="B140" s="2" t="s">
        <v>230</v>
      </c>
      <c r="C140" s="641"/>
      <c r="D140" s="641"/>
      <c r="E140" s="641"/>
      <c r="F140" s="641"/>
      <c r="G140" s="641"/>
      <c r="H140" s="641"/>
      <c r="I140" s="641"/>
      <c r="J140" s="641"/>
      <c r="K140" s="641"/>
    </row>
    <row r="141" spans="1:11" ht="15.9" customHeight="1">
      <c r="A141" s="2" t="s">
        <v>231</v>
      </c>
      <c r="B141" s="2" t="s">
        <v>232</v>
      </c>
      <c r="C141" s="641"/>
      <c r="D141" s="641"/>
      <c r="E141" s="641"/>
      <c r="F141" s="641"/>
      <c r="G141" s="641"/>
      <c r="H141" s="641"/>
      <c r="I141" s="641"/>
      <c r="J141" s="641"/>
      <c r="K141" s="641"/>
    </row>
    <row r="142" spans="1:11" ht="15.9" customHeight="1">
      <c r="A142" s="2" t="s">
        <v>233</v>
      </c>
      <c r="B142" s="2" t="s">
        <v>234</v>
      </c>
      <c r="C142" s="641"/>
      <c r="D142" s="641"/>
      <c r="E142" s="641"/>
      <c r="F142" s="641"/>
      <c r="G142" s="641"/>
      <c r="H142" s="641"/>
      <c r="I142" s="641"/>
      <c r="J142" s="641"/>
      <c r="K142" s="641"/>
    </row>
    <row r="143" spans="1:11" ht="15.9" customHeight="1">
      <c r="A143" s="2" t="s">
        <v>235</v>
      </c>
      <c r="B143" s="2" t="s">
        <v>236</v>
      </c>
      <c r="C143" s="641"/>
      <c r="D143" s="641"/>
      <c r="E143" s="641"/>
      <c r="F143" s="641"/>
      <c r="G143" s="641"/>
      <c r="H143" s="641"/>
      <c r="I143" s="641"/>
      <c r="J143" s="641"/>
      <c r="K143" s="641"/>
    </row>
    <row r="144" spans="1:11" ht="15.9" customHeight="1">
      <c r="A144" s="2" t="s">
        <v>237</v>
      </c>
      <c r="B144" s="2" t="s">
        <v>238</v>
      </c>
      <c r="C144" s="641"/>
      <c r="D144" s="641"/>
      <c r="E144" s="641"/>
      <c r="F144" s="641"/>
      <c r="G144" s="641"/>
      <c r="H144" s="641"/>
      <c r="I144" s="641"/>
      <c r="J144" s="641"/>
      <c r="K144" s="641"/>
    </row>
    <row r="145" spans="1:11" ht="15.9" customHeight="1">
      <c r="A145" s="2" t="s">
        <v>239</v>
      </c>
      <c r="B145" s="2" t="s">
        <v>240</v>
      </c>
      <c r="C145" s="641"/>
      <c r="D145" s="641"/>
      <c r="E145" s="641"/>
      <c r="F145" s="641"/>
      <c r="G145" s="641"/>
      <c r="H145" s="641"/>
      <c r="I145" s="641"/>
      <c r="J145" s="641"/>
      <c r="K145" s="641"/>
    </row>
    <row r="146" spans="1:11" ht="15.9" customHeight="1">
      <c r="A146" s="2" t="s">
        <v>241</v>
      </c>
      <c r="B146" s="2" t="s">
        <v>242</v>
      </c>
      <c r="C146" s="641"/>
      <c r="D146" s="641"/>
      <c r="E146" s="641"/>
      <c r="F146" s="641"/>
      <c r="G146" s="641"/>
      <c r="H146" s="641"/>
      <c r="I146" s="641"/>
      <c r="J146" s="641"/>
      <c r="K146" s="641"/>
    </row>
    <row r="147" spans="1:11" ht="15.9" customHeight="1">
      <c r="A147" s="2" t="s">
        <v>243</v>
      </c>
      <c r="B147" s="2" t="s">
        <v>244</v>
      </c>
      <c r="C147" s="641"/>
      <c r="D147" s="641"/>
      <c r="E147" s="641"/>
      <c r="F147" s="641"/>
      <c r="G147" s="641"/>
      <c r="H147" s="641"/>
      <c r="I147" s="641"/>
      <c r="J147" s="641"/>
      <c r="K147" s="641"/>
    </row>
    <row r="148" spans="1:11" ht="15.9" customHeight="1">
      <c r="A148" s="2" t="s">
        <v>245</v>
      </c>
      <c r="B148" s="2" t="s">
        <v>246</v>
      </c>
      <c r="C148" s="641"/>
      <c r="D148" s="641"/>
      <c r="E148" s="641"/>
      <c r="F148" s="641"/>
      <c r="G148" s="641"/>
      <c r="H148" s="641"/>
      <c r="I148" s="641"/>
      <c r="J148" s="641"/>
      <c r="K148" s="641"/>
    </row>
    <row r="149" spans="1:11" ht="15.9" customHeight="1">
      <c r="A149" s="2" t="s">
        <v>247</v>
      </c>
      <c r="B149" s="2" t="s">
        <v>248</v>
      </c>
      <c r="C149" s="641"/>
      <c r="D149" s="641"/>
      <c r="E149" s="641"/>
      <c r="F149" s="641"/>
      <c r="G149" s="641"/>
      <c r="H149" s="641"/>
      <c r="I149" s="641"/>
      <c r="J149" s="641"/>
      <c r="K149" s="641"/>
    </row>
    <row r="150" spans="1:11" ht="15.9" customHeight="1">
      <c r="A150" s="2" t="s">
        <v>249</v>
      </c>
      <c r="B150" s="3" t="s">
        <v>250</v>
      </c>
      <c r="C150" s="641"/>
      <c r="D150" s="641"/>
      <c r="E150" s="641"/>
      <c r="F150" s="641"/>
      <c r="G150" s="641"/>
      <c r="H150" s="641"/>
      <c r="I150" s="641"/>
      <c r="J150" s="641"/>
      <c r="K150" s="641"/>
    </row>
    <row r="151" spans="1:11" ht="15.9" customHeight="1">
      <c r="A151" s="2" t="s">
        <v>251</v>
      </c>
      <c r="B151" s="2" t="s">
        <v>252</v>
      </c>
      <c r="C151" s="641"/>
      <c r="D151" s="641"/>
      <c r="E151" s="641"/>
      <c r="F151" s="641"/>
      <c r="G151" s="641"/>
      <c r="H151" s="641"/>
      <c r="I151" s="641"/>
      <c r="J151" s="641"/>
      <c r="K151" s="641"/>
    </row>
    <row r="152" spans="1:11" ht="15.9" customHeight="1">
      <c r="A152" s="2" t="s">
        <v>253</v>
      </c>
      <c r="B152" s="3" t="s">
        <v>254</v>
      </c>
      <c r="C152" s="641"/>
      <c r="D152" s="641"/>
      <c r="E152" s="641"/>
      <c r="F152" s="641"/>
      <c r="G152" s="641"/>
      <c r="H152" s="641"/>
      <c r="I152" s="641"/>
      <c r="J152" s="641"/>
      <c r="K152" s="641"/>
    </row>
    <row r="153" spans="1:11" ht="15.9" customHeight="1">
      <c r="A153" s="2" t="s">
        <v>255</v>
      </c>
      <c r="B153" s="2" t="s">
        <v>256</v>
      </c>
      <c r="C153" s="641"/>
      <c r="D153" s="641"/>
      <c r="E153" s="641"/>
      <c r="F153" s="641"/>
      <c r="G153" s="641"/>
      <c r="H153" s="641"/>
      <c r="I153" s="641"/>
      <c r="J153" s="641"/>
      <c r="K153" s="641"/>
    </row>
    <row r="154" spans="1:11" ht="15.9" customHeight="1">
      <c r="A154" s="2" t="s">
        <v>257</v>
      </c>
      <c r="B154" s="2" t="s">
        <v>258</v>
      </c>
      <c r="C154" s="641"/>
      <c r="D154" s="641"/>
      <c r="E154" s="641"/>
      <c r="F154" s="641"/>
      <c r="G154" s="641"/>
      <c r="H154" s="641"/>
      <c r="I154" s="641"/>
      <c r="J154" s="641"/>
      <c r="K154" s="641"/>
    </row>
    <row r="155" spans="1:11" ht="15.9" customHeight="1">
      <c r="A155" s="2" t="s">
        <v>259</v>
      </c>
      <c r="B155" s="2" t="s">
        <v>260</v>
      </c>
      <c r="C155" s="641"/>
      <c r="D155" s="641"/>
      <c r="E155" s="641"/>
      <c r="F155" s="641"/>
      <c r="G155" s="641"/>
      <c r="H155" s="641"/>
      <c r="I155" s="641"/>
      <c r="J155" s="641"/>
      <c r="K155" s="641"/>
    </row>
    <row r="156" spans="1:11" ht="15.9" customHeight="1">
      <c r="A156" s="2" t="s">
        <v>261</v>
      </c>
      <c r="B156" s="2" t="s">
        <v>262</v>
      </c>
      <c r="C156" s="641"/>
      <c r="D156" s="641"/>
      <c r="E156" s="641"/>
      <c r="F156" s="641"/>
      <c r="G156" s="641"/>
      <c r="H156" s="641"/>
      <c r="I156" s="641"/>
      <c r="J156" s="641"/>
      <c r="K156" s="641"/>
    </row>
    <row r="157" spans="1:11" ht="15.9" customHeight="1">
      <c r="A157" s="2" t="s">
        <v>263</v>
      </c>
      <c r="B157" s="2" t="s">
        <v>264</v>
      </c>
      <c r="C157" s="641"/>
      <c r="D157" s="641"/>
      <c r="E157" s="641"/>
      <c r="F157" s="641"/>
      <c r="G157" s="641"/>
      <c r="H157" s="641"/>
      <c r="I157" s="641"/>
      <c r="J157" s="641"/>
      <c r="K157" s="641"/>
    </row>
    <row r="158" spans="1:11" ht="15.9" customHeight="1">
      <c r="A158" s="2" t="s">
        <v>265</v>
      </c>
      <c r="B158" s="2" t="s">
        <v>266</v>
      </c>
      <c r="C158" s="641"/>
      <c r="D158" s="641"/>
      <c r="E158" s="641"/>
      <c r="F158" s="641"/>
      <c r="G158" s="641"/>
      <c r="H158" s="641"/>
      <c r="I158" s="641"/>
      <c r="J158" s="641"/>
      <c r="K158" s="641"/>
    </row>
    <row r="159" spans="1:11" ht="15.9" customHeight="1">
      <c r="A159" s="2" t="s">
        <v>267</v>
      </c>
      <c r="B159" s="2" t="s">
        <v>268</v>
      </c>
      <c r="C159" s="641"/>
      <c r="D159" s="641"/>
      <c r="E159" s="641"/>
      <c r="F159" s="641"/>
      <c r="G159" s="641"/>
      <c r="H159" s="641"/>
      <c r="I159" s="641"/>
      <c r="J159" s="641"/>
      <c r="K159" s="641"/>
    </row>
    <row r="160" spans="1:11" ht="15.9" customHeight="1">
      <c r="A160" s="2" t="s">
        <v>269</v>
      </c>
      <c r="B160" s="2" t="s">
        <v>270</v>
      </c>
      <c r="C160" s="641"/>
      <c r="D160" s="641"/>
      <c r="E160" s="641"/>
      <c r="F160" s="641"/>
      <c r="G160" s="641"/>
      <c r="H160" s="641"/>
      <c r="I160" s="641"/>
      <c r="J160" s="641"/>
      <c r="K160" s="641"/>
    </row>
    <row r="161" spans="1:11" ht="15.9" customHeight="1">
      <c r="A161" s="616" t="s">
        <v>271</v>
      </c>
      <c r="B161" s="616" t="s">
        <v>272</v>
      </c>
      <c r="C161" s="641"/>
      <c r="D161" s="641"/>
      <c r="E161" s="641"/>
      <c r="F161" s="641"/>
      <c r="G161" s="641"/>
      <c r="H161" s="641"/>
      <c r="I161" s="641"/>
      <c r="J161" s="641"/>
      <c r="K161" s="641"/>
    </row>
    <row r="162" spans="1:11" ht="15.9" customHeight="1">
      <c r="A162" s="2" t="s">
        <v>273</v>
      </c>
      <c r="B162" s="2" t="s">
        <v>274</v>
      </c>
      <c r="C162" s="641"/>
      <c r="D162" s="641"/>
      <c r="E162" s="641"/>
      <c r="F162" s="641"/>
      <c r="G162" s="641"/>
      <c r="H162" s="641"/>
      <c r="I162" s="641"/>
      <c r="J162" s="641"/>
      <c r="K162" s="641"/>
    </row>
    <row r="163" spans="1:11" ht="15.9" customHeight="1">
      <c r="A163" s="2" t="s">
        <v>275</v>
      </c>
      <c r="B163" s="3" t="s">
        <v>276</v>
      </c>
      <c r="C163" s="641"/>
      <c r="D163" s="641"/>
      <c r="E163" s="641"/>
      <c r="F163" s="641"/>
      <c r="G163" s="641"/>
      <c r="H163" s="641"/>
      <c r="I163" s="641"/>
      <c r="J163" s="641"/>
      <c r="K163" s="641"/>
    </row>
    <row r="164" spans="1:11" ht="15.9" customHeight="1">
      <c r="A164" s="2" t="s">
        <v>277</v>
      </c>
      <c r="B164" s="585" t="s">
        <v>278</v>
      </c>
      <c r="C164" s="641"/>
      <c r="D164" s="641"/>
      <c r="E164" s="641"/>
      <c r="F164" s="641"/>
      <c r="G164" s="641"/>
      <c r="H164" s="641"/>
      <c r="I164" s="641"/>
      <c r="J164" s="641"/>
      <c r="K164" s="641"/>
    </row>
    <row r="165" spans="1:11" ht="15.9" customHeight="1">
      <c r="A165" s="2" t="s">
        <v>279</v>
      </c>
      <c r="B165" s="2" t="s">
        <v>280</v>
      </c>
      <c r="C165" s="641"/>
      <c r="D165" s="641"/>
      <c r="E165" s="641"/>
      <c r="F165" s="641"/>
      <c r="G165" s="641"/>
      <c r="H165" s="641"/>
      <c r="I165" s="641"/>
      <c r="J165" s="641"/>
      <c r="K165" s="641"/>
    </row>
    <row r="166" spans="1:11" ht="15.9" customHeight="1">
      <c r="A166" s="2" t="s">
        <v>281</v>
      </c>
      <c r="B166" s="2" t="s">
        <v>282</v>
      </c>
      <c r="C166" s="641"/>
      <c r="D166" s="641"/>
      <c r="E166" s="641"/>
      <c r="F166" s="641"/>
      <c r="G166" s="641"/>
      <c r="H166" s="641"/>
      <c r="I166" s="641"/>
      <c r="J166" s="641"/>
      <c r="K166" s="641"/>
    </row>
    <row r="167" spans="1:11" ht="15.9" customHeight="1">
      <c r="A167" s="2" t="s">
        <v>283</v>
      </c>
      <c r="B167" s="2" t="s">
        <v>284</v>
      </c>
      <c r="C167" s="641"/>
      <c r="D167" s="641"/>
      <c r="E167" s="641"/>
      <c r="F167" s="641"/>
      <c r="G167" s="641"/>
      <c r="H167" s="641"/>
      <c r="I167" s="641"/>
      <c r="J167" s="641"/>
      <c r="K167" s="641"/>
    </row>
    <row r="168" spans="1:11" ht="15.9" customHeight="1">
      <c r="A168" s="2" t="s">
        <v>285</v>
      </c>
      <c r="B168" s="2" t="s">
        <v>286</v>
      </c>
      <c r="C168" s="641"/>
      <c r="D168" s="641"/>
      <c r="E168" s="641"/>
      <c r="F168" s="641"/>
      <c r="G168" s="641"/>
      <c r="H168" s="641"/>
      <c r="I168" s="641"/>
      <c r="J168" s="641"/>
      <c r="K168" s="641"/>
    </row>
    <row r="169" spans="1:11" ht="15.9" customHeight="1">
      <c r="A169" s="2" t="s">
        <v>287</v>
      </c>
      <c r="B169" s="2" t="s">
        <v>288</v>
      </c>
      <c r="C169" s="641"/>
      <c r="D169" s="641"/>
      <c r="E169" s="641"/>
      <c r="F169" s="641"/>
      <c r="G169" s="641"/>
      <c r="H169" s="641"/>
      <c r="I169" s="641"/>
      <c r="J169" s="641"/>
      <c r="K169" s="641"/>
    </row>
    <row r="170" spans="1:11" ht="15.9" customHeight="1">
      <c r="A170" s="2" t="s">
        <v>289</v>
      </c>
      <c r="B170" s="2" t="s">
        <v>290</v>
      </c>
      <c r="C170" s="641"/>
      <c r="D170" s="641"/>
      <c r="E170" s="641"/>
      <c r="F170" s="641"/>
      <c r="G170" s="641"/>
      <c r="H170" s="641"/>
      <c r="I170" s="641"/>
      <c r="J170" s="641"/>
      <c r="K170" s="641"/>
    </row>
    <row r="171" spans="1:11" ht="15.9" customHeight="1">
      <c r="A171" s="2" t="s">
        <v>291</v>
      </c>
      <c r="B171" s="2" t="s">
        <v>292</v>
      </c>
      <c r="C171" s="641"/>
      <c r="D171" s="641"/>
      <c r="E171" s="641"/>
      <c r="F171" s="641"/>
      <c r="G171" s="641"/>
      <c r="H171" s="641"/>
      <c r="I171" s="641"/>
      <c r="J171" s="641"/>
      <c r="K171" s="641"/>
    </row>
    <row r="172" spans="1:11" ht="15.9" customHeight="1">
      <c r="A172" s="2" t="s">
        <v>293</v>
      </c>
      <c r="B172" s="2" t="s">
        <v>294</v>
      </c>
      <c r="C172" s="641"/>
      <c r="D172" s="641"/>
      <c r="E172" s="641"/>
      <c r="F172" s="641"/>
      <c r="G172" s="641"/>
      <c r="H172" s="641"/>
      <c r="I172" s="641"/>
      <c r="J172" s="641"/>
      <c r="K172" s="641"/>
    </row>
    <row r="173" spans="1:11" ht="15.9" customHeight="1">
      <c r="A173" s="2" t="s">
        <v>295</v>
      </c>
      <c r="B173" s="2" t="s">
        <v>296</v>
      </c>
      <c r="C173" s="641"/>
      <c r="D173" s="641"/>
      <c r="E173" s="641"/>
      <c r="F173" s="641"/>
      <c r="G173" s="641"/>
      <c r="H173" s="641"/>
      <c r="I173" s="641"/>
      <c r="J173" s="641"/>
      <c r="K173" s="641"/>
    </row>
    <row r="174" spans="1:11" ht="15.9" customHeight="1">
      <c r="A174" s="2" t="s">
        <v>297</v>
      </c>
      <c r="B174" s="2" t="s">
        <v>298</v>
      </c>
      <c r="C174" s="641"/>
      <c r="D174" s="641"/>
      <c r="E174" s="641"/>
      <c r="F174" s="641"/>
      <c r="G174" s="641"/>
      <c r="H174" s="641"/>
      <c r="I174" s="641"/>
      <c r="J174" s="641"/>
      <c r="K174" s="641"/>
    </row>
    <row r="175" spans="1:11" ht="15.9" customHeight="1">
      <c r="A175" s="2" t="s">
        <v>299</v>
      </c>
      <c r="B175" s="2" t="s">
        <v>300</v>
      </c>
      <c r="C175" s="641"/>
      <c r="D175" s="641"/>
      <c r="E175" s="641"/>
      <c r="F175" s="641"/>
      <c r="G175" s="641"/>
      <c r="H175" s="641"/>
      <c r="I175" s="641"/>
      <c r="J175" s="641"/>
      <c r="K175" s="641"/>
    </row>
    <row r="176" spans="1:11" ht="15.9" customHeight="1">
      <c r="A176" s="2" t="s">
        <v>301</v>
      </c>
      <c r="B176" s="2" t="s">
        <v>8663</v>
      </c>
      <c r="C176" s="641"/>
      <c r="D176" s="641"/>
      <c r="E176" s="641"/>
      <c r="F176" s="641"/>
      <c r="G176" s="641"/>
      <c r="H176" s="641"/>
      <c r="I176" s="641"/>
      <c r="J176" s="641"/>
      <c r="K176" s="641"/>
    </row>
    <row r="177" spans="1:11" ht="15.9" customHeight="1">
      <c r="A177" s="2" t="s">
        <v>302</v>
      </c>
      <c r="B177" s="2" t="s">
        <v>303</v>
      </c>
      <c r="C177" s="641"/>
      <c r="D177" s="641"/>
      <c r="E177" s="641"/>
      <c r="F177" s="641"/>
      <c r="G177" s="641"/>
      <c r="H177" s="641"/>
      <c r="I177" s="641"/>
      <c r="J177" s="641"/>
      <c r="K177" s="641"/>
    </row>
    <row r="178" spans="1:11" ht="15.9" customHeight="1">
      <c r="A178" s="2" t="s">
        <v>304</v>
      </c>
      <c r="B178" s="2" t="s">
        <v>305</v>
      </c>
      <c r="C178" s="641"/>
      <c r="D178" s="641"/>
      <c r="E178" s="641"/>
      <c r="F178" s="641"/>
      <c r="G178" s="641"/>
      <c r="H178" s="641"/>
      <c r="I178" s="641"/>
      <c r="J178" s="641"/>
      <c r="K178" s="641"/>
    </row>
    <row r="179" spans="1:11" ht="15.9" customHeight="1">
      <c r="A179" s="2" t="s">
        <v>306</v>
      </c>
      <c r="B179" s="2" t="s">
        <v>307</v>
      </c>
      <c r="C179" s="641"/>
      <c r="D179" s="641"/>
      <c r="E179" s="641"/>
      <c r="F179" s="641"/>
      <c r="G179" s="641"/>
      <c r="H179" s="641"/>
      <c r="I179" s="641"/>
      <c r="J179" s="641"/>
      <c r="K179" s="641"/>
    </row>
    <row r="180" spans="1:11" ht="15.9" customHeight="1">
      <c r="A180" s="2" t="s">
        <v>308</v>
      </c>
      <c r="B180" s="2" t="s">
        <v>309</v>
      </c>
      <c r="C180" s="641"/>
      <c r="D180" s="641"/>
      <c r="E180" s="641"/>
      <c r="F180" s="641"/>
      <c r="G180" s="641"/>
      <c r="H180" s="641"/>
      <c r="I180" s="641"/>
      <c r="J180" s="641"/>
      <c r="K180" s="641"/>
    </row>
    <row r="181" spans="1:11" ht="15.9" customHeight="1">
      <c r="A181" s="2" t="s">
        <v>310</v>
      </c>
      <c r="B181" s="2" t="s">
        <v>311</v>
      </c>
      <c r="C181" s="641"/>
      <c r="D181" s="641"/>
      <c r="E181" s="641"/>
      <c r="F181" s="641"/>
      <c r="G181" s="641"/>
      <c r="H181" s="641"/>
      <c r="I181" s="641"/>
      <c r="J181" s="641"/>
      <c r="K181" s="641"/>
    </row>
    <row r="182" spans="1:11" ht="15.9" customHeight="1">
      <c r="A182" s="2" t="s">
        <v>312</v>
      </c>
      <c r="B182" s="2" t="s">
        <v>313</v>
      </c>
      <c r="C182" s="641"/>
      <c r="D182" s="641"/>
      <c r="E182" s="641"/>
      <c r="F182" s="641"/>
      <c r="G182" s="641"/>
      <c r="H182" s="641"/>
      <c r="I182" s="641"/>
      <c r="J182" s="641"/>
      <c r="K182" s="641"/>
    </row>
    <row r="183" spans="1:11" ht="15.9" customHeight="1">
      <c r="A183" s="2" t="s">
        <v>314</v>
      </c>
      <c r="B183" s="2" t="s">
        <v>315</v>
      </c>
      <c r="C183" s="641"/>
      <c r="D183" s="641"/>
      <c r="E183" s="641"/>
      <c r="F183" s="641"/>
      <c r="G183" s="641"/>
      <c r="H183" s="641"/>
      <c r="I183" s="641"/>
      <c r="J183" s="641"/>
      <c r="K183" s="641"/>
    </row>
    <row r="184" spans="1:11" ht="15.9" customHeight="1">
      <c r="A184" s="2" t="s">
        <v>316</v>
      </c>
      <c r="B184" s="2" t="s">
        <v>317</v>
      </c>
      <c r="C184" s="641"/>
      <c r="D184" s="641"/>
      <c r="E184" s="641"/>
      <c r="F184" s="641"/>
      <c r="G184" s="641"/>
      <c r="H184" s="641"/>
      <c r="I184" s="641"/>
      <c r="J184" s="641"/>
      <c r="K184" s="641"/>
    </row>
    <row r="185" spans="1:11" ht="15.9" customHeight="1">
      <c r="A185" s="2" t="s">
        <v>318</v>
      </c>
      <c r="B185" s="2" t="s">
        <v>319</v>
      </c>
      <c r="C185" s="641"/>
      <c r="D185" s="641"/>
      <c r="E185" s="641"/>
      <c r="F185" s="641"/>
      <c r="G185" s="641"/>
      <c r="H185" s="641"/>
      <c r="I185" s="641"/>
      <c r="J185" s="641"/>
      <c r="K185" s="641"/>
    </row>
    <row r="186" spans="1:11" ht="15.9" customHeight="1">
      <c r="A186" s="2" t="s">
        <v>320</v>
      </c>
      <c r="B186" s="2" t="s">
        <v>321</v>
      </c>
      <c r="C186" s="641"/>
      <c r="D186" s="641"/>
      <c r="E186" s="641"/>
      <c r="F186" s="641"/>
      <c r="G186" s="641"/>
      <c r="H186" s="641"/>
      <c r="I186" s="641"/>
      <c r="J186" s="641"/>
      <c r="K186" s="641"/>
    </row>
    <row r="187" spans="1:11" ht="15.9" customHeight="1">
      <c r="A187" s="2" t="s">
        <v>322</v>
      </c>
      <c r="B187" s="2" t="s">
        <v>323</v>
      </c>
      <c r="C187" s="641"/>
      <c r="D187" s="641"/>
      <c r="E187" s="641"/>
      <c r="F187" s="641"/>
      <c r="G187" s="641"/>
      <c r="H187" s="641"/>
      <c r="I187" s="641"/>
      <c r="J187" s="641"/>
      <c r="K187" s="641"/>
    </row>
    <row r="188" spans="1:11" ht="15.9" customHeight="1">
      <c r="A188" s="2" t="s">
        <v>324</v>
      </c>
      <c r="B188" s="2" t="s">
        <v>325</v>
      </c>
      <c r="C188" s="641"/>
      <c r="D188" s="641"/>
      <c r="E188" s="641"/>
      <c r="F188" s="641"/>
      <c r="G188" s="641"/>
      <c r="H188" s="641"/>
      <c r="I188" s="641"/>
      <c r="J188" s="641"/>
      <c r="K188" s="641"/>
    </row>
    <row r="189" spans="1:11" ht="15.9" customHeight="1">
      <c r="A189" s="2" t="s">
        <v>326</v>
      </c>
      <c r="B189" s="2" t="s">
        <v>327</v>
      </c>
      <c r="C189" s="641"/>
      <c r="D189" s="641"/>
      <c r="E189" s="641"/>
      <c r="F189" s="641"/>
      <c r="G189" s="641"/>
      <c r="H189" s="641"/>
      <c r="I189" s="641"/>
      <c r="J189" s="641"/>
      <c r="K189" s="641"/>
    </row>
    <row r="190" spans="1:11" ht="15.9" customHeight="1">
      <c r="A190" s="2" t="s">
        <v>328</v>
      </c>
      <c r="B190" s="2" t="s">
        <v>329</v>
      </c>
      <c r="C190" s="641"/>
      <c r="D190" s="641"/>
      <c r="E190" s="641"/>
      <c r="F190" s="641"/>
      <c r="G190" s="641"/>
      <c r="H190" s="641"/>
      <c r="I190" s="641"/>
      <c r="J190" s="641"/>
      <c r="K190" s="641"/>
    </row>
    <row r="191" spans="1:11" ht="15.9" customHeight="1">
      <c r="A191" s="2" t="s">
        <v>330</v>
      </c>
      <c r="B191" s="2" t="s">
        <v>331</v>
      </c>
      <c r="C191" s="641"/>
      <c r="D191" s="641"/>
      <c r="E191" s="641"/>
      <c r="F191" s="641"/>
      <c r="G191" s="641"/>
      <c r="H191" s="641"/>
      <c r="I191" s="641"/>
      <c r="J191" s="641"/>
      <c r="K191" s="641"/>
    </row>
    <row r="192" spans="1:11" ht="15.9" customHeight="1">
      <c r="A192" s="2" t="s">
        <v>332</v>
      </c>
      <c r="B192" s="2" t="s">
        <v>333</v>
      </c>
      <c r="C192" s="641"/>
      <c r="D192" s="641"/>
      <c r="E192" s="641"/>
      <c r="F192" s="641"/>
      <c r="G192" s="641"/>
      <c r="H192" s="641"/>
      <c r="I192" s="641"/>
      <c r="J192" s="641"/>
      <c r="K192" s="641"/>
    </row>
    <row r="193" spans="1:11" ht="15.9" customHeight="1">
      <c r="A193" s="3" t="s">
        <v>334</v>
      </c>
      <c r="B193" s="2" t="s">
        <v>335</v>
      </c>
      <c r="C193" s="641"/>
      <c r="D193" s="641"/>
      <c r="E193" s="641"/>
      <c r="F193" s="641"/>
      <c r="G193" s="641"/>
      <c r="H193" s="641"/>
      <c r="I193" s="641"/>
      <c r="J193" s="641"/>
      <c r="K193" s="641"/>
    </row>
    <row r="194" spans="1:11" ht="15.9" customHeight="1">
      <c r="A194" s="2" t="s">
        <v>336</v>
      </c>
      <c r="B194" s="2" t="s">
        <v>337</v>
      </c>
      <c r="C194" s="641"/>
      <c r="D194" s="641"/>
      <c r="E194" s="641"/>
      <c r="F194" s="641"/>
      <c r="G194" s="641"/>
      <c r="H194" s="641"/>
      <c r="I194" s="641"/>
      <c r="J194" s="641"/>
      <c r="K194" s="641"/>
    </row>
    <row r="195" spans="1:11" ht="15.9" customHeight="1">
      <c r="A195" s="3" t="s">
        <v>338</v>
      </c>
      <c r="B195" s="2" t="s">
        <v>339</v>
      </c>
      <c r="C195" s="641"/>
      <c r="D195" s="641"/>
      <c r="E195" s="641"/>
      <c r="F195" s="641"/>
      <c r="G195" s="641"/>
      <c r="H195" s="641"/>
      <c r="I195" s="641"/>
      <c r="J195" s="641"/>
      <c r="K195" s="641"/>
    </row>
    <row r="196" spans="1:11" ht="15.9" customHeight="1">
      <c r="A196" s="3" t="s">
        <v>340</v>
      </c>
      <c r="B196" s="2" t="s">
        <v>341</v>
      </c>
      <c r="C196" s="641"/>
      <c r="D196" s="641"/>
      <c r="E196" s="641"/>
      <c r="F196" s="641"/>
      <c r="G196" s="641"/>
      <c r="H196" s="641"/>
      <c r="I196" s="641"/>
      <c r="J196" s="641"/>
      <c r="K196" s="641"/>
    </row>
    <row r="197" spans="1:11" ht="15.9" customHeight="1">
      <c r="A197" s="3" t="s">
        <v>342</v>
      </c>
      <c r="B197" s="2" t="s">
        <v>5906</v>
      </c>
      <c r="C197" s="641"/>
      <c r="D197" s="641"/>
      <c r="E197" s="641"/>
      <c r="F197" s="641"/>
      <c r="G197" s="641"/>
      <c r="H197" s="641"/>
      <c r="I197" s="641"/>
      <c r="J197" s="641"/>
      <c r="K197" s="641"/>
    </row>
    <row r="198" spans="1:11" ht="15.9" customHeight="1">
      <c r="A198" s="10"/>
      <c r="B198" s="641"/>
      <c r="C198" s="641"/>
      <c r="D198" s="641"/>
      <c r="E198" s="641"/>
      <c r="F198" s="641"/>
      <c r="G198" s="641"/>
      <c r="H198" s="641"/>
      <c r="I198" s="641"/>
      <c r="J198" s="641"/>
      <c r="K198" s="641"/>
    </row>
    <row r="199" spans="1:11" ht="15.9" customHeight="1">
      <c r="A199" s="640" t="s">
        <v>343</v>
      </c>
      <c r="B199" s="2" t="s">
        <v>344</v>
      </c>
      <c r="C199" s="641"/>
      <c r="D199" s="641"/>
      <c r="E199" s="641"/>
      <c r="F199" s="641"/>
      <c r="G199" s="641"/>
      <c r="H199" s="641"/>
      <c r="I199" s="641"/>
      <c r="J199" s="641"/>
      <c r="K199" s="641"/>
    </row>
    <row r="200" spans="1:11" ht="15.9" customHeight="1">
      <c r="A200" s="2" t="s">
        <v>345</v>
      </c>
      <c r="B200" s="2" t="s">
        <v>346</v>
      </c>
      <c r="C200" s="641"/>
      <c r="D200" s="641"/>
      <c r="E200" s="641"/>
      <c r="F200" s="641"/>
      <c r="G200" s="641"/>
      <c r="H200" s="641"/>
      <c r="I200" s="641"/>
      <c r="J200" s="641"/>
      <c r="K200" s="641"/>
    </row>
    <row r="201" spans="1:11" ht="15.9" customHeight="1">
      <c r="A201" s="2" t="s">
        <v>347</v>
      </c>
      <c r="B201" s="2" t="s">
        <v>348</v>
      </c>
      <c r="C201" s="641"/>
      <c r="D201" s="641"/>
      <c r="E201" s="641"/>
      <c r="F201" s="641"/>
      <c r="G201" s="641"/>
      <c r="H201" s="641"/>
      <c r="I201" s="641"/>
      <c r="J201" s="641"/>
      <c r="K201" s="641"/>
    </row>
    <row r="202" spans="1:11" ht="15.9" customHeight="1">
      <c r="A202" s="2" t="s">
        <v>349</v>
      </c>
      <c r="B202" s="2" t="s">
        <v>350</v>
      </c>
      <c r="C202" s="641"/>
      <c r="D202" s="641"/>
      <c r="E202" s="641"/>
      <c r="F202" s="641"/>
      <c r="G202" s="641"/>
      <c r="H202" s="641"/>
      <c r="I202" s="641"/>
      <c r="J202" s="641"/>
      <c r="K202" s="641"/>
    </row>
    <row r="203" spans="1:11" ht="15.9" customHeight="1">
      <c r="A203" s="2" t="s">
        <v>351</v>
      </c>
      <c r="B203" s="2" t="s">
        <v>352</v>
      </c>
      <c r="C203" s="641"/>
      <c r="D203" s="641"/>
      <c r="E203" s="641"/>
      <c r="F203" s="641"/>
      <c r="G203" s="641"/>
      <c r="H203" s="641"/>
      <c r="I203" s="641"/>
      <c r="J203" s="641"/>
      <c r="K203" s="641"/>
    </row>
    <row r="204" spans="1:11" ht="15.9" customHeight="1">
      <c r="A204" s="2" t="s">
        <v>353</v>
      </c>
      <c r="B204" s="2" t="s">
        <v>354</v>
      </c>
      <c r="C204" s="641"/>
      <c r="D204" s="641"/>
      <c r="E204" s="641"/>
      <c r="F204" s="641"/>
      <c r="G204" s="641"/>
      <c r="H204" s="641"/>
      <c r="I204" s="641"/>
      <c r="J204" s="641"/>
      <c r="K204" s="641"/>
    </row>
    <row r="205" spans="1:11" ht="15.9" customHeight="1">
      <c r="A205" s="2" t="s">
        <v>355</v>
      </c>
      <c r="B205" s="2" t="s">
        <v>356</v>
      </c>
      <c r="C205" s="641"/>
      <c r="D205" s="641"/>
      <c r="E205" s="641"/>
      <c r="F205" s="641"/>
      <c r="G205" s="641"/>
      <c r="H205" s="641"/>
      <c r="I205" s="641"/>
      <c r="J205" s="641"/>
      <c r="K205" s="641"/>
    </row>
    <row r="206" spans="1:11" ht="15.9" customHeight="1">
      <c r="A206" s="2" t="s">
        <v>357</v>
      </c>
      <c r="B206" s="2" t="s">
        <v>358</v>
      </c>
      <c r="C206" s="641"/>
      <c r="D206" s="641"/>
      <c r="E206" s="641"/>
      <c r="F206" s="641"/>
      <c r="G206" s="641"/>
      <c r="H206" s="641"/>
      <c r="I206" s="641"/>
      <c r="J206" s="641"/>
      <c r="K206" s="641"/>
    </row>
    <row r="207" spans="1:11" ht="15.9" customHeight="1">
      <c r="A207" s="2" t="s">
        <v>359</v>
      </c>
      <c r="B207" s="2" t="s">
        <v>360</v>
      </c>
      <c r="C207" s="641"/>
      <c r="D207" s="641"/>
      <c r="E207" s="641"/>
      <c r="F207" s="641"/>
      <c r="G207" s="641"/>
      <c r="H207" s="641"/>
      <c r="I207" s="641"/>
      <c r="J207" s="641"/>
      <c r="K207" s="641"/>
    </row>
    <row r="208" spans="1:11" ht="15.9" customHeight="1">
      <c r="A208" s="10"/>
      <c r="B208" s="641"/>
      <c r="C208" s="641"/>
      <c r="D208" s="641"/>
      <c r="E208" s="641"/>
      <c r="F208" s="641"/>
      <c r="G208" s="641"/>
      <c r="H208" s="641"/>
      <c r="I208" s="641"/>
      <c r="J208" s="641"/>
      <c r="K208" s="641"/>
    </row>
    <row r="209" spans="1:11" ht="15.9" customHeight="1">
      <c r="A209" s="640" t="s">
        <v>361</v>
      </c>
      <c r="C209" s="641"/>
      <c r="D209" s="641"/>
      <c r="E209" s="641"/>
      <c r="F209" s="641"/>
      <c r="G209" s="641"/>
      <c r="H209" s="641"/>
      <c r="I209" s="641"/>
      <c r="J209" s="641"/>
      <c r="K209" s="641"/>
    </row>
    <row r="210" spans="1:11" ht="15.9" customHeight="1">
      <c r="A210" s="629" t="s">
        <v>5911</v>
      </c>
      <c r="B210" s="1" t="s">
        <v>5912</v>
      </c>
      <c r="C210" s="641"/>
      <c r="D210" s="641"/>
      <c r="E210" s="641"/>
      <c r="F210" s="641"/>
      <c r="G210" s="641"/>
      <c r="H210" s="641"/>
      <c r="I210" s="641"/>
      <c r="J210" s="641"/>
      <c r="K210" s="641"/>
    </row>
    <row r="211" spans="1:11" ht="15.9" customHeight="1">
      <c r="A211" s="640" t="s">
        <v>362</v>
      </c>
      <c r="B211" s="631" t="s">
        <v>363</v>
      </c>
      <c r="C211" s="641"/>
      <c r="D211" s="641"/>
      <c r="E211" s="641"/>
      <c r="F211" s="641"/>
      <c r="G211" s="641"/>
      <c r="H211" s="641"/>
      <c r="I211" s="641"/>
      <c r="J211" s="641"/>
      <c r="K211" s="641"/>
    </row>
    <row r="212" spans="1:11" ht="15.9" customHeight="1">
      <c r="A212" s="640" t="s">
        <v>364</v>
      </c>
      <c r="B212" s="631" t="s">
        <v>365</v>
      </c>
      <c r="C212" s="641"/>
      <c r="D212" s="641"/>
      <c r="E212" s="641"/>
      <c r="F212" s="641"/>
      <c r="G212" s="641"/>
      <c r="H212" s="641"/>
      <c r="I212" s="641"/>
      <c r="J212" s="641"/>
      <c r="K212" s="641"/>
    </row>
    <row r="213" spans="1:11" ht="15.9" customHeight="1">
      <c r="A213" s="640" t="s">
        <v>366</v>
      </c>
      <c r="B213" s="616" t="s">
        <v>367</v>
      </c>
      <c r="C213" s="641"/>
      <c r="D213" s="641"/>
      <c r="E213" s="641"/>
      <c r="F213" s="641"/>
      <c r="G213" s="641"/>
      <c r="H213" s="641"/>
      <c r="I213" s="641"/>
      <c r="J213" s="641"/>
      <c r="K213" s="641"/>
    </row>
    <row r="214" spans="1:11" ht="15.9" customHeight="1">
      <c r="A214" s="640" t="s">
        <v>368</v>
      </c>
      <c r="B214" s="631" t="s">
        <v>369</v>
      </c>
      <c r="C214" s="641"/>
      <c r="D214" s="641"/>
      <c r="E214" s="641"/>
      <c r="F214" s="641"/>
      <c r="G214" s="641"/>
      <c r="H214" s="641"/>
      <c r="I214" s="641"/>
      <c r="J214" s="641"/>
      <c r="K214" s="641"/>
    </row>
    <row r="215" spans="1:11" ht="15.9" customHeight="1">
      <c r="A215" s="640" t="s">
        <v>370</v>
      </c>
      <c r="B215" s="616" t="s">
        <v>371</v>
      </c>
      <c r="C215" s="641"/>
      <c r="D215" s="641"/>
      <c r="E215" s="641"/>
      <c r="F215" s="641"/>
      <c r="G215" s="641"/>
      <c r="H215" s="641"/>
      <c r="I215" s="641"/>
      <c r="J215" s="641"/>
      <c r="K215" s="641"/>
    </row>
    <row r="216" spans="1:11" ht="15.9" customHeight="1">
      <c r="A216" s="629" t="s">
        <v>372</v>
      </c>
      <c r="B216" s="616" t="s">
        <v>373</v>
      </c>
      <c r="C216" s="641"/>
      <c r="D216" s="641"/>
      <c r="E216" s="641"/>
      <c r="F216" s="641"/>
      <c r="G216" s="641"/>
      <c r="H216" s="641"/>
      <c r="I216" s="641"/>
      <c r="J216" s="641"/>
      <c r="K216" s="641"/>
    </row>
    <row r="217" spans="1:11" ht="15.9" customHeight="1">
      <c r="A217" s="629" t="s">
        <v>374</v>
      </c>
      <c r="B217" s="616" t="s">
        <v>375</v>
      </c>
      <c r="C217" s="641"/>
      <c r="D217" s="641"/>
      <c r="E217" s="641"/>
      <c r="F217" s="641"/>
      <c r="G217" s="641"/>
      <c r="H217" s="641"/>
      <c r="I217" s="641"/>
      <c r="J217" s="641"/>
      <c r="K217" s="641"/>
    </row>
    <row r="218" spans="1:11" ht="15.9" customHeight="1">
      <c r="A218" s="629" t="s">
        <v>376</v>
      </c>
      <c r="B218" s="616" t="s">
        <v>377</v>
      </c>
      <c r="C218" s="641"/>
      <c r="D218" s="641"/>
      <c r="E218" s="641"/>
      <c r="F218" s="641"/>
      <c r="G218" s="641"/>
      <c r="H218" s="641"/>
      <c r="I218" s="641"/>
      <c r="J218" s="641"/>
      <c r="K218" s="641"/>
    </row>
    <row r="219" spans="1:11" ht="15.9" customHeight="1">
      <c r="A219" s="629" t="s">
        <v>378</v>
      </c>
      <c r="B219" s="616" t="s">
        <v>379</v>
      </c>
      <c r="C219" s="641"/>
      <c r="D219" s="641"/>
      <c r="E219" s="641"/>
      <c r="F219" s="641"/>
      <c r="G219" s="641"/>
      <c r="H219" s="641"/>
      <c r="I219" s="641"/>
      <c r="J219" s="641"/>
      <c r="K219" s="641"/>
    </row>
    <row r="220" spans="1:11" ht="15.9" customHeight="1">
      <c r="A220" s="629" t="s">
        <v>380</v>
      </c>
      <c r="B220" s="616" t="s">
        <v>381</v>
      </c>
      <c r="C220" s="641"/>
      <c r="D220" s="641"/>
      <c r="E220" s="641"/>
      <c r="F220" s="641"/>
      <c r="G220" s="641"/>
      <c r="H220" s="641"/>
      <c r="I220" s="641"/>
      <c r="J220" s="641"/>
      <c r="K220" s="641"/>
    </row>
    <row r="221" spans="1:11" ht="15.9" customHeight="1">
      <c r="A221" s="629" t="s">
        <v>382</v>
      </c>
      <c r="B221" s="616" t="s">
        <v>383</v>
      </c>
      <c r="C221" s="641"/>
      <c r="D221" s="641"/>
      <c r="E221" s="641"/>
      <c r="F221" s="641"/>
      <c r="G221" s="641"/>
      <c r="H221" s="641"/>
      <c r="I221" s="641"/>
      <c r="J221" s="641"/>
      <c r="K221" s="641"/>
    </row>
    <row r="222" spans="1:11" s="666" customFormat="1" ht="15.9" customHeight="1">
      <c r="A222" s="629" t="s">
        <v>384</v>
      </c>
      <c r="B222" s="616" t="s">
        <v>385</v>
      </c>
      <c r="C222" s="667"/>
      <c r="D222" s="667"/>
      <c r="E222" s="667"/>
      <c r="F222" s="667"/>
      <c r="G222" s="667"/>
      <c r="H222" s="667"/>
      <c r="I222" s="667"/>
      <c r="J222" s="667"/>
      <c r="K222" s="667"/>
    </row>
    <row r="223" spans="1:11" ht="15.9" customHeight="1">
      <c r="A223" s="640"/>
      <c r="B223" s="2"/>
      <c r="C223" s="641"/>
      <c r="D223" s="641"/>
      <c r="E223" s="641"/>
      <c r="F223" s="641"/>
      <c r="G223" s="641"/>
      <c r="H223" s="641"/>
      <c r="I223" s="641"/>
      <c r="J223" s="641"/>
      <c r="K223" s="641"/>
    </row>
    <row r="224" spans="1:11" ht="15.9" customHeight="1">
      <c r="A224" s="640" t="s">
        <v>386</v>
      </c>
      <c r="B224" s="2" t="s">
        <v>387</v>
      </c>
      <c r="C224" s="641"/>
      <c r="D224" s="641"/>
      <c r="E224" s="641"/>
      <c r="F224" s="641"/>
      <c r="G224" s="641"/>
      <c r="H224" s="641"/>
      <c r="I224" s="641"/>
      <c r="J224" s="641"/>
      <c r="K224" s="641"/>
    </row>
    <row r="225" spans="1:11" ht="15.9" customHeight="1">
      <c r="A225" s="640" t="s">
        <v>388</v>
      </c>
      <c r="B225" s="2" t="s">
        <v>389</v>
      </c>
      <c r="C225" s="641"/>
      <c r="D225" s="641"/>
      <c r="E225" s="641"/>
      <c r="F225" s="641"/>
      <c r="G225" s="641"/>
      <c r="H225" s="641"/>
      <c r="I225" s="641"/>
      <c r="J225" s="641"/>
      <c r="K225" s="641"/>
    </row>
    <row r="226" spans="1:11" ht="15.9" customHeight="1">
      <c r="A226" s="640" t="s">
        <v>390</v>
      </c>
      <c r="B226" s="2" t="s">
        <v>391</v>
      </c>
      <c r="C226" s="641"/>
      <c r="D226" s="641"/>
      <c r="E226" s="641"/>
      <c r="F226" s="641"/>
      <c r="G226" s="641"/>
      <c r="H226" s="641"/>
      <c r="I226" s="641"/>
      <c r="J226" s="641"/>
      <c r="K226" s="641"/>
    </row>
    <row r="227" spans="1:11" ht="15.9" customHeight="1">
      <c r="A227" s="630" t="s">
        <v>392</v>
      </c>
      <c r="B227" s="2" t="s">
        <v>393</v>
      </c>
      <c r="C227" s="641"/>
      <c r="D227" s="641"/>
      <c r="E227" s="641"/>
      <c r="F227" s="641"/>
      <c r="G227" s="641"/>
      <c r="H227" s="641"/>
      <c r="I227" s="641"/>
      <c r="J227" s="641"/>
      <c r="K227" s="641"/>
    </row>
    <row r="228" spans="1:11" ht="15.9" customHeight="1">
      <c r="A228" s="640" t="s">
        <v>394</v>
      </c>
      <c r="B228" s="2" t="s">
        <v>395</v>
      </c>
      <c r="C228" s="641"/>
      <c r="D228" s="641"/>
      <c r="E228" s="641"/>
      <c r="F228" s="641"/>
      <c r="G228" s="641"/>
      <c r="H228" s="641"/>
      <c r="I228" s="641"/>
      <c r="J228" s="641"/>
      <c r="K228" s="641"/>
    </row>
    <row r="229" spans="1:11" ht="15.9" customHeight="1">
      <c r="A229" s="640" t="s">
        <v>396</v>
      </c>
      <c r="B229" s="2" t="s">
        <v>397</v>
      </c>
      <c r="C229" s="641"/>
      <c r="D229" s="641"/>
      <c r="E229" s="641"/>
      <c r="F229" s="641"/>
      <c r="G229" s="641"/>
      <c r="H229" s="641"/>
      <c r="I229" s="641"/>
      <c r="J229" s="641"/>
      <c r="K229" s="641"/>
    </row>
    <row r="230" spans="1:11" ht="15.9" customHeight="1">
      <c r="A230" s="640" t="s">
        <v>398</v>
      </c>
      <c r="B230" s="2" t="s">
        <v>399</v>
      </c>
      <c r="C230" s="641"/>
      <c r="D230" s="641"/>
      <c r="E230" s="641"/>
      <c r="F230" s="641"/>
      <c r="G230" s="641"/>
      <c r="H230" s="641"/>
      <c r="I230" s="641"/>
      <c r="J230" s="641"/>
      <c r="K230" s="641"/>
    </row>
    <row r="231" spans="1:11" ht="15.9" customHeight="1">
      <c r="A231" s="640" t="s">
        <v>400</v>
      </c>
      <c r="B231" s="2" t="s">
        <v>401</v>
      </c>
      <c r="C231" s="641"/>
      <c r="D231" s="641"/>
      <c r="E231" s="641"/>
      <c r="F231" s="641"/>
      <c r="G231" s="641"/>
      <c r="H231" s="641"/>
      <c r="I231" s="641"/>
      <c r="J231" s="641"/>
      <c r="K231" s="641"/>
    </row>
    <row r="232" spans="1:11" ht="15.9" customHeight="1">
      <c r="A232" s="640" t="s">
        <v>402</v>
      </c>
      <c r="B232" s="2" t="s">
        <v>403</v>
      </c>
      <c r="C232" s="641"/>
      <c r="D232" s="641"/>
      <c r="E232" s="641"/>
      <c r="F232" s="641"/>
      <c r="G232" s="641"/>
      <c r="H232" s="641"/>
      <c r="I232" s="641"/>
      <c r="J232" s="641"/>
      <c r="K232" s="641"/>
    </row>
    <row r="233" spans="1:11" ht="15.9" customHeight="1">
      <c r="A233" s="640" t="s">
        <v>404</v>
      </c>
      <c r="B233" s="3" t="s">
        <v>405</v>
      </c>
      <c r="C233" s="641"/>
      <c r="D233" s="641"/>
      <c r="E233" s="641"/>
      <c r="F233" s="641"/>
      <c r="G233" s="641"/>
      <c r="H233" s="641"/>
      <c r="I233" s="641"/>
      <c r="J233" s="641"/>
      <c r="K233" s="641"/>
    </row>
    <row r="234" spans="1:11" ht="15.9" customHeight="1">
      <c r="A234" s="640" t="s">
        <v>406</v>
      </c>
      <c r="B234" s="2" t="s">
        <v>407</v>
      </c>
      <c r="C234" s="641"/>
      <c r="D234" s="641"/>
      <c r="E234" s="641"/>
      <c r="F234" s="641"/>
      <c r="G234" s="641"/>
      <c r="H234" s="641"/>
      <c r="I234" s="641"/>
      <c r="J234" s="641"/>
      <c r="K234" s="641"/>
    </row>
    <row r="235" spans="1:11" ht="15.9" customHeight="1">
      <c r="A235" s="640" t="s">
        <v>408</v>
      </c>
      <c r="B235" s="3" t="s">
        <v>409</v>
      </c>
      <c r="C235" s="641"/>
      <c r="D235" s="641"/>
      <c r="E235" s="641"/>
      <c r="F235" s="641"/>
      <c r="G235" s="641"/>
      <c r="H235" s="641"/>
      <c r="I235" s="641"/>
      <c r="J235" s="641"/>
      <c r="K235" s="641"/>
    </row>
    <row r="236" spans="1:11" ht="15.9" customHeight="1">
      <c r="A236" s="640" t="s">
        <v>410</v>
      </c>
      <c r="B236" s="2" t="s">
        <v>411</v>
      </c>
      <c r="C236" s="641"/>
      <c r="D236" s="641"/>
      <c r="E236" s="641"/>
      <c r="F236" s="641"/>
      <c r="G236" s="641"/>
      <c r="H236" s="641"/>
      <c r="I236" s="641"/>
      <c r="J236" s="641"/>
      <c r="K236" s="641"/>
    </row>
    <row r="237" spans="1:11" ht="15.9" customHeight="1">
      <c r="A237" s="640" t="s">
        <v>412</v>
      </c>
      <c r="B237" s="2" t="s">
        <v>413</v>
      </c>
      <c r="C237" s="641"/>
      <c r="D237" s="641"/>
      <c r="E237" s="641"/>
      <c r="F237" s="641"/>
      <c r="G237" s="641"/>
      <c r="H237" s="641"/>
      <c r="I237" s="641"/>
      <c r="J237" s="641"/>
      <c r="K237" s="641"/>
    </row>
    <row r="238" spans="1:11" ht="15.9" customHeight="1">
      <c r="A238" s="640" t="s">
        <v>414</v>
      </c>
      <c r="B238" s="2" t="s">
        <v>415</v>
      </c>
      <c r="C238" s="641"/>
      <c r="D238" s="641"/>
      <c r="E238" s="641"/>
      <c r="F238" s="641"/>
      <c r="G238" s="641"/>
      <c r="H238" s="641"/>
      <c r="I238" s="641"/>
      <c r="J238" s="641"/>
      <c r="K238" s="641"/>
    </row>
    <row r="239" spans="1:11" ht="15.9" customHeight="1">
      <c r="A239" s="640" t="s">
        <v>416</v>
      </c>
      <c r="B239" s="3" t="s">
        <v>417</v>
      </c>
      <c r="C239" s="641"/>
      <c r="D239" s="641"/>
      <c r="E239" s="641"/>
      <c r="F239" s="641"/>
      <c r="G239" s="641"/>
      <c r="H239" s="641"/>
      <c r="I239" s="641"/>
      <c r="J239" s="641"/>
      <c r="K239" s="641"/>
    </row>
    <row r="240" spans="1:11" ht="15.9" customHeight="1">
      <c r="A240" s="640" t="s">
        <v>418</v>
      </c>
      <c r="B240" s="3" t="s">
        <v>419</v>
      </c>
      <c r="C240" s="641"/>
      <c r="D240" s="641"/>
      <c r="E240" s="641"/>
      <c r="F240" s="641"/>
      <c r="G240" s="641"/>
      <c r="H240" s="641"/>
      <c r="I240" s="641"/>
      <c r="J240" s="641"/>
      <c r="K240" s="641"/>
    </row>
    <row r="241" spans="1:11" ht="15.9" customHeight="1">
      <c r="A241" s="640" t="s">
        <v>420</v>
      </c>
      <c r="B241" s="3" t="s">
        <v>421</v>
      </c>
      <c r="C241" s="641"/>
      <c r="D241" s="641"/>
      <c r="E241" s="641"/>
      <c r="F241" s="641"/>
      <c r="G241" s="641"/>
      <c r="H241" s="641"/>
      <c r="I241" s="641"/>
      <c r="J241" s="641"/>
      <c r="K241" s="641"/>
    </row>
    <row r="242" spans="1:11" ht="15.9" customHeight="1">
      <c r="A242" s="640" t="s">
        <v>422</v>
      </c>
      <c r="B242" s="3" t="s">
        <v>423</v>
      </c>
      <c r="C242" s="641"/>
      <c r="D242" s="641"/>
      <c r="E242" s="641"/>
      <c r="F242" s="641"/>
      <c r="G242" s="641"/>
      <c r="H242" s="641"/>
      <c r="I242" s="641"/>
      <c r="J242" s="641"/>
      <c r="K242" s="641"/>
    </row>
    <row r="243" spans="1:11" ht="15.9" customHeight="1">
      <c r="A243" s="640" t="s">
        <v>424</v>
      </c>
      <c r="B243" s="2" t="s">
        <v>425</v>
      </c>
      <c r="C243" s="641"/>
      <c r="D243" s="641"/>
      <c r="E243" s="641"/>
      <c r="F243" s="641"/>
      <c r="G243" s="641"/>
      <c r="H243" s="641"/>
      <c r="I243" s="641"/>
      <c r="J243" s="641"/>
      <c r="K243" s="641"/>
    </row>
    <row r="244" spans="1:11" ht="15.9" customHeight="1">
      <c r="A244" s="640" t="s">
        <v>426</v>
      </c>
      <c r="B244" s="3" t="s">
        <v>427</v>
      </c>
      <c r="C244" s="641"/>
      <c r="D244" s="641"/>
      <c r="E244" s="641"/>
      <c r="F244" s="641"/>
      <c r="G244" s="641"/>
      <c r="H244" s="641"/>
      <c r="I244" s="641"/>
      <c r="J244" s="641"/>
      <c r="K244" s="641"/>
    </row>
    <row r="245" spans="1:11" ht="15.9" customHeight="1">
      <c r="A245" s="640" t="s">
        <v>428</v>
      </c>
      <c r="B245" s="3" t="s">
        <v>429</v>
      </c>
      <c r="C245" s="641"/>
      <c r="D245" s="641"/>
      <c r="E245" s="641"/>
      <c r="F245" s="641"/>
      <c r="G245" s="641"/>
      <c r="H245" s="641"/>
      <c r="I245" s="641"/>
      <c r="J245" s="641"/>
      <c r="K245" s="641"/>
    </row>
    <row r="246" spans="1:11" ht="15.9" customHeight="1">
      <c r="A246" s="640" t="s">
        <v>430</v>
      </c>
      <c r="B246" s="3" t="s">
        <v>431</v>
      </c>
      <c r="C246" s="641"/>
      <c r="D246" s="641"/>
      <c r="E246" s="641"/>
      <c r="F246" s="641"/>
      <c r="G246" s="641"/>
      <c r="H246" s="641"/>
      <c r="I246" s="641"/>
      <c r="J246" s="641"/>
      <c r="K246" s="641"/>
    </row>
    <row r="247" spans="1:11" ht="15.9" customHeight="1">
      <c r="A247" s="640" t="s">
        <v>432</v>
      </c>
      <c r="B247" s="3" t="s">
        <v>433</v>
      </c>
      <c r="C247" s="641"/>
      <c r="D247" s="641"/>
      <c r="E247" s="641"/>
      <c r="F247" s="641"/>
      <c r="G247" s="641"/>
      <c r="H247" s="641"/>
      <c r="I247" s="641"/>
      <c r="J247" s="641"/>
      <c r="K247" s="641"/>
    </row>
    <row r="248" spans="1:11" ht="15.9" customHeight="1">
      <c r="A248" s="640" t="s">
        <v>434</v>
      </c>
      <c r="B248" s="3" t="s">
        <v>435</v>
      </c>
      <c r="C248" s="641"/>
      <c r="D248" s="641"/>
      <c r="E248" s="641"/>
      <c r="F248" s="641"/>
      <c r="G248" s="641"/>
      <c r="H248" s="641"/>
      <c r="I248" s="641"/>
      <c r="J248" s="641"/>
      <c r="K248" s="641"/>
    </row>
    <row r="249" spans="1:11" ht="15.9" customHeight="1">
      <c r="A249" s="640" t="s">
        <v>436</v>
      </c>
      <c r="B249" s="2" t="s">
        <v>437</v>
      </c>
      <c r="C249" s="641"/>
      <c r="D249" s="641"/>
      <c r="E249" s="641"/>
      <c r="F249" s="641"/>
      <c r="G249" s="641"/>
      <c r="H249" s="641"/>
      <c r="I249" s="641"/>
      <c r="J249" s="641"/>
      <c r="K249" s="641"/>
    </row>
    <row r="250" spans="1:11" ht="15.9" customHeight="1">
      <c r="A250" s="640" t="s">
        <v>438</v>
      </c>
      <c r="B250" s="3" t="s">
        <v>439</v>
      </c>
      <c r="C250" s="641"/>
      <c r="D250" s="641"/>
      <c r="E250" s="641"/>
      <c r="F250" s="641"/>
      <c r="G250" s="641"/>
      <c r="H250" s="641"/>
      <c r="I250" s="641"/>
      <c r="J250" s="641"/>
      <c r="K250" s="641"/>
    </row>
    <row r="251" spans="1:11" ht="15.9" customHeight="1">
      <c r="A251" s="640" t="s">
        <v>440</v>
      </c>
      <c r="B251" s="3" t="s">
        <v>441</v>
      </c>
      <c r="C251" s="641"/>
      <c r="D251" s="641"/>
      <c r="E251" s="641"/>
      <c r="F251" s="641"/>
      <c r="G251" s="641"/>
      <c r="H251" s="641"/>
      <c r="I251" s="641"/>
      <c r="J251" s="641"/>
      <c r="K251" s="641"/>
    </row>
    <row r="252" spans="1:11" ht="15.9" customHeight="1">
      <c r="A252" s="640" t="s">
        <v>442</v>
      </c>
      <c r="B252" s="3" t="s">
        <v>443</v>
      </c>
      <c r="C252" s="641"/>
      <c r="D252" s="641"/>
      <c r="E252" s="641"/>
      <c r="F252" s="641"/>
      <c r="G252" s="641"/>
      <c r="H252" s="641"/>
      <c r="I252" s="641"/>
      <c r="J252" s="641"/>
      <c r="K252" s="641"/>
    </row>
    <row r="253" spans="1:11" ht="15.9" customHeight="1">
      <c r="A253" s="640" t="s">
        <v>444</v>
      </c>
      <c r="B253" s="3" t="s">
        <v>445</v>
      </c>
      <c r="C253" s="641"/>
      <c r="D253" s="641"/>
      <c r="E253" s="641"/>
      <c r="F253" s="641"/>
      <c r="G253" s="641"/>
      <c r="H253" s="641"/>
      <c r="I253" s="641"/>
      <c r="J253" s="641"/>
      <c r="K253" s="641"/>
    </row>
    <row r="254" spans="1:11" ht="15.9" customHeight="1">
      <c r="A254" s="640" t="s">
        <v>446</v>
      </c>
      <c r="B254" s="3" t="s">
        <v>447</v>
      </c>
      <c r="C254" s="641"/>
      <c r="D254" s="641"/>
      <c r="E254" s="641"/>
      <c r="F254" s="641"/>
      <c r="G254" s="641"/>
      <c r="H254" s="641"/>
      <c r="I254" s="641"/>
      <c r="J254" s="641"/>
      <c r="K254" s="641"/>
    </row>
    <row r="255" spans="1:11" ht="15.9" customHeight="1">
      <c r="A255" s="640" t="s">
        <v>448</v>
      </c>
      <c r="B255" s="2" t="s">
        <v>449</v>
      </c>
      <c r="C255" s="641"/>
      <c r="D255" s="641"/>
      <c r="E255" s="641"/>
      <c r="F255" s="641"/>
      <c r="G255" s="641"/>
      <c r="H255" s="641"/>
      <c r="I255" s="641"/>
      <c r="J255" s="641"/>
      <c r="K255" s="641"/>
    </row>
    <row r="256" spans="1:11" ht="15.9" customHeight="1">
      <c r="A256" s="640" t="s">
        <v>450</v>
      </c>
      <c r="B256" s="3" t="s">
        <v>451</v>
      </c>
      <c r="C256" s="641"/>
      <c r="D256" s="641"/>
      <c r="E256" s="641"/>
      <c r="F256" s="641"/>
      <c r="G256" s="641"/>
      <c r="H256" s="641"/>
      <c r="I256" s="641"/>
      <c r="J256" s="641"/>
      <c r="K256" s="641"/>
    </row>
    <row r="257" spans="1:11" ht="15.9" customHeight="1">
      <c r="A257" s="640" t="s">
        <v>452</v>
      </c>
      <c r="B257" s="2" t="s">
        <v>453</v>
      </c>
      <c r="C257" s="641"/>
      <c r="D257" s="641"/>
      <c r="E257" s="641"/>
      <c r="F257" s="641"/>
      <c r="G257" s="641"/>
      <c r="H257" s="641"/>
      <c r="I257" s="641"/>
      <c r="J257" s="641"/>
      <c r="K257" s="641"/>
    </row>
    <row r="258" spans="1:11" ht="15.9" customHeight="1">
      <c r="A258" s="640" t="s">
        <v>454</v>
      </c>
      <c r="B258" s="3" t="s">
        <v>455</v>
      </c>
      <c r="C258" s="641"/>
      <c r="D258" s="641"/>
      <c r="E258" s="641"/>
      <c r="F258" s="641"/>
      <c r="G258" s="641"/>
      <c r="H258" s="641"/>
      <c r="I258" s="641"/>
      <c r="J258" s="641"/>
      <c r="K258" s="641"/>
    </row>
    <row r="259" spans="1:11" ht="15.9" customHeight="1">
      <c r="A259" s="640" t="s">
        <v>384</v>
      </c>
      <c r="B259" s="2" t="s">
        <v>456</v>
      </c>
      <c r="C259" s="641"/>
      <c r="D259" s="641"/>
      <c r="E259" s="641"/>
      <c r="F259" s="641"/>
      <c r="G259" s="641"/>
      <c r="H259" s="641"/>
      <c r="I259" s="641"/>
      <c r="J259" s="641"/>
      <c r="K259" s="641"/>
    </row>
    <row r="260" spans="1:11" ht="15.9" customHeight="1">
      <c r="A260" s="640" t="s">
        <v>457</v>
      </c>
      <c r="B260" s="3" t="s">
        <v>458</v>
      </c>
      <c r="C260" s="641"/>
      <c r="D260" s="641"/>
      <c r="E260" s="641"/>
      <c r="F260" s="641"/>
      <c r="G260" s="641"/>
      <c r="H260" s="641"/>
      <c r="I260" s="641"/>
      <c r="J260" s="641"/>
      <c r="K260" s="641"/>
    </row>
    <row r="261" spans="1:11" ht="15.9" customHeight="1">
      <c r="A261" s="640" t="s">
        <v>459</v>
      </c>
      <c r="B261" s="2" t="s">
        <v>460</v>
      </c>
      <c r="C261" s="641"/>
      <c r="D261" s="641"/>
      <c r="E261" s="641"/>
      <c r="F261" s="641"/>
      <c r="G261" s="641"/>
      <c r="H261" s="641"/>
      <c r="I261" s="641"/>
      <c r="J261" s="641"/>
      <c r="K261" s="641"/>
    </row>
    <row r="262" spans="1:11" ht="15.9" customHeight="1">
      <c r="A262" s="640" t="s">
        <v>461</v>
      </c>
      <c r="B262" s="3" t="s">
        <v>462</v>
      </c>
      <c r="C262" s="641"/>
      <c r="D262" s="641"/>
      <c r="E262" s="641"/>
      <c r="F262" s="641"/>
      <c r="G262" s="641"/>
      <c r="H262" s="641"/>
      <c r="I262" s="641"/>
      <c r="J262" s="641"/>
      <c r="K262" s="641"/>
    </row>
    <row r="263" spans="1:11" ht="15.9" customHeight="1">
      <c r="A263" s="641"/>
      <c r="B263" s="641"/>
      <c r="C263" s="641"/>
      <c r="D263" s="641"/>
      <c r="E263" s="641"/>
      <c r="F263" s="641"/>
      <c r="G263" s="641"/>
      <c r="H263" s="641"/>
      <c r="I263" s="641"/>
      <c r="J263" s="641"/>
      <c r="K263" s="641"/>
    </row>
    <row r="264" spans="1:11" ht="15.9" customHeight="1">
      <c r="A264" s="11" t="s">
        <v>6044</v>
      </c>
      <c r="B264" s="3" t="s">
        <v>463</v>
      </c>
      <c r="C264" s="641"/>
      <c r="D264" s="641"/>
      <c r="E264" s="641"/>
      <c r="F264" s="641"/>
      <c r="G264" s="641"/>
      <c r="H264" s="641"/>
      <c r="I264" s="641"/>
      <c r="J264" s="641"/>
      <c r="K264" s="641"/>
    </row>
    <row r="265" spans="1:11" ht="15.9" customHeight="1">
      <c r="A265" s="641"/>
      <c r="B265" s="641"/>
      <c r="C265" s="641"/>
      <c r="D265" s="12"/>
      <c r="E265" s="641"/>
      <c r="F265" s="641"/>
      <c r="G265" s="641"/>
      <c r="H265" s="641"/>
      <c r="I265" s="641"/>
      <c r="J265" s="641"/>
      <c r="K265" s="641"/>
    </row>
    <row r="266" spans="1:11" ht="15.9" customHeight="1">
      <c r="A266" s="11" t="s">
        <v>464</v>
      </c>
      <c r="B266" s="641"/>
      <c r="C266" s="641"/>
      <c r="D266" s="641"/>
      <c r="E266" s="641"/>
      <c r="F266" s="641"/>
      <c r="G266" s="641"/>
      <c r="H266" s="641"/>
      <c r="I266" s="641"/>
      <c r="J266" s="641"/>
      <c r="K266" s="641"/>
    </row>
    <row r="267" spans="1:11" ht="15.9" customHeight="1">
      <c r="A267" s="2" t="s">
        <v>465</v>
      </c>
      <c r="B267" s="2" t="s">
        <v>466</v>
      </c>
      <c r="C267" s="641"/>
      <c r="D267" s="12"/>
      <c r="E267" s="641"/>
      <c r="F267" s="641"/>
      <c r="G267" s="641"/>
      <c r="H267" s="641"/>
      <c r="I267" s="641"/>
      <c r="J267" s="641"/>
      <c r="K267" s="641"/>
    </row>
    <row r="268" spans="1:11" ht="15.9" customHeight="1">
      <c r="A268" s="2" t="s">
        <v>467</v>
      </c>
      <c r="B268" s="2" t="s">
        <v>468</v>
      </c>
      <c r="C268" s="641"/>
      <c r="D268" s="641"/>
      <c r="E268" s="641"/>
      <c r="F268" s="641"/>
      <c r="G268" s="641"/>
      <c r="H268" s="641"/>
      <c r="I268" s="641"/>
      <c r="J268" s="641"/>
      <c r="K268" s="641"/>
    </row>
    <row r="269" spans="1:11" ht="15.9" customHeight="1">
      <c r="A269" s="2" t="s">
        <v>469</v>
      </c>
      <c r="B269" s="2" t="s">
        <v>470</v>
      </c>
      <c r="C269" s="641"/>
      <c r="D269" s="641"/>
      <c r="E269" s="641"/>
      <c r="F269" s="641"/>
      <c r="G269" s="641"/>
      <c r="H269" s="641"/>
      <c r="I269" s="641"/>
      <c r="J269" s="641"/>
      <c r="K269" s="641"/>
    </row>
    <row r="270" spans="1:11" ht="15.9" customHeight="1">
      <c r="A270" s="2" t="s">
        <v>471</v>
      </c>
      <c r="B270" s="2" t="s">
        <v>472</v>
      </c>
      <c r="C270" s="641"/>
      <c r="D270" s="641"/>
      <c r="E270" s="641"/>
      <c r="F270" s="641"/>
      <c r="G270" s="641"/>
      <c r="H270" s="641"/>
      <c r="I270" s="641"/>
      <c r="J270" s="641"/>
      <c r="K270" s="641"/>
    </row>
    <row r="271" spans="1:11" ht="15.9" customHeight="1">
      <c r="A271" s="2" t="s">
        <v>473</v>
      </c>
      <c r="B271" s="2" t="s">
        <v>474</v>
      </c>
      <c r="C271" s="641"/>
      <c r="D271" s="641"/>
      <c r="E271" s="641"/>
      <c r="F271" s="641"/>
      <c r="G271" s="641"/>
      <c r="H271" s="641"/>
      <c r="I271" s="641"/>
      <c r="J271" s="641"/>
      <c r="K271" s="641"/>
    </row>
    <row r="272" spans="1:11" ht="15.9" customHeight="1">
      <c r="A272" s="2" t="s">
        <v>475</v>
      </c>
      <c r="B272" s="2" t="s">
        <v>476</v>
      </c>
      <c r="C272" s="641"/>
      <c r="D272" s="641"/>
      <c r="E272" s="641"/>
      <c r="F272" s="641"/>
      <c r="G272" s="641"/>
      <c r="H272" s="641"/>
      <c r="I272" s="641"/>
      <c r="J272" s="641"/>
      <c r="K272" s="641"/>
    </row>
    <row r="273" spans="1:11" ht="15.9" customHeight="1">
      <c r="A273" s="2" t="s">
        <v>477</v>
      </c>
      <c r="B273" s="2" t="s">
        <v>478</v>
      </c>
      <c r="C273" s="641"/>
      <c r="D273" s="641"/>
      <c r="E273" s="641"/>
      <c r="F273" s="641"/>
      <c r="G273" s="641"/>
      <c r="H273" s="641"/>
      <c r="I273" s="641"/>
      <c r="J273" s="641"/>
      <c r="K273" s="641"/>
    </row>
    <row r="274" spans="1:11" ht="15.9" customHeight="1">
      <c r="A274" s="641"/>
      <c r="B274" s="641"/>
      <c r="C274" s="641"/>
      <c r="D274" s="641"/>
      <c r="E274" s="641"/>
      <c r="F274" s="641"/>
      <c r="G274" s="641"/>
      <c r="H274" s="641"/>
      <c r="I274" s="641"/>
      <c r="J274" s="641"/>
      <c r="K274" s="641"/>
    </row>
    <row r="275" spans="1:11" ht="15.9" customHeight="1">
      <c r="A275" s="11" t="s">
        <v>479</v>
      </c>
      <c r="B275" s="12"/>
      <c r="C275" s="641"/>
      <c r="D275" s="641"/>
      <c r="E275" s="641"/>
      <c r="F275" s="641"/>
      <c r="G275" s="641"/>
      <c r="H275" s="641"/>
      <c r="I275" s="641"/>
      <c r="J275" s="641"/>
      <c r="K275" s="641"/>
    </row>
    <row r="276" spans="1:11" ht="15.9" customHeight="1">
      <c r="A276" s="2" t="s">
        <v>480</v>
      </c>
      <c r="B276" s="2" t="s">
        <v>481</v>
      </c>
      <c r="C276" s="641"/>
      <c r="D276" s="641"/>
      <c r="E276" s="641"/>
      <c r="F276" s="641"/>
      <c r="G276" s="641"/>
      <c r="H276" s="641"/>
      <c r="I276" s="641"/>
      <c r="J276" s="641"/>
      <c r="K276" s="641"/>
    </row>
    <row r="277" spans="1:11" ht="15.9" customHeight="1">
      <c r="A277" s="2" t="s">
        <v>482</v>
      </c>
      <c r="B277" s="3" t="s">
        <v>483</v>
      </c>
      <c r="C277" s="641"/>
      <c r="D277" s="641"/>
      <c r="E277" s="641"/>
      <c r="F277" s="641"/>
      <c r="G277" s="641"/>
      <c r="H277" s="641"/>
      <c r="I277" s="641"/>
      <c r="J277" s="641"/>
      <c r="K277" s="641"/>
    </row>
    <row r="278" spans="1:11" ht="15.9" customHeight="1">
      <c r="A278" s="2" t="s">
        <v>484</v>
      </c>
      <c r="B278" s="2" t="s">
        <v>485</v>
      </c>
      <c r="C278" s="641"/>
      <c r="D278" s="641"/>
      <c r="E278" s="641"/>
      <c r="F278" s="641"/>
      <c r="G278" s="641"/>
      <c r="H278" s="641"/>
      <c r="I278" s="641"/>
      <c r="J278" s="641"/>
      <c r="K278" s="641"/>
    </row>
    <row r="279" spans="1:11" ht="15.9" customHeight="1">
      <c r="A279" s="2" t="s">
        <v>486</v>
      </c>
      <c r="B279" s="3" t="s">
        <v>487</v>
      </c>
      <c r="C279" s="641"/>
      <c r="D279" s="641"/>
      <c r="E279" s="641"/>
      <c r="F279" s="641"/>
      <c r="G279" s="641"/>
      <c r="H279" s="641"/>
      <c r="I279" s="641"/>
      <c r="J279" s="641"/>
      <c r="K279" s="641"/>
    </row>
    <row r="280" spans="1:11" ht="15.9" customHeight="1">
      <c r="A280" s="2" t="s">
        <v>488</v>
      </c>
      <c r="B280" s="2" t="s">
        <v>489</v>
      </c>
      <c r="C280" s="641"/>
      <c r="D280" s="641"/>
      <c r="E280" s="641"/>
      <c r="F280" s="641"/>
      <c r="G280" s="641"/>
      <c r="H280" s="641"/>
      <c r="I280" s="641"/>
      <c r="J280" s="641"/>
      <c r="K280" s="641"/>
    </row>
    <row r="281" spans="1:11" ht="15.9" customHeight="1">
      <c r="A281" s="13" t="s">
        <v>490</v>
      </c>
      <c r="B281" s="3" t="s">
        <v>491</v>
      </c>
      <c r="C281" s="641"/>
      <c r="D281" s="641"/>
      <c r="E281" s="641"/>
      <c r="F281" s="641"/>
      <c r="G281" s="641"/>
      <c r="H281" s="641"/>
      <c r="I281" s="641"/>
      <c r="J281" s="641"/>
      <c r="K281" s="641"/>
    </row>
    <row r="282" spans="1:11" ht="15.9" customHeight="1">
      <c r="A282" s="2" t="s">
        <v>492</v>
      </c>
      <c r="B282" s="2" t="s">
        <v>493</v>
      </c>
      <c r="C282" s="641"/>
      <c r="D282" s="641"/>
      <c r="E282" s="641"/>
      <c r="F282" s="641"/>
      <c r="G282" s="641"/>
      <c r="H282" s="641"/>
      <c r="I282" s="641"/>
      <c r="J282" s="641"/>
      <c r="K282" s="641"/>
    </row>
    <row r="283" spans="1:11" ht="15.9" customHeight="1">
      <c r="A283" s="2" t="s">
        <v>494</v>
      </c>
      <c r="B283" s="3" t="s">
        <v>495</v>
      </c>
      <c r="C283" s="641"/>
      <c r="D283" s="641"/>
      <c r="E283" s="641"/>
      <c r="F283" s="641"/>
      <c r="G283" s="641"/>
      <c r="H283" s="641"/>
      <c r="I283" s="641"/>
      <c r="J283" s="641"/>
      <c r="K283" s="641"/>
    </row>
    <row r="284" spans="1:11" ht="15.9" customHeight="1">
      <c r="A284" s="2" t="s">
        <v>496</v>
      </c>
      <c r="B284" s="2" t="s">
        <v>497</v>
      </c>
      <c r="C284" s="641"/>
      <c r="D284" s="641"/>
      <c r="E284" s="641"/>
      <c r="F284" s="641"/>
      <c r="G284" s="641"/>
      <c r="H284" s="641"/>
      <c r="I284" s="641"/>
      <c r="J284" s="641"/>
      <c r="K284" s="641"/>
    </row>
    <row r="285" spans="1:11" ht="15.9" customHeight="1">
      <c r="A285" s="2" t="s">
        <v>498</v>
      </c>
      <c r="B285" s="3" t="s">
        <v>499</v>
      </c>
      <c r="C285" s="641"/>
      <c r="D285" s="641"/>
      <c r="E285" s="641"/>
      <c r="F285" s="641"/>
      <c r="G285" s="641"/>
      <c r="H285" s="641"/>
      <c r="I285" s="641"/>
      <c r="J285" s="641"/>
      <c r="K285" s="641"/>
    </row>
    <row r="286" spans="1:11" ht="15.9" customHeight="1">
      <c r="A286" s="2" t="s">
        <v>500</v>
      </c>
      <c r="B286" s="2" t="s">
        <v>501</v>
      </c>
      <c r="C286" s="641"/>
      <c r="D286" s="641"/>
      <c r="E286" s="641"/>
      <c r="F286" s="641"/>
      <c r="G286" s="641"/>
      <c r="H286" s="641"/>
      <c r="I286" s="641"/>
      <c r="J286" s="641"/>
      <c r="K286" s="641"/>
    </row>
    <row r="287" spans="1:11" ht="15.9" customHeight="1">
      <c r="A287" s="2" t="s">
        <v>502</v>
      </c>
      <c r="B287" s="2" t="s">
        <v>503</v>
      </c>
      <c r="C287" s="641"/>
      <c r="D287" s="641"/>
      <c r="E287" s="641"/>
      <c r="F287" s="641"/>
      <c r="G287" s="641"/>
      <c r="H287" s="641"/>
      <c r="I287" s="641"/>
      <c r="J287" s="641"/>
      <c r="K287" s="641"/>
    </row>
    <row r="288" spans="1:11" ht="15.9" customHeight="1">
      <c r="A288" s="2" t="s">
        <v>504</v>
      </c>
      <c r="B288" s="2" t="s">
        <v>505</v>
      </c>
      <c r="C288" s="641"/>
      <c r="D288" s="641"/>
      <c r="E288" s="641"/>
      <c r="F288" s="641"/>
      <c r="G288" s="641"/>
      <c r="H288" s="641"/>
      <c r="I288" s="641"/>
      <c r="J288" s="641"/>
      <c r="K288" s="641"/>
    </row>
    <row r="289" spans="1:11" ht="15.9" customHeight="1">
      <c r="A289" s="2" t="s">
        <v>506</v>
      </c>
      <c r="B289" s="2" t="s">
        <v>507</v>
      </c>
      <c r="C289" s="641"/>
      <c r="D289" s="641"/>
      <c r="E289" s="641"/>
      <c r="F289" s="641"/>
      <c r="G289" s="641"/>
      <c r="H289" s="641"/>
      <c r="I289" s="641"/>
      <c r="J289" s="641"/>
      <c r="K289" s="641"/>
    </row>
    <row r="290" spans="1:11" ht="15.9" customHeight="1">
      <c r="A290" s="2" t="s">
        <v>508</v>
      </c>
      <c r="B290" s="2" t="s">
        <v>509</v>
      </c>
      <c r="C290" s="641"/>
      <c r="D290" s="641"/>
      <c r="E290" s="641"/>
      <c r="F290" s="641"/>
      <c r="G290" s="641"/>
      <c r="H290" s="641"/>
      <c r="I290" s="641"/>
      <c r="J290" s="641"/>
      <c r="K290" s="641"/>
    </row>
    <row r="291" spans="1:11" ht="15.9" customHeight="1">
      <c r="A291" s="2" t="s">
        <v>510</v>
      </c>
      <c r="B291" s="2" t="s">
        <v>511</v>
      </c>
      <c r="C291" s="641"/>
      <c r="D291" s="641"/>
      <c r="E291" s="641"/>
      <c r="F291" s="641"/>
      <c r="G291" s="641"/>
      <c r="H291" s="641"/>
      <c r="I291" s="641"/>
      <c r="J291" s="641"/>
      <c r="K291" s="641"/>
    </row>
    <row r="292" spans="1:11" ht="15.9" customHeight="1">
      <c r="A292" s="2" t="s">
        <v>512</v>
      </c>
      <c r="B292" s="2" t="s">
        <v>513</v>
      </c>
      <c r="C292" s="641"/>
      <c r="D292" s="641"/>
      <c r="E292" s="641"/>
      <c r="F292" s="641"/>
      <c r="G292" s="641"/>
      <c r="H292" s="641"/>
      <c r="I292" s="641"/>
      <c r="J292" s="641"/>
      <c r="K292" s="641"/>
    </row>
    <row r="293" spans="1:11" ht="15.9" customHeight="1">
      <c r="A293" s="2" t="s">
        <v>514</v>
      </c>
      <c r="B293" s="2" t="s">
        <v>515</v>
      </c>
      <c r="C293" s="641"/>
      <c r="D293" s="641"/>
      <c r="E293" s="641"/>
      <c r="F293" s="641"/>
      <c r="G293" s="641"/>
      <c r="H293" s="641"/>
      <c r="I293" s="641"/>
      <c r="J293" s="641"/>
      <c r="K293" s="641"/>
    </row>
    <row r="294" spans="1:11" ht="15.9" customHeight="1">
      <c r="A294" s="2" t="s">
        <v>516</v>
      </c>
      <c r="B294" s="2" t="s">
        <v>517</v>
      </c>
      <c r="C294" s="641"/>
      <c r="D294" s="641"/>
      <c r="E294" s="641"/>
      <c r="F294" s="641"/>
      <c r="G294" s="641"/>
      <c r="H294" s="641"/>
      <c r="I294" s="641"/>
      <c r="J294" s="641"/>
      <c r="K294" s="641"/>
    </row>
    <row r="295" spans="1:11" ht="15.9" customHeight="1">
      <c r="A295" s="2" t="s">
        <v>518</v>
      </c>
      <c r="B295" s="2" t="s">
        <v>519</v>
      </c>
      <c r="C295" s="641"/>
      <c r="D295" s="641"/>
      <c r="E295" s="641"/>
      <c r="F295" s="641"/>
      <c r="G295" s="641"/>
      <c r="H295" s="641"/>
      <c r="I295" s="641"/>
      <c r="J295" s="641"/>
      <c r="K295" s="641"/>
    </row>
    <row r="296" spans="1:11" ht="15.9" customHeight="1">
      <c r="A296" s="2" t="s">
        <v>520</v>
      </c>
      <c r="B296" s="2" t="s">
        <v>521</v>
      </c>
      <c r="C296" s="641"/>
      <c r="D296" s="641"/>
      <c r="E296" s="641"/>
      <c r="F296" s="641"/>
      <c r="G296" s="641"/>
      <c r="H296" s="641"/>
      <c r="I296" s="641"/>
      <c r="J296" s="641"/>
      <c r="K296" s="641"/>
    </row>
    <row r="297" spans="1:11" ht="15.9" customHeight="1">
      <c r="A297" s="2" t="s">
        <v>522</v>
      </c>
      <c r="B297" s="2" t="s">
        <v>523</v>
      </c>
      <c r="C297" s="641"/>
      <c r="D297" s="641"/>
      <c r="E297" s="641"/>
      <c r="F297" s="641"/>
      <c r="G297" s="641"/>
      <c r="H297" s="641"/>
      <c r="I297" s="641"/>
      <c r="J297" s="641"/>
      <c r="K297" s="641"/>
    </row>
    <row r="298" spans="1:11" ht="15.9" customHeight="1">
      <c r="A298" s="2" t="s">
        <v>524</v>
      </c>
      <c r="B298" s="2" t="s">
        <v>525</v>
      </c>
      <c r="C298" s="641"/>
      <c r="D298" s="641"/>
      <c r="E298" s="641"/>
      <c r="F298" s="641"/>
      <c r="G298" s="641"/>
      <c r="H298" s="641"/>
      <c r="I298" s="641"/>
      <c r="J298" s="641"/>
      <c r="K298" s="641"/>
    </row>
    <row r="299" spans="1:11" ht="15.9" customHeight="1">
      <c r="A299" s="2" t="s">
        <v>526</v>
      </c>
      <c r="B299" s="2" t="s">
        <v>527</v>
      </c>
      <c r="C299" s="641"/>
      <c r="D299" s="641"/>
      <c r="E299" s="641"/>
      <c r="F299" s="641"/>
      <c r="G299" s="641"/>
      <c r="H299" s="641"/>
      <c r="I299" s="641"/>
      <c r="J299" s="641"/>
      <c r="K299" s="641"/>
    </row>
    <row r="300" spans="1:11" ht="15.9" customHeight="1">
      <c r="A300" s="2" t="s">
        <v>528</v>
      </c>
      <c r="B300" s="2" t="s">
        <v>529</v>
      </c>
      <c r="C300" s="641"/>
      <c r="D300" s="641"/>
      <c r="E300" s="641"/>
      <c r="F300" s="641"/>
      <c r="G300" s="641"/>
      <c r="H300" s="641"/>
      <c r="I300" s="641"/>
      <c r="J300" s="641"/>
      <c r="K300" s="641"/>
    </row>
    <row r="301" spans="1:11" ht="15.9" customHeight="1">
      <c r="A301" s="2" t="s">
        <v>530</v>
      </c>
      <c r="B301" s="3" t="s">
        <v>531</v>
      </c>
      <c r="C301" s="641"/>
      <c r="D301" s="641"/>
      <c r="E301" s="641"/>
      <c r="F301" s="641"/>
      <c r="G301" s="641"/>
      <c r="H301" s="641"/>
      <c r="I301" s="641"/>
      <c r="J301" s="641"/>
      <c r="K301" s="641"/>
    </row>
    <row r="302" spans="1:11" ht="15.9" customHeight="1">
      <c r="A302" s="2" t="s">
        <v>532</v>
      </c>
      <c r="B302" s="3" t="s">
        <v>533</v>
      </c>
      <c r="C302" s="641"/>
      <c r="D302" s="641"/>
      <c r="E302" s="641"/>
      <c r="F302" s="641"/>
      <c r="G302" s="641"/>
      <c r="H302" s="641"/>
      <c r="I302" s="641"/>
      <c r="J302" s="641"/>
      <c r="K302" s="641"/>
    </row>
    <row r="303" spans="1:11" ht="15.9" customHeight="1">
      <c r="A303" s="2" t="s">
        <v>534</v>
      </c>
      <c r="B303" s="3" t="s">
        <v>535</v>
      </c>
      <c r="C303" s="641"/>
      <c r="D303" s="641"/>
      <c r="E303" s="641"/>
      <c r="F303" s="641"/>
      <c r="G303" s="641"/>
      <c r="H303" s="641"/>
      <c r="I303" s="641"/>
      <c r="J303" s="641"/>
      <c r="K303" s="641"/>
    </row>
    <row r="304" spans="1:11" ht="15.9" customHeight="1">
      <c r="A304" s="2" t="s">
        <v>536</v>
      </c>
      <c r="B304" s="3" t="s">
        <v>537</v>
      </c>
      <c r="C304" s="641"/>
      <c r="D304" s="641"/>
      <c r="E304" s="641"/>
      <c r="F304" s="641"/>
      <c r="G304" s="641"/>
      <c r="H304" s="641"/>
      <c r="I304" s="641"/>
      <c r="J304" s="641"/>
      <c r="K304" s="641"/>
    </row>
    <row r="305" spans="1:11" ht="15.9" customHeight="1">
      <c r="A305" s="10"/>
      <c r="B305" s="641"/>
      <c r="C305" s="641"/>
      <c r="D305" s="641"/>
      <c r="E305" s="641"/>
      <c r="F305" s="641"/>
      <c r="G305" s="641"/>
      <c r="H305" s="641"/>
      <c r="I305" s="641"/>
      <c r="J305" s="641"/>
      <c r="K305" s="641"/>
    </row>
    <row r="306" spans="1:11" ht="15.9" customHeight="1">
      <c r="A306" s="641"/>
      <c r="B306" s="641"/>
      <c r="C306" s="641"/>
      <c r="D306" s="641"/>
      <c r="E306" s="641"/>
      <c r="F306" s="641"/>
      <c r="G306" s="641"/>
      <c r="H306" s="641"/>
      <c r="I306" s="641"/>
      <c r="J306" s="641"/>
      <c r="K306" s="641"/>
    </row>
    <row r="307" spans="1:11" ht="15.9" customHeight="1">
      <c r="A307" s="640" t="s">
        <v>538</v>
      </c>
      <c r="B307" s="3" t="s">
        <v>539</v>
      </c>
      <c r="C307" s="641"/>
      <c r="D307" s="641"/>
      <c r="E307" s="641"/>
      <c r="F307" s="641"/>
      <c r="G307" s="641"/>
      <c r="H307" s="641"/>
      <c r="I307" s="641"/>
      <c r="J307" s="641"/>
      <c r="K307" s="641"/>
    </row>
    <row r="308" spans="1:11" ht="15.9" customHeight="1">
      <c r="A308" s="2" t="s">
        <v>540</v>
      </c>
      <c r="B308" s="2" t="s">
        <v>541</v>
      </c>
      <c r="C308" s="641"/>
      <c r="D308" s="641"/>
      <c r="E308" s="641"/>
      <c r="F308" s="641"/>
      <c r="G308" s="641"/>
      <c r="H308" s="641"/>
      <c r="I308" s="641"/>
      <c r="J308" s="641"/>
      <c r="K308" s="641"/>
    </row>
    <row r="309" spans="1:11" ht="15.9" customHeight="1">
      <c r="A309" s="2" t="s">
        <v>542</v>
      </c>
      <c r="B309" s="2" t="s">
        <v>543</v>
      </c>
      <c r="C309" s="641"/>
      <c r="D309" s="641"/>
      <c r="E309" s="641"/>
      <c r="F309" s="641"/>
      <c r="G309" s="641"/>
      <c r="H309" s="641"/>
      <c r="I309" s="641"/>
      <c r="J309" s="641"/>
      <c r="K309" s="641"/>
    </row>
    <row r="310" spans="1:11" ht="15.9" customHeight="1">
      <c r="A310" s="2" t="s">
        <v>544</v>
      </c>
      <c r="B310" s="2" t="s">
        <v>545</v>
      </c>
      <c r="C310" s="641"/>
      <c r="D310" s="641"/>
      <c r="E310" s="641"/>
      <c r="F310" s="641"/>
      <c r="G310" s="641"/>
      <c r="H310" s="641"/>
      <c r="I310" s="641"/>
      <c r="J310" s="641"/>
      <c r="K310" s="641"/>
    </row>
    <row r="311" spans="1:11" ht="15.9" customHeight="1">
      <c r="A311" s="2" t="s">
        <v>546</v>
      </c>
      <c r="B311" s="2" t="s">
        <v>547</v>
      </c>
      <c r="C311" s="641"/>
      <c r="D311" s="641"/>
      <c r="E311" s="641"/>
      <c r="F311" s="641"/>
      <c r="G311" s="641"/>
      <c r="H311" s="641"/>
      <c r="I311" s="641"/>
      <c r="J311" s="641"/>
      <c r="K311" s="641"/>
    </row>
    <row r="312" spans="1:11" ht="15.9" customHeight="1">
      <c r="A312" s="2" t="s">
        <v>548</v>
      </c>
      <c r="B312" s="2" t="s">
        <v>549</v>
      </c>
      <c r="C312" s="641"/>
      <c r="D312" s="641"/>
      <c r="E312" s="641"/>
      <c r="F312" s="641"/>
      <c r="G312" s="641"/>
      <c r="H312" s="641"/>
      <c r="I312" s="641"/>
      <c r="J312" s="641"/>
      <c r="K312" s="641"/>
    </row>
    <row r="313" spans="1:11" ht="15.9" customHeight="1">
      <c r="A313" s="2" t="s">
        <v>550</v>
      </c>
      <c r="B313" s="2" t="s">
        <v>551</v>
      </c>
      <c r="C313" s="641"/>
      <c r="D313" s="641"/>
      <c r="E313" s="641"/>
      <c r="F313" s="641"/>
      <c r="G313" s="641"/>
      <c r="H313" s="641"/>
      <c r="I313" s="641"/>
      <c r="J313" s="641"/>
      <c r="K313" s="641"/>
    </row>
    <row r="314" spans="1:11" ht="15.9" customHeight="1">
      <c r="A314" s="2" t="s">
        <v>552</v>
      </c>
      <c r="B314" s="2" t="s">
        <v>553</v>
      </c>
      <c r="C314" s="641"/>
      <c r="D314" s="641"/>
      <c r="E314" s="641"/>
      <c r="F314" s="641"/>
      <c r="G314" s="641"/>
      <c r="H314" s="641"/>
      <c r="I314" s="641"/>
      <c r="J314" s="641"/>
      <c r="K314" s="641"/>
    </row>
    <row r="315" spans="1:11" ht="15.9" customHeight="1">
      <c r="A315" s="2" t="s">
        <v>554</v>
      </c>
      <c r="B315" s="2" t="s">
        <v>555</v>
      </c>
      <c r="C315" s="641"/>
      <c r="D315" s="641"/>
      <c r="E315" s="641"/>
      <c r="F315" s="641"/>
      <c r="G315" s="641"/>
      <c r="H315" s="641"/>
      <c r="I315" s="641"/>
      <c r="J315" s="641"/>
      <c r="K315" s="641"/>
    </row>
    <row r="316" spans="1:11" ht="15.9" customHeight="1">
      <c r="A316" s="2" t="s">
        <v>556</v>
      </c>
      <c r="B316" s="2" t="s">
        <v>557</v>
      </c>
      <c r="C316" s="641"/>
      <c r="D316" s="641"/>
      <c r="E316" s="641"/>
      <c r="F316" s="641"/>
      <c r="G316" s="641"/>
      <c r="H316" s="641"/>
      <c r="I316" s="641"/>
      <c r="J316" s="641"/>
      <c r="K316" s="641"/>
    </row>
    <row r="317" spans="1:11" ht="15.9" customHeight="1">
      <c r="A317" s="2" t="s">
        <v>558</v>
      </c>
      <c r="B317" s="2" t="s">
        <v>559</v>
      </c>
      <c r="C317" s="641"/>
      <c r="D317" s="641"/>
      <c r="E317" s="641"/>
      <c r="F317" s="641"/>
      <c r="G317" s="641"/>
      <c r="H317" s="641"/>
      <c r="I317" s="641"/>
      <c r="J317" s="641"/>
      <c r="K317" s="641"/>
    </row>
    <row r="318" spans="1:11" ht="15.9" customHeight="1">
      <c r="A318" s="2" t="s">
        <v>560</v>
      </c>
      <c r="B318" s="2" t="s">
        <v>561</v>
      </c>
      <c r="C318" s="641"/>
      <c r="D318" s="641"/>
      <c r="E318" s="641"/>
      <c r="F318" s="641"/>
      <c r="G318" s="641"/>
      <c r="H318" s="641"/>
      <c r="I318" s="641"/>
      <c r="J318" s="641"/>
      <c r="K318" s="641"/>
    </row>
    <row r="319" spans="1:11" ht="15.9" customHeight="1">
      <c r="A319" s="2" t="s">
        <v>562</v>
      </c>
      <c r="B319" s="2" t="s">
        <v>563</v>
      </c>
      <c r="C319" s="641"/>
      <c r="D319" s="641"/>
      <c r="E319" s="641"/>
      <c r="F319" s="641"/>
      <c r="G319" s="641"/>
      <c r="H319" s="641"/>
      <c r="I319" s="641"/>
      <c r="J319" s="641"/>
      <c r="K319" s="641"/>
    </row>
    <row r="320" spans="1:11" ht="15.9" customHeight="1">
      <c r="A320" s="2" t="s">
        <v>564</v>
      </c>
      <c r="B320" s="2" t="s">
        <v>565</v>
      </c>
      <c r="C320" s="641"/>
      <c r="D320" s="641"/>
      <c r="E320" s="641"/>
      <c r="F320" s="641"/>
      <c r="G320" s="641"/>
      <c r="H320" s="641"/>
      <c r="I320" s="641"/>
      <c r="J320" s="641"/>
      <c r="K320" s="641"/>
    </row>
    <row r="321" spans="1:11" ht="15.9" customHeight="1">
      <c r="A321" s="2" t="s">
        <v>566</v>
      </c>
      <c r="B321" s="2" t="s">
        <v>567</v>
      </c>
      <c r="C321" s="641"/>
      <c r="D321" s="641"/>
      <c r="E321" s="641"/>
      <c r="F321" s="641"/>
      <c r="G321" s="641"/>
      <c r="H321" s="641"/>
      <c r="I321" s="641"/>
      <c r="J321" s="641"/>
      <c r="K321" s="641"/>
    </row>
    <row r="322" spans="1:11" ht="15.9" customHeight="1">
      <c r="A322" s="2" t="s">
        <v>568</v>
      </c>
      <c r="B322" s="2" t="s">
        <v>569</v>
      </c>
      <c r="C322" s="641"/>
      <c r="D322" s="641"/>
      <c r="E322" s="641"/>
      <c r="F322" s="641"/>
      <c r="G322" s="641"/>
      <c r="H322" s="641"/>
      <c r="I322" s="641"/>
      <c r="J322" s="641"/>
      <c r="K322" s="641"/>
    </row>
    <row r="323" spans="1:11" ht="15.9" customHeight="1">
      <c r="A323" s="2" t="s">
        <v>570</v>
      </c>
      <c r="B323" s="2" t="s">
        <v>571</v>
      </c>
      <c r="C323" s="641"/>
      <c r="D323" s="641"/>
      <c r="E323" s="641"/>
      <c r="F323" s="641"/>
      <c r="G323" s="641"/>
      <c r="H323" s="641"/>
      <c r="I323" s="641"/>
      <c r="J323" s="641"/>
      <c r="K323" s="641"/>
    </row>
    <row r="324" spans="1:11" ht="15.9" customHeight="1">
      <c r="A324" s="2" t="s">
        <v>572</v>
      </c>
      <c r="B324" s="2" t="s">
        <v>571</v>
      </c>
      <c r="C324" s="641"/>
      <c r="D324" s="641"/>
      <c r="E324" s="641"/>
      <c r="F324" s="641"/>
      <c r="G324" s="641"/>
      <c r="H324" s="641"/>
      <c r="I324" s="641"/>
      <c r="J324" s="641"/>
      <c r="K324" s="641"/>
    </row>
    <row r="325" spans="1:11" ht="15.9" customHeight="1">
      <c r="A325" s="2" t="s">
        <v>573</v>
      </c>
      <c r="B325" s="2" t="s">
        <v>571</v>
      </c>
      <c r="C325" s="641"/>
      <c r="D325" s="641"/>
      <c r="E325" s="641"/>
      <c r="F325" s="641"/>
      <c r="G325" s="641"/>
      <c r="H325" s="641"/>
      <c r="I325" s="641"/>
      <c r="J325" s="641"/>
      <c r="K325" s="641"/>
    </row>
    <row r="326" spans="1:11" ht="15.9" customHeight="1">
      <c r="A326" s="2" t="s">
        <v>574</v>
      </c>
      <c r="B326" s="2" t="s">
        <v>575</v>
      </c>
      <c r="C326" s="641"/>
      <c r="D326" s="641"/>
      <c r="E326" s="641"/>
      <c r="F326" s="641"/>
      <c r="G326" s="641"/>
      <c r="H326" s="641"/>
      <c r="I326" s="641"/>
      <c r="J326" s="641"/>
      <c r="K326" s="641"/>
    </row>
    <row r="327" spans="1:11" ht="15.9" customHeight="1">
      <c r="A327" s="2" t="s">
        <v>576</v>
      </c>
      <c r="B327" s="2" t="s">
        <v>577</v>
      </c>
      <c r="C327" s="641"/>
      <c r="D327" s="641"/>
      <c r="E327" s="641"/>
      <c r="F327" s="641"/>
      <c r="G327" s="641"/>
      <c r="H327" s="641"/>
      <c r="I327" s="641"/>
      <c r="J327" s="641"/>
      <c r="K327" s="641"/>
    </row>
    <row r="328" spans="1:11" ht="15.9" customHeight="1">
      <c r="A328" s="2" t="s">
        <v>578</v>
      </c>
      <c r="B328" s="2" t="s">
        <v>579</v>
      </c>
      <c r="C328" s="641"/>
      <c r="D328" s="641"/>
      <c r="E328" s="641"/>
      <c r="F328" s="641"/>
      <c r="G328" s="641"/>
      <c r="H328" s="641"/>
      <c r="I328" s="641"/>
      <c r="J328" s="641"/>
      <c r="K328" s="641"/>
    </row>
    <row r="329" spans="1:11" ht="15.9" customHeight="1">
      <c r="A329" s="2" t="s">
        <v>580</v>
      </c>
      <c r="B329" s="2" t="s">
        <v>581</v>
      </c>
      <c r="C329" s="641"/>
      <c r="D329" s="641"/>
      <c r="E329" s="641"/>
      <c r="F329" s="641"/>
      <c r="G329" s="641"/>
      <c r="H329" s="641"/>
      <c r="I329" s="641"/>
      <c r="J329" s="641"/>
      <c r="K329" s="641"/>
    </row>
    <row r="330" spans="1:11" ht="15.9" customHeight="1">
      <c r="A330" s="2" t="s">
        <v>582</v>
      </c>
      <c r="B330" s="2" t="s">
        <v>583</v>
      </c>
      <c r="C330" s="641"/>
      <c r="D330" s="641"/>
      <c r="E330" s="641"/>
      <c r="F330" s="641"/>
      <c r="G330" s="641"/>
      <c r="H330" s="641"/>
      <c r="I330" s="641"/>
      <c r="J330" s="641"/>
      <c r="K330" s="641"/>
    </row>
    <row r="331" spans="1:11" ht="15.9" customHeight="1">
      <c r="A331" s="2" t="s">
        <v>584</v>
      </c>
      <c r="B331" s="2" t="s">
        <v>585</v>
      </c>
      <c r="C331" s="641"/>
      <c r="D331" s="641"/>
      <c r="E331" s="641"/>
      <c r="F331" s="641"/>
      <c r="G331" s="641"/>
      <c r="H331" s="641"/>
      <c r="I331" s="641"/>
      <c r="J331" s="641"/>
      <c r="K331" s="641"/>
    </row>
    <row r="332" spans="1:11" ht="15.9" customHeight="1">
      <c r="A332" s="2" t="s">
        <v>586</v>
      </c>
      <c r="B332" s="2" t="s">
        <v>587</v>
      </c>
      <c r="C332" s="641"/>
      <c r="D332" s="641"/>
      <c r="E332" s="641"/>
      <c r="F332" s="641"/>
      <c r="G332" s="641"/>
      <c r="H332" s="641"/>
      <c r="I332" s="641"/>
      <c r="J332" s="641"/>
      <c r="K332" s="641"/>
    </row>
    <row r="333" spans="1:11" ht="15.9" customHeight="1">
      <c r="A333" s="2" t="s">
        <v>247</v>
      </c>
      <c r="B333" s="2" t="s">
        <v>588</v>
      </c>
      <c r="C333" s="641"/>
      <c r="D333" s="641"/>
      <c r="E333" s="641"/>
      <c r="F333" s="641"/>
      <c r="G333" s="641"/>
      <c r="H333" s="641"/>
      <c r="I333" s="641"/>
      <c r="J333" s="641"/>
      <c r="K333" s="641"/>
    </row>
    <row r="334" spans="1:11" ht="15.9" customHeight="1">
      <c r="A334" s="2" t="s">
        <v>251</v>
      </c>
      <c r="B334" s="2" t="s">
        <v>589</v>
      </c>
      <c r="C334" s="641"/>
      <c r="D334" s="641"/>
      <c r="E334" s="641"/>
      <c r="F334" s="641"/>
      <c r="G334" s="641"/>
      <c r="H334" s="641"/>
      <c r="I334" s="641"/>
      <c r="J334" s="641"/>
      <c r="K334" s="641"/>
    </row>
    <row r="335" spans="1:11" ht="15.9" customHeight="1">
      <c r="A335" s="2" t="s">
        <v>249</v>
      </c>
      <c r="B335" s="2" t="s">
        <v>590</v>
      </c>
      <c r="C335" s="641"/>
      <c r="D335" s="641"/>
      <c r="E335" s="641"/>
      <c r="F335" s="641"/>
      <c r="G335" s="641"/>
      <c r="H335" s="641"/>
      <c r="I335" s="641"/>
      <c r="J335" s="641"/>
      <c r="K335" s="641"/>
    </row>
    <row r="336" spans="1:11" ht="15.9" customHeight="1">
      <c r="A336" s="2" t="s">
        <v>591</v>
      </c>
      <c r="B336" s="2" t="s">
        <v>592</v>
      </c>
      <c r="C336" s="641"/>
      <c r="D336" s="641"/>
      <c r="E336" s="641"/>
      <c r="F336" s="641"/>
      <c r="G336" s="641"/>
      <c r="H336" s="641"/>
      <c r="I336" s="641"/>
      <c r="J336" s="641"/>
      <c r="K336" s="641"/>
    </row>
    <row r="337" spans="1:11" ht="15.9" customHeight="1">
      <c r="A337" s="2" t="s">
        <v>593</v>
      </c>
      <c r="B337" s="2" t="s">
        <v>594</v>
      </c>
      <c r="C337" s="641"/>
      <c r="D337" s="641"/>
      <c r="E337" s="641"/>
      <c r="F337" s="641"/>
      <c r="G337" s="641"/>
      <c r="H337" s="641"/>
      <c r="I337" s="641"/>
      <c r="J337" s="641"/>
      <c r="K337" s="641"/>
    </row>
    <row r="338" spans="1:11" ht="15.9" customHeight="1">
      <c r="A338" s="10"/>
      <c r="B338" s="641"/>
      <c r="C338" s="641"/>
      <c r="D338" s="641"/>
      <c r="E338" s="641"/>
      <c r="F338" s="641"/>
      <c r="G338" s="641"/>
      <c r="H338" s="641"/>
      <c r="I338" s="641"/>
      <c r="J338" s="641"/>
      <c r="K338" s="641"/>
    </row>
    <row r="339" spans="1:11" ht="15.9" customHeight="1">
      <c r="A339" s="640" t="s">
        <v>595</v>
      </c>
      <c r="B339" s="2" t="s">
        <v>596</v>
      </c>
      <c r="C339" s="641"/>
      <c r="D339" s="641"/>
      <c r="E339" s="641"/>
      <c r="F339" s="641"/>
      <c r="G339" s="641"/>
      <c r="H339" s="641"/>
      <c r="I339" s="641"/>
      <c r="J339" s="641"/>
      <c r="K339" s="641"/>
    </row>
    <row r="340" spans="1:11" ht="15.9" customHeight="1">
      <c r="A340" s="2" t="s">
        <v>597</v>
      </c>
      <c r="B340" s="2" t="s">
        <v>598</v>
      </c>
      <c r="C340" s="641"/>
      <c r="D340" s="641"/>
      <c r="E340" s="641"/>
      <c r="F340" s="641"/>
      <c r="G340" s="641"/>
      <c r="H340" s="641"/>
      <c r="I340" s="641"/>
      <c r="J340" s="641"/>
      <c r="K340" s="641"/>
    </row>
    <row r="341" spans="1:11" ht="15.9" customHeight="1">
      <c r="A341" s="2" t="s">
        <v>599</v>
      </c>
      <c r="B341" s="2" t="s">
        <v>600</v>
      </c>
      <c r="C341" s="641"/>
      <c r="D341" s="641"/>
      <c r="E341" s="641"/>
      <c r="F341" s="641"/>
      <c r="G341" s="641"/>
      <c r="H341" s="641"/>
      <c r="I341" s="641"/>
      <c r="J341" s="641"/>
      <c r="K341" s="641"/>
    </row>
    <row r="342" spans="1:11" ht="15.9" customHeight="1">
      <c r="A342" s="2" t="s">
        <v>601</v>
      </c>
      <c r="B342" s="2" t="s">
        <v>602</v>
      </c>
      <c r="C342" s="641"/>
      <c r="D342" s="641"/>
      <c r="E342" s="641"/>
      <c r="F342" s="641"/>
      <c r="G342" s="641"/>
      <c r="H342" s="641"/>
      <c r="I342" s="641"/>
      <c r="J342" s="641"/>
      <c r="K342" s="641"/>
    </row>
    <row r="343" spans="1:11" ht="15.9" customHeight="1">
      <c r="A343" s="2" t="s">
        <v>603</v>
      </c>
      <c r="B343" s="2" t="s">
        <v>604</v>
      </c>
      <c r="C343" s="641"/>
      <c r="D343" s="641"/>
      <c r="E343" s="641"/>
      <c r="F343" s="641"/>
      <c r="G343" s="641"/>
      <c r="H343" s="641"/>
      <c r="I343" s="641"/>
      <c r="J343" s="641"/>
      <c r="K343" s="641"/>
    </row>
    <row r="344" spans="1:11" ht="15.9" customHeight="1">
      <c r="A344" s="2" t="s">
        <v>605</v>
      </c>
      <c r="B344" s="2" t="s">
        <v>606</v>
      </c>
      <c r="C344" s="641"/>
      <c r="D344" s="641"/>
      <c r="E344" s="641"/>
      <c r="F344" s="641"/>
      <c r="G344" s="641"/>
      <c r="H344" s="641"/>
      <c r="I344" s="641"/>
      <c r="J344" s="641"/>
      <c r="K344" s="641"/>
    </row>
    <row r="345" spans="1:11" ht="15.9" customHeight="1">
      <c r="A345" s="2" t="s">
        <v>607</v>
      </c>
      <c r="B345" s="2" t="s">
        <v>608</v>
      </c>
      <c r="C345" s="641"/>
      <c r="D345" s="641"/>
      <c r="E345" s="641"/>
      <c r="F345" s="641"/>
      <c r="G345" s="641"/>
      <c r="H345" s="641"/>
      <c r="I345" s="641"/>
      <c r="J345" s="641"/>
      <c r="K345" s="641"/>
    </row>
    <row r="346" spans="1:11" ht="15.9" customHeight="1">
      <c r="A346" s="2" t="s">
        <v>609</v>
      </c>
      <c r="B346" s="2" t="s">
        <v>610</v>
      </c>
      <c r="C346" s="641"/>
      <c r="D346" s="641"/>
      <c r="E346" s="641"/>
      <c r="F346" s="641"/>
      <c r="G346" s="641"/>
      <c r="H346" s="641"/>
      <c r="I346" s="641"/>
      <c r="J346" s="641"/>
      <c r="K346" s="641"/>
    </row>
    <row r="347" spans="1:11" ht="15.9" customHeight="1">
      <c r="A347" s="2" t="s">
        <v>611</v>
      </c>
      <c r="B347" s="2" t="s">
        <v>612</v>
      </c>
      <c r="C347" s="641"/>
      <c r="D347" s="641"/>
      <c r="E347" s="641"/>
      <c r="F347" s="641"/>
      <c r="G347" s="641"/>
      <c r="H347" s="641"/>
      <c r="I347" s="641"/>
      <c r="J347" s="641"/>
      <c r="K347" s="641"/>
    </row>
    <row r="348" spans="1:11" ht="15.9" customHeight="1">
      <c r="A348" s="2" t="s">
        <v>613</v>
      </c>
      <c r="B348" s="2" t="s">
        <v>614</v>
      </c>
      <c r="C348" s="14"/>
      <c r="D348" s="641"/>
      <c r="E348" s="641"/>
      <c r="F348" s="641"/>
      <c r="G348" s="641"/>
      <c r="H348" s="641"/>
      <c r="I348" s="641"/>
      <c r="J348" s="641"/>
      <c r="K348" s="641"/>
    </row>
    <row r="349" spans="1:11" ht="15.9" customHeight="1">
      <c r="A349" s="2" t="s">
        <v>615</v>
      </c>
      <c r="B349" s="2" t="s">
        <v>616</v>
      </c>
      <c r="C349" s="641"/>
      <c r="D349" s="641"/>
      <c r="E349" s="641"/>
      <c r="F349" s="641"/>
      <c r="G349" s="641"/>
      <c r="H349" s="641"/>
      <c r="I349" s="641"/>
      <c r="J349" s="641"/>
      <c r="K349" s="641"/>
    </row>
    <row r="350" spans="1:11" ht="15.9" customHeight="1">
      <c r="A350" s="2" t="s">
        <v>617</v>
      </c>
      <c r="B350" s="2" t="s">
        <v>618</v>
      </c>
      <c r="C350" s="641"/>
      <c r="D350" s="641"/>
      <c r="E350" s="641"/>
      <c r="F350" s="641"/>
      <c r="G350" s="641"/>
      <c r="H350" s="641"/>
      <c r="I350" s="641"/>
      <c r="J350" s="641"/>
      <c r="K350" s="641"/>
    </row>
    <row r="351" spans="1:11" ht="15.9" customHeight="1">
      <c r="A351" s="2" t="s">
        <v>619</v>
      </c>
      <c r="B351" s="2" t="s">
        <v>620</v>
      </c>
      <c r="C351" s="641"/>
      <c r="D351" s="641"/>
      <c r="E351" s="641"/>
      <c r="F351" s="641"/>
      <c r="G351" s="641"/>
      <c r="H351" s="641"/>
      <c r="I351" s="641"/>
      <c r="J351" s="641"/>
      <c r="K351" s="641"/>
    </row>
    <row r="352" spans="1:11" ht="15.9" customHeight="1">
      <c r="A352" s="2" t="s">
        <v>621</v>
      </c>
      <c r="B352" s="2" t="s">
        <v>622</v>
      </c>
      <c r="C352" s="641"/>
      <c r="D352" s="641"/>
      <c r="E352" s="641"/>
      <c r="F352" s="641"/>
      <c r="G352" s="641"/>
      <c r="H352" s="641"/>
      <c r="I352" s="641"/>
      <c r="J352" s="641"/>
      <c r="K352" s="641"/>
    </row>
    <row r="353" spans="1:11" ht="15.9" customHeight="1">
      <c r="A353" s="2" t="s">
        <v>623</v>
      </c>
      <c r="B353" s="2" t="s">
        <v>624</v>
      </c>
      <c r="C353" s="641"/>
      <c r="D353" s="641"/>
      <c r="E353" s="641"/>
      <c r="F353" s="641"/>
      <c r="G353" s="641"/>
      <c r="H353" s="641"/>
      <c r="I353" s="641"/>
      <c r="J353" s="641"/>
      <c r="K353" s="641"/>
    </row>
    <row r="354" spans="1:11" ht="15.9" customHeight="1">
      <c r="A354" s="2" t="s">
        <v>625</v>
      </c>
      <c r="B354" s="2" t="s">
        <v>626</v>
      </c>
      <c r="C354" s="641"/>
      <c r="D354" s="641"/>
      <c r="E354" s="641"/>
      <c r="F354" s="641"/>
      <c r="G354" s="641"/>
      <c r="H354" s="641"/>
      <c r="I354" s="641"/>
      <c r="J354" s="641"/>
      <c r="K354" s="641"/>
    </row>
    <row r="355" spans="1:11" ht="15.9" customHeight="1">
      <c r="A355" s="2" t="s">
        <v>627</v>
      </c>
      <c r="B355" s="2" t="s">
        <v>628</v>
      </c>
      <c r="C355" s="641"/>
      <c r="D355" s="641"/>
      <c r="E355" s="641"/>
      <c r="F355" s="641"/>
      <c r="G355" s="641"/>
      <c r="H355" s="641"/>
      <c r="I355" s="641"/>
      <c r="J355" s="641"/>
      <c r="K355" s="641"/>
    </row>
    <row r="356" spans="1:11" ht="15.9" customHeight="1">
      <c r="A356" s="2" t="s">
        <v>629</v>
      </c>
      <c r="B356" s="2" t="s">
        <v>630</v>
      </c>
      <c r="C356" s="641"/>
      <c r="D356" s="641"/>
      <c r="E356" s="641"/>
      <c r="F356" s="641"/>
      <c r="G356" s="641"/>
      <c r="H356" s="641"/>
      <c r="I356" s="641"/>
      <c r="J356" s="641"/>
      <c r="K356" s="641"/>
    </row>
    <row r="357" spans="1:11" ht="15.9" customHeight="1">
      <c r="A357" s="2" t="s">
        <v>631</v>
      </c>
      <c r="B357" s="2" t="s">
        <v>632</v>
      </c>
      <c r="C357" s="641"/>
      <c r="D357" s="641"/>
      <c r="E357" s="641"/>
      <c r="F357" s="641"/>
      <c r="G357" s="641"/>
      <c r="H357" s="641"/>
      <c r="I357" s="641"/>
      <c r="J357" s="641"/>
      <c r="K357" s="641"/>
    </row>
    <row r="358" spans="1:11" ht="15.9" customHeight="1">
      <c r="A358" s="2" t="s">
        <v>633</v>
      </c>
      <c r="B358" s="2" t="s">
        <v>634</v>
      </c>
      <c r="C358" s="641"/>
      <c r="D358" s="641"/>
      <c r="E358" s="641"/>
      <c r="F358" s="641"/>
      <c r="G358" s="641"/>
      <c r="H358" s="641"/>
      <c r="I358" s="641"/>
      <c r="J358" s="641"/>
      <c r="K358" s="641"/>
    </row>
    <row r="359" spans="1:11" ht="15.9" customHeight="1">
      <c r="A359" s="2" t="s">
        <v>635</v>
      </c>
      <c r="B359" s="2" t="s">
        <v>636</v>
      </c>
      <c r="C359" s="641"/>
      <c r="D359" s="641"/>
      <c r="E359" s="641"/>
      <c r="F359" s="641"/>
      <c r="G359" s="641"/>
      <c r="H359" s="641"/>
      <c r="I359" s="641"/>
      <c r="J359" s="641"/>
      <c r="K359" s="641"/>
    </row>
    <row r="360" spans="1:11" ht="15.9" customHeight="1">
      <c r="A360" s="2" t="s">
        <v>637</v>
      </c>
      <c r="B360" s="2" t="s">
        <v>638</v>
      </c>
      <c r="C360" s="641"/>
      <c r="D360" s="641"/>
      <c r="E360" s="641"/>
      <c r="F360" s="641"/>
      <c r="G360" s="641"/>
      <c r="H360" s="641"/>
      <c r="I360" s="641"/>
      <c r="J360" s="641"/>
      <c r="K360" s="641"/>
    </row>
    <row r="361" spans="1:11" ht="15.9" customHeight="1">
      <c r="A361" s="2" t="s">
        <v>639</v>
      </c>
      <c r="B361" s="2" t="s">
        <v>640</v>
      </c>
      <c r="C361" s="641"/>
      <c r="D361" s="641"/>
      <c r="E361" s="641"/>
      <c r="F361" s="641"/>
      <c r="G361" s="641"/>
      <c r="H361" s="641"/>
      <c r="I361" s="641"/>
      <c r="J361" s="641"/>
      <c r="K361" s="641"/>
    </row>
    <row r="362" spans="1:11" ht="15.9" customHeight="1">
      <c r="A362" s="2" t="s">
        <v>641</v>
      </c>
      <c r="B362" s="2" t="s">
        <v>642</v>
      </c>
      <c r="C362" s="641"/>
      <c r="D362" s="641"/>
      <c r="E362" s="641"/>
      <c r="F362" s="641"/>
      <c r="G362" s="641"/>
      <c r="H362" s="641"/>
      <c r="I362" s="641"/>
      <c r="J362" s="641"/>
      <c r="K362" s="641"/>
    </row>
    <row r="363" spans="1:11" ht="15.9" customHeight="1">
      <c r="A363" s="2" t="s">
        <v>643</v>
      </c>
      <c r="B363" s="2" t="s">
        <v>644</v>
      </c>
      <c r="C363" s="641"/>
      <c r="D363" s="641"/>
      <c r="E363" s="641"/>
      <c r="F363" s="641"/>
      <c r="G363" s="641"/>
      <c r="H363" s="641"/>
      <c r="I363" s="641"/>
      <c r="J363" s="641"/>
      <c r="K363" s="641"/>
    </row>
    <row r="364" spans="1:11" ht="15.9" customHeight="1">
      <c r="A364" s="2" t="s">
        <v>645</v>
      </c>
      <c r="B364" s="2" t="s">
        <v>646</v>
      </c>
      <c r="C364" s="641"/>
      <c r="D364" s="641"/>
      <c r="E364" s="641"/>
      <c r="F364" s="641"/>
      <c r="G364" s="641"/>
      <c r="H364" s="641"/>
      <c r="I364" s="641"/>
      <c r="J364" s="641"/>
      <c r="K364" s="641"/>
    </row>
    <row r="365" spans="1:11" ht="15.9" customHeight="1">
      <c r="A365" s="2" t="s">
        <v>647</v>
      </c>
      <c r="B365" s="2" t="s">
        <v>648</v>
      </c>
      <c r="C365" s="641"/>
      <c r="D365" s="641"/>
      <c r="E365" s="641"/>
      <c r="F365" s="641"/>
      <c r="G365" s="641"/>
      <c r="H365" s="641"/>
      <c r="I365" s="641"/>
      <c r="J365" s="641"/>
      <c r="K365" s="641"/>
    </row>
    <row r="366" spans="1:11" ht="15.9" customHeight="1">
      <c r="A366" s="2" t="s">
        <v>649</v>
      </c>
      <c r="B366" s="2" t="s">
        <v>650</v>
      </c>
      <c r="C366" s="641"/>
      <c r="D366" s="641"/>
      <c r="E366" s="641"/>
      <c r="F366" s="641"/>
      <c r="G366" s="641"/>
      <c r="H366" s="641"/>
      <c r="I366" s="641"/>
      <c r="J366" s="641"/>
      <c r="K366" s="641"/>
    </row>
    <row r="367" spans="1:11" ht="15.9" customHeight="1">
      <c r="A367" s="2" t="s">
        <v>651</v>
      </c>
      <c r="B367" s="2" t="s">
        <v>652</v>
      </c>
      <c r="C367" s="641"/>
      <c r="D367" s="641"/>
      <c r="E367" s="641"/>
      <c r="F367" s="641"/>
      <c r="G367" s="641"/>
      <c r="H367" s="641"/>
      <c r="I367" s="641"/>
      <c r="J367" s="641"/>
      <c r="K367" s="641"/>
    </row>
    <row r="368" spans="1:11" ht="15.9" customHeight="1">
      <c r="A368" s="2" t="s">
        <v>653</v>
      </c>
      <c r="B368" s="2" t="s">
        <v>654</v>
      </c>
      <c r="C368" s="641"/>
      <c r="D368" s="641"/>
      <c r="E368" s="641"/>
      <c r="F368" s="641"/>
      <c r="G368" s="641"/>
      <c r="H368" s="641"/>
      <c r="I368" s="641"/>
      <c r="J368" s="641"/>
      <c r="K368" s="641"/>
    </row>
    <row r="369" spans="1:11" ht="15.9" customHeight="1">
      <c r="A369" s="2" t="s">
        <v>655</v>
      </c>
      <c r="B369" s="2" t="s">
        <v>656</v>
      </c>
      <c r="C369" s="641"/>
      <c r="D369" s="641"/>
      <c r="E369" s="641"/>
      <c r="F369" s="641"/>
      <c r="G369" s="641"/>
      <c r="H369" s="641"/>
      <c r="I369" s="641"/>
      <c r="J369" s="641"/>
      <c r="K369" s="641"/>
    </row>
    <row r="370" spans="1:11" ht="15.9" customHeight="1">
      <c r="A370" s="2" t="s">
        <v>657</v>
      </c>
      <c r="B370" s="2" t="s">
        <v>658</v>
      </c>
      <c r="C370" s="641"/>
      <c r="D370" s="641"/>
      <c r="E370" s="641"/>
      <c r="F370" s="641"/>
      <c r="G370" s="641"/>
      <c r="H370" s="641"/>
      <c r="I370" s="641"/>
      <c r="J370" s="641"/>
      <c r="K370" s="641"/>
    </row>
    <row r="371" spans="1:11" ht="15.9" customHeight="1">
      <c r="A371" s="2" t="s">
        <v>659</v>
      </c>
      <c r="B371" s="2" t="s">
        <v>660</v>
      </c>
      <c r="C371" s="641"/>
      <c r="D371" s="641"/>
      <c r="E371" s="641"/>
      <c r="F371" s="641"/>
      <c r="G371" s="641"/>
      <c r="H371" s="641"/>
      <c r="I371" s="641"/>
      <c r="J371" s="641"/>
      <c r="K371" s="641"/>
    </row>
    <row r="372" spans="1:11" ht="15.9" customHeight="1">
      <c r="A372" s="2" t="s">
        <v>661</v>
      </c>
      <c r="B372" s="2" t="s">
        <v>662</v>
      </c>
      <c r="C372" s="641"/>
      <c r="D372" s="641"/>
      <c r="E372" s="641"/>
      <c r="F372" s="641"/>
      <c r="G372" s="641"/>
      <c r="H372" s="641"/>
      <c r="I372" s="641"/>
      <c r="J372" s="641"/>
      <c r="K372" s="641"/>
    </row>
    <row r="373" spans="1:11" ht="15.9" customHeight="1">
      <c r="A373" s="2" t="s">
        <v>663</v>
      </c>
      <c r="B373" s="2" t="s">
        <v>664</v>
      </c>
      <c r="C373" s="641"/>
      <c r="D373" s="641"/>
      <c r="E373" s="641"/>
      <c r="F373" s="641"/>
      <c r="G373" s="641"/>
      <c r="H373" s="641"/>
      <c r="I373" s="641"/>
      <c r="J373" s="641"/>
      <c r="K373" s="641"/>
    </row>
    <row r="374" spans="1:11" ht="15.9" customHeight="1">
      <c r="A374" s="2" t="s">
        <v>665</v>
      </c>
      <c r="B374" s="2" t="s">
        <v>666</v>
      </c>
      <c r="C374" s="641"/>
      <c r="D374" s="641"/>
      <c r="E374" s="641"/>
      <c r="F374" s="641"/>
      <c r="G374" s="641"/>
      <c r="H374" s="641"/>
      <c r="I374" s="641"/>
      <c r="J374" s="641"/>
      <c r="K374" s="641"/>
    </row>
    <row r="375" spans="1:11" ht="15.9" customHeight="1">
      <c r="A375" s="2" t="s">
        <v>667</v>
      </c>
      <c r="B375" s="2" t="s">
        <v>668</v>
      </c>
      <c r="C375" s="641"/>
      <c r="D375" s="641"/>
      <c r="E375" s="641"/>
      <c r="F375" s="641"/>
      <c r="G375" s="641"/>
      <c r="H375" s="641"/>
      <c r="I375" s="641"/>
      <c r="J375" s="641"/>
      <c r="K375" s="641"/>
    </row>
    <row r="376" spans="1:11" ht="15.9" customHeight="1">
      <c r="A376" s="2" t="s">
        <v>669</v>
      </c>
      <c r="B376" s="2" t="s">
        <v>670</v>
      </c>
      <c r="C376" s="641"/>
      <c r="D376" s="641"/>
      <c r="E376" s="641"/>
      <c r="F376" s="641"/>
      <c r="G376" s="641"/>
      <c r="H376" s="641"/>
      <c r="I376" s="641"/>
      <c r="J376" s="641"/>
      <c r="K376" s="641"/>
    </row>
    <row r="377" spans="1:11" ht="15.9" customHeight="1">
      <c r="A377" s="2" t="s">
        <v>671</v>
      </c>
      <c r="B377" s="2" t="s">
        <v>672</v>
      </c>
      <c r="C377" s="641"/>
      <c r="D377" s="641"/>
      <c r="E377" s="641"/>
      <c r="F377" s="641"/>
      <c r="G377" s="641"/>
      <c r="H377" s="641"/>
      <c r="I377" s="641"/>
      <c r="J377" s="641"/>
      <c r="K377" s="641"/>
    </row>
    <row r="378" spans="1:11" ht="15.9" customHeight="1">
      <c r="A378" s="2" t="s">
        <v>673</v>
      </c>
      <c r="B378" s="2" t="s">
        <v>674</v>
      </c>
      <c r="C378" s="641"/>
      <c r="D378" s="641"/>
      <c r="E378" s="641"/>
      <c r="F378" s="641"/>
      <c r="G378" s="641"/>
      <c r="H378" s="641"/>
      <c r="I378" s="641"/>
      <c r="J378" s="641"/>
      <c r="K378" s="641"/>
    </row>
    <row r="379" spans="1:11" ht="15.9" customHeight="1">
      <c r="A379" s="2" t="s">
        <v>675</v>
      </c>
      <c r="B379" s="2" t="s">
        <v>676</v>
      </c>
      <c r="C379" s="641"/>
      <c r="D379" s="641"/>
      <c r="E379" s="641"/>
      <c r="F379" s="641"/>
      <c r="G379" s="641"/>
      <c r="H379" s="641"/>
      <c r="I379" s="641"/>
      <c r="J379" s="641"/>
      <c r="K379" s="641"/>
    </row>
    <row r="380" spans="1:11" ht="15.9" customHeight="1">
      <c r="A380" s="2" t="s">
        <v>677</v>
      </c>
      <c r="B380" s="2" t="s">
        <v>678</v>
      </c>
      <c r="C380" s="641"/>
      <c r="D380" s="641"/>
      <c r="E380" s="641"/>
      <c r="F380" s="641"/>
      <c r="G380" s="641"/>
      <c r="H380" s="641"/>
      <c r="I380" s="641"/>
      <c r="J380" s="641"/>
      <c r="K380" s="641"/>
    </row>
    <row r="381" spans="1:11" ht="15.9" customHeight="1">
      <c r="A381" s="2" t="s">
        <v>679</v>
      </c>
      <c r="B381" s="2" t="s">
        <v>680</v>
      </c>
      <c r="C381" s="641"/>
      <c r="D381" s="641"/>
      <c r="E381" s="641"/>
      <c r="F381" s="641"/>
      <c r="G381" s="641"/>
      <c r="H381" s="641"/>
      <c r="I381" s="641"/>
      <c r="J381" s="641"/>
      <c r="K381" s="641"/>
    </row>
    <row r="382" spans="1:11" ht="15.9" customHeight="1">
      <c r="A382" s="2" t="s">
        <v>681</v>
      </c>
      <c r="B382" s="2" t="s">
        <v>682</v>
      </c>
      <c r="C382" s="641"/>
      <c r="D382" s="641"/>
      <c r="E382" s="641"/>
      <c r="F382" s="641"/>
      <c r="G382" s="641"/>
      <c r="H382" s="641"/>
      <c r="I382" s="641"/>
      <c r="J382" s="641"/>
      <c r="K382" s="641"/>
    </row>
    <row r="383" spans="1:11" ht="15.9" customHeight="1">
      <c r="A383" s="2" t="s">
        <v>683</v>
      </c>
      <c r="B383" s="2" t="s">
        <v>684</v>
      </c>
      <c r="C383" s="641"/>
      <c r="D383" s="641"/>
      <c r="E383" s="641"/>
      <c r="F383" s="641"/>
      <c r="G383" s="641"/>
      <c r="H383" s="641"/>
      <c r="I383" s="641"/>
      <c r="J383" s="641"/>
      <c r="K383" s="641"/>
    </row>
    <row r="384" spans="1:11" ht="15.9" customHeight="1">
      <c r="A384" s="2" t="s">
        <v>685</v>
      </c>
      <c r="B384" s="2" t="s">
        <v>686</v>
      </c>
      <c r="C384" s="641"/>
      <c r="D384" s="641"/>
      <c r="E384" s="641"/>
      <c r="F384" s="641"/>
      <c r="G384" s="641"/>
      <c r="H384" s="641"/>
      <c r="I384" s="641"/>
      <c r="J384" s="641"/>
      <c r="K384" s="641"/>
    </row>
    <row r="385" spans="1:11" ht="15.9" customHeight="1">
      <c r="A385" s="2" t="s">
        <v>687</v>
      </c>
      <c r="B385" s="2" t="s">
        <v>688</v>
      </c>
      <c r="C385" s="641"/>
      <c r="D385" s="641"/>
      <c r="E385" s="641"/>
      <c r="F385" s="641"/>
      <c r="G385" s="641"/>
      <c r="H385" s="641"/>
      <c r="I385" s="641"/>
      <c r="J385" s="641"/>
      <c r="K385" s="641"/>
    </row>
    <row r="386" spans="1:11" ht="15.9" customHeight="1">
      <c r="A386" s="2" t="s">
        <v>689</v>
      </c>
      <c r="B386" s="2" t="s">
        <v>690</v>
      </c>
      <c r="C386" s="641"/>
      <c r="D386" s="641"/>
      <c r="E386" s="641"/>
      <c r="F386" s="641"/>
      <c r="G386" s="641"/>
      <c r="H386" s="641"/>
      <c r="I386" s="641"/>
      <c r="J386" s="641"/>
      <c r="K386" s="641"/>
    </row>
    <row r="387" spans="1:11" ht="15.9" customHeight="1">
      <c r="A387" s="2" t="s">
        <v>691</v>
      </c>
      <c r="B387" s="2" t="s">
        <v>692</v>
      </c>
      <c r="C387" s="641"/>
      <c r="D387" s="641"/>
      <c r="E387" s="641"/>
      <c r="F387" s="641"/>
      <c r="G387" s="641"/>
      <c r="H387" s="641"/>
      <c r="I387" s="641"/>
      <c r="J387" s="641"/>
      <c r="K387" s="641"/>
    </row>
    <row r="388" spans="1:11" ht="15.9" customHeight="1">
      <c r="A388" s="2" t="s">
        <v>693</v>
      </c>
      <c r="B388" s="616" t="s">
        <v>5793</v>
      </c>
      <c r="C388" s="641"/>
      <c r="D388" s="641"/>
      <c r="E388" s="641"/>
      <c r="F388" s="641"/>
      <c r="G388" s="641"/>
      <c r="H388" s="641"/>
      <c r="I388" s="641"/>
      <c r="J388" s="641"/>
      <c r="K388" s="641"/>
    </row>
    <row r="389" spans="1:11" ht="15.9" customHeight="1">
      <c r="A389" s="2" t="s">
        <v>694</v>
      </c>
      <c r="B389" s="2" t="s">
        <v>695</v>
      </c>
      <c r="C389" s="641"/>
      <c r="D389" s="641"/>
      <c r="E389" s="641"/>
      <c r="F389" s="641"/>
      <c r="G389" s="641"/>
      <c r="H389" s="641"/>
      <c r="I389" s="641"/>
      <c r="J389" s="641"/>
      <c r="K389" s="641"/>
    </row>
    <row r="390" spans="1:11" ht="15.9" customHeight="1">
      <c r="A390" s="2" t="s">
        <v>696</v>
      </c>
      <c r="B390" s="2" t="s">
        <v>697</v>
      </c>
    </row>
    <row r="391" spans="1:11" ht="15.9" customHeight="1">
      <c r="A391" s="2" t="s">
        <v>698</v>
      </c>
      <c r="B391" s="2" t="s">
        <v>699</v>
      </c>
    </row>
    <row r="392" spans="1:11" ht="15.9" customHeight="1">
      <c r="A392" s="2" t="s">
        <v>700</v>
      </c>
      <c r="B392" s="2" t="s">
        <v>701</v>
      </c>
    </row>
    <row r="393" spans="1:11" ht="15.9" customHeight="1">
      <c r="A393" s="2" t="s">
        <v>702</v>
      </c>
      <c r="B393" s="2" t="s">
        <v>703</v>
      </c>
    </row>
    <row r="394" spans="1:11" ht="15.9" customHeight="1">
      <c r="A394" s="2" t="s">
        <v>704</v>
      </c>
      <c r="B394" s="2" t="s">
        <v>705</v>
      </c>
    </row>
    <row r="395" spans="1:11" ht="15.9" customHeight="1">
      <c r="A395" s="2" t="s">
        <v>706</v>
      </c>
      <c r="B395" s="2" t="s">
        <v>707</v>
      </c>
    </row>
    <row r="396" spans="1:11" ht="15.9" customHeight="1">
      <c r="A396" s="2" t="s">
        <v>708</v>
      </c>
      <c r="B396" s="2" t="s">
        <v>709</v>
      </c>
    </row>
    <row r="397" spans="1:11" ht="15.9" customHeight="1">
      <c r="A397" s="2" t="s">
        <v>710</v>
      </c>
      <c r="B397" s="2" t="s">
        <v>711</v>
      </c>
    </row>
    <row r="398" spans="1:11" ht="15.9" customHeight="1">
      <c r="A398" s="2" t="s">
        <v>712</v>
      </c>
      <c r="B398" s="2" t="s">
        <v>713</v>
      </c>
    </row>
    <row r="399" spans="1:11" ht="15.9" customHeight="1">
      <c r="A399" s="2" t="s">
        <v>714</v>
      </c>
      <c r="B399" s="2" t="s">
        <v>715</v>
      </c>
    </row>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E699"/>
  </sheetPr>
  <dimension ref="A1:AU47"/>
  <sheetViews>
    <sheetView workbookViewId="0">
      <selection activeCell="F5" sqref="F5"/>
    </sheetView>
  </sheetViews>
  <sheetFormatPr defaultRowHeight="15.75" customHeight="1"/>
  <cols>
    <col min="1" max="1" width="32.140625" style="15" customWidth="1"/>
    <col min="2" max="2" width="12.85546875" style="15" bestFit="1" customWidth="1"/>
    <col min="3" max="3" width="38.7109375" style="16" customWidth="1"/>
    <col min="4" max="4" width="15.640625" style="17" customWidth="1"/>
    <col min="5" max="5" width="19.140625" style="17" customWidth="1"/>
    <col min="6" max="6" width="44.85546875" style="17" customWidth="1"/>
    <col min="7" max="7" width="5.640625" style="15" customWidth="1"/>
    <col min="8" max="8" width="58.2109375" style="15" customWidth="1"/>
    <col min="9" max="9" width="15" style="580" customWidth="1"/>
    <col min="11" max="11" width="13.85546875" style="580" customWidth="1"/>
    <col min="13" max="13" width="13.35546875" style="18" customWidth="1"/>
    <col min="14" max="14" width="10.35546875" style="18" customWidth="1"/>
    <col min="15" max="16" width="13.35546875" style="18" customWidth="1"/>
    <col min="17" max="17" width="8.85546875" style="18" customWidth="1"/>
    <col min="18" max="18" width="13.35546875" style="18" customWidth="1"/>
    <col min="19" max="19" width="9" style="18" customWidth="1"/>
    <col min="20" max="20" width="15.5" style="18" customWidth="1"/>
    <col min="21" max="21" width="9.5" style="18" customWidth="1"/>
    <col min="22" max="23" width="13.35546875" style="18" customWidth="1"/>
    <col min="24" max="24" width="15.2109375" style="18" customWidth="1"/>
    <col min="25" max="25" width="13.35546875" style="18" customWidth="1"/>
  </cols>
  <sheetData>
    <row r="1" spans="1:47" ht="15.45" customHeight="1">
      <c r="A1" s="19" t="s">
        <v>716</v>
      </c>
      <c r="B1" s="20" t="s">
        <v>717</v>
      </c>
      <c r="C1" s="20" t="s">
        <v>718</v>
      </c>
      <c r="D1" s="20" t="s">
        <v>719</v>
      </c>
      <c r="E1" s="20" t="s">
        <v>720</v>
      </c>
      <c r="F1" s="20" t="s">
        <v>721</v>
      </c>
      <c r="G1" s="21" t="s">
        <v>24</v>
      </c>
      <c r="H1" s="22" t="s">
        <v>722</v>
      </c>
      <c r="W1" s="23">
        <v>1</v>
      </c>
      <c r="X1" s="24">
        <v>0</v>
      </c>
    </row>
    <row r="2" spans="1:47" ht="15.9" customHeight="1">
      <c r="A2" s="15" t="s">
        <v>723</v>
      </c>
      <c r="B2" s="16">
        <v>1.5</v>
      </c>
      <c r="C2" s="16" t="s">
        <v>724</v>
      </c>
      <c r="D2" s="25" t="s">
        <v>725</v>
      </c>
      <c r="E2" s="25" t="s">
        <v>726</v>
      </c>
      <c r="F2" s="25" t="s">
        <v>726</v>
      </c>
      <c r="G2" s="26">
        <v>1</v>
      </c>
      <c r="H2" s="27" t="s">
        <v>727</v>
      </c>
      <c r="W2" s="23">
        <v>2</v>
      </c>
      <c r="X2" s="24">
        <v>0</v>
      </c>
    </row>
    <row r="3" spans="1:47" ht="15.9" customHeight="1">
      <c r="A3" s="28" t="s">
        <v>728</v>
      </c>
      <c r="B3" s="16">
        <v>2</v>
      </c>
      <c r="C3" s="16" t="s">
        <v>729</v>
      </c>
      <c r="D3" s="25" t="s">
        <v>730</v>
      </c>
      <c r="E3" s="25" t="s">
        <v>731</v>
      </c>
      <c r="F3" s="25" t="s">
        <v>732</v>
      </c>
      <c r="G3" s="29">
        <v>2</v>
      </c>
      <c r="H3" s="27" t="s">
        <v>733</v>
      </c>
      <c r="W3" s="23">
        <v>3</v>
      </c>
      <c r="X3" s="24">
        <v>0</v>
      </c>
    </row>
    <row r="4" spans="1:47" ht="15" customHeight="1">
      <c r="A4" s="28" t="s">
        <v>734</v>
      </c>
      <c r="B4" s="16">
        <v>2</v>
      </c>
      <c r="C4" s="16" t="s">
        <v>735</v>
      </c>
      <c r="D4" s="25" t="s">
        <v>730</v>
      </c>
      <c r="E4" s="25" t="s">
        <v>736</v>
      </c>
      <c r="F4" s="25" t="s">
        <v>726</v>
      </c>
      <c r="G4" s="29">
        <v>3</v>
      </c>
      <c r="H4" s="27" t="s">
        <v>733</v>
      </c>
      <c r="W4" s="23">
        <v>4</v>
      </c>
      <c r="X4" s="24">
        <v>0</v>
      </c>
    </row>
    <row r="5" spans="1:47" ht="15" customHeight="1">
      <c r="A5" s="28" t="s">
        <v>737</v>
      </c>
      <c r="B5" s="16">
        <v>2.5</v>
      </c>
      <c r="C5" s="16" t="s">
        <v>738</v>
      </c>
      <c r="D5" s="25" t="s">
        <v>730</v>
      </c>
      <c r="E5" s="25" t="s">
        <v>736</v>
      </c>
      <c r="F5" s="25" t="s">
        <v>739</v>
      </c>
      <c r="G5" s="29">
        <v>4</v>
      </c>
      <c r="H5" s="27" t="s">
        <v>733</v>
      </c>
      <c r="W5" s="23">
        <v>5</v>
      </c>
      <c r="X5" s="24">
        <v>0</v>
      </c>
    </row>
    <row r="6" spans="1:47" ht="15" customHeight="1">
      <c r="A6" s="28" t="s">
        <v>740</v>
      </c>
      <c r="B6" s="16">
        <v>1</v>
      </c>
      <c r="C6" s="16" t="s">
        <v>741</v>
      </c>
      <c r="D6" s="25" t="s">
        <v>742</v>
      </c>
      <c r="E6" s="25" t="s">
        <v>743</v>
      </c>
      <c r="F6" s="25" t="s">
        <v>744</v>
      </c>
      <c r="G6" s="29">
        <v>5</v>
      </c>
      <c r="H6" s="27" t="s">
        <v>733</v>
      </c>
      <c r="W6" s="23">
        <v>6</v>
      </c>
      <c r="X6" s="24">
        <v>0.1</v>
      </c>
    </row>
    <row r="7" spans="1:47" ht="15" customHeight="1">
      <c r="A7" s="28" t="s">
        <v>745</v>
      </c>
      <c r="B7" s="16">
        <v>2</v>
      </c>
      <c r="C7" s="16" t="s">
        <v>746</v>
      </c>
      <c r="D7" s="25" t="s">
        <v>730</v>
      </c>
      <c r="E7" s="25" t="s">
        <v>747</v>
      </c>
      <c r="F7" s="25" t="s">
        <v>726</v>
      </c>
      <c r="G7" s="30">
        <v>6</v>
      </c>
      <c r="H7" s="27" t="s">
        <v>748</v>
      </c>
      <c r="W7" s="23">
        <v>7</v>
      </c>
      <c r="X7" s="24">
        <v>0.2</v>
      </c>
    </row>
    <row r="8" spans="1:47" ht="15" customHeight="1">
      <c r="A8" s="28" t="s">
        <v>749</v>
      </c>
      <c r="B8" s="16">
        <v>2.5</v>
      </c>
      <c r="C8" s="16" t="s">
        <v>738</v>
      </c>
      <c r="D8" s="25" t="s">
        <v>750</v>
      </c>
      <c r="E8" s="25" t="s">
        <v>751</v>
      </c>
      <c r="F8" s="25" t="s">
        <v>726</v>
      </c>
      <c r="G8" s="30">
        <v>7</v>
      </c>
      <c r="H8" s="27" t="s">
        <v>752</v>
      </c>
      <c r="W8" s="23">
        <v>8</v>
      </c>
      <c r="X8" s="24">
        <v>0.3</v>
      </c>
    </row>
    <row r="9" spans="1:47" ht="15" customHeight="1">
      <c r="A9" s="28" t="s">
        <v>753</v>
      </c>
      <c r="B9" s="16">
        <v>1.5</v>
      </c>
      <c r="C9" s="16" t="s">
        <v>754</v>
      </c>
      <c r="D9" s="25" t="s">
        <v>725</v>
      </c>
      <c r="E9" s="25" t="s">
        <v>736</v>
      </c>
      <c r="F9" s="25" t="s">
        <v>755</v>
      </c>
      <c r="G9" s="30">
        <v>8</v>
      </c>
      <c r="H9" s="27" t="s">
        <v>731</v>
      </c>
      <c r="W9" s="23">
        <v>9</v>
      </c>
      <c r="X9" s="24">
        <v>0.4</v>
      </c>
    </row>
    <row r="10" spans="1:47" ht="15" customHeight="1">
      <c r="A10" s="31" t="s">
        <v>756</v>
      </c>
      <c r="B10" s="16">
        <v>3</v>
      </c>
      <c r="C10" s="16" t="s">
        <v>738</v>
      </c>
      <c r="D10" s="25" t="s">
        <v>750</v>
      </c>
      <c r="E10" s="25" t="s">
        <v>757</v>
      </c>
      <c r="F10" s="25" t="s">
        <v>726</v>
      </c>
      <c r="G10" s="30">
        <v>9</v>
      </c>
      <c r="H10" s="27" t="s">
        <v>757</v>
      </c>
      <c r="W10" s="23">
        <v>10</v>
      </c>
      <c r="X10" s="24">
        <v>0.5</v>
      </c>
    </row>
    <row r="11" spans="1:47" ht="15" customHeight="1">
      <c r="A11" s="31" t="s">
        <v>758</v>
      </c>
      <c r="B11" s="16">
        <v>2.5</v>
      </c>
      <c r="C11" s="16" t="s">
        <v>746</v>
      </c>
      <c r="D11" s="25" t="s">
        <v>750</v>
      </c>
      <c r="E11" s="25" t="s">
        <v>757</v>
      </c>
      <c r="F11" s="25" t="s">
        <v>726</v>
      </c>
      <c r="G11" s="32">
        <v>10</v>
      </c>
      <c r="H11" s="27" t="s">
        <v>759</v>
      </c>
      <c r="W11" s="23">
        <v>11</v>
      </c>
      <c r="X11" s="24">
        <v>0.6</v>
      </c>
    </row>
    <row r="12" spans="1:47" ht="15" customHeight="1">
      <c r="A12" s="33" t="s">
        <v>760</v>
      </c>
      <c r="B12" s="16">
        <v>2.5</v>
      </c>
      <c r="C12" s="16" t="s">
        <v>738</v>
      </c>
      <c r="D12" s="25" t="s">
        <v>730</v>
      </c>
      <c r="E12" s="25" t="s">
        <v>743</v>
      </c>
      <c r="F12" s="25" t="s">
        <v>726</v>
      </c>
      <c r="G12" s="34">
        <v>11</v>
      </c>
      <c r="H12" s="27" t="s">
        <v>747</v>
      </c>
      <c r="W12" s="23">
        <v>12</v>
      </c>
      <c r="X12" s="24">
        <v>0.7</v>
      </c>
    </row>
    <row r="13" spans="1:47" ht="15" customHeight="1">
      <c r="A13" s="33" t="s">
        <v>761</v>
      </c>
      <c r="B13" s="16">
        <v>2</v>
      </c>
      <c r="C13" s="16" t="s">
        <v>746</v>
      </c>
      <c r="D13" s="25" t="s">
        <v>730</v>
      </c>
      <c r="E13" s="25" t="s">
        <v>757</v>
      </c>
      <c r="F13" s="25" t="s">
        <v>726</v>
      </c>
      <c r="G13" s="34">
        <v>12</v>
      </c>
      <c r="H13" s="27" t="s">
        <v>743</v>
      </c>
      <c r="W13" s="23">
        <v>13</v>
      </c>
      <c r="X13" s="24">
        <v>0.8</v>
      </c>
    </row>
    <row r="14" spans="1:47" ht="15" customHeight="1">
      <c r="A14" s="31" t="s">
        <v>762</v>
      </c>
      <c r="B14" s="16">
        <v>2</v>
      </c>
      <c r="C14" s="16" t="s">
        <v>763</v>
      </c>
      <c r="D14" s="25" t="s">
        <v>730</v>
      </c>
      <c r="E14" s="25" t="s">
        <v>743</v>
      </c>
      <c r="F14" s="25" t="s">
        <v>726</v>
      </c>
      <c r="G14" s="34">
        <v>13</v>
      </c>
      <c r="H14" s="27" t="s">
        <v>764</v>
      </c>
      <c r="W14" s="23">
        <v>14</v>
      </c>
      <c r="X14" s="24">
        <v>0.9</v>
      </c>
    </row>
    <row r="15" spans="1:47" ht="15" customHeight="1">
      <c r="A15" s="35" t="s">
        <v>765</v>
      </c>
      <c r="B15" s="16">
        <v>2</v>
      </c>
      <c r="C15" s="16" t="s">
        <v>766</v>
      </c>
      <c r="D15" s="25" t="s">
        <v>730</v>
      </c>
      <c r="E15" s="25" t="s">
        <v>764</v>
      </c>
      <c r="F15" s="25" t="s">
        <v>726</v>
      </c>
      <c r="G15" s="34">
        <v>14</v>
      </c>
      <c r="H15" s="27" t="s">
        <v>751</v>
      </c>
      <c r="W15" s="23">
        <v>15</v>
      </c>
      <c r="X15" s="24">
        <v>1</v>
      </c>
      <c r="AM15" s="18"/>
      <c r="AN15" s="18"/>
      <c r="AO15" s="18"/>
      <c r="AP15" s="18"/>
      <c r="AQ15" s="18"/>
      <c r="AR15" s="18"/>
      <c r="AS15" s="18"/>
      <c r="AT15" s="18"/>
      <c r="AU15" s="18"/>
    </row>
    <row r="16" spans="1:47" ht="15" customHeight="1">
      <c r="A16" s="35" t="s">
        <v>767</v>
      </c>
      <c r="B16" s="16">
        <v>2</v>
      </c>
      <c r="C16" s="16" t="s">
        <v>766</v>
      </c>
      <c r="D16" s="25" t="s">
        <v>730</v>
      </c>
      <c r="E16" s="25" t="s">
        <v>764</v>
      </c>
      <c r="F16" s="25" t="s">
        <v>768</v>
      </c>
      <c r="G16" s="34">
        <v>15</v>
      </c>
      <c r="H16" s="27" t="s">
        <v>769</v>
      </c>
      <c r="W16" s="23">
        <v>16</v>
      </c>
      <c r="X16" s="24">
        <v>0</v>
      </c>
      <c r="AM16" s="18"/>
      <c r="AN16" s="18"/>
      <c r="AO16" s="18"/>
      <c r="AP16" s="18"/>
      <c r="AQ16" s="18"/>
      <c r="AR16" s="18"/>
      <c r="AS16" s="18"/>
      <c r="AT16" s="18"/>
      <c r="AU16" s="18"/>
    </row>
    <row r="17" spans="1:47" ht="15" customHeight="1">
      <c r="A17" s="35" t="s">
        <v>770</v>
      </c>
      <c r="B17" s="16">
        <v>2</v>
      </c>
      <c r="C17" s="16" t="s">
        <v>754</v>
      </c>
      <c r="D17" s="25" t="s">
        <v>730</v>
      </c>
      <c r="E17" s="25" t="s">
        <v>743</v>
      </c>
      <c r="F17" s="25" t="s">
        <v>768</v>
      </c>
      <c r="G17" s="36">
        <v>16</v>
      </c>
      <c r="H17" s="27" t="s">
        <v>771</v>
      </c>
      <c r="W17" s="23">
        <v>17</v>
      </c>
      <c r="X17" s="24">
        <v>0.25</v>
      </c>
      <c r="AM17" s="18"/>
      <c r="AN17" s="18"/>
      <c r="AO17" s="18"/>
      <c r="AP17" s="18"/>
      <c r="AQ17" s="18"/>
      <c r="AR17" s="18"/>
      <c r="AS17" s="18"/>
      <c r="AT17" s="18"/>
      <c r="AU17" s="18"/>
    </row>
    <row r="18" spans="1:47" ht="15" customHeight="1">
      <c r="A18" s="35" t="s">
        <v>772</v>
      </c>
      <c r="B18" s="16">
        <v>2.5</v>
      </c>
      <c r="C18" s="16" t="s">
        <v>766</v>
      </c>
      <c r="D18" s="25" t="s">
        <v>730</v>
      </c>
      <c r="E18" s="25" t="s">
        <v>764</v>
      </c>
      <c r="F18" s="25" t="s">
        <v>768</v>
      </c>
      <c r="G18" s="36">
        <v>17</v>
      </c>
      <c r="H18" s="27" t="s">
        <v>773</v>
      </c>
      <c r="W18" s="23">
        <v>18</v>
      </c>
      <c r="X18" s="24">
        <v>0.75</v>
      </c>
      <c r="AM18" s="18"/>
      <c r="AN18" s="18"/>
      <c r="AO18" s="18"/>
      <c r="AP18" s="18"/>
      <c r="AQ18" s="18"/>
      <c r="AR18" s="18"/>
      <c r="AS18" s="18"/>
      <c r="AT18" s="18"/>
      <c r="AU18" s="18"/>
    </row>
    <row r="19" spans="1:47" ht="15" customHeight="1">
      <c r="A19" s="35" t="s">
        <v>774</v>
      </c>
      <c r="B19" s="16">
        <v>1.5</v>
      </c>
      <c r="C19" s="16" t="s">
        <v>775</v>
      </c>
      <c r="D19" s="25" t="s">
        <v>730</v>
      </c>
      <c r="E19" s="25" t="s">
        <v>764</v>
      </c>
      <c r="F19" s="25" t="s">
        <v>776</v>
      </c>
      <c r="G19" s="36">
        <v>18</v>
      </c>
      <c r="H19" s="27" t="s">
        <v>777</v>
      </c>
      <c r="W19" s="23">
        <v>19</v>
      </c>
      <c r="X19" s="24">
        <v>1</v>
      </c>
      <c r="AM19" s="18"/>
      <c r="AN19" s="18"/>
      <c r="AO19" s="18"/>
      <c r="AP19" s="18"/>
      <c r="AQ19" s="18"/>
      <c r="AR19" s="18"/>
      <c r="AS19" s="18"/>
      <c r="AT19" s="18"/>
      <c r="AU19" s="18"/>
    </row>
    <row r="20" spans="1:47" ht="15" customHeight="1">
      <c r="A20" s="35" t="s">
        <v>778</v>
      </c>
      <c r="B20" s="16">
        <v>2</v>
      </c>
      <c r="C20" s="16" t="s">
        <v>775</v>
      </c>
      <c r="D20" s="25" t="s">
        <v>750</v>
      </c>
      <c r="E20" s="25" t="s">
        <v>743</v>
      </c>
      <c r="F20" s="25" t="s">
        <v>726</v>
      </c>
      <c r="G20" s="36">
        <v>19</v>
      </c>
      <c r="H20" s="27" t="s">
        <v>779</v>
      </c>
      <c r="W20" s="23">
        <v>20</v>
      </c>
      <c r="X20" s="24">
        <v>1</v>
      </c>
      <c r="AM20" s="18"/>
      <c r="AN20" s="18"/>
      <c r="AO20" s="18"/>
      <c r="AP20" s="18"/>
      <c r="AQ20" s="18"/>
      <c r="AR20" s="18"/>
      <c r="AS20" s="18"/>
      <c r="AT20" s="18"/>
      <c r="AU20" s="18"/>
    </row>
    <row r="21" spans="1:47" ht="13.5" customHeight="1">
      <c r="A21" s="35" t="s">
        <v>780</v>
      </c>
      <c r="B21" s="16">
        <v>1</v>
      </c>
      <c r="C21" s="16" t="s">
        <v>766</v>
      </c>
      <c r="D21" s="25" t="s">
        <v>730</v>
      </c>
      <c r="E21" s="25" t="s">
        <v>751</v>
      </c>
      <c r="F21" s="25" t="s">
        <v>726</v>
      </c>
      <c r="G21" s="37">
        <v>20</v>
      </c>
      <c r="H21" s="38" t="s">
        <v>781</v>
      </c>
      <c r="W21" s="39" t="s">
        <v>782</v>
      </c>
      <c r="X21" s="39">
        <f>(G34-G33)</f>
        <v>6</v>
      </c>
      <c r="AM21" s="18"/>
      <c r="AN21" s="18"/>
      <c r="AO21" s="18"/>
      <c r="AP21" s="18"/>
      <c r="AQ21" s="18"/>
      <c r="AR21" s="18"/>
      <c r="AS21" s="18"/>
      <c r="AT21" s="18"/>
      <c r="AU21" s="18"/>
    </row>
    <row r="22" spans="1:47" ht="13.5" customHeight="1">
      <c r="A22" s="35" t="s">
        <v>783</v>
      </c>
      <c r="B22" s="16">
        <v>1</v>
      </c>
      <c r="C22" s="16" t="s">
        <v>784</v>
      </c>
      <c r="D22" s="25" t="s">
        <v>725</v>
      </c>
      <c r="E22" s="25" t="s">
        <v>752</v>
      </c>
      <c r="F22" s="25" t="s">
        <v>785</v>
      </c>
      <c r="G22" s="25"/>
      <c r="H22" s="25"/>
      <c r="W22" s="39"/>
      <c r="X22" s="39"/>
      <c r="AM22" s="18"/>
      <c r="AN22" s="18"/>
      <c r="AO22" s="18"/>
      <c r="AP22" s="18"/>
      <c r="AQ22" s="18"/>
      <c r="AR22" s="18"/>
      <c r="AS22" s="18"/>
      <c r="AT22" s="18"/>
      <c r="AU22" s="18"/>
    </row>
    <row r="23" spans="1:47" ht="13.5" customHeight="1">
      <c r="G23" s="25"/>
      <c r="H23" s="25"/>
      <c r="W23" s="39"/>
      <c r="X23" s="39"/>
      <c r="AM23" s="18"/>
      <c r="AN23" s="18"/>
      <c r="AO23" s="18"/>
      <c r="AP23" s="18"/>
      <c r="AQ23" s="18"/>
      <c r="AR23" s="18"/>
      <c r="AS23" s="18"/>
      <c r="AT23" s="18"/>
      <c r="AU23" s="18"/>
    </row>
    <row r="24" spans="1:47" ht="13.5" customHeight="1">
      <c r="G24" s="25"/>
      <c r="H24" s="25"/>
      <c r="W24" s="39"/>
      <c r="X24" s="39"/>
      <c r="AM24" s="18"/>
      <c r="AN24" s="18"/>
      <c r="AO24" s="18"/>
      <c r="AP24" s="18"/>
      <c r="AQ24" s="18"/>
      <c r="AR24" s="18"/>
      <c r="AS24" s="18"/>
      <c r="AT24" s="18"/>
      <c r="AU24" s="18"/>
    </row>
    <row r="25" spans="1:47" ht="13.5" customHeight="1">
      <c r="H25" s="25"/>
      <c r="W25" s="39"/>
      <c r="X25" s="39"/>
      <c r="AM25" s="18"/>
      <c r="AN25" s="18"/>
      <c r="AO25" s="18"/>
      <c r="AP25" s="18"/>
      <c r="AQ25" s="18"/>
      <c r="AR25" s="18"/>
      <c r="AS25" s="18"/>
      <c r="AT25" s="18"/>
      <c r="AU25" s="18"/>
    </row>
    <row r="26" spans="1:47" ht="13.5" customHeight="1">
      <c r="H26" s="25"/>
      <c r="W26" s="39"/>
      <c r="X26" s="39"/>
      <c r="AM26" s="18"/>
      <c r="AN26" s="18"/>
      <c r="AO26" s="18"/>
      <c r="AP26" s="18"/>
      <c r="AQ26" s="18"/>
      <c r="AR26" s="18"/>
      <c r="AS26" s="18"/>
      <c r="AT26" s="18"/>
      <c r="AU26" s="18"/>
    </row>
    <row r="27" spans="1:47" ht="14.25" customHeight="1">
      <c r="B27" s="16"/>
      <c r="D27" s="25"/>
      <c r="E27" s="25"/>
      <c r="F27" s="25"/>
      <c r="W27" s="39" t="s">
        <v>786</v>
      </c>
      <c r="X27" s="40">
        <f>VLOOKUP($G32, $W$1:$X$20, 2, FALSE)</f>
        <v>0.25</v>
      </c>
      <c r="AM27" s="18"/>
      <c r="AN27" s="18"/>
      <c r="AO27" s="18"/>
      <c r="AP27" s="18"/>
      <c r="AQ27" s="18"/>
      <c r="AR27" s="18"/>
      <c r="AS27" s="18"/>
      <c r="AT27" s="18"/>
      <c r="AU27" s="18"/>
    </row>
    <row r="28" spans="1:47" ht="14.25" customHeight="1">
      <c r="A28" s="41" t="s">
        <v>787</v>
      </c>
      <c r="B28" s="41"/>
      <c r="C28" s="41"/>
      <c r="D28" s="25"/>
      <c r="E28" s="25"/>
      <c r="F28" s="25"/>
      <c r="AM28" s="18"/>
      <c r="AN28" s="18"/>
      <c r="AO28" s="18"/>
      <c r="AP28" s="18"/>
      <c r="AQ28" s="18"/>
      <c r="AR28" s="18"/>
      <c r="AS28" s="18"/>
      <c r="AT28" s="18"/>
      <c r="AU28" s="18"/>
    </row>
    <row r="29" spans="1:47" ht="14.25" customHeight="1">
      <c r="A29" s="42" t="s">
        <v>788</v>
      </c>
      <c r="B29" s="16">
        <v>1.5</v>
      </c>
      <c r="C29" s="16" t="s">
        <v>754</v>
      </c>
      <c r="D29" s="25" t="s">
        <v>725</v>
      </c>
      <c r="E29" s="25" t="s">
        <v>736</v>
      </c>
      <c r="AM29" s="18"/>
      <c r="AN29" s="18"/>
      <c r="AO29" s="18"/>
      <c r="AP29" s="18"/>
      <c r="AQ29" s="18"/>
      <c r="AR29" s="18"/>
      <c r="AS29" s="18"/>
      <c r="AT29" s="18"/>
      <c r="AU29" s="18"/>
    </row>
    <row r="30" spans="1:47" ht="14.25" customHeight="1">
      <c r="A30" s="42" t="s">
        <v>789</v>
      </c>
      <c r="B30" s="16">
        <v>2</v>
      </c>
      <c r="C30" s="16" t="s">
        <v>738</v>
      </c>
      <c r="D30" s="25" t="s">
        <v>730</v>
      </c>
      <c r="E30" s="25" t="s">
        <v>736</v>
      </c>
      <c r="F30" s="43" t="s">
        <v>790</v>
      </c>
      <c r="G30" s="44"/>
      <c r="AM30" s="18"/>
      <c r="AN30" s="18"/>
      <c r="AO30" s="18"/>
      <c r="AP30" s="18"/>
      <c r="AQ30" s="18"/>
      <c r="AR30" s="18"/>
      <c r="AS30" s="18"/>
      <c r="AT30" s="18"/>
      <c r="AU30" s="18"/>
    </row>
    <row r="31" spans="1:47" ht="14.25" customHeight="1">
      <c r="A31" s="42" t="s">
        <v>791</v>
      </c>
      <c r="B31" s="16">
        <v>2</v>
      </c>
      <c r="C31" s="16" t="s">
        <v>792</v>
      </c>
      <c r="D31" s="25" t="s">
        <v>730</v>
      </c>
      <c r="E31" s="25" t="s">
        <v>736</v>
      </c>
      <c r="AM31" s="18"/>
      <c r="AN31" s="18"/>
      <c r="AO31" s="18"/>
      <c r="AP31" s="18"/>
      <c r="AQ31" s="18"/>
      <c r="AR31" s="18"/>
      <c r="AS31" s="18"/>
      <c r="AT31" s="18"/>
      <c r="AU31" s="18"/>
    </row>
    <row r="32" spans="1:47" ht="14.25" customHeight="1">
      <c r="A32" s="42" t="s">
        <v>793</v>
      </c>
      <c r="B32" s="16" t="s">
        <v>726</v>
      </c>
      <c r="C32" s="16" t="s">
        <v>726</v>
      </c>
      <c r="D32" s="25" t="s">
        <v>794</v>
      </c>
      <c r="E32" s="25" t="s">
        <v>736</v>
      </c>
      <c r="F32" s="45" t="s">
        <v>24</v>
      </c>
      <c r="G32" s="46">
        <v>17</v>
      </c>
      <c r="AM32" s="18"/>
      <c r="AN32" s="18"/>
      <c r="AO32" s="18"/>
      <c r="AP32" s="18"/>
      <c r="AQ32" s="18"/>
      <c r="AR32" s="18"/>
      <c r="AS32" s="18"/>
      <c r="AT32" s="18"/>
      <c r="AU32" s="18"/>
    </row>
    <row r="33" spans="1:47" ht="14.25" customHeight="1">
      <c r="A33" s="42" t="s">
        <v>795</v>
      </c>
      <c r="B33" s="16" t="s">
        <v>726</v>
      </c>
      <c r="C33" s="16" t="s">
        <v>726</v>
      </c>
      <c r="D33" s="25" t="s">
        <v>730</v>
      </c>
      <c r="E33" s="25" t="s">
        <v>736</v>
      </c>
      <c r="F33" s="47" t="s">
        <v>796</v>
      </c>
      <c r="G33" s="48">
        <v>10</v>
      </c>
      <c r="AM33" s="18"/>
      <c r="AN33" s="18"/>
      <c r="AO33" s="18"/>
      <c r="AP33" s="18"/>
      <c r="AQ33" s="18"/>
      <c r="AR33" s="18"/>
      <c r="AS33" s="18"/>
      <c r="AT33" s="18"/>
      <c r="AU33" s="18"/>
    </row>
    <row r="34" spans="1:47" ht="14.25" customHeight="1">
      <c r="D34" s="25"/>
      <c r="F34" s="49" t="s">
        <v>797</v>
      </c>
      <c r="G34" s="50">
        <v>16</v>
      </c>
      <c r="AM34" s="18"/>
      <c r="AN34" s="18"/>
      <c r="AO34" s="18"/>
      <c r="AP34" s="18"/>
      <c r="AQ34" s="18"/>
      <c r="AR34" s="18"/>
      <c r="AS34" s="18"/>
      <c r="AT34" s="18"/>
      <c r="AU34" s="18"/>
    </row>
    <row r="35" spans="1:47" ht="15" customHeight="1">
      <c r="A35" s="41" t="s">
        <v>798</v>
      </c>
      <c r="B35" s="41"/>
      <c r="C35" s="41"/>
      <c r="D35" s="25"/>
      <c r="F35" s="49" t="s">
        <v>717</v>
      </c>
      <c r="G35" s="50">
        <v>1</v>
      </c>
      <c r="AM35" s="18"/>
      <c r="AN35" s="18"/>
      <c r="AO35" s="18"/>
      <c r="AP35" s="18"/>
      <c r="AQ35" s="18"/>
      <c r="AR35" s="18"/>
      <c r="AS35" s="18"/>
      <c r="AT35" s="18"/>
      <c r="AU35" s="18"/>
    </row>
    <row r="36" spans="1:47" ht="15" customHeight="1">
      <c r="A36" s="1" t="s">
        <v>799</v>
      </c>
      <c r="B36" s="1"/>
      <c r="C36" s="1"/>
      <c r="D36" s="25"/>
      <c r="F36" s="49" t="s">
        <v>800</v>
      </c>
      <c r="G36" s="50">
        <v>0</v>
      </c>
      <c r="H36" s="51"/>
      <c r="AM36" s="18"/>
      <c r="AN36" s="18"/>
      <c r="AO36" s="18"/>
      <c r="AP36" s="18"/>
      <c r="AQ36" s="18"/>
      <c r="AR36" s="18"/>
      <c r="AS36" s="18"/>
      <c r="AT36" s="18"/>
      <c r="AU36" s="18"/>
    </row>
    <row r="37" spans="1:47" ht="15" customHeight="1">
      <c r="A37" s="15" t="s">
        <v>801</v>
      </c>
      <c r="B37" s="1"/>
      <c r="C37" s="1"/>
      <c r="D37" s="52"/>
      <c r="F37" s="53" t="s">
        <v>802</v>
      </c>
      <c r="G37" s="54">
        <v>0</v>
      </c>
      <c r="AM37" s="18"/>
      <c r="AN37" s="18"/>
      <c r="AO37" s="18"/>
      <c r="AP37" s="18"/>
      <c r="AQ37" s="18"/>
      <c r="AR37" s="18"/>
      <c r="AS37" s="18"/>
      <c r="AT37" s="18"/>
      <c r="AU37" s="18"/>
    </row>
    <row r="38" spans="1:47" ht="15" customHeight="1">
      <c r="A38" s="1" t="s">
        <v>803</v>
      </c>
      <c r="B38" s="1"/>
      <c r="C38" s="1"/>
      <c r="D38" s="25"/>
      <c r="F38" s="49" t="s">
        <v>804</v>
      </c>
      <c r="G38" s="55">
        <f>IF(AND(G32&gt;=16, G32&lt;=20), ((X21*X27)+G33) * G35, (X21*X27)+G33)</f>
        <v>11.5</v>
      </c>
      <c r="AK38" s="15"/>
      <c r="AM38" s="18"/>
      <c r="AN38" s="18"/>
      <c r="AO38" s="18"/>
      <c r="AP38" s="18"/>
      <c r="AQ38" s="18"/>
      <c r="AR38" s="18"/>
      <c r="AS38" s="18"/>
      <c r="AT38" s="18"/>
      <c r="AU38" s="18"/>
    </row>
    <row r="39" spans="1:47" ht="15" customHeight="1">
      <c r="A39" s="1" t="s">
        <v>805</v>
      </c>
      <c r="B39" s="1"/>
      <c r="C39" s="1"/>
      <c r="D39" s="25"/>
      <c r="F39" s="56" t="s">
        <v>806</v>
      </c>
      <c r="G39" s="57">
        <f>G34*(100%-G37)-G36</f>
        <v>16</v>
      </c>
    </row>
    <row r="40" spans="1:47" ht="15.9" customHeight="1">
      <c r="A40" s="1" t="s">
        <v>807</v>
      </c>
      <c r="B40" s="1"/>
      <c r="C40" s="1"/>
    </row>
    <row r="41" spans="1:47" ht="15.75" customHeight="1">
      <c r="A41" s="1" t="s">
        <v>808</v>
      </c>
      <c r="B41" s="1"/>
      <c r="C41" s="1"/>
    </row>
    <row r="42" spans="1:47" ht="15.75" customHeight="1">
      <c r="A42" s="1"/>
      <c r="B42" s="10"/>
      <c r="C42" s="10"/>
    </row>
    <row r="43" spans="1:47" ht="15.75" customHeight="1">
      <c r="A43" s="10" t="s">
        <v>809</v>
      </c>
      <c r="B43" s="58"/>
      <c r="C43" s="58"/>
      <c r="D43" s="59"/>
      <c r="E43" s="51"/>
    </row>
    <row r="44" spans="1:47" ht="15.75" customHeight="1">
      <c r="A44" s="58" t="s">
        <v>810</v>
      </c>
      <c r="B44" s="58"/>
      <c r="C44" s="58"/>
      <c r="D44" s="60"/>
      <c r="E44" s="51"/>
      <c r="H44" s="61"/>
      <c r="I44" s="61"/>
      <c r="J44" s="61"/>
      <c r="K44" s="61"/>
      <c r="L44" s="61"/>
      <c r="M44" s="61"/>
      <c r="N44" s="61"/>
    </row>
    <row r="45" spans="1:47" ht="15.75" customHeight="1">
      <c r="A45" s="58" t="s">
        <v>811</v>
      </c>
      <c r="B45" s="58"/>
      <c r="C45" s="58"/>
    </row>
    <row r="46" spans="1:47" ht="15.75" customHeight="1">
      <c r="A46" s="15" t="s">
        <v>812</v>
      </c>
      <c r="D46" s="59"/>
      <c r="E46" s="59"/>
    </row>
    <row r="47" spans="1:47" ht="15.75" customHeight="1">
      <c r="D47" s="60"/>
      <c r="E47" s="60"/>
    </row>
  </sheetData>
  <pageMargins left="0.7" right="0.7"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39997558519241921"/>
  </sheetPr>
  <dimension ref="A1:P117"/>
  <sheetViews>
    <sheetView zoomScale="115" zoomScaleNormal="115" workbookViewId="0">
      <pane xSplit="1" topLeftCell="B1" activePane="topRight" state="frozen"/>
      <selection activeCell="A88" sqref="A88"/>
      <selection pane="topRight" activeCell="D23" sqref="D23"/>
    </sheetView>
  </sheetViews>
  <sheetFormatPr defaultRowHeight="14.25" customHeight="1"/>
  <cols>
    <col min="1" max="1" width="11.7109375" style="580" customWidth="1"/>
    <col min="2" max="2" width="46.140625" style="673" customWidth="1"/>
    <col min="3" max="3" width="36.85546875" style="673" customWidth="1"/>
    <col min="4" max="4" width="34" style="673" customWidth="1"/>
    <col min="5" max="5" width="45.640625" style="674" bestFit="1" customWidth="1"/>
    <col min="6" max="6" width="38.5" style="673" bestFit="1" customWidth="1"/>
    <col min="7" max="7" width="36.7109375" style="673" customWidth="1"/>
    <col min="8" max="8" width="39" style="580" customWidth="1"/>
    <col min="9" max="11" width="36.2109375" style="580" customWidth="1"/>
    <col min="12" max="12" width="24.5" bestFit="1" customWidth="1"/>
    <col min="13" max="13" width="36.78515625" bestFit="1" customWidth="1"/>
    <col min="16" max="16" width="45.640625" style="580" bestFit="1" customWidth="1"/>
  </cols>
  <sheetData>
    <row r="1" spans="1:13" s="62" customFormat="1" ht="14.25" customHeight="1">
      <c r="A1" s="63"/>
      <c r="B1" s="682" t="s">
        <v>813</v>
      </c>
      <c r="C1" s="679" t="s">
        <v>829</v>
      </c>
      <c r="D1" s="679" t="s">
        <v>829</v>
      </c>
      <c r="E1" s="679" t="s">
        <v>829</v>
      </c>
      <c r="F1" s="679" t="s">
        <v>829</v>
      </c>
      <c r="G1" s="679" t="s">
        <v>829</v>
      </c>
      <c r="H1" s="676" t="s">
        <v>868</v>
      </c>
      <c r="I1" s="676" t="s">
        <v>868</v>
      </c>
      <c r="J1" s="676" t="s">
        <v>868</v>
      </c>
      <c r="K1" s="672" t="s">
        <v>897</v>
      </c>
      <c r="L1" s="672" t="s">
        <v>897</v>
      </c>
      <c r="M1" s="672" t="s">
        <v>897</v>
      </c>
    </row>
    <row r="2" spans="1:13" s="62" customFormat="1" ht="14.25" customHeight="1">
      <c r="A2" s="65" t="s">
        <v>24</v>
      </c>
      <c r="B2" s="685" t="s">
        <v>6031</v>
      </c>
      <c r="C2" s="65" t="s">
        <v>6022</v>
      </c>
      <c r="D2" s="65" t="s">
        <v>6030</v>
      </c>
      <c r="E2" s="65" t="s">
        <v>6029</v>
      </c>
      <c r="F2" s="65" t="s">
        <v>6027</v>
      </c>
      <c r="G2" s="65" t="s">
        <v>6028</v>
      </c>
      <c r="H2" s="65" t="s">
        <v>6023</v>
      </c>
      <c r="I2" s="65" t="s">
        <v>6026</v>
      </c>
      <c r="J2" s="65" t="s">
        <v>6025</v>
      </c>
      <c r="K2" s="65" t="s">
        <v>6024</v>
      </c>
      <c r="L2" s="65" t="s">
        <v>898</v>
      </c>
      <c r="M2" s="65" t="s">
        <v>899</v>
      </c>
    </row>
    <row r="3" spans="1:13" s="62" customFormat="1" ht="14.25" customHeight="1">
      <c r="A3" s="67">
        <v>1</v>
      </c>
      <c r="B3" s="681" t="s">
        <v>814</v>
      </c>
      <c r="C3" s="66" t="s">
        <v>830</v>
      </c>
      <c r="D3" s="67" t="s">
        <v>831</v>
      </c>
      <c r="E3" s="66" t="s">
        <v>832</v>
      </c>
      <c r="F3" s="67" t="s">
        <v>833</v>
      </c>
      <c r="G3" s="67" t="s">
        <v>831</v>
      </c>
      <c r="H3" s="66" t="s">
        <v>830</v>
      </c>
      <c r="I3" s="681" t="s">
        <v>869</v>
      </c>
      <c r="J3" s="681" t="s">
        <v>870</v>
      </c>
      <c r="K3" s="70" t="s">
        <v>900</v>
      </c>
      <c r="L3" s="681" t="s">
        <v>873</v>
      </c>
      <c r="M3" s="681" t="s">
        <v>901</v>
      </c>
    </row>
    <row r="4" spans="1:13" ht="14.25" customHeight="1">
      <c r="A4" s="632">
        <v>2</v>
      </c>
      <c r="B4" s="675" t="s">
        <v>815</v>
      </c>
      <c r="C4" s="632" t="s">
        <v>834</v>
      </c>
      <c r="D4" s="632" t="s">
        <v>5798</v>
      </c>
      <c r="E4" s="632" t="s">
        <v>836</v>
      </c>
      <c r="F4" s="632" t="s">
        <v>837</v>
      </c>
      <c r="G4" s="632" t="s">
        <v>835</v>
      </c>
      <c r="H4" s="632" t="s">
        <v>834</v>
      </c>
      <c r="I4" s="675" t="s">
        <v>871</v>
      </c>
      <c r="J4" s="675" t="s">
        <v>872</v>
      </c>
      <c r="K4" s="71" t="s">
        <v>902</v>
      </c>
      <c r="L4" s="675" t="s">
        <v>903</v>
      </c>
      <c r="M4" s="675" t="s">
        <v>873</v>
      </c>
    </row>
    <row r="5" spans="1:13" ht="14.25" customHeight="1">
      <c r="A5" s="632">
        <v>3</v>
      </c>
      <c r="B5" s="675" t="s">
        <v>816</v>
      </c>
      <c r="C5" s="632" t="s">
        <v>838</v>
      </c>
      <c r="D5" s="632" t="s">
        <v>5798</v>
      </c>
      <c r="E5" s="632" t="s">
        <v>839</v>
      </c>
      <c r="F5" s="632" t="s">
        <v>837</v>
      </c>
      <c r="G5" s="632" t="s">
        <v>835</v>
      </c>
      <c r="H5" s="632" t="s">
        <v>838</v>
      </c>
      <c r="I5" s="675" t="s">
        <v>873</v>
      </c>
      <c r="J5" s="675" t="s">
        <v>874</v>
      </c>
      <c r="K5" s="71" t="s">
        <v>902</v>
      </c>
      <c r="L5" s="675" t="s">
        <v>875</v>
      </c>
      <c r="M5" s="675" t="s">
        <v>875</v>
      </c>
    </row>
    <row r="6" spans="1:13" ht="14.25" customHeight="1">
      <c r="A6" s="632">
        <v>4</v>
      </c>
      <c r="B6" s="675" t="s">
        <v>817</v>
      </c>
      <c r="C6" s="632" t="s">
        <v>840</v>
      </c>
      <c r="D6" s="632" t="s">
        <v>5798</v>
      </c>
      <c r="E6" s="632" t="s">
        <v>841</v>
      </c>
      <c r="F6" s="632" t="s">
        <v>837</v>
      </c>
      <c r="G6" s="632" t="s">
        <v>835</v>
      </c>
      <c r="H6" s="632" t="s">
        <v>840</v>
      </c>
      <c r="I6" s="675" t="s">
        <v>875</v>
      </c>
      <c r="J6" s="675" t="s">
        <v>876</v>
      </c>
      <c r="K6" s="71" t="s">
        <v>902</v>
      </c>
      <c r="L6" s="675" t="s">
        <v>877</v>
      </c>
      <c r="M6" s="675" t="s">
        <v>877</v>
      </c>
    </row>
    <row r="7" spans="1:13" ht="14.25" customHeight="1">
      <c r="A7" s="632">
        <v>5</v>
      </c>
      <c r="B7" s="675" t="s">
        <v>818</v>
      </c>
      <c r="C7" s="632" t="s">
        <v>842</v>
      </c>
      <c r="D7" s="632" t="s">
        <v>5798</v>
      </c>
      <c r="E7" s="632" t="s">
        <v>843</v>
      </c>
      <c r="F7" s="632" t="s">
        <v>837</v>
      </c>
      <c r="G7" s="632" t="s">
        <v>835</v>
      </c>
      <c r="H7" s="632" t="s">
        <v>842</v>
      </c>
      <c r="I7" s="675" t="s">
        <v>877</v>
      </c>
      <c r="J7" s="675" t="s">
        <v>878</v>
      </c>
      <c r="K7" s="71" t="s">
        <v>902</v>
      </c>
      <c r="L7" s="675" t="s">
        <v>904</v>
      </c>
      <c r="M7" s="675" t="s">
        <v>904</v>
      </c>
    </row>
    <row r="8" spans="1:13" ht="14.25" customHeight="1">
      <c r="A8" s="633">
        <v>6</v>
      </c>
      <c r="B8" s="680" t="s">
        <v>819</v>
      </c>
      <c r="C8" s="633" t="s">
        <v>844</v>
      </c>
      <c r="D8" s="633" t="s">
        <v>835</v>
      </c>
      <c r="E8" s="633" t="s">
        <v>845</v>
      </c>
      <c r="F8" s="633" t="s">
        <v>835</v>
      </c>
      <c r="G8" s="633" t="s">
        <v>835</v>
      </c>
      <c r="H8" s="633" t="s">
        <v>844</v>
      </c>
      <c r="I8" s="680" t="s">
        <v>879</v>
      </c>
      <c r="J8" s="680" t="s">
        <v>880</v>
      </c>
      <c r="K8" s="72" t="s">
        <v>905</v>
      </c>
      <c r="L8" s="680" t="s">
        <v>845</v>
      </c>
      <c r="M8" s="680" t="s">
        <v>845</v>
      </c>
    </row>
    <row r="9" spans="1:13" ht="14.25" customHeight="1">
      <c r="A9" s="633">
        <v>7</v>
      </c>
      <c r="B9" s="680" t="s">
        <v>820</v>
      </c>
      <c r="C9" s="633" t="s">
        <v>846</v>
      </c>
      <c r="D9" s="633" t="s">
        <v>835</v>
      </c>
      <c r="E9" s="633" t="s">
        <v>845</v>
      </c>
      <c r="F9" s="633" t="s">
        <v>835</v>
      </c>
      <c r="G9" s="633" t="s">
        <v>835</v>
      </c>
      <c r="H9" s="633" t="s">
        <v>846</v>
      </c>
      <c r="I9" s="680" t="s">
        <v>881</v>
      </c>
      <c r="J9" s="680" t="s">
        <v>882</v>
      </c>
      <c r="K9" s="72" t="s">
        <v>905</v>
      </c>
      <c r="L9" s="680" t="s">
        <v>845</v>
      </c>
      <c r="M9" s="680" t="s">
        <v>845</v>
      </c>
    </row>
    <row r="10" spans="1:13" ht="14.25" customHeight="1">
      <c r="A10" s="633">
        <v>8</v>
      </c>
      <c r="B10" s="680" t="s">
        <v>821</v>
      </c>
      <c r="C10" s="633" t="s">
        <v>847</v>
      </c>
      <c r="D10" s="633" t="s">
        <v>835</v>
      </c>
      <c r="E10" s="633" t="s">
        <v>845</v>
      </c>
      <c r="F10" s="633" t="s">
        <v>835</v>
      </c>
      <c r="G10" s="633" t="s">
        <v>835</v>
      </c>
      <c r="H10" s="633" t="s">
        <v>847</v>
      </c>
      <c r="I10" s="680" t="s">
        <v>883</v>
      </c>
      <c r="J10" s="680" t="s">
        <v>884</v>
      </c>
      <c r="K10" s="72" t="s">
        <v>905</v>
      </c>
      <c r="L10" s="680" t="s">
        <v>845</v>
      </c>
      <c r="M10" s="680" t="s">
        <v>845</v>
      </c>
    </row>
    <row r="11" spans="1:13" ht="14.25" customHeight="1">
      <c r="A11" s="633">
        <v>9</v>
      </c>
      <c r="B11" s="680" t="s">
        <v>822</v>
      </c>
      <c r="C11" s="633" t="s">
        <v>848</v>
      </c>
      <c r="D11" s="633" t="s">
        <v>835</v>
      </c>
      <c r="E11" s="633" t="s">
        <v>845</v>
      </c>
      <c r="F11" s="633" t="s">
        <v>835</v>
      </c>
      <c r="G11" s="633" t="s">
        <v>835</v>
      </c>
      <c r="H11" s="633" t="s">
        <v>848</v>
      </c>
      <c r="I11" s="680" t="s">
        <v>885</v>
      </c>
      <c r="J11" s="680" t="s">
        <v>886</v>
      </c>
      <c r="K11" s="72" t="s">
        <v>905</v>
      </c>
      <c r="L11" s="680" t="s">
        <v>845</v>
      </c>
      <c r="M11" s="680" t="s">
        <v>845</v>
      </c>
    </row>
    <row r="12" spans="1:13" ht="14.25" customHeight="1">
      <c r="A12" s="634">
        <v>10</v>
      </c>
      <c r="B12" s="684" t="s">
        <v>823</v>
      </c>
      <c r="C12" s="634" t="s">
        <v>849</v>
      </c>
      <c r="D12" s="634" t="s">
        <v>835</v>
      </c>
      <c r="E12" s="634" t="s">
        <v>845</v>
      </c>
      <c r="F12" s="634" t="s">
        <v>835</v>
      </c>
      <c r="G12" s="634" t="s">
        <v>835</v>
      </c>
      <c r="H12" s="634" t="s">
        <v>849</v>
      </c>
      <c r="I12" s="684" t="s">
        <v>887</v>
      </c>
      <c r="J12" s="684" t="s">
        <v>888</v>
      </c>
      <c r="K12" s="73" t="s">
        <v>906</v>
      </c>
      <c r="L12" s="684" t="s">
        <v>845</v>
      </c>
      <c r="M12" s="684" t="s">
        <v>845</v>
      </c>
    </row>
    <row r="13" spans="1:13" ht="14.25" customHeight="1">
      <c r="A13" s="636">
        <v>11</v>
      </c>
      <c r="B13" s="677" t="s">
        <v>824</v>
      </c>
      <c r="C13" s="636" t="s">
        <v>850</v>
      </c>
      <c r="D13" s="636" t="s">
        <v>5797</v>
      </c>
      <c r="E13" s="68" t="s">
        <v>851</v>
      </c>
      <c r="F13" s="636" t="s">
        <v>835</v>
      </c>
      <c r="G13" s="636" t="s">
        <v>835</v>
      </c>
      <c r="H13" s="636" t="s">
        <v>850</v>
      </c>
      <c r="I13" s="677" t="s">
        <v>889</v>
      </c>
      <c r="J13" s="677" t="s">
        <v>890</v>
      </c>
      <c r="K13" s="79" t="s">
        <v>907</v>
      </c>
      <c r="L13" s="677" t="s">
        <v>845</v>
      </c>
      <c r="M13" s="677" t="s">
        <v>908</v>
      </c>
    </row>
    <row r="14" spans="1:13" ht="14.25" customHeight="1">
      <c r="A14" s="636">
        <v>12</v>
      </c>
      <c r="B14" s="677" t="s">
        <v>825</v>
      </c>
      <c r="C14" s="636" t="s">
        <v>852</v>
      </c>
      <c r="D14" s="636" t="s">
        <v>5797</v>
      </c>
      <c r="E14" s="636" t="s">
        <v>853</v>
      </c>
      <c r="F14" s="636" t="s">
        <v>835</v>
      </c>
      <c r="G14" s="636" t="s">
        <v>835</v>
      </c>
      <c r="H14" s="636" t="s">
        <v>852</v>
      </c>
      <c r="I14" s="677" t="s">
        <v>889</v>
      </c>
      <c r="J14" s="677" t="s">
        <v>891</v>
      </c>
      <c r="K14" s="79" t="s">
        <v>907</v>
      </c>
      <c r="L14" s="677" t="s">
        <v>909</v>
      </c>
      <c r="M14" s="677" t="s">
        <v>910</v>
      </c>
    </row>
    <row r="15" spans="1:13" s="62" customFormat="1" ht="14.25" customHeight="1">
      <c r="A15" s="636">
        <v>13</v>
      </c>
      <c r="B15" s="677" t="s">
        <v>825</v>
      </c>
      <c r="C15" s="636" t="s">
        <v>854</v>
      </c>
      <c r="D15" s="636" t="s">
        <v>5797</v>
      </c>
      <c r="E15" s="636" t="s">
        <v>853</v>
      </c>
      <c r="F15" s="636" t="s">
        <v>835</v>
      </c>
      <c r="G15" s="636" t="s">
        <v>835</v>
      </c>
      <c r="H15" s="636" t="s">
        <v>854</v>
      </c>
      <c r="I15" s="677" t="s">
        <v>889</v>
      </c>
      <c r="J15" s="677" t="s">
        <v>892</v>
      </c>
      <c r="K15" s="79" t="s">
        <v>907</v>
      </c>
      <c r="L15" s="677" t="s">
        <v>911</v>
      </c>
      <c r="M15" s="677" t="s">
        <v>912</v>
      </c>
    </row>
    <row r="16" spans="1:13" ht="14.25" customHeight="1">
      <c r="A16" s="636">
        <v>14</v>
      </c>
      <c r="B16" s="677" t="s">
        <v>826</v>
      </c>
      <c r="C16" s="636" t="s">
        <v>855</v>
      </c>
      <c r="D16" s="636" t="s">
        <v>5797</v>
      </c>
      <c r="E16" s="636" t="s">
        <v>856</v>
      </c>
      <c r="F16" s="636" t="s">
        <v>835</v>
      </c>
      <c r="G16" s="636" t="s">
        <v>835</v>
      </c>
      <c r="H16" s="636" t="s">
        <v>855</v>
      </c>
      <c r="I16" s="677" t="s">
        <v>889</v>
      </c>
      <c r="J16" s="677" t="s">
        <v>893</v>
      </c>
      <c r="K16" s="79" t="s">
        <v>907</v>
      </c>
      <c r="L16" s="677" t="s">
        <v>913</v>
      </c>
      <c r="M16" s="677" t="s">
        <v>914</v>
      </c>
    </row>
    <row r="17" spans="1:13" ht="13.5" customHeight="1">
      <c r="A17" s="636">
        <v>15</v>
      </c>
      <c r="B17" s="677" t="s">
        <v>826</v>
      </c>
      <c r="C17" s="636" t="s">
        <v>857</v>
      </c>
      <c r="D17" s="636" t="s">
        <v>5797</v>
      </c>
      <c r="E17" s="636" t="s">
        <v>856</v>
      </c>
      <c r="F17" s="636" t="s">
        <v>835</v>
      </c>
      <c r="G17" s="636" t="s">
        <v>835</v>
      </c>
      <c r="H17" s="636" t="s">
        <v>857</v>
      </c>
      <c r="I17" s="677" t="s">
        <v>889</v>
      </c>
      <c r="J17" s="677" t="s">
        <v>894</v>
      </c>
      <c r="K17" s="79" t="s">
        <v>907</v>
      </c>
      <c r="L17" s="677" t="s">
        <v>915</v>
      </c>
      <c r="M17" s="677" t="s">
        <v>916</v>
      </c>
    </row>
    <row r="18" spans="1:13" ht="13.5" customHeight="1">
      <c r="A18" s="638">
        <v>16</v>
      </c>
      <c r="B18" s="678" t="s">
        <v>827</v>
      </c>
      <c r="C18" s="638" t="s">
        <v>858</v>
      </c>
      <c r="D18" s="638" t="s">
        <v>859</v>
      </c>
      <c r="E18" s="638" t="s">
        <v>860</v>
      </c>
      <c r="F18" s="638" t="s">
        <v>861</v>
      </c>
      <c r="G18" s="638" t="s">
        <v>862</v>
      </c>
      <c r="H18" s="638" t="s">
        <v>858</v>
      </c>
      <c r="I18" s="678" t="s">
        <v>895</v>
      </c>
      <c r="J18" s="678" t="s">
        <v>889</v>
      </c>
      <c r="K18" s="82" t="s">
        <v>917</v>
      </c>
      <c r="L18" s="678" t="s">
        <v>918</v>
      </c>
      <c r="M18" s="678" t="s">
        <v>919</v>
      </c>
    </row>
    <row r="19" spans="1:13" ht="13.5" customHeight="1">
      <c r="A19" s="638">
        <v>17</v>
      </c>
      <c r="B19" s="678" t="s">
        <v>827</v>
      </c>
      <c r="C19" s="638" t="s">
        <v>858</v>
      </c>
      <c r="D19" s="638" t="s">
        <v>859</v>
      </c>
      <c r="E19" s="638" t="s">
        <v>860</v>
      </c>
      <c r="F19" s="638" t="s">
        <v>861</v>
      </c>
      <c r="G19" s="638" t="s">
        <v>862</v>
      </c>
      <c r="H19" s="638" t="s">
        <v>858</v>
      </c>
      <c r="I19" s="678" t="s">
        <v>895</v>
      </c>
      <c r="J19" s="678" t="s">
        <v>889</v>
      </c>
      <c r="K19" s="82" t="s">
        <v>917</v>
      </c>
      <c r="L19" s="678" t="s">
        <v>920</v>
      </c>
      <c r="M19" s="678" t="s">
        <v>921</v>
      </c>
    </row>
    <row r="20" spans="1:13" ht="13.5" customHeight="1">
      <c r="A20" s="638">
        <v>18</v>
      </c>
      <c r="B20" s="678" t="s">
        <v>827</v>
      </c>
      <c r="C20" s="638" t="s">
        <v>858</v>
      </c>
      <c r="D20" s="638" t="s">
        <v>859</v>
      </c>
      <c r="E20" s="638" t="s">
        <v>860</v>
      </c>
      <c r="F20" s="638" t="s">
        <v>861</v>
      </c>
      <c r="G20" s="638" t="s">
        <v>862</v>
      </c>
      <c r="H20" s="638" t="s">
        <v>858</v>
      </c>
      <c r="I20" s="678" t="s">
        <v>895</v>
      </c>
      <c r="J20" s="678" t="s">
        <v>889</v>
      </c>
      <c r="K20" s="82" t="s">
        <v>917</v>
      </c>
      <c r="L20" s="678" t="s">
        <v>922</v>
      </c>
      <c r="M20" s="678" t="s">
        <v>923</v>
      </c>
    </row>
    <row r="21" spans="1:13" ht="13.5" customHeight="1">
      <c r="A21" s="638">
        <v>19</v>
      </c>
      <c r="B21" s="678" t="s">
        <v>827</v>
      </c>
      <c r="C21" s="638" t="s">
        <v>858</v>
      </c>
      <c r="D21" s="638" t="s">
        <v>859</v>
      </c>
      <c r="E21" s="638" t="s">
        <v>860</v>
      </c>
      <c r="F21" s="638" t="s">
        <v>861</v>
      </c>
      <c r="G21" s="638" t="s">
        <v>862</v>
      </c>
      <c r="H21" s="638" t="s">
        <v>858</v>
      </c>
      <c r="I21" s="678" t="s">
        <v>895</v>
      </c>
      <c r="J21" s="678" t="s">
        <v>889</v>
      </c>
      <c r="K21" s="82" t="s">
        <v>917</v>
      </c>
      <c r="L21" s="678" t="s">
        <v>924</v>
      </c>
      <c r="M21" s="678" t="s">
        <v>925</v>
      </c>
    </row>
    <row r="22" spans="1:13" ht="13.5" customHeight="1">
      <c r="A22" s="69">
        <v>20</v>
      </c>
      <c r="B22" s="683" t="s">
        <v>828</v>
      </c>
      <c r="C22" s="69" t="s">
        <v>863</v>
      </c>
      <c r="D22" s="69" t="s">
        <v>864</v>
      </c>
      <c r="E22" s="69" t="s">
        <v>865</v>
      </c>
      <c r="F22" s="69" t="s">
        <v>866</v>
      </c>
      <c r="G22" s="69" t="s">
        <v>867</v>
      </c>
      <c r="H22" s="69" t="s">
        <v>863</v>
      </c>
      <c r="I22" s="683" t="s">
        <v>896</v>
      </c>
      <c r="J22" s="683" t="s">
        <v>895</v>
      </c>
      <c r="K22" s="74" t="s">
        <v>926</v>
      </c>
      <c r="L22" s="683" t="s">
        <v>927</v>
      </c>
      <c r="M22" s="683" t="s">
        <v>928</v>
      </c>
    </row>
    <row r="23" spans="1:13" ht="13.5" customHeight="1">
      <c r="A23" s="64"/>
      <c r="B23" s="64"/>
      <c r="C23" s="64"/>
      <c r="D23" s="64"/>
      <c r="E23" s="686"/>
      <c r="F23" s="686"/>
      <c r="G23" s="686"/>
      <c r="H23" s="642"/>
      <c r="M23" s="64"/>
    </row>
    <row r="24" spans="1:13" ht="13.5" customHeight="1">
      <c r="A24" s="64"/>
      <c r="H24" s="642"/>
      <c r="M24" s="64"/>
    </row>
    <row r="25" spans="1:13" ht="13.5" customHeight="1">
      <c r="A25" s="75" t="s">
        <v>929</v>
      </c>
      <c r="B25" s="76" t="s">
        <v>930</v>
      </c>
      <c r="C25" s="77" t="s">
        <v>931</v>
      </c>
      <c r="D25" s="78" t="s">
        <v>932</v>
      </c>
      <c r="G25" s="64"/>
      <c r="H25" s="642"/>
      <c r="M25" s="64"/>
    </row>
    <row r="26" spans="1:13" ht="13.5" customHeight="1">
      <c r="A26" s="635">
        <v>1</v>
      </c>
      <c r="B26" s="79" t="s">
        <v>465</v>
      </c>
      <c r="C26" s="636" t="s">
        <v>726</v>
      </c>
      <c r="D26" s="80" t="s">
        <v>933</v>
      </c>
      <c r="G26" s="64"/>
      <c r="H26" s="642"/>
      <c r="M26" s="64"/>
    </row>
    <row r="27" spans="1:13" s="62" customFormat="1" ht="13.5" customHeight="1">
      <c r="A27" s="635">
        <v>2</v>
      </c>
      <c r="B27" s="79" t="s">
        <v>467</v>
      </c>
      <c r="C27" s="636" t="s">
        <v>726</v>
      </c>
      <c r="D27" s="81"/>
      <c r="F27" s="64"/>
      <c r="G27" s="64"/>
      <c r="H27" s="64"/>
      <c r="M27" s="64"/>
    </row>
    <row r="28" spans="1:13" ht="13.5" customHeight="1">
      <c r="A28" s="635">
        <v>3</v>
      </c>
      <c r="B28" s="79" t="s">
        <v>469</v>
      </c>
      <c r="C28" s="636" t="s">
        <v>726</v>
      </c>
      <c r="D28" s="81"/>
      <c r="F28" s="64"/>
      <c r="G28" s="64"/>
      <c r="H28" s="64"/>
      <c r="M28" s="64"/>
    </row>
    <row r="29" spans="1:13" ht="13.5" customHeight="1">
      <c r="A29" s="635">
        <v>4</v>
      </c>
      <c r="B29" s="79" t="s">
        <v>473</v>
      </c>
      <c r="C29" s="636" t="s">
        <v>726</v>
      </c>
      <c r="D29" s="81"/>
      <c r="F29" s="64"/>
      <c r="G29" s="64"/>
      <c r="H29" s="64"/>
      <c r="M29" s="64"/>
    </row>
    <row r="30" spans="1:13" ht="13.5" customHeight="1">
      <c r="A30" s="635">
        <v>5</v>
      </c>
      <c r="B30" s="79" t="s">
        <v>475</v>
      </c>
      <c r="C30" s="636" t="s">
        <v>726</v>
      </c>
      <c r="D30" s="81"/>
      <c r="F30" s="64"/>
      <c r="G30" s="64"/>
      <c r="H30" s="64"/>
      <c r="M30" s="64"/>
    </row>
    <row r="31" spans="1:13" ht="13.5" customHeight="1">
      <c r="A31" s="635">
        <v>6</v>
      </c>
      <c r="B31" s="79" t="s">
        <v>477</v>
      </c>
      <c r="C31" s="636" t="s">
        <v>726</v>
      </c>
      <c r="D31" s="81"/>
      <c r="F31" s="64"/>
      <c r="G31" s="64"/>
      <c r="H31" s="64"/>
      <c r="M31" s="64"/>
    </row>
    <row r="32" spans="1:13" ht="13.5" customHeight="1">
      <c r="A32" s="637">
        <v>7</v>
      </c>
      <c r="B32" s="82" t="s">
        <v>471</v>
      </c>
      <c r="C32" s="638" t="s">
        <v>726</v>
      </c>
      <c r="D32" s="83" t="s">
        <v>934</v>
      </c>
      <c r="F32" s="64"/>
      <c r="G32" s="64"/>
      <c r="H32" s="64"/>
      <c r="M32" s="64"/>
    </row>
    <row r="33" spans="1:13" ht="13.5" customHeight="1">
      <c r="A33" s="84">
        <v>8</v>
      </c>
      <c r="B33" s="85" t="s">
        <v>480</v>
      </c>
      <c r="C33" s="86">
        <v>1</v>
      </c>
      <c r="D33" s="87" t="s">
        <v>935</v>
      </c>
      <c r="F33" s="64"/>
      <c r="G33" s="64"/>
      <c r="H33" s="64"/>
      <c r="M33" s="64"/>
    </row>
    <row r="34" spans="1:13" ht="13.5" customHeight="1">
      <c r="A34" s="84">
        <v>9</v>
      </c>
      <c r="B34" s="85" t="s">
        <v>482</v>
      </c>
      <c r="C34" s="86">
        <v>2</v>
      </c>
      <c r="D34" s="88"/>
      <c r="F34" s="64"/>
      <c r="G34" s="64"/>
      <c r="H34" s="64"/>
      <c r="M34" s="64"/>
    </row>
    <row r="35" spans="1:13" ht="13.5" customHeight="1">
      <c r="A35" s="84">
        <v>10</v>
      </c>
      <c r="B35" s="85" t="s">
        <v>486</v>
      </c>
      <c r="C35" s="86">
        <v>3</v>
      </c>
      <c r="D35" s="88"/>
      <c r="F35" s="64"/>
      <c r="G35" s="64"/>
      <c r="H35" s="64"/>
      <c r="M35" s="64"/>
    </row>
    <row r="36" spans="1:13" ht="13.5" customHeight="1">
      <c r="A36" s="84">
        <v>11</v>
      </c>
      <c r="B36" s="85" t="s">
        <v>490</v>
      </c>
      <c r="C36" s="86">
        <v>4</v>
      </c>
      <c r="D36" s="88"/>
      <c r="F36" s="64"/>
      <c r="G36" s="64"/>
      <c r="H36" s="64"/>
      <c r="M36" s="64"/>
    </row>
    <row r="37" spans="1:13" ht="13.5" customHeight="1">
      <c r="A37" s="84">
        <v>12</v>
      </c>
      <c r="B37" s="85" t="s">
        <v>492</v>
      </c>
      <c r="C37" s="86">
        <v>5</v>
      </c>
      <c r="D37" s="88"/>
      <c r="F37" s="64"/>
      <c r="G37" s="64"/>
      <c r="H37" s="64"/>
      <c r="M37" s="64"/>
    </row>
    <row r="38" spans="1:13" ht="13.5" customHeight="1">
      <c r="A38" s="84">
        <v>13</v>
      </c>
      <c r="B38" s="85" t="s">
        <v>494</v>
      </c>
      <c r="C38" s="86">
        <v>6</v>
      </c>
      <c r="D38" s="88"/>
      <c r="F38" s="64"/>
      <c r="G38" s="64"/>
      <c r="H38" s="64"/>
      <c r="M38" s="64"/>
    </row>
    <row r="39" spans="1:13" s="62" customFormat="1" ht="13.5" customHeight="1">
      <c r="A39" s="84">
        <v>14</v>
      </c>
      <c r="B39" s="85" t="s">
        <v>496</v>
      </c>
      <c r="C39" s="86">
        <v>7</v>
      </c>
      <c r="D39" s="88"/>
      <c r="F39" s="64"/>
      <c r="G39" s="64"/>
      <c r="H39" s="64"/>
      <c r="M39" s="64"/>
    </row>
    <row r="40" spans="1:13" ht="13.5" customHeight="1">
      <c r="A40" s="84">
        <v>15</v>
      </c>
      <c r="B40" s="85" t="s">
        <v>498</v>
      </c>
      <c r="C40" s="86">
        <v>8</v>
      </c>
      <c r="D40" s="88"/>
      <c r="F40" s="64"/>
      <c r="G40" s="64"/>
      <c r="H40" s="64"/>
      <c r="M40" s="64"/>
    </row>
    <row r="41" spans="1:13" ht="13.5" customHeight="1">
      <c r="A41" s="84">
        <v>16</v>
      </c>
      <c r="B41" s="85" t="s">
        <v>500</v>
      </c>
      <c r="C41" s="86">
        <v>9</v>
      </c>
      <c r="D41" s="88"/>
      <c r="F41" s="64"/>
      <c r="G41" s="64"/>
      <c r="H41" s="64"/>
      <c r="I41" s="642"/>
      <c r="J41" s="642"/>
      <c r="K41" s="642"/>
      <c r="L41" s="642"/>
      <c r="M41" s="64"/>
    </row>
    <row r="42" spans="1:13" ht="13.5" customHeight="1">
      <c r="A42" s="84">
        <v>17</v>
      </c>
      <c r="B42" s="85" t="s">
        <v>502</v>
      </c>
      <c r="C42" s="86">
        <v>10</v>
      </c>
      <c r="D42" s="88"/>
      <c r="F42" s="64"/>
      <c r="G42" s="64"/>
      <c r="H42" s="64"/>
      <c r="I42" s="642"/>
      <c r="J42" s="642"/>
      <c r="K42" s="642"/>
      <c r="L42" s="642"/>
      <c r="M42" s="64"/>
    </row>
    <row r="43" spans="1:13" ht="13.5" customHeight="1">
      <c r="A43" s="84">
        <v>18</v>
      </c>
      <c r="B43" s="85" t="s">
        <v>536</v>
      </c>
      <c r="C43" s="86">
        <v>11</v>
      </c>
      <c r="D43" s="88"/>
      <c r="F43" s="64"/>
      <c r="G43" s="64"/>
      <c r="H43" s="64"/>
      <c r="I43" s="642"/>
      <c r="J43" s="642"/>
      <c r="K43" s="642"/>
      <c r="L43" s="642"/>
      <c r="M43" s="64"/>
    </row>
    <row r="44" spans="1:13" ht="13.5" customHeight="1">
      <c r="A44" s="84">
        <v>19</v>
      </c>
      <c r="B44" s="85" t="s">
        <v>508</v>
      </c>
      <c r="C44" s="86">
        <v>12</v>
      </c>
      <c r="D44" s="88"/>
      <c r="F44" s="64"/>
      <c r="G44" s="64"/>
      <c r="H44" s="64"/>
      <c r="I44" s="642"/>
      <c r="J44" s="642"/>
      <c r="K44" s="642"/>
      <c r="L44" s="642"/>
      <c r="M44" s="64"/>
    </row>
    <row r="45" spans="1:13" ht="13.5" customHeight="1">
      <c r="A45" s="84">
        <v>20</v>
      </c>
      <c r="B45" s="85" t="s">
        <v>512</v>
      </c>
      <c r="C45" s="86">
        <v>13</v>
      </c>
      <c r="D45" s="88"/>
      <c r="F45" s="64"/>
      <c r="G45" s="64"/>
      <c r="H45" s="64"/>
      <c r="I45" s="642"/>
      <c r="J45" s="642"/>
      <c r="K45" s="642"/>
      <c r="L45" s="642"/>
      <c r="M45" s="64"/>
    </row>
    <row r="46" spans="1:13" ht="13.5" customHeight="1">
      <c r="A46" s="84">
        <v>20</v>
      </c>
      <c r="B46" s="85" t="s">
        <v>512</v>
      </c>
      <c r="C46" s="86">
        <v>13</v>
      </c>
      <c r="D46" s="88"/>
      <c r="E46" s="686"/>
      <c r="F46" s="64"/>
      <c r="G46" s="64"/>
      <c r="H46" s="64"/>
      <c r="I46" s="642"/>
      <c r="J46" s="642"/>
      <c r="K46" s="642"/>
      <c r="L46" s="642"/>
      <c r="M46" s="64"/>
    </row>
    <row r="47" spans="1:13" ht="13.5" customHeight="1">
      <c r="A47" s="84">
        <v>21</v>
      </c>
      <c r="B47" s="85" t="s">
        <v>514</v>
      </c>
      <c r="C47" s="86">
        <v>14</v>
      </c>
      <c r="D47" s="88"/>
      <c r="F47" s="64"/>
      <c r="G47" s="64"/>
      <c r="H47" s="64"/>
      <c r="I47" s="642"/>
      <c r="J47" s="642"/>
      <c r="K47" s="642"/>
      <c r="L47" s="642"/>
      <c r="M47" s="64"/>
    </row>
    <row r="48" spans="1:13" ht="13.5" customHeight="1">
      <c r="A48" s="84">
        <v>22</v>
      </c>
      <c r="B48" s="85" t="s">
        <v>516</v>
      </c>
      <c r="C48" s="86">
        <v>15</v>
      </c>
      <c r="D48" s="88"/>
      <c r="E48" s="686"/>
      <c r="F48" s="64"/>
      <c r="G48" s="64"/>
      <c r="H48" s="64"/>
      <c r="I48" s="642"/>
      <c r="J48" s="642"/>
      <c r="K48" s="642"/>
      <c r="L48" s="642"/>
      <c r="M48" s="64"/>
    </row>
    <row r="49" spans="1:13" ht="13.5" customHeight="1">
      <c r="A49" s="84">
        <v>23</v>
      </c>
      <c r="B49" s="85" t="s">
        <v>518</v>
      </c>
      <c r="C49" s="86">
        <v>16</v>
      </c>
      <c r="D49" s="88"/>
      <c r="E49" s="686"/>
      <c r="F49" s="64"/>
      <c r="G49" s="64"/>
      <c r="H49" s="64"/>
      <c r="I49" s="642"/>
      <c r="J49" s="642"/>
      <c r="K49" s="642"/>
      <c r="L49" s="642"/>
      <c r="M49" s="64"/>
    </row>
    <row r="50" spans="1:13" ht="13.5" customHeight="1">
      <c r="A50" s="84">
        <v>24</v>
      </c>
      <c r="B50" s="85" t="s">
        <v>520</v>
      </c>
      <c r="C50" s="86">
        <v>17</v>
      </c>
      <c r="D50" s="88"/>
      <c r="E50" s="686"/>
      <c r="F50" s="64"/>
      <c r="G50" s="64"/>
      <c r="H50" s="64"/>
      <c r="I50" s="642"/>
      <c r="J50" s="642"/>
      <c r="K50" s="642"/>
      <c r="L50" s="642"/>
      <c r="M50" s="642"/>
    </row>
    <row r="51" spans="1:13" ht="13.5" customHeight="1">
      <c r="A51" s="84">
        <v>25</v>
      </c>
      <c r="B51" s="85" t="s">
        <v>522</v>
      </c>
      <c r="C51" s="86">
        <v>18</v>
      </c>
      <c r="D51" s="88"/>
      <c r="E51" s="686"/>
      <c r="F51" s="686"/>
      <c r="G51" s="686"/>
      <c r="H51" s="642"/>
      <c r="I51" s="642"/>
      <c r="J51" s="642"/>
      <c r="K51" s="642"/>
      <c r="L51" s="642"/>
      <c r="M51" s="642"/>
    </row>
    <row r="52" spans="1:13" ht="13.5" customHeight="1">
      <c r="A52" s="84">
        <v>26</v>
      </c>
      <c r="B52" s="85" t="s">
        <v>524</v>
      </c>
      <c r="C52" s="86">
        <v>19</v>
      </c>
      <c r="D52" s="88"/>
      <c r="E52" s="686"/>
      <c r="F52" s="686"/>
      <c r="G52" s="686"/>
      <c r="H52" s="642"/>
      <c r="I52" s="642"/>
      <c r="J52" s="642"/>
      <c r="K52" s="642"/>
      <c r="L52" s="642"/>
      <c r="M52" s="642"/>
    </row>
    <row r="53" spans="1:13" ht="13.5" customHeight="1">
      <c r="A53" s="84">
        <v>27</v>
      </c>
      <c r="B53" s="85" t="s">
        <v>526</v>
      </c>
      <c r="C53" s="86">
        <v>20</v>
      </c>
      <c r="D53" s="88"/>
      <c r="E53" s="686"/>
      <c r="F53" s="686"/>
      <c r="G53" s="686"/>
      <c r="H53" s="642"/>
      <c r="I53" s="642"/>
      <c r="J53" s="642"/>
      <c r="K53" s="642"/>
      <c r="L53" s="642"/>
      <c r="M53" s="642"/>
    </row>
    <row r="54" spans="1:13" ht="13.5" customHeight="1">
      <c r="A54" s="84">
        <v>28</v>
      </c>
      <c r="B54" s="85" t="s">
        <v>528</v>
      </c>
      <c r="C54" s="86">
        <v>21</v>
      </c>
      <c r="D54" s="88"/>
      <c r="E54" s="686"/>
      <c r="F54" s="686"/>
      <c r="G54" s="686"/>
      <c r="H54" s="642"/>
      <c r="I54" s="642"/>
      <c r="J54" s="642"/>
      <c r="K54" s="642"/>
      <c r="L54" s="642"/>
      <c r="M54" s="642"/>
    </row>
    <row r="55" spans="1:13" ht="13.5" customHeight="1">
      <c r="A55" s="84">
        <v>29</v>
      </c>
      <c r="B55" s="85" t="s">
        <v>530</v>
      </c>
      <c r="C55" s="86">
        <v>22</v>
      </c>
      <c r="D55" s="88"/>
      <c r="E55" s="686"/>
      <c r="F55" s="686"/>
      <c r="G55" s="686"/>
      <c r="H55" s="642"/>
      <c r="I55" s="642"/>
      <c r="J55" s="642"/>
      <c r="K55" s="642"/>
      <c r="L55" s="642"/>
      <c r="M55" s="642"/>
    </row>
    <row r="56" spans="1:13" ht="13.5" customHeight="1">
      <c r="A56" s="84">
        <v>30</v>
      </c>
      <c r="B56" s="85" t="s">
        <v>532</v>
      </c>
      <c r="C56" s="86">
        <v>23</v>
      </c>
      <c r="D56" s="88"/>
      <c r="E56" s="686"/>
      <c r="F56" s="686"/>
      <c r="G56" s="686"/>
      <c r="H56" s="642"/>
      <c r="I56" s="642"/>
      <c r="J56" s="642"/>
      <c r="K56" s="642"/>
      <c r="L56" s="642"/>
      <c r="M56" s="642"/>
    </row>
    <row r="57" spans="1:13" ht="13.5" customHeight="1">
      <c r="A57" s="84">
        <v>31</v>
      </c>
      <c r="B57" s="85" t="s">
        <v>534</v>
      </c>
      <c r="C57" s="86">
        <v>24</v>
      </c>
      <c r="D57" s="88"/>
      <c r="E57" s="686"/>
      <c r="F57" s="686"/>
      <c r="G57" s="686"/>
      <c r="H57" s="642"/>
      <c r="I57" s="642"/>
      <c r="J57" s="642"/>
      <c r="K57" s="642"/>
      <c r="L57" s="642"/>
      <c r="M57" s="642"/>
    </row>
    <row r="58" spans="1:13" ht="13.5" customHeight="1">
      <c r="A58" s="89">
        <v>32</v>
      </c>
      <c r="B58" s="90" t="s">
        <v>506</v>
      </c>
      <c r="C58" s="91">
        <v>25</v>
      </c>
      <c r="D58" s="92" t="s">
        <v>936</v>
      </c>
      <c r="E58" s="686"/>
      <c r="F58" s="686"/>
      <c r="G58" s="686"/>
      <c r="H58" s="642"/>
      <c r="I58" s="642"/>
      <c r="J58" s="642"/>
      <c r="K58" s="642"/>
      <c r="L58" s="642"/>
      <c r="M58" s="642"/>
    </row>
    <row r="59" spans="1:13" ht="13.5" customHeight="1">
      <c r="A59" s="89">
        <v>33</v>
      </c>
      <c r="B59" s="90" t="s">
        <v>937</v>
      </c>
      <c r="C59" s="91">
        <v>26</v>
      </c>
      <c r="D59" s="93"/>
      <c r="E59" s="686"/>
      <c r="F59" s="686"/>
      <c r="G59" s="686"/>
      <c r="H59" s="642"/>
      <c r="I59" s="642"/>
      <c r="J59" s="642"/>
      <c r="K59" s="642"/>
      <c r="L59" s="642"/>
      <c r="M59" s="642"/>
    </row>
    <row r="60" spans="1:13" ht="13.5" customHeight="1">
      <c r="A60" s="89">
        <v>34</v>
      </c>
      <c r="B60" s="90" t="s">
        <v>510</v>
      </c>
      <c r="C60" s="91">
        <v>27</v>
      </c>
      <c r="D60" s="93"/>
      <c r="E60" s="686"/>
      <c r="F60" s="686"/>
      <c r="G60" s="686"/>
      <c r="H60" s="642"/>
      <c r="I60" s="642"/>
      <c r="J60" s="642"/>
      <c r="K60" s="642"/>
      <c r="L60" s="642"/>
      <c r="M60" s="642"/>
    </row>
    <row r="61" spans="1:13" ht="13.5" customHeight="1">
      <c r="A61" s="89">
        <v>35</v>
      </c>
      <c r="B61" s="90" t="s">
        <v>504</v>
      </c>
      <c r="C61" s="91">
        <v>28</v>
      </c>
      <c r="D61" s="93"/>
      <c r="E61" s="686"/>
      <c r="F61" s="686"/>
      <c r="G61" s="686"/>
      <c r="H61" s="642"/>
      <c r="I61" s="642"/>
      <c r="J61" s="642"/>
      <c r="K61" s="642"/>
      <c r="L61" s="642"/>
      <c r="M61" s="642"/>
    </row>
    <row r="62" spans="1:13" ht="13.5" customHeight="1">
      <c r="A62" s="94">
        <v>36</v>
      </c>
      <c r="B62" s="95" t="s">
        <v>484</v>
      </c>
      <c r="C62" s="96">
        <v>29</v>
      </c>
      <c r="D62" s="97"/>
      <c r="E62" s="686"/>
      <c r="F62" s="686"/>
      <c r="G62" s="686"/>
      <c r="H62" s="642"/>
      <c r="I62" s="642"/>
      <c r="J62" s="642"/>
      <c r="K62" s="642"/>
      <c r="L62" s="642"/>
      <c r="M62" s="642"/>
    </row>
    <row r="63" spans="1:13" ht="13.5" customHeight="1">
      <c r="A63" s="64"/>
      <c r="B63" s="64"/>
      <c r="E63" s="686"/>
      <c r="F63" s="686"/>
      <c r="G63" s="686"/>
      <c r="H63" s="642"/>
      <c r="I63" s="642"/>
      <c r="J63" s="642"/>
      <c r="K63" s="642"/>
      <c r="L63" s="642"/>
      <c r="M63" s="642"/>
    </row>
    <row r="64" spans="1:13" ht="13.5" customHeight="1">
      <c r="A64" s="64"/>
      <c r="B64" s="64"/>
      <c r="E64" s="686"/>
      <c r="F64" s="686"/>
      <c r="G64" s="686"/>
      <c r="H64" s="642"/>
      <c r="I64" s="642"/>
      <c r="J64" s="642"/>
      <c r="K64" s="642"/>
      <c r="L64" s="642"/>
      <c r="M64" s="642"/>
    </row>
    <row r="65" spans="1:13" ht="13.5" customHeight="1">
      <c r="A65" s="64"/>
      <c r="B65" s="64"/>
      <c r="E65" s="686"/>
      <c r="F65" s="686"/>
      <c r="G65" s="686"/>
      <c r="H65" s="642"/>
      <c r="I65" s="642"/>
      <c r="J65" s="642"/>
      <c r="K65" s="642"/>
      <c r="L65" s="642"/>
      <c r="M65" s="642"/>
    </row>
    <row r="66" spans="1:13" ht="13.5" customHeight="1">
      <c r="A66" s="64"/>
      <c r="B66" s="64"/>
      <c r="E66" s="686"/>
      <c r="F66" s="686"/>
      <c r="G66" s="686"/>
      <c r="H66" s="642"/>
      <c r="I66" s="642"/>
      <c r="J66" s="642"/>
      <c r="K66" s="642"/>
      <c r="L66" s="642"/>
      <c r="M66" s="642"/>
    </row>
    <row r="67" spans="1:13" ht="13.5" customHeight="1">
      <c r="A67" s="64"/>
      <c r="B67" s="64"/>
      <c r="E67" s="686"/>
      <c r="F67" s="686"/>
      <c r="G67" s="686"/>
      <c r="H67" s="642"/>
      <c r="I67" s="642"/>
      <c r="J67" s="642"/>
      <c r="K67" s="642"/>
      <c r="L67" s="642"/>
      <c r="M67" s="642"/>
    </row>
    <row r="68" spans="1:13" ht="13.5" customHeight="1">
      <c r="A68" s="64"/>
      <c r="B68" s="64"/>
      <c r="E68" s="686"/>
      <c r="F68" s="686"/>
      <c r="G68" s="686"/>
      <c r="H68" s="642"/>
      <c r="I68" s="642"/>
      <c r="J68" s="642"/>
      <c r="K68" s="642"/>
      <c r="L68" s="642"/>
      <c r="M68" s="642"/>
    </row>
    <row r="69" spans="1:13" ht="13.5" customHeight="1">
      <c r="A69" s="64"/>
      <c r="B69" s="64"/>
      <c r="C69" s="686"/>
      <c r="D69" s="686"/>
      <c r="E69" s="686"/>
      <c r="F69" s="686"/>
      <c r="G69" s="686"/>
      <c r="H69" s="642"/>
      <c r="I69" s="642"/>
      <c r="J69" s="642"/>
      <c r="K69" s="642"/>
      <c r="L69" s="642"/>
      <c r="M69" s="642"/>
    </row>
    <row r="70" spans="1:13" ht="13.5" customHeight="1">
      <c r="A70" s="64"/>
      <c r="B70" s="64"/>
      <c r="H70" s="642"/>
      <c r="I70" s="642"/>
      <c r="J70" s="642"/>
      <c r="K70" s="642"/>
      <c r="L70" s="642"/>
      <c r="M70" s="642"/>
    </row>
    <row r="71" spans="1:13" ht="13.5" customHeight="1">
      <c r="A71" s="64"/>
      <c r="B71" s="64"/>
      <c r="E71" s="686"/>
      <c r="F71" s="686"/>
      <c r="G71" s="686"/>
      <c r="H71" s="642"/>
      <c r="I71" s="642"/>
      <c r="J71" s="642"/>
      <c r="K71" s="642"/>
      <c r="L71" s="642"/>
      <c r="M71" s="642"/>
    </row>
    <row r="72" spans="1:13" ht="13.5" customHeight="1">
      <c r="A72" s="64"/>
      <c r="B72" s="64"/>
      <c r="E72" s="686"/>
      <c r="F72" s="686"/>
      <c r="G72" s="686"/>
      <c r="H72" s="642"/>
      <c r="I72" s="642"/>
      <c r="J72" s="642"/>
      <c r="K72" s="642"/>
      <c r="L72" s="642"/>
      <c r="M72" s="642"/>
    </row>
    <row r="73" spans="1:13" ht="13.5" customHeight="1">
      <c r="A73" s="64"/>
      <c r="B73" s="64"/>
      <c r="E73" s="686"/>
      <c r="F73" s="686"/>
      <c r="G73" s="686"/>
      <c r="H73" s="642"/>
      <c r="I73" s="642"/>
      <c r="J73" s="642"/>
      <c r="K73" s="642"/>
      <c r="L73" s="642"/>
      <c r="M73" s="642"/>
    </row>
    <row r="74" spans="1:13" ht="13.5" customHeight="1">
      <c r="A74" s="64"/>
      <c r="B74" s="64"/>
      <c r="E74" s="686"/>
      <c r="F74" s="686"/>
      <c r="G74" s="686"/>
      <c r="H74" s="642"/>
      <c r="I74" s="642"/>
      <c r="J74" s="642"/>
      <c r="K74" s="642"/>
      <c r="L74" s="642"/>
      <c r="M74" s="642"/>
    </row>
    <row r="75" spans="1:13" ht="13.5" customHeight="1">
      <c r="A75" s="64"/>
      <c r="B75" s="64"/>
      <c r="E75" s="686"/>
      <c r="F75" s="686"/>
      <c r="G75" s="686"/>
      <c r="H75" s="642"/>
      <c r="I75" s="642"/>
      <c r="J75" s="642"/>
      <c r="K75" s="642"/>
      <c r="L75" s="642"/>
      <c r="M75" s="642"/>
    </row>
    <row r="76" spans="1:13" ht="13.5" customHeight="1">
      <c r="A76" s="64"/>
      <c r="B76" s="64"/>
      <c r="E76" s="686"/>
      <c r="F76" s="686"/>
      <c r="G76" s="686"/>
      <c r="H76" s="642"/>
      <c r="I76" s="642"/>
      <c r="J76" s="642"/>
      <c r="K76" s="642"/>
      <c r="L76" s="642"/>
      <c r="M76" s="642"/>
    </row>
    <row r="77" spans="1:13" ht="13.5" customHeight="1">
      <c r="A77" s="64"/>
      <c r="B77" s="64"/>
      <c r="E77" s="686"/>
      <c r="F77" s="686"/>
      <c r="G77" s="686"/>
      <c r="H77" s="642"/>
      <c r="I77" s="642"/>
      <c r="J77" s="642"/>
      <c r="K77" s="642"/>
      <c r="L77" s="642"/>
      <c r="M77" s="642"/>
    </row>
    <row r="78" spans="1:13" ht="13.5" customHeight="1">
      <c r="A78" s="64"/>
      <c r="B78" s="64"/>
      <c r="E78" s="686"/>
      <c r="F78" s="686"/>
      <c r="G78" s="686"/>
      <c r="H78" s="642"/>
      <c r="I78" s="642"/>
      <c r="J78" s="642"/>
      <c r="K78" s="642"/>
      <c r="L78" s="642"/>
      <c r="M78" s="642"/>
    </row>
    <row r="79" spans="1:13" ht="13.5" customHeight="1">
      <c r="A79" s="64"/>
      <c r="B79" s="64"/>
      <c r="E79" s="686"/>
      <c r="F79" s="686"/>
      <c r="G79" s="686"/>
      <c r="H79" s="642"/>
      <c r="I79" s="642"/>
      <c r="J79" s="642"/>
      <c r="K79" s="642"/>
      <c r="L79" s="642"/>
      <c r="M79" s="642"/>
    </row>
    <row r="80" spans="1:13" ht="13.5" customHeight="1">
      <c r="A80" s="64"/>
      <c r="B80" s="64"/>
      <c r="E80" s="686"/>
      <c r="F80" s="686"/>
      <c r="G80" s="686"/>
      <c r="H80" s="642"/>
      <c r="I80" s="642"/>
      <c r="J80" s="642"/>
      <c r="K80" s="642"/>
      <c r="L80" s="642"/>
      <c r="M80" s="642"/>
    </row>
    <row r="81" spans="1:13" ht="13.5" customHeight="1">
      <c r="A81" s="64"/>
      <c r="B81" s="64"/>
      <c r="E81" s="686"/>
      <c r="F81" s="686"/>
      <c r="G81" s="686"/>
      <c r="H81" s="642"/>
      <c r="I81" s="642"/>
      <c r="J81" s="642"/>
      <c r="K81" s="642"/>
      <c r="L81" s="642"/>
      <c r="M81" s="642"/>
    </row>
    <row r="82" spans="1:13" ht="13.5" customHeight="1">
      <c r="A82" s="64"/>
      <c r="B82" s="64"/>
      <c r="E82" s="686"/>
      <c r="F82" s="686"/>
      <c r="G82" s="686"/>
      <c r="H82" s="642"/>
      <c r="I82" s="642"/>
      <c r="J82" s="642"/>
      <c r="K82" s="642"/>
      <c r="L82" s="642"/>
      <c r="M82" s="642"/>
    </row>
    <row r="83" spans="1:13" ht="13.5" customHeight="1">
      <c r="A83" s="64"/>
      <c r="B83" s="64"/>
      <c r="E83" s="686"/>
      <c r="F83" s="686"/>
      <c r="G83" s="686"/>
      <c r="H83" s="642"/>
      <c r="I83" s="642"/>
      <c r="J83" s="642"/>
      <c r="K83" s="642"/>
      <c r="L83" s="642"/>
      <c r="M83" s="642"/>
    </row>
    <row r="84" spans="1:13" ht="13.5" customHeight="1">
      <c r="A84" s="64"/>
      <c r="B84" s="64"/>
      <c r="E84" s="686"/>
      <c r="F84" s="686"/>
      <c r="G84" s="686"/>
      <c r="H84" s="642"/>
      <c r="I84" s="642"/>
      <c r="J84" s="642"/>
      <c r="K84" s="642"/>
      <c r="L84" s="642"/>
      <c r="M84" s="642"/>
    </row>
    <row r="85" spans="1:13" ht="13.5" customHeight="1">
      <c r="A85" s="64"/>
      <c r="B85" s="64"/>
      <c r="E85" s="686"/>
      <c r="F85" s="686"/>
      <c r="G85" s="686"/>
      <c r="H85" s="642"/>
      <c r="I85" s="642"/>
      <c r="J85" s="642"/>
      <c r="K85" s="642"/>
      <c r="L85" s="642"/>
      <c r="M85" s="642"/>
    </row>
    <row r="86" spans="1:13" ht="13.5" customHeight="1">
      <c r="A86" s="64"/>
      <c r="B86" s="64"/>
      <c r="E86" s="686"/>
      <c r="F86" s="686"/>
      <c r="G86" s="686"/>
      <c r="H86" s="642"/>
      <c r="I86" s="642"/>
      <c r="J86" s="642"/>
      <c r="K86" s="642"/>
      <c r="L86" s="642"/>
      <c r="M86" s="642"/>
    </row>
    <row r="87" spans="1:13" ht="13.5" customHeight="1">
      <c r="A87" s="64"/>
      <c r="B87" s="64"/>
      <c r="E87" s="686"/>
      <c r="F87" s="686"/>
      <c r="G87" s="686"/>
      <c r="H87" s="642"/>
      <c r="I87" s="642"/>
      <c r="J87" s="642"/>
      <c r="K87" s="642"/>
      <c r="L87" s="642"/>
      <c r="M87" s="642"/>
    </row>
    <row r="88" spans="1:13" ht="13.5" customHeight="1">
      <c r="A88" s="64"/>
      <c r="B88" s="64"/>
      <c r="E88" s="686"/>
      <c r="F88" s="686"/>
      <c r="G88" s="686"/>
      <c r="H88" s="642"/>
      <c r="I88" s="642"/>
      <c r="J88" s="642"/>
      <c r="K88" s="642"/>
      <c r="L88" s="642"/>
      <c r="M88" s="642"/>
    </row>
    <row r="89" spans="1:13" ht="13.5" customHeight="1">
      <c r="A89" s="64"/>
      <c r="B89" s="64"/>
      <c r="E89" s="686"/>
      <c r="F89" s="686"/>
      <c r="G89" s="686"/>
      <c r="H89" s="642"/>
      <c r="I89" s="642"/>
      <c r="J89" s="642"/>
      <c r="K89" s="642"/>
      <c r="L89" s="642"/>
      <c r="M89" s="642"/>
    </row>
    <row r="90" spans="1:13" ht="13.5" customHeight="1">
      <c r="A90" s="64"/>
      <c r="B90" s="64"/>
      <c r="E90" s="686"/>
      <c r="F90" s="686"/>
      <c r="G90" s="686"/>
      <c r="H90" s="642"/>
      <c r="I90" s="642"/>
      <c r="J90" s="642"/>
      <c r="K90" s="642"/>
      <c r="L90" s="642"/>
      <c r="M90" s="642"/>
    </row>
    <row r="91" spans="1:13" ht="13.5" customHeight="1">
      <c r="A91" s="64"/>
      <c r="B91" s="64"/>
      <c r="E91" s="686"/>
      <c r="F91" s="686"/>
      <c r="G91" s="686"/>
      <c r="H91" s="642"/>
      <c r="I91" s="642"/>
      <c r="J91" s="642"/>
      <c r="K91" s="642"/>
      <c r="L91" s="642"/>
      <c r="M91" s="642"/>
    </row>
    <row r="92" spans="1:13" ht="13.5" customHeight="1">
      <c r="A92" s="64"/>
      <c r="B92" s="64"/>
    </row>
    <row r="93" spans="1:13" ht="13.5" customHeight="1">
      <c r="A93" s="64"/>
      <c r="B93" s="64"/>
    </row>
    <row r="94" spans="1:13" ht="13.5" customHeight="1">
      <c r="A94" s="64"/>
      <c r="B94" s="64"/>
    </row>
    <row r="95" spans="1:13" ht="13.5" customHeight="1">
      <c r="A95" s="64"/>
      <c r="B95" s="64"/>
    </row>
    <row r="96" spans="1:13" ht="13.5" customHeight="1">
      <c r="A96" s="64"/>
      <c r="B96" s="64"/>
    </row>
    <row r="97" spans="1:2" ht="13.5" customHeight="1">
      <c r="A97" s="64"/>
      <c r="B97" s="64"/>
    </row>
    <row r="98" spans="1:2" ht="13.5" customHeight="1">
      <c r="A98" s="64"/>
      <c r="B98" s="64"/>
    </row>
    <row r="99" spans="1:2" ht="13.5" customHeight="1">
      <c r="A99" s="64"/>
      <c r="B99" s="64"/>
    </row>
    <row r="100" spans="1:2" ht="13.5" customHeight="1">
      <c r="A100" s="64"/>
      <c r="B100" s="64"/>
    </row>
    <row r="101" spans="1:2" ht="13.5" customHeight="1">
      <c r="A101" s="64"/>
      <c r="B101" s="64"/>
    </row>
    <row r="102" spans="1:2" ht="14.15" customHeight="1">
      <c r="A102" s="64"/>
      <c r="B102" s="64"/>
    </row>
    <row r="103" spans="1:2" ht="14.15" customHeight="1">
      <c r="A103" s="64"/>
      <c r="B103" s="64"/>
    </row>
    <row r="104" spans="1:2" ht="14.15" customHeight="1">
      <c r="A104" s="64"/>
      <c r="B104" s="64"/>
    </row>
    <row r="105" spans="1:2" ht="14.15" customHeight="1">
      <c r="A105" s="64"/>
      <c r="B105" s="64"/>
    </row>
    <row r="106" spans="1:2" ht="14.15" customHeight="1">
      <c r="A106" s="64"/>
      <c r="B106" s="64"/>
    </row>
    <row r="107" spans="1:2" ht="14.25" customHeight="1">
      <c r="A107" s="64"/>
      <c r="B107" s="64"/>
    </row>
    <row r="108" spans="1:2" ht="14.25" customHeight="1">
      <c r="A108" s="64"/>
      <c r="B108" s="64"/>
    </row>
    <row r="109" spans="1:2" ht="14.25" customHeight="1">
      <c r="A109" s="64"/>
      <c r="B109" s="64"/>
    </row>
    <row r="110" spans="1:2" ht="14.25" customHeight="1">
      <c r="A110" s="64"/>
      <c r="B110" s="64"/>
    </row>
    <row r="111" spans="1:2" ht="14.25" customHeight="1">
      <c r="A111" s="64"/>
      <c r="B111" s="64"/>
    </row>
    <row r="112" spans="1:2" ht="14.25" customHeight="1">
      <c r="A112" s="64"/>
      <c r="B112" s="64"/>
    </row>
    <row r="113" spans="1:2" ht="14.25" customHeight="1">
      <c r="A113" s="64"/>
      <c r="B113" s="64"/>
    </row>
    <row r="114" spans="1:2" ht="14.25" customHeight="1">
      <c r="A114" s="64"/>
      <c r="B114" s="64"/>
    </row>
    <row r="115" spans="1:2" ht="14.25" customHeight="1">
      <c r="A115" s="64"/>
      <c r="B115" s="64"/>
    </row>
    <row r="116" spans="1:2" ht="14.25" customHeight="1">
      <c r="A116" s="64"/>
      <c r="B116" s="64"/>
    </row>
    <row r="117" spans="1:2" ht="14.25" customHeight="1">
      <c r="A117" s="64"/>
      <c r="B117" s="64"/>
    </row>
  </sheetData>
  <pageMargins left="0.7" right="0.7" top="0.75" bottom="0.75" header="0.3" footer="0.3"/>
  <pageSetup paperSize="9" orientation="portrai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4" tint="0.59999389629810485"/>
    <outlinePr summaryBelow="0" summaryRight="0"/>
  </sheetPr>
  <dimension ref="A1:Y598"/>
  <sheetViews>
    <sheetView zoomScale="85" zoomScaleNormal="85" workbookViewId="0">
      <pane ySplit="1" topLeftCell="A28" activePane="bottomLeft" state="frozen"/>
      <selection activeCell="B1" sqref="B1"/>
      <selection pane="bottomLeft" activeCell="F68" sqref="F68"/>
    </sheetView>
  </sheetViews>
  <sheetFormatPr defaultColWidth="9" defaultRowHeight="15" customHeight="1"/>
  <cols>
    <col min="1" max="1" width="16.140625" style="580" customWidth="1"/>
    <col min="2" max="3" width="16.78515625" style="580" customWidth="1"/>
    <col min="4" max="4" width="15" style="98" customWidth="1"/>
    <col min="5" max="5" width="14.140625" style="98" customWidth="1"/>
    <col min="6" max="6" width="32.35546875" style="580" customWidth="1"/>
    <col min="7" max="7" width="45" style="580" customWidth="1"/>
    <col min="8" max="8" width="17.35546875" style="580" customWidth="1"/>
    <col min="9" max="9" width="16.7109375" style="580" customWidth="1"/>
    <col min="10" max="11" width="16.640625" style="580" customWidth="1"/>
    <col min="12" max="12" width="16.2109375" style="580" customWidth="1"/>
    <col min="13" max="13" width="16.7109375" style="580" customWidth="1"/>
    <col min="14" max="14" width="27.2109375" style="580" bestFit="1" customWidth="1"/>
    <col min="15" max="15" width="26.640625" style="580" bestFit="1" customWidth="1"/>
    <col min="16" max="16" width="25.140625" style="580" bestFit="1" customWidth="1"/>
    <col min="17" max="17" width="27.92578125" style="580" bestFit="1" customWidth="1"/>
    <col min="18" max="18" width="26.2109375" style="580" bestFit="1" customWidth="1"/>
    <col min="19" max="19" width="28.2109375" style="580" bestFit="1" customWidth="1"/>
    <col min="20" max="20" width="34.0703125" style="580" bestFit="1" customWidth="1"/>
    <col min="21" max="21" width="27.85546875" style="580" bestFit="1" customWidth="1"/>
    <col min="22" max="23" width="29.28515625" style="580" bestFit="1" customWidth="1"/>
  </cols>
  <sheetData>
    <row r="1" spans="1:25" ht="21.45" customHeight="1">
      <c r="A1" s="99" t="s">
        <v>938</v>
      </c>
      <c r="B1" s="100" t="s">
        <v>939</v>
      </c>
      <c r="C1" s="101" t="s">
        <v>940</v>
      </c>
      <c r="D1" s="102" t="s">
        <v>941</v>
      </c>
      <c r="E1" s="103" t="s">
        <v>942</v>
      </c>
      <c r="F1" s="104" t="s">
        <v>943</v>
      </c>
      <c r="G1" s="644" t="s">
        <v>944</v>
      </c>
      <c r="H1" s="105" t="s">
        <v>945</v>
      </c>
      <c r="I1" s="106" t="s">
        <v>946</v>
      </c>
      <c r="J1" s="107" t="s">
        <v>947</v>
      </c>
      <c r="K1" s="108" t="s">
        <v>948</v>
      </c>
      <c r="L1" s="109" t="s">
        <v>949</v>
      </c>
      <c r="M1" s="110" t="s">
        <v>950</v>
      </c>
      <c r="N1" s="111" t="s">
        <v>951</v>
      </c>
      <c r="O1" s="619" t="s">
        <v>952</v>
      </c>
      <c r="P1" s="619" t="s">
        <v>953</v>
      </c>
      <c r="Q1" s="619" t="s">
        <v>954</v>
      </c>
      <c r="R1" s="619" t="s">
        <v>955</v>
      </c>
      <c r="S1" s="619" t="s">
        <v>956</v>
      </c>
      <c r="T1" s="619" t="s">
        <v>957</v>
      </c>
      <c r="U1" s="619" t="s">
        <v>958</v>
      </c>
      <c r="V1" s="619" t="s">
        <v>959</v>
      </c>
      <c r="W1" s="619" t="s">
        <v>960</v>
      </c>
      <c r="X1" s="608" t="s">
        <v>961</v>
      </c>
      <c r="Y1" s="608" t="s">
        <v>962</v>
      </c>
    </row>
    <row r="2" spans="1:25" ht="16.3" customHeight="1">
      <c r="A2" s="586" t="s">
        <v>963</v>
      </c>
      <c r="B2" s="593" t="s">
        <v>964</v>
      </c>
      <c r="C2" s="609" t="s">
        <v>965</v>
      </c>
      <c r="D2" s="113">
        <v>100</v>
      </c>
      <c r="E2" s="114">
        <v>100</v>
      </c>
      <c r="F2" s="115" t="s">
        <v>966</v>
      </c>
      <c r="G2" s="644" t="s">
        <v>967</v>
      </c>
      <c r="H2" s="621">
        <v>1</v>
      </c>
      <c r="I2" s="621">
        <v>1</v>
      </c>
      <c r="J2" s="621">
        <v>0</v>
      </c>
      <c r="K2" s="621">
        <v>2</v>
      </c>
      <c r="L2" s="621">
        <v>1</v>
      </c>
      <c r="M2" s="116" t="s">
        <v>968</v>
      </c>
      <c r="N2" s="117" t="s">
        <v>736</v>
      </c>
      <c r="O2" s="118">
        <v>0.1</v>
      </c>
      <c r="P2" s="119">
        <v>-0.2</v>
      </c>
      <c r="Q2" s="120">
        <v>0</v>
      </c>
      <c r="R2" s="121">
        <v>-0.1</v>
      </c>
      <c r="S2" s="122">
        <v>0</v>
      </c>
      <c r="T2" s="123">
        <v>0.1</v>
      </c>
      <c r="U2" s="124">
        <v>0</v>
      </c>
      <c r="V2" s="125">
        <v>0</v>
      </c>
      <c r="W2" s="126">
        <v>-0.1</v>
      </c>
      <c r="X2" s="610" t="s">
        <v>969</v>
      </c>
      <c r="Y2" s="612" t="s">
        <v>970</v>
      </c>
    </row>
    <row r="3" spans="1:25" ht="16.3" customHeight="1">
      <c r="A3" s="586" t="s">
        <v>963</v>
      </c>
      <c r="B3" s="593" t="s">
        <v>964</v>
      </c>
      <c r="C3" s="129" t="s">
        <v>971</v>
      </c>
      <c r="D3" s="113">
        <v>100</v>
      </c>
      <c r="E3" s="114">
        <v>100</v>
      </c>
      <c r="F3" s="115" t="s">
        <v>972</v>
      </c>
      <c r="G3" s="644" t="s">
        <v>973</v>
      </c>
      <c r="H3" s="621">
        <v>1</v>
      </c>
      <c r="I3" s="621">
        <v>1</v>
      </c>
      <c r="J3" s="621">
        <v>2</v>
      </c>
      <c r="K3" s="621">
        <v>1</v>
      </c>
      <c r="L3" s="621">
        <v>1</v>
      </c>
      <c r="M3" s="116" t="s">
        <v>968</v>
      </c>
      <c r="N3" s="117" t="s">
        <v>736</v>
      </c>
      <c r="O3" s="118">
        <v>0</v>
      </c>
      <c r="P3" s="119">
        <v>0</v>
      </c>
      <c r="Q3" s="120">
        <v>0</v>
      </c>
      <c r="R3" s="121">
        <v>0</v>
      </c>
      <c r="S3" s="122">
        <v>0</v>
      </c>
      <c r="T3" s="123">
        <v>0</v>
      </c>
      <c r="U3" s="124">
        <v>0</v>
      </c>
      <c r="V3" s="125">
        <v>0</v>
      </c>
      <c r="W3" s="126">
        <v>0</v>
      </c>
      <c r="X3" s="610" t="s">
        <v>969</v>
      </c>
      <c r="Y3" s="613" t="s">
        <v>974</v>
      </c>
    </row>
    <row r="4" spans="1:25" ht="16.3" customHeight="1">
      <c r="A4" s="586" t="s">
        <v>963</v>
      </c>
      <c r="B4" s="593" t="s">
        <v>964</v>
      </c>
      <c r="C4" s="130" t="s">
        <v>975</v>
      </c>
      <c r="D4" s="113">
        <v>100</v>
      </c>
      <c r="E4" s="114">
        <v>100</v>
      </c>
      <c r="F4" s="115" t="s">
        <v>976</v>
      </c>
      <c r="G4" s="644" t="s">
        <v>977</v>
      </c>
      <c r="H4" s="621">
        <v>1</v>
      </c>
      <c r="I4" s="621">
        <v>1</v>
      </c>
      <c r="J4" s="621">
        <v>1</v>
      </c>
      <c r="K4" s="621">
        <v>1</v>
      </c>
      <c r="L4" s="621">
        <v>1</v>
      </c>
      <c r="M4" s="116" t="s">
        <v>968</v>
      </c>
      <c r="N4" s="117" t="s">
        <v>748</v>
      </c>
      <c r="O4" s="118">
        <v>0</v>
      </c>
      <c r="P4" s="119">
        <v>0</v>
      </c>
      <c r="Q4" s="120">
        <v>-0.2</v>
      </c>
      <c r="R4" s="121">
        <v>-0.2</v>
      </c>
      <c r="S4" s="122">
        <v>0</v>
      </c>
      <c r="T4" s="123">
        <v>0</v>
      </c>
      <c r="U4" s="124">
        <v>0</v>
      </c>
      <c r="V4" s="125">
        <v>0</v>
      </c>
      <c r="W4" s="126">
        <v>0</v>
      </c>
      <c r="X4" s="610" t="s">
        <v>969</v>
      </c>
      <c r="Y4" s="614" t="s">
        <v>978</v>
      </c>
    </row>
    <row r="5" spans="1:25" ht="16.3" customHeight="1">
      <c r="A5" s="586" t="s">
        <v>963</v>
      </c>
      <c r="B5" s="593" t="s">
        <v>979</v>
      </c>
      <c r="C5" s="112" t="s">
        <v>980</v>
      </c>
      <c r="D5" s="131">
        <v>125</v>
      </c>
      <c r="E5" s="132">
        <v>85</v>
      </c>
      <c r="F5" s="115" t="s">
        <v>981</v>
      </c>
      <c r="G5" s="644" t="s">
        <v>982</v>
      </c>
      <c r="H5" s="621">
        <v>3</v>
      </c>
      <c r="I5" s="621">
        <v>2</v>
      </c>
      <c r="J5" s="621">
        <v>1</v>
      </c>
      <c r="K5" s="621">
        <v>2</v>
      </c>
      <c r="L5" s="621">
        <v>1</v>
      </c>
      <c r="M5" s="116" t="s">
        <v>968</v>
      </c>
      <c r="N5" s="117" t="s">
        <v>736</v>
      </c>
      <c r="O5" s="133">
        <v>-0.5</v>
      </c>
      <c r="P5" s="134">
        <v>0.5</v>
      </c>
      <c r="Q5" s="120">
        <v>-0.6</v>
      </c>
      <c r="R5" s="121">
        <v>-0.6</v>
      </c>
      <c r="S5" s="122">
        <v>-0.6</v>
      </c>
      <c r="T5" s="123">
        <v>0.2</v>
      </c>
      <c r="U5" s="124">
        <v>0.2</v>
      </c>
      <c r="V5" s="125">
        <v>-0.2</v>
      </c>
      <c r="W5" s="126">
        <v>0.2</v>
      </c>
      <c r="X5" s="611" t="s">
        <v>983</v>
      </c>
      <c r="Y5" s="615" t="s">
        <v>984</v>
      </c>
    </row>
    <row r="6" spans="1:25" ht="16.3" customHeight="1">
      <c r="A6" s="586" t="s">
        <v>963</v>
      </c>
      <c r="B6" s="593" t="s">
        <v>979</v>
      </c>
      <c r="C6" s="129" t="s">
        <v>985</v>
      </c>
      <c r="D6" s="131">
        <v>80</v>
      </c>
      <c r="E6" s="132">
        <v>130</v>
      </c>
      <c r="F6" s="115" t="s">
        <v>986</v>
      </c>
      <c r="G6" s="644" t="s">
        <v>987</v>
      </c>
      <c r="H6" s="621">
        <v>1</v>
      </c>
      <c r="I6" s="621">
        <v>2</v>
      </c>
      <c r="J6" s="621">
        <v>1</v>
      </c>
      <c r="K6" s="621">
        <v>1</v>
      </c>
      <c r="L6" s="621">
        <v>2</v>
      </c>
      <c r="M6" s="116" t="s">
        <v>968</v>
      </c>
      <c r="N6" s="117" t="s">
        <v>736</v>
      </c>
      <c r="O6" s="133">
        <v>-0.3</v>
      </c>
      <c r="P6" s="134">
        <v>0</v>
      </c>
      <c r="Q6" s="120">
        <v>0.4</v>
      </c>
      <c r="R6" s="121">
        <v>0</v>
      </c>
      <c r="S6" s="122">
        <v>0</v>
      </c>
      <c r="T6" s="123">
        <v>-0.2</v>
      </c>
      <c r="U6" s="124">
        <v>0</v>
      </c>
      <c r="V6" s="125">
        <v>0</v>
      </c>
      <c r="W6" s="126">
        <v>0</v>
      </c>
      <c r="X6" s="611" t="s">
        <v>983</v>
      </c>
      <c r="Y6" s="613" t="s">
        <v>988</v>
      </c>
    </row>
    <row r="7" spans="1:25" ht="16.3" customHeight="1">
      <c r="A7" s="586" t="s">
        <v>963</v>
      </c>
      <c r="B7" s="593" t="s">
        <v>979</v>
      </c>
      <c r="C7" s="130" t="s">
        <v>989</v>
      </c>
      <c r="D7" s="131">
        <v>100</v>
      </c>
      <c r="E7" s="132">
        <v>100</v>
      </c>
      <c r="F7" s="115" t="s">
        <v>990</v>
      </c>
      <c r="G7" s="644" t="s">
        <v>991</v>
      </c>
      <c r="H7" s="621">
        <v>2</v>
      </c>
      <c r="I7" s="621">
        <v>2</v>
      </c>
      <c r="J7" s="621">
        <v>2</v>
      </c>
      <c r="K7" s="621">
        <v>1</v>
      </c>
      <c r="L7" s="621">
        <v>0</v>
      </c>
      <c r="M7" s="116" t="s">
        <v>968</v>
      </c>
      <c r="N7" s="117" t="s">
        <v>748</v>
      </c>
      <c r="O7" s="133">
        <v>0</v>
      </c>
      <c r="P7" s="134">
        <v>0.2</v>
      </c>
      <c r="Q7" s="120">
        <v>-0.3</v>
      </c>
      <c r="R7" s="121">
        <v>0</v>
      </c>
      <c r="S7" s="122">
        <v>-0.1</v>
      </c>
      <c r="T7" s="123">
        <v>0</v>
      </c>
      <c r="U7" s="124">
        <v>-0.5</v>
      </c>
      <c r="V7" s="125">
        <v>0</v>
      </c>
      <c r="W7" s="126">
        <v>0.4</v>
      </c>
      <c r="X7" s="611" t="s">
        <v>983</v>
      </c>
      <c r="Y7" s="614" t="s">
        <v>992</v>
      </c>
    </row>
    <row r="8" spans="1:25" ht="16.3" customHeight="1">
      <c r="A8" s="586" t="s">
        <v>963</v>
      </c>
      <c r="B8" s="594" t="s">
        <v>993</v>
      </c>
      <c r="C8" s="112" t="s">
        <v>994</v>
      </c>
      <c r="D8" s="131">
        <v>100</v>
      </c>
      <c r="E8" s="132">
        <v>80</v>
      </c>
      <c r="F8" s="115" t="s">
        <v>995</v>
      </c>
      <c r="G8" s="644" t="s">
        <v>996</v>
      </c>
      <c r="H8" s="621">
        <v>1</v>
      </c>
      <c r="I8" s="621">
        <v>1</v>
      </c>
      <c r="J8" s="621">
        <v>1</v>
      </c>
      <c r="K8" s="621">
        <v>3</v>
      </c>
      <c r="L8" s="621">
        <v>1</v>
      </c>
      <c r="M8" s="116" t="s">
        <v>968</v>
      </c>
      <c r="N8" s="117" t="s">
        <v>736</v>
      </c>
      <c r="O8" s="133">
        <v>-0.2</v>
      </c>
      <c r="P8" s="134">
        <v>0</v>
      </c>
      <c r="Q8" s="120">
        <v>0</v>
      </c>
      <c r="R8" s="121">
        <v>0</v>
      </c>
      <c r="S8" s="122">
        <v>0</v>
      </c>
      <c r="T8" s="123">
        <v>0</v>
      </c>
      <c r="U8" s="124">
        <v>0</v>
      </c>
      <c r="V8" s="125">
        <v>0.1</v>
      </c>
      <c r="W8" s="126">
        <v>0</v>
      </c>
      <c r="X8" s="610" t="s">
        <v>997</v>
      </c>
      <c r="Y8" s="615" t="s">
        <v>998</v>
      </c>
    </row>
    <row r="9" spans="1:25" ht="16.3" customHeight="1">
      <c r="A9" s="586" t="s">
        <v>963</v>
      </c>
      <c r="B9" s="594" t="s">
        <v>993</v>
      </c>
      <c r="C9" s="129" t="s">
        <v>999</v>
      </c>
      <c r="D9" s="131">
        <v>80</v>
      </c>
      <c r="E9" s="132">
        <v>100</v>
      </c>
      <c r="F9" s="115" t="s">
        <v>1000</v>
      </c>
      <c r="G9" s="644" t="s">
        <v>1001</v>
      </c>
      <c r="H9" s="621">
        <v>-1</v>
      </c>
      <c r="I9" s="621">
        <v>2</v>
      </c>
      <c r="J9" s="621">
        <v>-1</v>
      </c>
      <c r="K9" s="621">
        <v>1</v>
      </c>
      <c r="L9" s="621">
        <v>2</v>
      </c>
      <c r="M9" s="116" t="s">
        <v>968</v>
      </c>
      <c r="N9" s="117" t="s">
        <v>748</v>
      </c>
      <c r="O9" s="133">
        <v>0</v>
      </c>
      <c r="P9" s="134">
        <v>0</v>
      </c>
      <c r="Q9" s="120">
        <v>-0.5</v>
      </c>
      <c r="R9" s="121">
        <v>0</v>
      </c>
      <c r="S9" s="122">
        <v>0</v>
      </c>
      <c r="T9" s="123">
        <v>-0.2</v>
      </c>
      <c r="U9" s="124">
        <v>-0.3</v>
      </c>
      <c r="V9" s="125">
        <v>0</v>
      </c>
      <c r="W9" s="126">
        <v>0</v>
      </c>
      <c r="X9" s="610" t="s">
        <v>997</v>
      </c>
      <c r="Y9" s="613" t="s">
        <v>1002</v>
      </c>
    </row>
    <row r="10" spans="1:25" ht="16.3" customHeight="1">
      <c r="A10" s="586" t="s">
        <v>963</v>
      </c>
      <c r="B10" s="594" t="s">
        <v>993</v>
      </c>
      <c r="C10" s="130" t="s">
        <v>1003</v>
      </c>
      <c r="D10" s="131">
        <v>100</v>
      </c>
      <c r="E10" s="132">
        <v>70</v>
      </c>
      <c r="F10" s="115" t="s">
        <v>1004</v>
      </c>
      <c r="G10" s="644" t="s">
        <v>1005</v>
      </c>
      <c r="H10" s="621">
        <v>1</v>
      </c>
      <c r="I10" s="621">
        <v>1</v>
      </c>
      <c r="J10" s="621">
        <v>2</v>
      </c>
      <c r="K10" s="621">
        <v>1</v>
      </c>
      <c r="L10" s="621">
        <v>0</v>
      </c>
      <c r="M10" s="116" t="s">
        <v>968</v>
      </c>
      <c r="N10" s="117" t="s">
        <v>736</v>
      </c>
      <c r="O10" s="133">
        <v>0</v>
      </c>
      <c r="P10" s="134">
        <v>0</v>
      </c>
      <c r="Q10" s="120">
        <v>-0.2</v>
      </c>
      <c r="R10" s="121">
        <v>0.2</v>
      </c>
      <c r="S10" s="122">
        <v>-0.2</v>
      </c>
      <c r="T10" s="123">
        <v>0</v>
      </c>
      <c r="U10" s="124">
        <v>0</v>
      </c>
      <c r="V10" s="125">
        <v>0</v>
      </c>
      <c r="W10" s="126">
        <v>0</v>
      </c>
      <c r="X10" s="610" t="s">
        <v>997</v>
      </c>
      <c r="Y10" s="614" t="s">
        <v>1006</v>
      </c>
    </row>
    <row r="11" spans="1:25" ht="16.3" customHeight="1">
      <c r="A11" s="586" t="s">
        <v>963</v>
      </c>
      <c r="B11" s="594" t="s">
        <v>1007</v>
      </c>
      <c r="C11" s="112" t="s">
        <v>1008</v>
      </c>
      <c r="D11" s="131">
        <v>100</v>
      </c>
      <c r="E11" s="132">
        <v>80</v>
      </c>
      <c r="F11" s="115" t="s">
        <v>1009</v>
      </c>
      <c r="G11" s="644" t="s">
        <v>1010</v>
      </c>
      <c r="H11" s="621">
        <v>1</v>
      </c>
      <c r="I11" s="621">
        <v>1</v>
      </c>
      <c r="J11" s="621">
        <v>1</v>
      </c>
      <c r="K11" s="621">
        <v>1</v>
      </c>
      <c r="L11" s="621">
        <v>1</v>
      </c>
      <c r="M11" s="116" t="s">
        <v>968</v>
      </c>
      <c r="N11" s="117" t="s">
        <v>736</v>
      </c>
      <c r="O11" s="133">
        <v>0.2</v>
      </c>
      <c r="P11" s="134">
        <v>0</v>
      </c>
      <c r="Q11" s="120">
        <v>-0.1</v>
      </c>
      <c r="R11" s="121">
        <v>-0.1</v>
      </c>
      <c r="S11" s="122">
        <v>0.1</v>
      </c>
      <c r="T11" s="123">
        <v>-0.1</v>
      </c>
      <c r="U11" s="124">
        <v>0.2</v>
      </c>
      <c r="V11" s="125">
        <v>-0.1</v>
      </c>
      <c r="W11" s="126">
        <v>-0.1</v>
      </c>
      <c r="X11" s="610" t="s">
        <v>1011</v>
      </c>
      <c r="Y11" s="615" t="s">
        <v>1012</v>
      </c>
    </row>
    <row r="12" spans="1:25" ht="16.3" customHeight="1">
      <c r="A12" s="586" t="s">
        <v>963</v>
      </c>
      <c r="B12" s="594" t="s">
        <v>1007</v>
      </c>
      <c r="C12" s="129" t="s">
        <v>1013</v>
      </c>
      <c r="D12" s="131">
        <v>80</v>
      </c>
      <c r="E12" s="132">
        <v>120</v>
      </c>
      <c r="F12" s="115" t="s">
        <v>1014</v>
      </c>
      <c r="G12" s="644" t="s">
        <v>1015</v>
      </c>
      <c r="H12" s="621">
        <v>0</v>
      </c>
      <c r="I12" s="621">
        <v>1</v>
      </c>
      <c r="J12" s="621">
        <v>0</v>
      </c>
      <c r="K12" s="621">
        <v>1</v>
      </c>
      <c r="L12" s="621">
        <v>2</v>
      </c>
      <c r="M12" s="116" t="s">
        <v>968</v>
      </c>
      <c r="N12" s="117" t="s">
        <v>731</v>
      </c>
      <c r="O12" s="133">
        <v>0.3</v>
      </c>
      <c r="P12" s="134">
        <v>0.3</v>
      </c>
      <c r="Q12" s="120">
        <v>-0.5</v>
      </c>
      <c r="R12" s="121">
        <v>-0.5</v>
      </c>
      <c r="S12" s="122">
        <v>0.5</v>
      </c>
      <c r="T12" s="123">
        <v>-0.9</v>
      </c>
      <c r="U12" s="124">
        <v>0.4</v>
      </c>
      <c r="V12" s="125">
        <v>-0.2</v>
      </c>
      <c r="W12" s="126">
        <v>-0.2</v>
      </c>
      <c r="X12" s="610" t="s">
        <v>1011</v>
      </c>
      <c r="Y12" s="613" t="s">
        <v>1016</v>
      </c>
    </row>
    <row r="13" spans="1:25" ht="16.3" customHeight="1">
      <c r="A13" s="586" t="s">
        <v>963</v>
      </c>
      <c r="B13" s="594" t="s">
        <v>1007</v>
      </c>
      <c r="C13" s="130" t="s">
        <v>1017</v>
      </c>
      <c r="D13" s="131">
        <v>90</v>
      </c>
      <c r="E13" s="132">
        <v>90</v>
      </c>
      <c r="F13" s="115" t="s">
        <v>1018</v>
      </c>
      <c r="G13" s="644" t="s">
        <v>1019</v>
      </c>
      <c r="H13" s="621">
        <v>1</v>
      </c>
      <c r="I13" s="621">
        <v>1</v>
      </c>
      <c r="J13" s="621">
        <v>0</v>
      </c>
      <c r="K13" s="621">
        <v>3</v>
      </c>
      <c r="L13" s="621">
        <v>1</v>
      </c>
      <c r="M13" s="116" t="s">
        <v>968</v>
      </c>
      <c r="N13" s="117" t="s">
        <v>736</v>
      </c>
      <c r="O13" s="133">
        <v>0</v>
      </c>
      <c r="P13" s="134">
        <v>0.3</v>
      </c>
      <c r="Q13" s="120">
        <v>-0.2</v>
      </c>
      <c r="R13" s="121">
        <v>-0.2</v>
      </c>
      <c r="S13" s="122">
        <v>0.4</v>
      </c>
      <c r="T13" s="123">
        <v>0</v>
      </c>
      <c r="U13" s="124">
        <v>0</v>
      </c>
      <c r="V13" s="125">
        <v>0.2</v>
      </c>
      <c r="W13" s="126">
        <v>0</v>
      </c>
      <c r="X13" s="610" t="s">
        <v>1011</v>
      </c>
      <c r="Y13" s="614" t="s">
        <v>1020</v>
      </c>
    </row>
    <row r="14" spans="1:25" ht="16.3" customHeight="1">
      <c r="A14" s="586" t="s">
        <v>963</v>
      </c>
      <c r="B14" s="594" t="s">
        <v>1021</v>
      </c>
      <c r="C14" s="112" t="s">
        <v>1022</v>
      </c>
      <c r="D14" s="131">
        <v>120</v>
      </c>
      <c r="E14" s="132">
        <v>50</v>
      </c>
      <c r="F14" s="115" t="s">
        <v>1023</v>
      </c>
      <c r="G14" s="644" t="s">
        <v>1024</v>
      </c>
      <c r="H14" s="621">
        <v>2</v>
      </c>
      <c r="I14" s="621">
        <v>2</v>
      </c>
      <c r="J14" s="621">
        <v>2</v>
      </c>
      <c r="K14" s="621">
        <v>-1</v>
      </c>
      <c r="L14" s="621">
        <v>-1</v>
      </c>
      <c r="M14" s="116" t="s">
        <v>1025</v>
      </c>
      <c r="N14" s="117" t="s">
        <v>752</v>
      </c>
      <c r="O14" s="133">
        <v>-0.2</v>
      </c>
      <c r="P14" s="134">
        <v>0.1</v>
      </c>
      <c r="Q14" s="120">
        <v>0</v>
      </c>
      <c r="R14" s="121">
        <v>0</v>
      </c>
      <c r="S14" s="122">
        <v>-0.4</v>
      </c>
      <c r="T14" s="123">
        <v>0.4</v>
      </c>
      <c r="U14" s="124">
        <v>-0.8</v>
      </c>
      <c r="V14" s="125">
        <v>-0.3</v>
      </c>
      <c r="W14" s="126">
        <v>0.5</v>
      </c>
      <c r="X14" s="611" t="s">
        <v>1026</v>
      </c>
      <c r="Y14" s="615" t="s">
        <v>1027</v>
      </c>
    </row>
    <row r="15" spans="1:25" ht="16.3" customHeight="1">
      <c r="A15" s="586" t="s">
        <v>963</v>
      </c>
      <c r="B15" s="594" t="s">
        <v>1021</v>
      </c>
      <c r="C15" s="129" t="s">
        <v>1028</v>
      </c>
      <c r="D15" s="131">
        <v>115</v>
      </c>
      <c r="E15" s="132">
        <v>95</v>
      </c>
      <c r="F15" s="115" t="s">
        <v>1029</v>
      </c>
      <c r="G15" s="644" t="s">
        <v>1030</v>
      </c>
      <c r="H15" s="621">
        <v>1</v>
      </c>
      <c r="I15" s="621">
        <v>1</v>
      </c>
      <c r="J15" s="621">
        <v>1</v>
      </c>
      <c r="K15" s="621">
        <v>1</v>
      </c>
      <c r="L15" s="621">
        <v>1</v>
      </c>
      <c r="M15" s="116" t="s">
        <v>968</v>
      </c>
      <c r="N15" s="117" t="s">
        <v>736</v>
      </c>
      <c r="O15" s="133">
        <v>0</v>
      </c>
      <c r="P15" s="134">
        <v>0</v>
      </c>
      <c r="Q15" s="120">
        <v>0</v>
      </c>
      <c r="R15" s="121">
        <v>0</v>
      </c>
      <c r="S15" s="122">
        <v>0</v>
      </c>
      <c r="T15" s="123">
        <v>0.2</v>
      </c>
      <c r="U15" s="124">
        <v>-0.2</v>
      </c>
      <c r="V15" s="125">
        <v>0.2</v>
      </c>
      <c r="W15" s="126">
        <v>0.1</v>
      </c>
      <c r="X15" s="611" t="s">
        <v>1026</v>
      </c>
      <c r="Y15" s="613" t="s">
        <v>1031</v>
      </c>
    </row>
    <row r="16" spans="1:25" ht="16.3" customHeight="1">
      <c r="A16" s="586" t="s">
        <v>963</v>
      </c>
      <c r="B16" s="594" t="s">
        <v>1021</v>
      </c>
      <c r="C16" s="130" t="s">
        <v>1032</v>
      </c>
      <c r="D16" s="131">
        <v>90</v>
      </c>
      <c r="E16" s="132">
        <v>110</v>
      </c>
      <c r="F16" s="115" t="s">
        <v>1033</v>
      </c>
      <c r="G16" s="644" t="s">
        <v>1034</v>
      </c>
      <c r="H16" s="621">
        <v>1</v>
      </c>
      <c r="I16" s="621">
        <v>2</v>
      </c>
      <c r="J16" s="621">
        <v>0</v>
      </c>
      <c r="K16" s="621">
        <v>1</v>
      </c>
      <c r="L16" s="621">
        <v>0</v>
      </c>
      <c r="M16" s="116" t="s">
        <v>968</v>
      </c>
      <c r="N16" s="117" t="s">
        <v>736</v>
      </c>
      <c r="O16" s="133">
        <v>0</v>
      </c>
      <c r="P16" s="134">
        <v>0.5</v>
      </c>
      <c r="Q16" s="120">
        <v>0</v>
      </c>
      <c r="R16" s="121">
        <v>0</v>
      </c>
      <c r="S16" s="122">
        <v>-0.6</v>
      </c>
      <c r="T16" s="123">
        <v>0</v>
      </c>
      <c r="U16" s="124">
        <v>-0.3</v>
      </c>
      <c r="V16" s="125">
        <v>0</v>
      </c>
      <c r="W16" s="126">
        <v>0</v>
      </c>
      <c r="X16" s="611" t="s">
        <v>1026</v>
      </c>
      <c r="Y16" s="614" t="s">
        <v>1035</v>
      </c>
    </row>
    <row r="17" spans="1:23" ht="15" customHeight="1">
      <c r="A17" s="586" t="s">
        <v>963</v>
      </c>
      <c r="B17" s="595" t="s">
        <v>1036</v>
      </c>
      <c r="C17" s="112" t="s">
        <v>1037</v>
      </c>
      <c r="D17" s="131">
        <v>60</v>
      </c>
      <c r="E17" s="132">
        <v>80</v>
      </c>
      <c r="F17" s="115" t="s">
        <v>1038</v>
      </c>
      <c r="G17" s="644" t="s">
        <v>1039</v>
      </c>
      <c r="H17" s="621">
        <v>1</v>
      </c>
      <c r="I17" s="621">
        <v>1</v>
      </c>
      <c r="J17" s="621">
        <v>1</v>
      </c>
      <c r="K17" s="621">
        <v>4</v>
      </c>
      <c r="L17" s="621">
        <v>1</v>
      </c>
      <c r="M17" s="116" t="s">
        <v>1040</v>
      </c>
      <c r="N17" s="117" t="s">
        <v>736</v>
      </c>
      <c r="O17" s="133">
        <v>-0.2</v>
      </c>
      <c r="P17" s="134">
        <v>0.4</v>
      </c>
      <c r="Q17" s="120">
        <v>0</v>
      </c>
      <c r="R17" s="121">
        <v>0</v>
      </c>
      <c r="S17" s="122">
        <v>0</v>
      </c>
      <c r="T17" s="123">
        <v>0</v>
      </c>
      <c r="U17" s="124">
        <v>0</v>
      </c>
      <c r="V17" s="125">
        <v>0</v>
      </c>
      <c r="W17" s="126">
        <v>0.6</v>
      </c>
    </row>
    <row r="18" spans="1:23" ht="15" customHeight="1">
      <c r="A18" s="586" t="s">
        <v>963</v>
      </c>
      <c r="B18" s="595" t="s">
        <v>1036</v>
      </c>
      <c r="C18" s="129" t="s">
        <v>1041</v>
      </c>
      <c r="D18" s="131">
        <v>120</v>
      </c>
      <c r="E18" s="132">
        <v>80</v>
      </c>
      <c r="F18" s="115" t="s">
        <v>1042</v>
      </c>
      <c r="G18" s="644" t="s">
        <v>1043</v>
      </c>
      <c r="H18" s="621">
        <v>2</v>
      </c>
      <c r="I18" s="621">
        <v>-2</v>
      </c>
      <c r="J18" s="621">
        <v>2</v>
      </c>
      <c r="K18" s="621">
        <v>1</v>
      </c>
      <c r="L18" s="621">
        <v>0</v>
      </c>
      <c r="M18" s="116" t="s">
        <v>968</v>
      </c>
      <c r="N18" s="117" t="s">
        <v>736</v>
      </c>
      <c r="O18" s="133">
        <v>-0.5</v>
      </c>
      <c r="P18" s="134">
        <v>0.3</v>
      </c>
      <c r="Q18" s="120">
        <v>0</v>
      </c>
      <c r="R18" s="121">
        <v>0</v>
      </c>
      <c r="S18" s="122">
        <v>0</v>
      </c>
      <c r="T18" s="123">
        <v>0.2</v>
      </c>
      <c r="U18" s="124">
        <v>0</v>
      </c>
      <c r="V18" s="125">
        <v>0.1</v>
      </c>
      <c r="W18" s="126">
        <v>0.1</v>
      </c>
    </row>
    <row r="19" spans="1:23" ht="17.25" customHeight="1">
      <c r="A19" s="586" t="s">
        <v>963</v>
      </c>
      <c r="B19" s="595" t="s">
        <v>1036</v>
      </c>
      <c r="C19" s="130" t="s">
        <v>1044</v>
      </c>
      <c r="D19" s="131">
        <v>110</v>
      </c>
      <c r="E19" s="132">
        <v>100</v>
      </c>
      <c r="F19" s="115" t="s">
        <v>1045</v>
      </c>
      <c r="G19" s="644" t="s">
        <v>1046</v>
      </c>
      <c r="H19" s="621">
        <v>1</v>
      </c>
      <c r="I19" s="621">
        <v>1</v>
      </c>
      <c r="J19" s="621">
        <v>1</v>
      </c>
      <c r="K19" s="621">
        <v>1</v>
      </c>
      <c r="L19" s="621">
        <v>1</v>
      </c>
      <c r="M19" s="116" t="s">
        <v>968</v>
      </c>
      <c r="N19" s="117" t="s">
        <v>736</v>
      </c>
      <c r="O19" s="133">
        <v>-0.8</v>
      </c>
      <c r="P19" s="134">
        <v>0.6</v>
      </c>
      <c r="Q19" s="120">
        <v>0</v>
      </c>
      <c r="R19" s="121">
        <v>0</v>
      </c>
      <c r="S19" s="122">
        <v>0</v>
      </c>
      <c r="T19" s="123">
        <v>0.2</v>
      </c>
      <c r="U19" s="124">
        <v>0</v>
      </c>
      <c r="V19" s="125">
        <v>-0.2</v>
      </c>
      <c r="W19" s="126">
        <v>0</v>
      </c>
    </row>
    <row r="20" spans="1:23" ht="15" customHeight="1">
      <c r="A20" s="586" t="s">
        <v>963</v>
      </c>
      <c r="B20" s="594" t="s">
        <v>1047</v>
      </c>
      <c r="C20" s="112" t="s">
        <v>1048</v>
      </c>
      <c r="D20" s="131">
        <v>100</v>
      </c>
      <c r="E20" s="132">
        <v>100</v>
      </c>
      <c r="F20" s="115" t="s">
        <v>1049</v>
      </c>
      <c r="G20" s="644" t="s">
        <v>1050</v>
      </c>
      <c r="H20" s="621">
        <v>2</v>
      </c>
      <c r="I20" s="621">
        <v>1</v>
      </c>
      <c r="J20" s="621">
        <v>2</v>
      </c>
      <c r="K20" s="621">
        <v>1</v>
      </c>
      <c r="L20" s="621">
        <v>0</v>
      </c>
      <c r="M20" s="116" t="s">
        <v>1051</v>
      </c>
      <c r="N20" s="117" t="s">
        <v>736</v>
      </c>
      <c r="O20" s="118">
        <v>-0.2</v>
      </c>
      <c r="P20" s="119">
        <v>0.2</v>
      </c>
      <c r="Q20" s="120">
        <v>0.3</v>
      </c>
      <c r="R20" s="121">
        <v>-0.4</v>
      </c>
      <c r="S20" s="122">
        <v>0</v>
      </c>
      <c r="T20" s="123">
        <v>0.2</v>
      </c>
      <c r="U20" s="124">
        <v>-0.4</v>
      </c>
      <c r="V20" s="125">
        <v>0</v>
      </c>
      <c r="W20" s="126">
        <v>0.2</v>
      </c>
    </row>
    <row r="21" spans="1:23" ht="15" customHeight="1">
      <c r="A21" s="586" t="s">
        <v>963</v>
      </c>
      <c r="B21" s="594" t="s">
        <v>1047</v>
      </c>
      <c r="C21" s="129" t="s">
        <v>1052</v>
      </c>
      <c r="D21" s="131">
        <v>140</v>
      </c>
      <c r="E21" s="132">
        <v>90</v>
      </c>
      <c r="F21" s="115" t="s">
        <v>1053</v>
      </c>
      <c r="G21" s="644" t="s">
        <v>1054</v>
      </c>
      <c r="H21" s="621">
        <v>3</v>
      </c>
      <c r="I21" s="621">
        <v>0</v>
      </c>
      <c r="J21" s="621">
        <v>1</v>
      </c>
      <c r="K21" s="621">
        <v>1</v>
      </c>
      <c r="L21" s="621">
        <v>1</v>
      </c>
      <c r="M21" s="116" t="s">
        <v>968</v>
      </c>
      <c r="N21" s="117" t="s">
        <v>752</v>
      </c>
      <c r="O21" s="118">
        <v>0.1</v>
      </c>
      <c r="P21" s="119">
        <v>0.1</v>
      </c>
      <c r="Q21" s="120">
        <v>0.1</v>
      </c>
      <c r="R21" s="121">
        <v>0.1</v>
      </c>
      <c r="S21" s="122">
        <v>0.1</v>
      </c>
      <c r="T21" s="123">
        <v>0.1</v>
      </c>
      <c r="U21" s="124">
        <v>0.1</v>
      </c>
      <c r="V21" s="125">
        <v>0</v>
      </c>
      <c r="W21" s="126">
        <v>0.1</v>
      </c>
    </row>
    <row r="22" spans="1:23" ht="17.25" customHeight="1">
      <c r="A22" s="586" t="s">
        <v>963</v>
      </c>
      <c r="B22" s="594" t="s">
        <v>1047</v>
      </c>
      <c r="C22" s="130" t="s">
        <v>1055</v>
      </c>
      <c r="D22" s="131">
        <v>50</v>
      </c>
      <c r="E22" s="132">
        <v>70</v>
      </c>
      <c r="F22" s="115" t="s">
        <v>1056</v>
      </c>
      <c r="G22" s="644" t="s">
        <v>1057</v>
      </c>
      <c r="H22" s="621">
        <v>1</v>
      </c>
      <c r="I22" s="621">
        <v>1</v>
      </c>
      <c r="J22" s="621">
        <v>1</v>
      </c>
      <c r="K22" s="621">
        <v>1</v>
      </c>
      <c r="L22" s="621">
        <v>1</v>
      </c>
      <c r="M22" s="116" t="s">
        <v>1040</v>
      </c>
      <c r="N22" s="117" t="s">
        <v>736</v>
      </c>
      <c r="O22" s="133">
        <v>0.4</v>
      </c>
      <c r="P22" s="134">
        <v>-0.4</v>
      </c>
      <c r="Q22" s="120">
        <v>0</v>
      </c>
      <c r="R22" s="121">
        <v>0</v>
      </c>
      <c r="S22" s="122">
        <v>-0.2</v>
      </c>
      <c r="T22" s="123">
        <v>0</v>
      </c>
      <c r="U22" s="124">
        <v>0</v>
      </c>
      <c r="V22" s="125">
        <v>-0.4</v>
      </c>
      <c r="W22" s="126">
        <v>0</v>
      </c>
    </row>
    <row r="23" spans="1:23" ht="16.3" customHeight="1">
      <c r="A23" s="586" t="s">
        <v>963</v>
      </c>
      <c r="B23" s="594" t="s">
        <v>1058</v>
      </c>
      <c r="C23" s="112" t="s">
        <v>1059</v>
      </c>
      <c r="D23" s="131">
        <v>160</v>
      </c>
      <c r="E23" s="132">
        <v>100</v>
      </c>
      <c r="F23" s="115" t="s">
        <v>1060</v>
      </c>
      <c r="G23" s="644" t="s">
        <v>1061</v>
      </c>
      <c r="H23" s="621">
        <v>4</v>
      </c>
      <c r="I23" s="621">
        <v>1</v>
      </c>
      <c r="J23" s="621">
        <v>3</v>
      </c>
      <c r="K23" s="621">
        <v>-2</v>
      </c>
      <c r="L23" s="621">
        <v>1</v>
      </c>
      <c r="M23" s="116" t="s">
        <v>1062</v>
      </c>
      <c r="N23" s="117" t="s">
        <v>736</v>
      </c>
      <c r="O23" s="133">
        <v>-0.4</v>
      </c>
      <c r="P23" s="134">
        <v>0.1</v>
      </c>
      <c r="Q23" s="120">
        <v>0.1</v>
      </c>
      <c r="R23" s="121">
        <v>0.1</v>
      </c>
      <c r="S23" s="122">
        <v>0.7</v>
      </c>
      <c r="T23" s="123">
        <v>0.7</v>
      </c>
      <c r="U23" s="124">
        <v>0.2</v>
      </c>
      <c r="V23" s="125">
        <v>0.4</v>
      </c>
      <c r="W23" s="126">
        <v>0.4</v>
      </c>
    </row>
    <row r="24" spans="1:23" ht="16.3" customHeight="1">
      <c r="A24" s="586" t="s">
        <v>963</v>
      </c>
      <c r="B24" s="594" t="s">
        <v>1058</v>
      </c>
      <c r="C24" s="129" t="s">
        <v>1063</v>
      </c>
      <c r="D24" s="131">
        <v>140</v>
      </c>
      <c r="E24" s="132">
        <v>140</v>
      </c>
      <c r="F24" s="115" t="s">
        <v>1064</v>
      </c>
      <c r="G24" s="644" t="s">
        <v>1065</v>
      </c>
      <c r="H24" s="621">
        <v>2</v>
      </c>
      <c r="I24" s="621">
        <v>2</v>
      </c>
      <c r="J24" s="621">
        <v>1</v>
      </c>
      <c r="K24" s="621">
        <v>1</v>
      </c>
      <c r="L24" s="621">
        <v>1</v>
      </c>
      <c r="M24" s="116" t="s">
        <v>968</v>
      </c>
      <c r="N24" s="117" t="s">
        <v>736</v>
      </c>
      <c r="O24" s="133">
        <v>-0.3</v>
      </c>
      <c r="P24" s="134">
        <v>0</v>
      </c>
      <c r="Q24" s="120">
        <v>-0.6</v>
      </c>
      <c r="R24" s="121">
        <v>0.2</v>
      </c>
      <c r="S24" s="122">
        <v>0.1</v>
      </c>
      <c r="T24" s="123">
        <v>0.2</v>
      </c>
      <c r="U24" s="124">
        <v>0</v>
      </c>
      <c r="V24" s="125">
        <v>0</v>
      </c>
      <c r="W24" s="126">
        <v>0.2</v>
      </c>
    </row>
    <row r="25" spans="1:23" ht="16.3" customHeight="1">
      <c r="A25" s="586" t="s">
        <v>963</v>
      </c>
      <c r="B25" s="594" t="s">
        <v>1058</v>
      </c>
      <c r="C25" s="130" t="s">
        <v>1066</v>
      </c>
      <c r="D25" s="131">
        <v>135</v>
      </c>
      <c r="E25" s="132">
        <v>125</v>
      </c>
      <c r="F25" s="115" t="s">
        <v>1067</v>
      </c>
      <c r="G25" s="644" t="s">
        <v>1068</v>
      </c>
      <c r="H25" s="621">
        <v>2</v>
      </c>
      <c r="I25" s="621">
        <v>2</v>
      </c>
      <c r="J25" s="621">
        <v>1</v>
      </c>
      <c r="K25" s="621">
        <v>0</v>
      </c>
      <c r="L25" s="621">
        <v>1</v>
      </c>
      <c r="M25" s="116" t="s">
        <v>968</v>
      </c>
      <c r="N25" s="117" t="s">
        <v>736</v>
      </c>
      <c r="O25" s="118">
        <v>-0.8</v>
      </c>
      <c r="P25" s="119">
        <v>0.4</v>
      </c>
      <c r="Q25" s="120">
        <v>0</v>
      </c>
      <c r="R25" s="121">
        <v>0</v>
      </c>
      <c r="S25" s="122">
        <v>0</v>
      </c>
      <c r="T25" s="123">
        <v>0.6</v>
      </c>
      <c r="U25" s="124">
        <v>0</v>
      </c>
      <c r="V25" s="125">
        <v>0.6</v>
      </c>
      <c r="W25" s="126">
        <v>0</v>
      </c>
    </row>
    <row r="26" spans="1:23" ht="16.3" customHeight="1">
      <c r="A26" s="586" t="s">
        <v>963</v>
      </c>
      <c r="B26" s="594" t="s">
        <v>1069</v>
      </c>
      <c r="C26" s="112" t="s">
        <v>1070</v>
      </c>
      <c r="D26" s="131">
        <v>90</v>
      </c>
      <c r="E26" s="132">
        <v>130</v>
      </c>
      <c r="F26" s="115" t="s">
        <v>1071</v>
      </c>
      <c r="G26" s="644" t="s">
        <v>1072</v>
      </c>
      <c r="H26" s="621">
        <v>1</v>
      </c>
      <c r="I26" s="621">
        <v>1</v>
      </c>
      <c r="J26" s="621">
        <v>0</v>
      </c>
      <c r="K26" s="621">
        <v>1</v>
      </c>
      <c r="L26" s="621">
        <v>1</v>
      </c>
      <c r="M26" s="116" t="s">
        <v>968</v>
      </c>
      <c r="N26" s="117" t="s">
        <v>736</v>
      </c>
      <c r="O26" s="118">
        <v>0</v>
      </c>
      <c r="P26" s="119">
        <v>0.1</v>
      </c>
      <c r="Q26" s="120">
        <v>0</v>
      </c>
      <c r="R26" s="121">
        <v>0</v>
      </c>
      <c r="S26" s="122">
        <v>0</v>
      </c>
      <c r="T26" s="123">
        <v>0</v>
      </c>
      <c r="U26" s="124">
        <v>0</v>
      </c>
      <c r="V26" s="125">
        <v>0</v>
      </c>
      <c r="W26" s="126">
        <v>0</v>
      </c>
    </row>
    <row r="27" spans="1:23" ht="16.3" customHeight="1">
      <c r="A27" s="586" t="s">
        <v>963</v>
      </c>
      <c r="B27" s="594" t="s">
        <v>1069</v>
      </c>
      <c r="C27" s="129" t="s">
        <v>1073</v>
      </c>
      <c r="D27" s="131">
        <v>125</v>
      </c>
      <c r="E27" s="132">
        <v>125</v>
      </c>
      <c r="F27" s="115" t="s">
        <v>1074</v>
      </c>
      <c r="G27" s="644" t="s">
        <v>1075</v>
      </c>
      <c r="H27" s="621">
        <v>-1</v>
      </c>
      <c r="I27" s="621">
        <v>2</v>
      </c>
      <c r="J27" s="621">
        <v>1</v>
      </c>
      <c r="K27" s="621">
        <v>1</v>
      </c>
      <c r="L27" s="621">
        <v>1</v>
      </c>
      <c r="M27" s="116" t="s">
        <v>968</v>
      </c>
      <c r="N27" s="117" t="s">
        <v>752</v>
      </c>
      <c r="O27" s="118">
        <v>-0.5</v>
      </c>
      <c r="P27" s="119">
        <v>0.2</v>
      </c>
      <c r="Q27" s="120">
        <v>-0.2</v>
      </c>
      <c r="R27" s="121">
        <v>0</v>
      </c>
      <c r="S27" s="122">
        <v>0.2</v>
      </c>
      <c r="T27" s="123">
        <v>0</v>
      </c>
      <c r="U27" s="124">
        <v>-0.4</v>
      </c>
      <c r="V27" s="125">
        <v>0</v>
      </c>
      <c r="W27" s="126">
        <v>0.1</v>
      </c>
    </row>
    <row r="28" spans="1:23" ht="16.3" customHeight="1">
      <c r="A28" s="586" t="s">
        <v>963</v>
      </c>
      <c r="B28" s="594" t="s">
        <v>1069</v>
      </c>
      <c r="C28" s="130" t="s">
        <v>1076</v>
      </c>
      <c r="D28" s="131">
        <v>45</v>
      </c>
      <c r="E28" s="132">
        <v>85</v>
      </c>
      <c r="F28" s="115" t="s">
        <v>1077</v>
      </c>
      <c r="G28" s="644" t="s">
        <v>1078</v>
      </c>
      <c r="H28" s="621">
        <v>5</v>
      </c>
      <c r="I28" s="621">
        <v>3</v>
      </c>
      <c r="J28" s="621">
        <v>3</v>
      </c>
      <c r="K28" s="621">
        <v>1</v>
      </c>
      <c r="L28" s="621">
        <v>0</v>
      </c>
      <c r="M28" s="116" t="s">
        <v>968</v>
      </c>
      <c r="N28" s="117" t="s">
        <v>736</v>
      </c>
      <c r="O28" s="118">
        <v>0</v>
      </c>
      <c r="P28" s="119">
        <v>0.1</v>
      </c>
      <c r="Q28" s="120">
        <v>0</v>
      </c>
      <c r="R28" s="121">
        <v>0.1</v>
      </c>
      <c r="S28" s="122">
        <v>0.6</v>
      </c>
      <c r="T28" s="123">
        <v>0.2</v>
      </c>
      <c r="U28" s="124">
        <v>0</v>
      </c>
      <c r="V28" s="125">
        <v>0</v>
      </c>
      <c r="W28" s="126">
        <v>0</v>
      </c>
    </row>
    <row r="29" spans="1:23" ht="16.3" customHeight="1">
      <c r="A29" s="586" t="s">
        <v>963</v>
      </c>
      <c r="B29" s="595" t="s">
        <v>1079</v>
      </c>
      <c r="C29" s="112" t="s">
        <v>1080</v>
      </c>
      <c r="D29" s="131">
        <v>100</v>
      </c>
      <c r="E29" s="132">
        <v>130</v>
      </c>
      <c r="F29" s="115" t="s">
        <v>1081</v>
      </c>
      <c r="G29" s="644" t="s">
        <v>1082</v>
      </c>
      <c r="H29" s="621">
        <v>0</v>
      </c>
      <c r="I29" s="621">
        <v>2</v>
      </c>
      <c r="J29" s="621">
        <v>0</v>
      </c>
      <c r="K29" s="621">
        <v>2</v>
      </c>
      <c r="L29" s="621">
        <v>1</v>
      </c>
      <c r="M29" s="116" t="s">
        <v>968</v>
      </c>
      <c r="N29" s="117" t="s">
        <v>748</v>
      </c>
      <c r="O29" s="133">
        <v>0</v>
      </c>
      <c r="P29" s="134">
        <v>0</v>
      </c>
      <c r="Q29" s="120">
        <v>-0.7</v>
      </c>
      <c r="R29" s="121">
        <v>0.5</v>
      </c>
      <c r="S29" s="135">
        <v>0.3</v>
      </c>
      <c r="T29" s="123">
        <v>0</v>
      </c>
      <c r="U29" s="124">
        <v>-0.2</v>
      </c>
      <c r="V29" s="125">
        <v>0</v>
      </c>
      <c r="W29" s="126">
        <v>0</v>
      </c>
    </row>
    <row r="30" spans="1:23" ht="16.3" customHeight="1">
      <c r="A30" s="586" t="s">
        <v>963</v>
      </c>
      <c r="B30" s="595" t="s">
        <v>1079</v>
      </c>
      <c r="C30" s="129" t="s">
        <v>1083</v>
      </c>
      <c r="D30" s="131">
        <v>120</v>
      </c>
      <c r="E30" s="132">
        <v>100</v>
      </c>
      <c r="F30" s="115" t="s">
        <v>1084</v>
      </c>
      <c r="G30" s="644" t="s">
        <v>1085</v>
      </c>
      <c r="H30" s="621">
        <v>2</v>
      </c>
      <c r="I30" s="621">
        <v>1</v>
      </c>
      <c r="J30" s="621">
        <v>2</v>
      </c>
      <c r="K30" s="621">
        <v>1</v>
      </c>
      <c r="L30" s="621">
        <v>1</v>
      </c>
      <c r="M30" s="116" t="s">
        <v>968</v>
      </c>
      <c r="N30" s="117" t="s">
        <v>736</v>
      </c>
      <c r="O30" s="133">
        <v>0</v>
      </c>
      <c r="P30" s="134">
        <v>0</v>
      </c>
      <c r="Q30" s="120">
        <v>-0.7</v>
      </c>
      <c r="R30" s="121">
        <v>0.5</v>
      </c>
      <c r="S30" s="135">
        <v>0</v>
      </c>
      <c r="T30" s="123">
        <v>0.2</v>
      </c>
      <c r="U30" s="124">
        <v>-0.5</v>
      </c>
      <c r="V30" s="125">
        <v>0</v>
      </c>
      <c r="W30" s="126">
        <v>0</v>
      </c>
    </row>
    <row r="31" spans="1:23" ht="16.3" customHeight="1">
      <c r="A31" s="586" t="s">
        <v>963</v>
      </c>
      <c r="B31" s="595" t="s">
        <v>1079</v>
      </c>
      <c r="C31" s="130" t="s">
        <v>1086</v>
      </c>
      <c r="D31" s="131">
        <v>70</v>
      </c>
      <c r="E31" s="132">
        <v>140</v>
      </c>
      <c r="F31" s="115" t="s">
        <v>1087</v>
      </c>
      <c r="G31" s="644" t="s">
        <v>1088</v>
      </c>
      <c r="H31" s="621">
        <v>-2</v>
      </c>
      <c r="I31" s="621">
        <v>2</v>
      </c>
      <c r="J31" s="621">
        <v>0</v>
      </c>
      <c r="K31" s="621">
        <v>1</v>
      </c>
      <c r="L31" s="621">
        <v>2</v>
      </c>
      <c r="M31" s="116" t="s">
        <v>968</v>
      </c>
      <c r="N31" s="117" t="s">
        <v>736</v>
      </c>
      <c r="O31" s="133">
        <v>0.2</v>
      </c>
      <c r="P31" s="134">
        <v>0.2</v>
      </c>
      <c r="Q31" s="120">
        <v>-0.5</v>
      </c>
      <c r="R31" s="121">
        <v>0.7</v>
      </c>
      <c r="S31" s="135">
        <v>0.2</v>
      </c>
      <c r="T31" s="123">
        <v>0</v>
      </c>
      <c r="U31" s="124">
        <v>-0.5</v>
      </c>
      <c r="V31" s="125">
        <v>0</v>
      </c>
      <c r="W31" s="126">
        <v>-0.2</v>
      </c>
    </row>
    <row r="32" spans="1:23" ht="16.3" customHeight="1">
      <c r="A32" s="586" t="s">
        <v>963</v>
      </c>
      <c r="B32" s="595" t="s">
        <v>1089</v>
      </c>
      <c r="C32" s="112" t="s">
        <v>1090</v>
      </c>
      <c r="D32" s="131">
        <v>150</v>
      </c>
      <c r="E32" s="132">
        <v>150</v>
      </c>
      <c r="F32" s="115" t="s">
        <v>1091</v>
      </c>
      <c r="G32" s="644" t="s">
        <v>1092</v>
      </c>
      <c r="H32" s="621">
        <v>1</v>
      </c>
      <c r="I32" s="621">
        <v>1</v>
      </c>
      <c r="J32" s="621">
        <v>1</v>
      </c>
      <c r="K32" s="621">
        <v>1</v>
      </c>
      <c r="L32" s="621">
        <v>1</v>
      </c>
      <c r="M32" s="116" t="s">
        <v>968</v>
      </c>
      <c r="N32" s="117" t="s">
        <v>736</v>
      </c>
      <c r="O32" s="118">
        <v>0</v>
      </c>
      <c r="P32" s="119">
        <v>0.2</v>
      </c>
      <c r="Q32" s="120">
        <v>0</v>
      </c>
      <c r="R32" s="121">
        <v>0</v>
      </c>
      <c r="S32" s="122">
        <v>0</v>
      </c>
      <c r="T32" s="123">
        <v>0.2</v>
      </c>
      <c r="U32" s="124">
        <v>0</v>
      </c>
      <c r="V32" s="125">
        <v>0</v>
      </c>
      <c r="W32" s="126">
        <v>0.4</v>
      </c>
    </row>
    <row r="33" spans="1:23" ht="16.3" customHeight="1">
      <c r="A33" s="586" t="s">
        <v>963</v>
      </c>
      <c r="B33" s="595" t="s">
        <v>1089</v>
      </c>
      <c r="C33" s="129" t="s">
        <v>1093</v>
      </c>
      <c r="D33" s="131">
        <v>120</v>
      </c>
      <c r="E33" s="132">
        <v>50</v>
      </c>
      <c r="F33" s="115" t="s">
        <v>1094</v>
      </c>
      <c r="G33" s="644" t="s">
        <v>1095</v>
      </c>
      <c r="H33" s="621">
        <v>0</v>
      </c>
      <c r="I33" s="621">
        <v>2</v>
      </c>
      <c r="J33" s="621">
        <v>-2</v>
      </c>
      <c r="K33" s="621">
        <v>0</v>
      </c>
      <c r="L33" s="621">
        <v>2</v>
      </c>
      <c r="M33" s="116" t="s">
        <v>968</v>
      </c>
      <c r="N33" s="117" t="s">
        <v>736</v>
      </c>
      <c r="O33" s="118">
        <v>0</v>
      </c>
      <c r="P33" s="119">
        <v>0.3</v>
      </c>
      <c r="Q33" s="120">
        <v>0</v>
      </c>
      <c r="R33" s="121">
        <v>0</v>
      </c>
      <c r="S33" s="122">
        <v>0</v>
      </c>
      <c r="T33" s="123">
        <v>0</v>
      </c>
      <c r="U33" s="124">
        <v>0</v>
      </c>
      <c r="V33" s="125">
        <v>0</v>
      </c>
      <c r="W33" s="126">
        <v>0.3</v>
      </c>
    </row>
    <row r="34" spans="1:23" ht="16.3" customHeight="1">
      <c r="A34" s="586" t="s">
        <v>963</v>
      </c>
      <c r="B34" s="595" t="s">
        <v>1089</v>
      </c>
      <c r="C34" s="130" t="s">
        <v>1096</v>
      </c>
      <c r="D34" s="131">
        <v>165</v>
      </c>
      <c r="E34" s="132">
        <v>35</v>
      </c>
      <c r="F34" s="115" t="s">
        <v>1097</v>
      </c>
      <c r="G34" s="644" t="s">
        <v>1098</v>
      </c>
      <c r="H34" s="621">
        <v>2</v>
      </c>
      <c r="I34" s="621">
        <v>2</v>
      </c>
      <c r="J34" s="621">
        <v>2</v>
      </c>
      <c r="K34" s="621">
        <v>2</v>
      </c>
      <c r="L34" s="621">
        <v>-2</v>
      </c>
      <c r="M34" s="116" t="s">
        <v>968</v>
      </c>
      <c r="N34" s="117" t="s">
        <v>748</v>
      </c>
      <c r="O34" s="118">
        <v>0</v>
      </c>
      <c r="P34" s="119">
        <v>0</v>
      </c>
      <c r="Q34" s="120">
        <v>-0.4</v>
      </c>
      <c r="R34" s="121">
        <v>-0.2</v>
      </c>
      <c r="S34" s="122">
        <v>0</v>
      </c>
      <c r="T34" s="123">
        <v>0</v>
      </c>
      <c r="U34" s="124">
        <v>0</v>
      </c>
      <c r="V34" s="125">
        <v>0.2</v>
      </c>
      <c r="W34" s="126">
        <v>-0.4</v>
      </c>
    </row>
    <row r="35" spans="1:23" ht="16.3" customHeight="1">
      <c r="A35" s="586" t="s">
        <v>963</v>
      </c>
      <c r="B35" s="595" t="s">
        <v>1099</v>
      </c>
      <c r="C35" s="112" t="s">
        <v>1100</v>
      </c>
      <c r="D35" s="131">
        <v>110</v>
      </c>
      <c r="E35" s="132">
        <v>80</v>
      </c>
      <c r="F35" s="115" t="s">
        <v>1101</v>
      </c>
      <c r="G35" s="644" t="s">
        <v>1102</v>
      </c>
      <c r="H35" s="621">
        <v>3</v>
      </c>
      <c r="I35" s="621">
        <v>3</v>
      </c>
      <c r="J35" s="621">
        <v>1</v>
      </c>
      <c r="K35" s="621">
        <v>1</v>
      </c>
      <c r="L35" s="621">
        <v>0</v>
      </c>
      <c r="M35" s="116" t="s">
        <v>968</v>
      </c>
      <c r="N35" s="117" t="s">
        <v>736</v>
      </c>
      <c r="O35" s="133">
        <v>-0.5</v>
      </c>
      <c r="P35" s="134">
        <v>0</v>
      </c>
      <c r="Q35" s="120">
        <v>0</v>
      </c>
      <c r="R35" s="121">
        <v>-0.2</v>
      </c>
      <c r="S35" s="122">
        <v>-0.2</v>
      </c>
      <c r="T35" s="123">
        <v>0.2</v>
      </c>
      <c r="U35" s="124">
        <v>0</v>
      </c>
      <c r="V35" s="125">
        <v>0</v>
      </c>
      <c r="W35" s="126">
        <v>0.8</v>
      </c>
    </row>
    <row r="36" spans="1:23" ht="16.3" customHeight="1">
      <c r="A36" s="586" t="s">
        <v>963</v>
      </c>
      <c r="B36" s="595" t="s">
        <v>1099</v>
      </c>
      <c r="C36" s="129" t="s">
        <v>1103</v>
      </c>
      <c r="D36" s="131">
        <v>70</v>
      </c>
      <c r="E36" s="132">
        <v>100</v>
      </c>
      <c r="F36" s="115" t="s">
        <v>1104</v>
      </c>
      <c r="G36" s="644" t="s">
        <v>1105</v>
      </c>
      <c r="H36" s="621">
        <v>1</v>
      </c>
      <c r="I36" s="621">
        <v>1</v>
      </c>
      <c r="J36" s="621">
        <v>1</v>
      </c>
      <c r="K36" s="621">
        <v>3</v>
      </c>
      <c r="L36" s="621">
        <v>1</v>
      </c>
      <c r="M36" s="116" t="s">
        <v>1025</v>
      </c>
      <c r="N36" s="117" t="s">
        <v>736</v>
      </c>
      <c r="O36" s="133">
        <v>0</v>
      </c>
      <c r="P36" s="134">
        <v>0</v>
      </c>
      <c r="Q36" s="120">
        <v>-0.3</v>
      </c>
      <c r="R36" s="121">
        <v>0</v>
      </c>
      <c r="S36" s="122">
        <v>0</v>
      </c>
      <c r="T36" s="123">
        <v>0</v>
      </c>
      <c r="U36" s="124">
        <v>0.2</v>
      </c>
      <c r="V36" s="125">
        <v>0</v>
      </c>
      <c r="W36" s="126">
        <v>0.3</v>
      </c>
    </row>
    <row r="37" spans="1:23" ht="16.3" customHeight="1">
      <c r="A37" s="586" t="s">
        <v>963</v>
      </c>
      <c r="B37" s="595" t="s">
        <v>1099</v>
      </c>
      <c r="C37" s="130" t="s">
        <v>1106</v>
      </c>
      <c r="D37" s="131">
        <v>100</v>
      </c>
      <c r="E37" s="132">
        <v>100</v>
      </c>
      <c r="F37" s="115" t="s">
        <v>1107</v>
      </c>
      <c r="G37" s="644" t="s">
        <v>1108</v>
      </c>
      <c r="H37" s="621">
        <v>1</v>
      </c>
      <c r="I37" s="621">
        <v>0</v>
      </c>
      <c r="J37" s="621">
        <v>1</v>
      </c>
      <c r="K37" s="621">
        <v>1</v>
      </c>
      <c r="L37" s="621">
        <v>1</v>
      </c>
      <c r="M37" s="116" t="s">
        <v>968</v>
      </c>
      <c r="N37" s="117" t="s">
        <v>736</v>
      </c>
      <c r="O37" s="133">
        <v>0</v>
      </c>
      <c r="P37" s="134">
        <v>0</v>
      </c>
      <c r="Q37" s="120">
        <v>0</v>
      </c>
      <c r="R37" s="121">
        <v>0</v>
      </c>
      <c r="S37" s="122">
        <v>-0.2</v>
      </c>
      <c r="T37" s="123">
        <v>0.2</v>
      </c>
      <c r="U37" s="124">
        <v>0</v>
      </c>
      <c r="V37" s="125">
        <v>-0.2</v>
      </c>
      <c r="W37" s="126">
        <v>0.2</v>
      </c>
    </row>
    <row r="38" spans="1:23" ht="17.25" customHeight="1">
      <c r="A38" s="587" t="s">
        <v>1109</v>
      </c>
      <c r="B38" s="596" t="s">
        <v>1110</v>
      </c>
      <c r="C38" s="136" t="s">
        <v>1111</v>
      </c>
      <c r="D38" s="131">
        <v>70</v>
      </c>
      <c r="E38" s="132">
        <v>140</v>
      </c>
      <c r="F38" s="115" t="s">
        <v>1112</v>
      </c>
      <c r="G38" s="644" t="s">
        <v>1113</v>
      </c>
      <c r="H38" s="621">
        <v>0</v>
      </c>
      <c r="I38" s="621">
        <v>2</v>
      </c>
      <c r="J38" s="621">
        <v>0</v>
      </c>
      <c r="K38" s="621">
        <v>2</v>
      </c>
      <c r="L38" s="621">
        <v>2</v>
      </c>
      <c r="M38" s="116" t="s">
        <v>968</v>
      </c>
      <c r="N38" s="117" t="s">
        <v>736</v>
      </c>
      <c r="O38" s="133">
        <v>0</v>
      </c>
      <c r="P38" s="134">
        <v>0</v>
      </c>
      <c r="Q38" s="120">
        <v>0</v>
      </c>
      <c r="R38" s="121">
        <v>0</v>
      </c>
      <c r="S38" s="122">
        <v>0.3</v>
      </c>
      <c r="T38" s="123">
        <v>0.3</v>
      </c>
      <c r="U38" s="124">
        <v>0</v>
      </c>
      <c r="V38" s="125">
        <v>-0.5</v>
      </c>
      <c r="W38" s="126">
        <v>-0.5</v>
      </c>
    </row>
    <row r="39" spans="1:23" ht="17.25" customHeight="1">
      <c r="A39" s="587" t="s">
        <v>1109</v>
      </c>
      <c r="B39" s="596" t="s">
        <v>1110</v>
      </c>
      <c r="C39" s="137" t="s">
        <v>1114</v>
      </c>
      <c r="D39" s="131">
        <v>100</v>
      </c>
      <c r="E39" s="132">
        <v>100</v>
      </c>
      <c r="F39" s="115" t="s">
        <v>1115</v>
      </c>
      <c r="G39" s="644" t="s">
        <v>1116</v>
      </c>
      <c r="H39" s="621">
        <v>1</v>
      </c>
      <c r="I39" s="621">
        <v>2</v>
      </c>
      <c r="J39" s="621">
        <v>1</v>
      </c>
      <c r="K39" s="621">
        <v>1</v>
      </c>
      <c r="L39" s="621">
        <v>1</v>
      </c>
      <c r="M39" s="116" t="s">
        <v>968</v>
      </c>
      <c r="N39" s="117" t="s">
        <v>736</v>
      </c>
      <c r="O39" s="118">
        <v>0</v>
      </c>
      <c r="P39" s="119">
        <v>0</v>
      </c>
      <c r="Q39" s="120">
        <v>0</v>
      </c>
      <c r="R39" s="121">
        <v>0.4</v>
      </c>
      <c r="S39" s="122">
        <v>0</v>
      </c>
      <c r="T39" s="123">
        <v>-0.2</v>
      </c>
      <c r="U39" s="124">
        <v>-0.5</v>
      </c>
      <c r="V39" s="125">
        <v>0</v>
      </c>
      <c r="W39" s="126">
        <v>0</v>
      </c>
    </row>
    <row r="40" spans="1:23" ht="16.5" customHeight="1">
      <c r="A40" s="587" t="s">
        <v>1109</v>
      </c>
      <c r="B40" s="596" t="s">
        <v>1110</v>
      </c>
      <c r="C40" s="138" t="s">
        <v>1117</v>
      </c>
      <c r="D40" s="131">
        <v>80</v>
      </c>
      <c r="E40" s="132">
        <v>80</v>
      </c>
      <c r="F40" s="115" t="s">
        <v>1118</v>
      </c>
      <c r="G40" s="644" t="s">
        <v>1119</v>
      </c>
      <c r="H40" s="621">
        <v>0</v>
      </c>
      <c r="I40" s="621">
        <v>1</v>
      </c>
      <c r="J40" s="621">
        <v>1</v>
      </c>
      <c r="K40" s="621">
        <v>1</v>
      </c>
      <c r="L40" s="621">
        <v>1</v>
      </c>
      <c r="M40" s="116" t="s">
        <v>968</v>
      </c>
      <c r="N40" s="117" t="s">
        <v>748</v>
      </c>
      <c r="O40" s="133">
        <v>0.2</v>
      </c>
      <c r="P40" s="134">
        <v>0</v>
      </c>
      <c r="Q40" s="120">
        <v>-0.6</v>
      </c>
      <c r="R40" s="121">
        <v>0</v>
      </c>
      <c r="S40" s="122">
        <v>0</v>
      </c>
      <c r="T40" s="123">
        <v>0.4</v>
      </c>
      <c r="U40" s="124">
        <v>0</v>
      </c>
      <c r="V40" s="125">
        <v>0</v>
      </c>
      <c r="W40" s="126">
        <v>0</v>
      </c>
    </row>
    <row r="41" spans="1:23" ht="17.25" customHeight="1">
      <c r="A41" s="587" t="s">
        <v>1109</v>
      </c>
      <c r="B41" s="596" t="s">
        <v>1120</v>
      </c>
      <c r="C41" s="136" t="s">
        <v>1121</v>
      </c>
      <c r="D41" s="131">
        <v>80</v>
      </c>
      <c r="E41" s="132">
        <v>120</v>
      </c>
      <c r="F41" s="115" t="s">
        <v>1122</v>
      </c>
      <c r="G41" s="644" t="s">
        <v>1123</v>
      </c>
      <c r="H41" s="621">
        <v>1</v>
      </c>
      <c r="I41" s="621">
        <v>2</v>
      </c>
      <c r="J41" s="621">
        <v>1</v>
      </c>
      <c r="K41" s="621">
        <v>1</v>
      </c>
      <c r="L41" s="621">
        <v>1</v>
      </c>
      <c r="M41" s="116" t="s">
        <v>968</v>
      </c>
      <c r="N41" s="117" t="s">
        <v>736</v>
      </c>
      <c r="O41" s="133">
        <v>0</v>
      </c>
      <c r="P41" s="134">
        <v>0.4</v>
      </c>
      <c r="Q41" s="120">
        <v>0</v>
      </c>
      <c r="R41" s="121">
        <v>0</v>
      </c>
      <c r="S41" s="122">
        <v>0</v>
      </c>
      <c r="T41" s="123">
        <v>0</v>
      </c>
      <c r="U41" s="124">
        <v>0.2</v>
      </c>
      <c r="V41" s="125">
        <v>0</v>
      </c>
      <c r="W41" s="126">
        <v>0.1</v>
      </c>
    </row>
    <row r="42" spans="1:23" ht="15" customHeight="1">
      <c r="A42" s="587" t="s">
        <v>1109</v>
      </c>
      <c r="B42" s="596" t="s">
        <v>1120</v>
      </c>
      <c r="C42" s="137" t="s">
        <v>1124</v>
      </c>
      <c r="D42" s="131">
        <v>80</v>
      </c>
      <c r="E42" s="132">
        <v>140</v>
      </c>
      <c r="F42" s="115" t="s">
        <v>1125</v>
      </c>
      <c r="G42" s="644" t="s">
        <v>1126</v>
      </c>
      <c r="H42" s="621">
        <v>0</v>
      </c>
      <c r="I42" s="621">
        <v>2</v>
      </c>
      <c r="J42" s="621">
        <v>0</v>
      </c>
      <c r="K42" s="621">
        <v>2</v>
      </c>
      <c r="L42" s="621">
        <v>2</v>
      </c>
      <c r="M42" s="116" t="s">
        <v>968</v>
      </c>
      <c r="N42" s="117" t="s">
        <v>736</v>
      </c>
      <c r="O42" s="133">
        <v>0.1</v>
      </c>
      <c r="P42" s="134">
        <v>0</v>
      </c>
      <c r="Q42" s="120">
        <v>0.2</v>
      </c>
      <c r="R42" s="121">
        <v>0</v>
      </c>
      <c r="S42" s="122">
        <v>-0.3</v>
      </c>
      <c r="T42" s="123">
        <v>0</v>
      </c>
      <c r="U42" s="124">
        <v>0.2</v>
      </c>
      <c r="V42" s="125">
        <v>0.7</v>
      </c>
      <c r="W42" s="126">
        <v>-0.3</v>
      </c>
    </row>
    <row r="43" spans="1:23" ht="15" customHeight="1">
      <c r="A43" s="587" t="s">
        <v>1109</v>
      </c>
      <c r="B43" s="596" t="s">
        <v>1120</v>
      </c>
      <c r="C43" s="138" t="s">
        <v>1127</v>
      </c>
      <c r="D43" s="131">
        <v>80</v>
      </c>
      <c r="E43" s="132">
        <v>80</v>
      </c>
      <c r="F43" s="115" t="s">
        <v>1128</v>
      </c>
      <c r="G43" s="644" t="s">
        <v>1129</v>
      </c>
      <c r="H43" s="621">
        <v>1</v>
      </c>
      <c r="I43" s="621">
        <v>1</v>
      </c>
      <c r="J43" s="621">
        <v>1</v>
      </c>
      <c r="K43" s="621">
        <v>2</v>
      </c>
      <c r="L43" s="621">
        <v>1</v>
      </c>
      <c r="M43" s="116" t="s">
        <v>968</v>
      </c>
      <c r="N43" s="117" t="s">
        <v>748</v>
      </c>
      <c r="O43" s="118">
        <v>0</v>
      </c>
      <c r="P43" s="119">
        <v>-0.6</v>
      </c>
      <c r="Q43" s="120">
        <v>0</v>
      </c>
      <c r="R43" s="121">
        <v>0</v>
      </c>
      <c r="S43" s="122">
        <v>0.3</v>
      </c>
      <c r="T43" s="123">
        <v>0.3</v>
      </c>
      <c r="U43" s="124">
        <v>-0.2</v>
      </c>
      <c r="V43" s="125">
        <v>0</v>
      </c>
      <c r="W43" s="126">
        <v>0.2</v>
      </c>
    </row>
    <row r="44" spans="1:23" ht="15" customHeight="1">
      <c r="A44" s="587" t="s">
        <v>1109</v>
      </c>
      <c r="B44" s="596" t="s">
        <v>1130</v>
      </c>
      <c r="C44" s="136" t="s">
        <v>1131</v>
      </c>
      <c r="D44" s="131">
        <v>40</v>
      </c>
      <c r="E44" s="132">
        <v>90</v>
      </c>
      <c r="F44" s="115" t="s">
        <v>1132</v>
      </c>
      <c r="G44" s="644" t="s">
        <v>1133</v>
      </c>
      <c r="H44" s="621">
        <v>-1</v>
      </c>
      <c r="I44" s="621">
        <v>2</v>
      </c>
      <c r="J44" s="621">
        <v>0</v>
      </c>
      <c r="K44" s="621">
        <v>1</v>
      </c>
      <c r="L44" s="621">
        <v>2</v>
      </c>
      <c r="M44" s="116" t="s">
        <v>968</v>
      </c>
      <c r="N44" s="117" t="s">
        <v>736</v>
      </c>
      <c r="O44" s="133">
        <v>0.1</v>
      </c>
      <c r="P44" s="134">
        <v>0.1</v>
      </c>
      <c r="Q44" s="120">
        <v>0.1</v>
      </c>
      <c r="R44" s="121">
        <v>0.1</v>
      </c>
      <c r="S44" s="122">
        <v>0.1</v>
      </c>
      <c r="T44" s="123">
        <v>0.1</v>
      </c>
      <c r="U44" s="124">
        <v>0.1</v>
      </c>
      <c r="V44" s="125">
        <v>0.1</v>
      </c>
      <c r="W44" s="126">
        <v>0.1</v>
      </c>
    </row>
    <row r="45" spans="1:23" ht="15" customHeight="1">
      <c r="A45" s="587" t="s">
        <v>1109</v>
      </c>
      <c r="B45" s="596" t="s">
        <v>1130</v>
      </c>
      <c r="C45" s="137" t="s">
        <v>1134</v>
      </c>
      <c r="D45" s="131">
        <v>60</v>
      </c>
      <c r="E45" s="132">
        <v>100</v>
      </c>
      <c r="F45" s="115" t="s">
        <v>1135</v>
      </c>
      <c r="G45" s="644" t="s">
        <v>1136</v>
      </c>
      <c r="H45" s="621">
        <v>0</v>
      </c>
      <c r="I45" s="621">
        <v>1</v>
      </c>
      <c r="J45" s="621">
        <v>0</v>
      </c>
      <c r="K45" s="621">
        <v>0</v>
      </c>
      <c r="L45" s="621">
        <v>0</v>
      </c>
      <c r="M45" s="116" t="s">
        <v>968</v>
      </c>
      <c r="N45" s="117" t="s">
        <v>736</v>
      </c>
      <c r="O45" s="133">
        <v>0.1</v>
      </c>
      <c r="P45" s="134">
        <v>0.1</v>
      </c>
      <c r="Q45" s="120">
        <v>0.1</v>
      </c>
      <c r="R45" s="121">
        <v>0.1</v>
      </c>
      <c r="S45" s="122">
        <v>0.1</v>
      </c>
      <c r="T45" s="123">
        <v>0.1</v>
      </c>
      <c r="U45" s="124">
        <v>0.1</v>
      </c>
      <c r="V45" s="125">
        <v>0.1</v>
      </c>
      <c r="W45" s="126">
        <v>0.1</v>
      </c>
    </row>
    <row r="46" spans="1:23" ht="15" customHeight="1">
      <c r="A46" s="587" t="s">
        <v>1109</v>
      </c>
      <c r="B46" s="596" t="s">
        <v>1130</v>
      </c>
      <c r="C46" s="138" t="s">
        <v>1137</v>
      </c>
      <c r="D46" s="131">
        <v>70</v>
      </c>
      <c r="E46" s="132">
        <v>120</v>
      </c>
      <c r="F46" s="115" t="s">
        <v>1138</v>
      </c>
      <c r="G46" s="644" t="s">
        <v>1139</v>
      </c>
      <c r="H46" s="621">
        <v>1</v>
      </c>
      <c r="I46" s="621">
        <v>4</v>
      </c>
      <c r="J46" s="621">
        <v>1</v>
      </c>
      <c r="K46" s="621">
        <v>1</v>
      </c>
      <c r="L46" s="621">
        <v>1</v>
      </c>
      <c r="M46" s="116" t="s">
        <v>968</v>
      </c>
      <c r="N46" s="117" t="s">
        <v>736</v>
      </c>
      <c r="O46" s="118">
        <v>0.2</v>
      </c>
      <c r="P46" s="119">
        <v>-0.2</v>
      </c>
      <c r="Q46" s="120">
        <v>-0.2</v>
      </c>
      <c r="R46" s="121">
        <v>-0.2</v>
      </c>
      <c r="S46" s="122">
        <v>0.2</v>
      </c>
      <c r="T46" s="123">
        <v>0.2</v>
      </c>
      <c r="U46" s="124">
        <v>-0.4</v>
      </c>
      <c r="V46" s="125">
        <v>-0.1</v>
      </c>
      <c r="W46" s="126">
        <v>0</v>
      </c>
    </row>
    <row r="47" spans="1:23" ht="15" customHeight="1">
      <c r="A47" s="587" t="s">
        <v>1109</v>
      </c>
      <c r="B47" s="596" t="s">
        <v>1140</v>
      </c>
      <c r="C47" s="136" t="s">
        <v>1141</v>
      </c>
      <c r="D47" s="131">
        <v>100</v>
      </c>
      <c r="E47" s="132">
        <v>100</v>
      </c>
      <c r="F47" s="115" t="s">
        <v>1142</v>
      </c>
      <c r="G47" s="644" t="s">
        <v>1143</v>
      </c>
      <c r="H47" s="621">
        <v>-1</v>
      </c>
      <c r="I47" s="621">
        <v>0</v>
      </c>
      <c r="J47" s="621">
        <v>-1</v>
      </c>
      <c r="K47" s="621">
        <v>1</v>
      </c>
      <c r="L47" s="621">
        <v>2</v>
      </c>
      <c r="M47" s="116" t="s">
        <v>968</v>
      </c>
      <c r="N47" s="117" t="s">
        <v>752</v>
      </c>
      <c r="O47" s="118">
        <v>0</v>
      </c>
      <c r="P47" s="119">
        <v>0</v>
      </c>
      <c r="Q47" s="120">
        <v>0</v>
      </c>
      <c r="R47" s="121">
        <v>-0.5</v>
      </c>
      <c r="S47" s="122">
        <v>0</v>
      </c>
      <c r="T47" s="123">
        <v>-0.3</v>
      </c>
      <c r="U47" s="124">
        <v>0.3</v>
      </c>
      <c r="V47" s="125">
        <v>0</v>
      </c>
      <c r="W47" s="126">
        <v>0.1</v>
      </c>
    </row>
    <row r="48" spans="1:23" ht="15" customHeight="1">
      <c r="A48" s="587" t="s">
        <v>1109</v>
      </c>
      <c r="B48" s="596" t="s">
        <v>1140</v>
      </c>
      <c r="C48" s="137" t="s">
        <v>1144</v>
      </c>
      <c r="D48" s="131">
        <v>100</v>
      </c>
      <c r="E48" s="132">
        <v>100</v>
      </c>
      <c r="F48" s="115" t="s">
        <v>1145</v>
      </c>
      <c r="G48" s="644" t="s">
        <v>1146</v>
      </c>
      <c r="H48" s="621">
        <v>-1</v>
      </c>
      <c r="I48" s="621">
        <v>2</v>
      </c>
      <c r="J48" s="621">
        <v>2</v>
      </c>
      <c r="K48" s="621">
        <v>1</v>
      </c>
      <c r="L48" s="621">
        <v>1</v>
      </c>
      <c r="M48" s="116" t="s">
        <v>968</v>
      </c>
      <c r="N48" s="117" t="s">
        <v>736</v>
      </c>
      <c r="O48" s="118">
        <v>0</v>
      </c>
      <c r="P48" s="119">
        <v>0</v>
      </c>
      <c r="Q48" s="120">
        <v>0</v>
      </c>
      <c r="R48" s="121">
        <v>-0.3</v>
      </c>
      <c r="S48" s="122">
        <v>0.2</v>
      </c>
      <c r="T48" s="123">
        <v>-0.3</v>
      </c>
      <c r="U48" s="124">
        <v>0.3</v>
      </c>
      <c r="V48" s="125">
        <v>0</v>
      </c>
      <c r="W48" s="126">
        <v>0.6</v>
      </c>
    </row>
    <row r="49" spans="1:23" ht="15" customHeight="1">
      <c r="A49" s="587" t="s">
        <v>1109</v>
      </c>
      <c r="B49" s="596" t="s">
        <v>1140</v>
      </c>
      <c r="C49" s="138" t="s">
        <v>1147</v>
      </c>
      <c r="D49" s="131">
        <v>100</v>
      </c>
      <c r="E49" s="132">
        <v>100</v>
      </c>
      <c r="F49" s="115" t="s">
        <v>1148</v>
      </c>
      <c r="G49" s="644" t="s">
        <v>1149</v>
      </c>
      <c r="H49" s="621">
        <v>-1</v>
      </c>
      <c r="I49" s="621">
        <v>1</v>
      </c>
      <c r="J49" s="621">
        <v>-1</v>
      </c>
      <c r="K49" s="621">
        <v>2</v>
      </c>
      <c r="L49" s="621">
        <v>2</v>
      </c>
      <c r="M49" s="116" t="s">
        <v>968</v>
      </c>
      <c r="N49" s="117" t="s">
        <v>736</v>
      </c>
      <c r="O49" s="118">
        <v>0</v>
      </c>
      <c r="P49" s="119">
        <v>0</v>
      </c>
      <c r="Q49" s="120">
        <v>0</v>
      </c>
      <c r="R49" s="121">
        <v>-0.3</v>
      </c>
      <c r="S49" s="122">
        <v>0</v>
      </c>
      <c r="T49" s="123">
        <v>-0.3</v>
      </c>
      <c r="U49" s="124">
        <v>0.3</v>
      </c>
      <c r="V49" s="125">
        <v>0</v>
      </c>
      <c r="W49" s="126">
        <v>0.3</v>
      </c>
    </row>
    <row r="50" spans="1:23" ht="15" customHeight="1">
      <c r="A50" s="588" t="s">
        <v>1150</v>
      </c>
      <c r="B50" s="597" t="s">
        <v>1151</v>
      </c>
      <c r="C50" s="139" t="s">
        <v>1152</v>
      </c>
      <c r="D50" s="131">
        <v>120</v>
      </c>
      <c r="E50" s="132">
        <v>80</v>
      </c>
      <c r="F50" s="115" t="s">
        <v>1153</v>
      </c>
      <c r="G50" s="644" t="s">
        <v>1154</v>
      </c>
      <c r="H50" s="621">
        <v>2</v>
      </c>
      <c r="I50" s="621">
        <v>1</v>
      </c>
      <c r="J50" s="621">
        <v>1</v>
      </c>
      <c r="K50" s="621">
        <v>1</v>
      </c>
      <c r="L50" s="621">
        <v>1</v>
      </c>
      <c r="M50" s="116" t="s">
        <v>968</v>
      </c>
      <c r="N50" s="117" t="s">
        <v>736</v>
      </c>
      <c r="O50" s="118">
        <v>0</v>
      </c>
      <c r="P50" s="119">
        <v>0</v>
      </c>
      <c r="Q50" s="120">
        <v>0.3</v>
      </c>
      <c r="R50" s="121">
        <v>0.3</v>
      </c>
      <c r="S50" s="122">
        <v>0</v>
      </c>
      <c r="T50" s="123">
        <v>-0.5</v>
      </c>
      <c r="U50" s="124">
        <v>-0.2</v>
      </c>
      <c r="V50" s="125">
        <v>0</v>
      </c>
      <c r="W50" s="126">
        <v>0</v>
      </c>
    </row>
    <row r="51" spans="1:23" ht="15" customHeight="1">
      <c r="A51" s="588" t="s">
        <v>1150</v>
      </c>
      <c r="B51" s="597" t="s">
        <v>1151</v>
      </c>
      <c r="C51" s="140" t="s">
        <v>1155</v>
      </c>
      <c r="D51" s="131">
        <v>180</v>
      </c>
      <c r="E51" s="132">
        <v>20</v>
      </c>
      <c r="F51" s="115" t="s">
        <v>1156</v>
      </c>
      <c r="G51" s="644" t="s">
        <v>1157</v>
      </c>
      <c r="H51" s="621">
        <v>2</v>
      </c>
      <c r="I51" s="621">
        <v>0</v>
      </c>
      <c r="J51" s="621">
        <v>2</v>
      </c>
      <c r="K51" s="621">
        <v>0</v>
      </c>
      <c r="L51" s="621">
        <v>0</v>
      </c>
      <c r="M51" s="116" t="s">
        <v>968</v>
      </c>
      <c r="N51" s="117" t="s">
        <v>736</v>
      </c>
      <c r="O51" s="133">
        <v>0.1</v>
      </c>
      <c r="P51" s="134">
        <v>0.1</v>
      </c>
      <c r="Q51" s="120">
        <v>0</v>
      </c>
      <c r="R51" s="121">
        <v>-0.3</v>
      </c>
      <c r="S51" s="122">
        <v>0.3</v>
      </c>
      <c r="T51" s="123">
        <v>-0.9</v>
      </c>
      <c r="U51" s="124">
        <v>0.5</v>
      </c>
      <c r="V51" s="125">
        <v>0</v>
      </c>
      <c r="W51" s="126">
        <v>0</v>
      </c>
    </row>
    <row r="52" spans="1:23" ht="15" customHeight="1">
      <c r="A52" s="588" t="s">
        <v>1150</v>
      </c>
      <c r="B52" s="597" t="s">
        <v>1151</v>
      </c>
      <c r="C52" s="141" t="s">
        <v>1158</v>
      </c>
      <c r="D52" s="131">
        <v>320</v>
      </c>
      <c r="E52" s="132">
        <v>40</v>
      </c>
      <c r="F52" s="115" t="s">
        <v>1159</v>
      </c>
      <c r="G52" s="644" t="s">
        <v>1160</v>
      </c>
      <c r="H52" s="621">
        <v>2</v>
      </c>
      <c r="I52" s="621">
        <v>1</v>
      </c>
      <c r="J52" s="621">
        <v>1</v>
      </c>
      <c r="K52" s="621">
        <v>0</v>
      </c>
      <c r="L52" s="621">
        <v>0</v>
      </c>
      <c r="M52" s="116" t="s">
        <v>742</v>
      </c>
      <c r="N52" s="117" t="s">
        <v>752</v>
      </c>
      <c r="O52" s="133">
        <v>0</v>
      </c>
      <c r="P52" s="134">
        <v>0</v>
      </c>
      <c r="Q52" s="120">
        <v>0.2</v>
      </c>
      <c r="R52" s="121">
        <v>0.2</v>
      </c>
      <c r="S52" s="122">
        <v>0.6</v>
      </c>
      <c r="T52" s="123">
        <v>-1</v>
      </c>
      <c r="U52" s="124">
        <v>0.6</v>
      </c>
      <c r="V52" s="125">
        <v>0</v>
      </c>
      <c r="W52" s="126">
        <v>0</v>
      </c>
    </row>
    <row r="53" spans="1:23" ht="15" customHeight="1">
      <c r="A53" s="588" t="s">
        <v>1150</v>
      </c>
      <c r="B53" s="597" t="s">
        <v>1161</v>
      </c>
      <c r="C53" s="139" t="s">
        <v>1162</v>
      </c>
      <c r="D53" s="131">
        <v>100</v>
      </c>
      <c r="E53" s="132">
        <v>65</v>
      </c>
      <c r="F53" s="115" t="s">
        <v>1163</v>
      </c>
      <c r="G53" s="644" t="s">
        <v>1164</v>
      </c>
      <c r="H53" s="621">
        <v>1</v>
      </c>
      <c r="I53" s="621">
        <v>1</v>
      </c>
      <c r="J53" s="621">
        <v>0</v>
      </c>
      <c r="K53" s="621">
        <v>0</v>
      </c>
      <c r="L53" s="621">
        <v>0</v>
      </c>
      <c r="M53" s="116" t="s">
        <v>968</v>
      </c>
      <c r="N53" s="117" t="s">
        <v>1165</v>
      </c>
      <c r="O53" s="118">
        <v>0.1</v>
      </c>
      <c r="P53" s="119">
        <v>0.1</v>
      </c>
      <c r="Q53" s="120">
        <v>-0.3</v>
      </c>
      <c r="R53" s="121">
        <v>-0.3</v>
      </c>
      <c r="S53" s="122">
        <v>0.2</v>
      </c>
      <c r="T53" s="123">
        <v>-0.4</v>
      </c>
      <c r="U53" s="124">
        <v>-0.6</v>
      </c>
      <c r="V53" s="125">
        <v>0.1</v>
      </c>
      <c r="W53" s="126">
        <v>0.1</v>
      </c>
    </row>
    <row r="54" spans="1:23" ht="15" customHeight="1">
      <c r="A54" s="588" t="s">
        <v>1150</v>
      </c>
      <c r="B54" s="597" t="s">
        <v>1161</v>
      </c>
      <c r="C54" s="140" t="s">
        <v>1166</v>
      </c>
      <c r="D54" s="131">
        <v>100</v>
      </c>
      <c r="E54" s="132">
        <v>100</v>
      </c>
      <c r="F54" s="115" t="s">
        <v>1167</v>
      </c>
      <c r="G54" s="644" t="s">
        <v>1168</v>
      </c>
      <c r="H54" s="621">
        <v>2</v>
      </c>
      <c r="I54" s="621">
        <v>1</v>
      </c>
      <c r="J54" s="621">
        <v>1</v>
      </c>
      <c r="K54" s="621">
        <v>1</v>
      </c>
      <c r="L54" s="621">
        <v>1</v>
      </c>
      <c r="M54" s="116" t="s">
        <v>968</v>
      </c>
      <c r="N54" s="117" t="s">
        <v>736</v>
      </c>
      <c r="O54" s="118">
        <v>0</v>
      </c>
      <c r="P54" s="119">
        <v>0</v>
      </c>
      <c r="Q54" s="120">
        <v>0</v>
      </c>
      <c r="R54" s="121">
        <v>0</v>
      </c>
      <c r="S54" s="122">
        <v>0</v>
      </c>
      <c r="T54" s="123">
        <v>0</v>
      </c>
      <c r="U54" s="124">
        <v>0</v>
      </c>
      <c r="V54" s="125">
        <v>0</v>
      </c>
      <c r="W54" s="126">
        <v>0</v>
      </c>
    </row>
    <row r="55" spans="1:23" ht="15" customHeight="1">
      <c r="A55" s="588" t="s">
        <v>1150</v>
      </c>
      <c r="B55" s="597" t="s">
        <v>1161</v>
      </c>
      <c r="C55" s="141" t="s">
        <v>1169</v>
      </c>
      <c r="D55" s="131">
        <v>80</v>
      </c>
      <c r="E55" s="132">
        <v>80</v>
      </c>
      <c r="F55" s="115" t="s">
        <v>1170</v>
      </c>
      <c r="G55" s="644" t="s">
        <v>1171</v>
      </c>
      <c r="H55" s="621">
        <v>4</v>
      </c>
      <c r="I55" s="621">
        <v>-1</v>
      </c>
      <c r="J55" s="621">
        <v>2</v>
      </c>
      <c r="K55" s="621">
        <v>0</v>
      </c>
      <c r="L55" s="621">
        <v>2</v>
      </c>
      <c r="M55" s="116" t="s">
        <v>968</v>
      </c>
      <c r="N55" s="117" t="s">
        <v>748</v>
      </c>
      <c r="O55" s="133">
        <v>0.1</v>
      </c>
      <c r="P55" s="134">
        <v>0.1</v>
      </c>
      <c r="Q55" s="120">
        <v>0.1</v>
      </c>
      <c r="R55" s="121">
        <v>0.1</v>
      </c>
      <c r="S55" s="122">
        <v>0.1</v>
      </c>
      <c r="T55" s="123">
        <v>0.1</v>
      </c>
      <c r="U55" s="124">
        <v>0.1</v>
      </c>
      <c r="V55" s="125">
        <v>0.1</v>
      </c>
      <c r="W55" s="126">
        <v>0.1</v>
      </c>
    </row>
    <row r="56" spans="1:23" ht="15" customHeight="1">
      <c r="A56" s="588" t="s">
        <v>1150</v>
      </c>
      <c r="B56" s="597" t="s">
        <v>1172</v>
      </c>
      <c r="C56" s="139" t="s">
        <v>1173</v>
      </c>
      <c r="D56" s="131">
        <v>100</v>
      </c>
      <c r="E56" s="132">
        <v>180</v>
      </c>
      <c r="F56" s="115" t="s">
        <v>1174</v>
      </c>
      <c r="G56" s="644" t="s">
        <v>1175</v>
      </c>
      <c r="H56" s="621">
        <v>-5</v>
      </c>
      <c r="I56" s="621">
        <v>2</v>
      </c>
      <c r="J56" s="621">
        <v>1</v>
      </c>
      <c r="K56" s="621">
        <v>1</v>
      </c>
      <c r="L56" s="621">
        <v>2</v>
      </c>
      <c r="M56" s="116" t="s">
        <v>968</v>
      </c>
      <c r="N56" s="117" t="s">
        <v>736</v>
      </c>
      <c r="O56" s="118">
        <v>0.2</v>
      </c>
      <c r="P56" s="119">
        <v>-0.8</v>
      </c>
      <c r="Q56" s="120">
        <v>0.1</v>
      </c>
      <c r="R56" s="121">
        <v>0.1</v>
      </c>
      <c r="S56" s="122">
        <v>0.2</v>
      </c>
      <c r="T56" s="123">
        <v>-0.8</v>
      </c>
      <c r="U56" s="124">
        <v>0.4</v>
      </c>
      <c r="V56" s="125">
        <v>0.4</v>
      </c>
      <c r="W56" s="126">
        <v>0.4</v>
      </c>
    </row>
    <row r="57" spans="1:23" ht="15" customHeight="1">
      <c r="A57" s="588" t="s">
        <v>1150</v>
      </c>
      <c r="B57" s="597" t="s">
        <v>1172</v>
      </c>
      <c r="C57" s="140" t="s">
        <v>1176</v>
      </c>
      <c r="D57" s="131">
        <v>90</v>
      </c>
      <c r="E57" s="132">
        <v>80</v>
      </c>
      <c r="F57" s="115" t="s">
        <v>1177</v>
      </c>
      <c r="G57" s="644" t="s">
        <v>1178</v>
      </c>
      <c r="H57" s="621">
        <v>2</v>
      </c>
      <c r="I57" s="621">
        <v>2</v>
      </c>
      <c r="J57" s="621">
        <v>1</v>
      </c>
      <c r="K57" s="621">
        <v>0</v>
      </c>
      <c r="L57" s="621">
        <v>2</v>
      </c>
      <c r="M57" s="116" t="s">
        <v>968</v>
      </c>
      <c r="N57" s="117" t="s">
        <v>736</v>
      </c>
      <c r="O57" s="133">
        <v>0.4</v>
      </c>
      <c r="P57" s="134">
        <v>0.3</v>
      </c>
      <c r="Q57" s="120">
        <v>0</v>
      </c>
      <c r="R57" s="121">
        <v>0</v>
      </c>
      <c r="S57" s="122">
        <v>0</v>
      </c>
      <c r="T57" s="123">
        <v>0</v>
      </c>
      <c r="U57" s="124">
        <v>0</v>
      </c>
      <c r="V57" s="125">
        <v>0</v>
      </c>
      <c r="W57" s="126">
        <v>0</v>
      </c>
    </row>
    <row r="58" spans="1:23" ht="15" customHeight="1">
      <c r="A58" s="588" t="s">
        <v>1150</v>
      </c>
      <c r="B58" s="597" t="s">
        <v>1172</v>
      </c>
      <c r="C58" s="141" t="s">
        <v>1179</v>
      </c>
      <c r="D58" s="131">
        <v>80</v>
      </c>
      <c r="E58" s="132">
        <v>70</v>
      </c>
      <c r="F58" s="115" t="s">
        <v>1180</v>
      </c>
      <c r="G58" s="644" t="s">
        <v>1181</v>
      </c>
      <c r="H58" s="621">
        <v>1</v>
      </c>
      <c r="I58" s="621">
        <v>1</v>
      </c>
      <c r="J58" s="621">
        <v>1</v>
      </c>
      <c r="K58" s="621">
        <v>1</v>
      </c>
      <c r="L58" s="621">
        <v>1</v>
      </c>
      <c r="M58" s="116" t="s">
        <v>968</v>
      </c>
      <c r="N58" s="117" t="s">
        <v>736</v>
      </c>
      <c r="O58" s="118">
        <v>0</v>
      </c>
      <c r="P58" s="119">
        <v>0.2</v>
      </c>
      <c r="Q58" s="120">
        <v>0.5</v>
      </c>
      <c r="R58" s="121">
        <v>0</v>
      </c>
      <c r="S58" s="122">
        <v>0.2</v>
      </c>
      <c r="T58" s="123">
        <v>0.2</v>
      </c>
      <c r="U58" s="124">
        <v>0.2</v>
      </c>
      <c r="V58" s="125">
        <v>0.2</v>
      </c>
      <c r="W58" s="126">
        <v>0.2</v>
      </c>
    </row>
    <row r="59" spans="1:23" ht="15" customHeight="1">
      <c r="A59" s="588" t="s">
        <v>1150</v>
      </c>
      <c r="B59" s="597" t="s">
        <v>1182</v>
      </c>
      <c r="C59" s="139" t="s">
        <v>1183</v>
      </c>
      <c r="D59" s="131">
        <v>20</v>
      </c>
      <c r="E59" s="132">
        <v>200</v>
      </c>
      <c r="F59" s="115" t="s">
        <v>1184</v>
      </c>
      <c r="G59" s="644" t="s">
        <v>1185</v>
      </c>
      <c r="H59" s="621">
        <v>2</v>
      </c>
      <c r="I59" s="621">
        <v>2</v>
      </c>
      <c r="J59" s="621">
        <v>1</v>
      </c>
      <c r="K59" s="621">
        <v>1</v>
      </c>
      <c r="L59" s="621">
        <v>1</v>
      </c>
      <c r="M59" s="116" t="s">
        <v>968</v>
      </c>
      <c r="N59" s="117" t="s">
        <v>736</v>
      </c>
      <c r="O59" s="133">
        <v>0</v>
      </c>
      <c r="P59" s="134">
        <v>0</v>
      </c>
      <c r="Q59" s="120">
        <v>0</v>
      </c>
      <c r="R59" s="121">
        <v>0</v>
      </c>
      <c r="S59" s="122">
        <v>0</v>
      </c>
      <c r="T59" s="123">
        <v>0</v>
      </c>
      <c r="U59" s="124">
        <v>0.2</v>
      </c>
      <c r="V59" s="125">
        <v>0</v>
      </c>
      <c r="W59" s="126">
        <v>0</v>
      </c>
    </row>
    <row r="60" spans="1:23" ht="15" customHeight="1">
      <c r="A60" s="588" t="s">
        <v>1150</v>
      </c>
      <c r="B60" s="597" t="s">
        <v>1182</v>
      </c>
      <c r="C60" s="140" t="s">
        <v>1186</v>
      </c>
      <c r="D60" s="131">
        <v>180</v>
      </c>
      <c r="E60" s="132">
        <v>50</v>
      </c>
      <c r="F60" s="115" t="s">
        <v>1187</v>
      </c>
      <c r="G60" s="644" t="s">
        <v>1188</v>
      </c>
      <c r="H60" s="621">
        <v>3</v>
      </c>
      <c r="I60" s="621">
        <v>0</v>
      </c>
      <c r="J60" s="621">
        <v>1</v>
      </c>
      <c r="K60" s="621">
        <v>0</v>
      </c>
      <c r="L60" s="621">
        <v>-1</v>
      </c>
      <c r="M60" s="116" t="s">
        <v>968</v>
      </c>
      <c r="N60" s="117" t="s">
        <v>748</v>
      </c>
      <c r="O60" s="118">
        <v>0.2</v>
      </c>
      <c r="P60" s="119">
        <v>-0.4</v>
      </c>
      <c r="Q60" s="120">
        <v>0.2</v>
      </c>
      <c r="R60" s="121">
        <v>-0.8</v>
      </c>
      <c r="S60" s="122">
        <v>0</v>
      </c>
      <c r="T60" s="123">
        <v>0.3</v>
      </c>
      <c r="U60" s="124">
        <v>0.4</v>
      </c>
      <c r="V60" s="125">
        <v>1</v>
      </c>
      <c r="W60" s="126">
        <v>-0.5</v>
      </c>
    </row>
    <row r="61" spans="1:23" ht="15" customHeight="1">
      <c r="A61" s="588" t="s">
        <v>1150</v>
      </c>
      <c r="B61" s="597" t="s">
        <v>1182</v>
      </c>
      <c r="C61" s="141" t="s">
        <v>1189</v>
      </c>
      <c r="D61" s="131">
        <v>145</v>
      </c>
      <c r="E61" s="132">
        <v>125</v>
      </c>
      <c r="F61" s="115" t="s">
        <v>1190</v>
      </c>
      <c r="G61" s="644" t="s">
        <v>1191</v>
      </c>
      <c r="H61" s="621">
        <v>0</v>
      </c>
      <c r="I61" s="621">
        <v>1</v>
      </c>
      <c r="J61" s="621">
        <v>0</v>
      </c>
      <c r="K61" s="621">
        <v>0</v>
      </c>
      <c r="L61" s="621">
        <v>0</v>
      </c>
      <c r="M61" s="116" t="s">
        <v>968</v>
      </c>
      <c r="N61" s="117" t="s">
        <v>752</v>
      </c>
      <c r="O61" s="133">
        <v>-0.5</v>
      </c>
      <c r="P61" s="134">
        <v>0.2</v>
      </c>
      <c r="Q61" s="120">
        <v>0</v>
      </c>
      <c r="R61" s="121">
        <v>0</v>
      </c>
      <c r="S61" s="122">
        <v>0</v>
      </c>
      <c r="T61" s="123">
        <v>-0.8</v>
      </c>
      <c r="U61" s="124">
        <v>0</v>
      </c>
      <c r="V61" s="125">
        <v>0.4</v>
      </c>
      <c r="W61" s="126">
        <v>0.3</v>
      </c>
    </row>
    <row r="62" spans="1:23" ht="14.6" customHeight="1">
      <c r="A62" s="589" t="s">
        <v>1192</v>
      </c>
      <c r="B62" s="598" t="s">
        <v>1193</v>
      </c>
      <c r="C62" s="142" t="s">
        <v>1194</v>
      </c>
      <c r="D62" s="131">
        <v>70</v>
      </c>
      <c r="E62" s="132">
        <v>100</v>
      </c>
      <c r="F62" s="115" t="s">
        <v>1195</v>
      </c>
      <c r="G62" s="644" t="s">
        <v>1196</v>
      </c>
      <c r="H62" s="621">
        <v>-2</v>
      </c>
      <c r="I62" s="621">
        <v>1</v>
      </c>
      <c r="J62" s="621">
        <v>1</v>
      </c>
      <c r="K62" s="621">
        <v>1</v>
      </c>
      <c r="L62" s="621">
        <v>1</v>
      </c>
      <c r="M62" s="116" t="s">
        <v>968</v>
      </c>
      <c r="N62" s="117" t="s">
        <v>736</v>
      </c>
      <c r="O62" s="133">
        <v>-0.3</v>
      </c>
      <c r="P62" s="134">
        <v>0.3</v>
      </c>
      <c r="Q62" s="120">
        <v>0.2</v>
      </c>
      <c r="R62" s="121">
        <v>0.4</v>
      </c>
      <c r="S62" s="122">
        <v>0.7</v>
      </c>
      <c r="T62" s="123">
        <v>-0.3</v>
      </c>
      <c r="U62" s="124">
        <v>0</v>
      </c>
      <c r="V62" s="125">
        <v>0.6</v>
      </c>
      <c r="W62" s="126">
        <v>0.6</v>
      </c>
    </row>
    <row r="63" spans="1:23" ht="14.6" customHeight="1">
      <c r="A63" s="589" t="s">
        <v>1192</v>
      </c>
      <c r="B63" s="598" t="s">
        <v>1193</v>
      </c>
      <c r="C63" s="143" t="s">
        <v>1197</v>
      </c>
      <c r="D63" s="131">
        <v>170</v>
      </c>
      <c r="E63" s="132">
        <v>100</v>
      </c>
      <c r="F63" s="115" t="s">
        <v>1198</v>
      </c>
      <c r="G63" s="644" t="s">
        <v>1199</v>
      </c>
      <c r="H63" s="621">
        <v>1</v>
      </c>
      <c r="I63" s="621">
        <v>1</v>
      </c>
      <c r="J63" s="621">
        <v>2</v>
      </c>
      <c r="K63" s="621">
        <v>3</v>
      </c>
      <c r="L63" s="621">
        <v>1</v>
      </c>
      <c r="M63" s="116" t="s">
        <v>1040</v>
      </c>
      <c r="N63" s="117" t="s">
        <v>736</v>
      </c>
      <c r="O63" s="133">
        <v>-0.2</v>
      </c>
      <c r="P63" s="134">
        <v>0.4</v>
      </c>
      <c r="Q63" s="120">
        <v>-0.3</v>
      </c>
      <c r="R63" s="121">
        <v>0</v>
      </c>
      <c r="S63" s="122">
        <v>0.2</v>
      </c>
      <c r="T63" s="123">
        <v>0</v>
      </c>
      <c r="U63" s="124">
        <v>0</v>
      </c>
      <c r="V63" s="125">
        <v>0.2</v>
      </c>
      <c r="W63" s="126">
        <v>0.4</v>
      </c>
    </row>
    <row r="64" spans="1:23" ht="14.6" customHeight="1">
      <c r="A64" s="589" t="s">
        <v>1192</v>
      </c>
      <c r="B64" s="598" t="s">
        <v>1193</v>
      </c>
      <c r="C64" s="144" t="s">
        <v>1200</v>
      </c>
      <c r="D64" s="131">
        <v>100</v>
      </c>
      <c r="E64" s="132">
        <v>120</v>
      </c>
      <c r="F64" s="115" t="s">
        <v>1201</v>
      </c>
      <c r="G64" s="644" t="s">
        <v>1202</v>
      </c>
      <c r="H64" s="621">
        <v>1</v>
      </c>
      <c r="I64" s="621">
        <v>2</v>
      </c>
      <c r="J64" s="621">
        <v>1</v>
      </c>
      <c r="K64" s="621">
        <v>1</v>
      </c>
      <c r="L64" s="621">
        <v>2</v>
      </c>
      <c r="M64" s="116" t="s">
        <v>968</v>
      </c>
      <c r="N64" s="117" t="s">
        <v>736</v>
      </c>
      <c r="O64" s="133">
        <v>0</v>
      </c>
      <c r="P64" s="134">
        <v>0.2</v>
      </c>
      <c r="Q64" s="120">
        <v>-0.4</v>
      </c>
      <c r="R64" s="121">
        <v>0.6</v>
      </c>
      <c r="S64" s="122">
        <v>0.2</v>
      </c>
      <c r="T64" s="123">
        <v>-0.2</v>
      </c>
      <c r="U64" s="124">
        <v>-0.2</v>
      </c>
      <c r="V64" s="125">
        <v>0</v>
      </c>
      <c r="W64" s="126">
        <v>0</v>
      </c>
    </row>
    <row r="65" spans="1:23" ht="14.6" customHeight="1">
      <c r="A65" s="589" t="s">
        <v>1192</v>
      </c>
      <c r="B65" s="598" t="s">
        <v>1203</v>
      </c>
      <c r="C65" s="142" t="s">
        <v>1204</v>
      </c>
      <c r="D65" s="131">
        <v>125</v>
      </c>
      <c r="E65" s="132">
        <v>75</v>
      </c>
      <c r="F65" s="115" t="s">
        <v>1205</v>
      </c>
      <c r="G65" s="644" t="s">
        <v>1206</v>
      </c>
      <c r="H65" s="621">
        <v>3</v>
      </c>
      <c r="I65" s="621">
        <v>-1</v>
      </c>
      <c r="J65" s="621">
        <v>1</v>
      </c>
      <c r="K65" s="621">
        <v>1</v>
      </c>
      <c r="L65" s="621">
        <v>0</v>
      </c>
      <c r="M65" s="116" t="s">
        <v>968</v>
      </c>
      <c r="N65" s="117" t="s">
        <v>748</v>
      </c>
      <c r="O65" s="118">
        <v>0</v>
      </c>
      <c r="P65" s="119">
        <v>0.4</v>
      </c>
      <c r="Q65" s="120">
        <v>0</v>
      </c>
      <c r="R65" s="121">
        <v>0</v>
      </c>
      <c r="S65" s="122">
        <v>-0.2</v>
      </c>
      <c r="T65" s="123">
        <v>0</v>
      </c>
      <c r="U65" s="124">
        <v>0</v>
      </c>
      <c r="V65" s="125">
        <v>0.1</v>
      </c>
      <c r="W65" s="126">
        <v>0.1</v>
      </c>
    </row>
    <row r="66" spans="1:23" ht="14.6" customHeight="1">
      <c r="A66" s="589" t="s">
        <v>1192</v>
      </c>
      <c r="B66" s="598" t="s">
        <v>1203</v>
      </c>
      <c r="C66" s="143" t="s">
        <v>1207</v>
      </c>
      <c r="D66" s="131">
        <v>80</v>
      </c>
      <c r="E66" s="132">
        <v>80</v>
      </c>
      <c r="F66" s="115" t="s">
        <v>1208</v>
      </c>
      <c r="G66" s="644" t="s">
        <v>1209</v>
      </c>
      <c r="H66" s="621">
        <v>1</v>
      </c>
      <c r="I66" s="621">
        <v>1</v>
      </c>
      <c r="J66" s="621">
        <v>0</v>
      </c>
      <c r="K66" s="621">
        <v>3</v>
      </c>
      <c r="L66" s="621">
        <v>1</v>
      </c>
      <c r="M66" s="116" t="s">
        <v>968</v>
      </c>
      <c r="N66" s="117" t="s">
        <v>736</v>
      </c>
      <c r="O66" s="118">
        <v>0</v>
      </c>
      <c r="P66" s="119">
        <v>0</v>
      </c>
      <c r="Q66" s="120">
        <v>0</v>
      </c>
      <c r="R66" s="121">
        <v>0</v>
      </c>
      <c r="S66" s="122">
        <v>0.3</v>
      </c>
      <c r="T66" s="123">
        <v>0</v>
      </c>
      <c r="U66" s="124">
        <v>0.3</v>
      </c>
      <c r="V66" s="125">
        <v>0</v>
      </c>
      <c r="W66" s="126">
        <v>0</v>
      </c>
    </row>
    <row r="67" spans="1:23" ht="14.6" customHeight="1">
      <c r="A67" s="589" t="s">
        <v>1192</v>
      </c>
      <c r="B67" s="598" t="s">
        <v>1203</v>
      </c>
      <c r="C67" s="144" t="s">
        <v>1210</v>
      </c>
      <c r="D67" s="131">
        <v>75</v>
      </c>
      <c r="E67" s="132">
        <v>150</v>
      </c>
      <c r="F67" s="115" t="s">
        <v>1211</v>
      </c>
      <c r="G67" s="644" t="s">
        <v>1212</v>
      </c>
      <c r="H67" s="621">
        <v>-3</v>
      </c>
      <c r="I67" s="621">
        <v>2</v>
      </c>
      <c r="J67" s="621">
        <v>-1</v>
      </c>
      <c r="K67" s="621">
        <v>0</v>
      </c>
      <c r="L67" s="621">
        <v>4</v>
      </c>
      <c r="M67" s="116" t="s">
        <v>968</v>
      </c>
      <c r="N67" s="117" t="s">
        <v>752</v>
      </c>
      <c r="O67" s="133">
        <v>-0.7</v>
      </c>
      <c r="P67" s="134">
        <v>0.7</v>
      </c>
      <c r="Q67" s="120">
        <v>-0.3</v>
      </c>
      <c r="R67" s="121">
        <v>-0.2</v>
      </c>
      <c r="S67" s="122">
        <v>0.2</v>
      </c>
      <c r="T67" s="123">
        <v>-0.4</v>
      </c>
      <c r="U67" s="124">
        <v>0.2</v>
      </c>
      <c r="V67" s="125">
        <v>0.2</v>
      </c>
      <c r="W67" s="126">
        <v>0.2</v>
      </c>
    </row>
    <row r="68" spans="1:23" ht="14.6" customHeight="1">
      <c r="A68" s="589" t="s">
        <v>1192</v>
      </c>
      <c r="B68" s="598" t="s">
        <v>1213</v>
      </c>
      <c r="C68" s="142" t="s">
        <v>1214</v>
      </c>
      <c r="D68" s="131">
        <v>80</v>
      </c>
      <c r="E68" s="132">
        <v>60</v>
      </c>
      <c r="F68" s="115" t="s">
        <v>1215</v>
      </c>
      <c r="G68" s="644" t="s">
        <v>1216</v>
      </c>
      <c r="H68" s="621">
        <v>-1</v>
      </c>
      <c r="I68" s="621">
        <v>0</v>
      </c>
      <c r="J68" s="621">
        <v>2</v>
      </c>
      <c r="K68" s="621">
        <v>1</v>
      </c>
      <c r="L68" s="621">
        <v>0</v>
      </c>
      <c r="M68" s="116" t="s">
        <v>968</v>
      </c>
      <c r="N68" s="117" t="s">
        <v>736</v>
      </c>
      <c r="O68" s="118">
        <v>-1</v>
      </c>
      <c r="P68" s="119">
        <v>1</v>
      </c>
      <c r="Q68" s="120">
        <v>0</v>
      </c>
      <c r="R68" s="121">
        <v>0</v>
      </c>
      <c r="S68" s="122">
        <v>0.5</v>
      </c>
      <c r="T68" s="123">
        <v>0.5</v>
      </c>
      <c r="U68" s="124">
        <v>-0.4</v>
      </c>
      <c r="V68" s="125">
        <v>0.8</v>
      </c>
      <c r="W68" s="126">
        <v>-0.3</v>
      </c>
    </row>
    <row r="69" spans="1:23" ht="14.6" customHeight="1">
      <c r="A69" s="589" t="s">
        <v>1192</v>
      </c>
      <c r="B69" s="598" t="s">
        <v>1213</v>
      </c>
      <c r="C69" s="143" t="s">
        <v>1217</v>
      </c>
      <c r="D69" s="131">
        <v>50</v>
      </c>
      <c r="E69" s="132">
        <v>100</v>
      </c>
      <c r="F69" s="115" t="s">
        <v>1218</v>
      </c>
      <c r="G69" s="644" t="s">
        <v>1219</v>
      </c>
      <c r="H69" s="621">
        <v>1</v>
      </c>
      <c r="I69" s="621">
        <v>1</v>
      </c>
      <c r="J69" s="621">
        <v>0</v>
      </c>
      <c r="K69" s="621">
        <v>2</v>
      </c>
      <c r="L69" s="621">
        <v>3</v>
      </c>
      <c r="M69" s="116" t="s">
        <v>968</v>
      </c>
      <c r="N69" s="117" t="s">
        <v>748</v>
      </c>
      <c r="O69" s="133">
        <v>-0.5</v>
      </c>
      <c r="P69" s="134">
        <v>0.3</v>
      </c>
      <c r="Q69" s="120">
        <v>-0.5</v>
      </c>
      <c r="R69" s="121">
        <v>0</v>
      </c>
      <c r="S69" s="122">
        <v>0</v>
      </c>
      <c r="T69" s="123">
        <v>0</v>
      </c>
      <c r="U69" s="124">
        <v>0</v>
      </c>
      <c r="V69" s="125">
        <v>0.5</v>
      </c>
      <c r="W69" s="126">
        <v>-0.5</v>
      </c>
    </row>
    <row r="70" spans="1:23" ht="14.6" customHeight="1">
      <c r="A70" s="589" t="s">
        <v>1192</v>
      </c>
      <c r="B70" s="598" t="s">
        <v>1213</v>
      </c>
      <c r="C70" s="144" t="s">
        <v>1220</v>
      </c>
      <c r="D70" s="131">
        <v>75</v>
      </c>
      <c r="E70" s="132">
        <v>75</v>
      </c>
      <c r="F70" s="115" t="s">
        <v>1221</v>
      </c>
      <c r="G70" s="644" t="s">
        <v>1222</v>
      </c>
      <c r="H70" s="621">
        <v>1</v>
      </c>
      <c r="I70" s="621">
        <v>1</v>
      </c>
      <c r="J70" s="621">
        <v>1</v>
      </c>
      <c r="K70" s="621">
        <v>2</v>
      </c>
      <c r="L70" s="621">
        <v>1</v>
      </c>
      <c r="M70" s="116" t="s">
        <v>968</v>
      </c>
      <c r="N70" s="117" t="s">
        <v>736</v>
      </c>
      <c r="O70" s="118">
        <v>-0.8</v>
      </c>
      <c r="P70" s="119">
        <v>0</v>
      </c>
      <c r="Q70" s="120">
        <v>-0.2</v>
      </c>
      <c r="R70" s="121">
        <v>-0.3</v>
      </c>
      <c r="S70" s="122">
        <v>0.2</v>
      </c>
      <c r="T70" s="123">
        <v>0.2</v>
      </c>
      <c r="U70" s="124">
        <v>0</v>
      </c>
      <c r="V70" s="125">
        <v>0.3</v>
      </c>
      <c r="W70" s="126">
        <v>-1</v>
      </c>
    </row>
    <row r="71" spans="1:23" ht="14.6" customHeight="1">
      <c r="A71" s="589" t="s">
        <v>1192</v>
      </c>
      <c r="B71" s="598" t="s">
        <v>1223</v>
      </c>
      <c r="C71" s="142" t="s">
        <v>1224</v>
      </c>
      <c r="D71" s="131">
        <v>100</v>
      </c>
      <c r="E71" s="132">
        <v>100</v>
      </c>
      <c r="F71" s="115" t="s">
        <v>1225</v>
      </c>
      <c r="G71" s="644" t="s">
        <v>1226</v>
      </c>
      <c r="H71" s="621">
        <v>1</v>
      </c>
      <c r="I71" s="621">
        <v>2</v>
      </c>
      <c r="J71" s="621">
        <v>1</v>
      </c>
      <c r="K71" s="621">
        <v>1</v>
      </c>
      <c r="L71" s="621">
        <v>1</v>
      </c>
      <c r="M71" s="116" t="s">
        <v>968</v>
      </c>
      <c r="N71" s="117" t="s">
        <v>736</v>
      </c>
      <c r="O71" s="133">
        <v>-0.5</v>
      </c>
      <c r="P71" s="134">
        <v>0.3</v>
      </c>
      <c r="Q71" s="120">
        <v>0</v>
      </c>
      <c r="R71" s="121">
        <v>0</v>
      </c>
      <c r="S71" s="122">
        <v>-0.1</v>
      </c>
      <c r="T71" s="123">
        <v>0</v>
      </c>
      <c r="U71" s="124">
        <v>0</v>
      </c>
      <c r="V71" s="125">
        <v>0</v>
      </c>
      <c r="W71" s="126">
        <v>0.1</v>
      </c>
    </row>
    <row r="72" spans="1:23" ht="14.6" customHeight="1">
      <c r="A72" s="589" t="s">
        <v>1192</v>
      </c>
      <c r="B72" s="598" t="s">
        <v>1223</v>
      </c>
      <c r="C72" s="143" t="s">
        <v>1227</v>
      </c>
      <c r="D72" s="131">
        <v>100</v>
      </c>
      <c r="E72" s="132">
        <v>80</v>
      </c>
      <c r="F72" s="115" t="s">
        <v>1228</v>
      </c>
      <c r="G72" s="644" t="s">
        <v>1229</v>
      </c>
      <c r="H72" s="621">
        <v>1</v>
      </c>
      <c r="I72" s="621">
        <v>2</v>
      </c>
      <c r="J72" s="621">
        <v>1</v>
      </c>
      <c r="K72" s="621">
        <v>1</v>
      </c>
      <c r="L72" s="621">
        <v>1</v>
      </c>
      <c r="M72" s="116" t="s">
        <v>968</v>
      </c>
      <c r="N72" s="117" t="s">
        <v>736</v>
      </c>
      <c r="O72" s="118">
        <v>-0.4</v>
      </c>
      <c r="P72" s="119">
        <v>0.3</v>
      </c>
      <c r="Q72" s="120">
        <v>0.3</v>
      </c>
      <c r="R72" s="121">
        <v>0</v>
      </c>
      <c r="S72" s="122">
        <v>0</v>
      </c>
      <c r="T72" s="123">
        <v>0</v>
      </c>
      <c r="U72" s="124">
        <v>0</v>
      </c>
      <c r="V72" s="125">
        <v>0</v>
      </c>
      <c r="W72" s="126">
        <v>0</v>
      </c>
    </row>
    <row r="73" spans="1:23" ht="14.6" customHeight="1">
      <c r="A73" s="589" t="s">
        <v>1192</v>
      </c>
      <c r="B73" s="598" t="s">
        <v>1223</v>
      </c>
      <c r="C73" s="144" t="s">
        <v>1230</v>
      </c>
      <c r="D73" s="131">
        <v>80</v>
      </c>
      <c r="E73" s="132">
        <v>120</v>
      </c>
      <c r="F73" s="115" t="s">
        <v>1231</v>
      </c>
      <c r="G73" s="644" t="s">
        <v>1232</v>
      </c>
      <c r="H73" s="621">
        <v>1</v>
      </c>
      <c r="I73" s="621">
        <v>3</v>
      </c>
      <c r="J73" s="621">
        <v>1</v>
      </c>
      <c r="K73" s="621">
        <v>1</v>
      </c>
      <c r="L73" s="621">
        <v>1</v>
      </c>
      <c r="M73" s="116" t="s">
        <v>968</v>
      </c>
      <c r="N73" s="117" t="s">
        <v>736</v>
      </c>
      <c r="O73" s="118">
        <v>-0.7</v>
      </c>
      <c r="P73" s="119">
        <v>0.5</v>
      </c>
      <c r="Q73" s="120">
        <v>-0.2</v>
      </c>
      <c r="R73" s="121">
        <v>-0.4</v>
      </c>
      <c r="S73" s="122">
        <v>0.3</v>
      </c>
      <c r="T73" s="123">
        <v>-0.1</v>
      </c>
      <c r="U73" s="124">
        <v>0</v>
      </c>
      <c r="V73" s="125">
        <v>-0.2</v>
      </c>
      <c r="W73" s="126">
        <v>-0.2</v>
      </c>
    </row>
    <row r="74" spans="1:23" ht="14.6" customHeight="1">
      <c r="A74" s="590" t="s">
        <v>1233</v>
      </c>
      <c r="B74" s="599" t="s">
        <v>1234</v>
      </c>
      <c r="C74" s="145" t="s">
        <v>1235</v>
      </c>
      <c r="D74" s="131">
        <v>95</v>
      </c>
      <c r="E74" s="132">
        <v>95</v>
      </c>
      <c r="F74" s="115" t="s">
        <v>1236</v>
      </c>
      <c r="G74" s="644" t="s">
        <v>1237</v>
      </c>
      <c r="H74" s="621">
        <v>1</v>
      </c>
      <c r="I74" s="621">
        <v>1</v>
      </c>
      <c r="J74" s="621">
        <v>1</v>
      </c>
      <c r="K74" s="621">
        <v>1</v>
      </c>
      <c r="L74" s="621">
        <v>1</v>
      </c>
      <c r="M74" s="116" t="s">
        <v>968</v>
      </c>
      <c r="N74" s="117" t="s">
        <v>736</v>
      </c>
      <c r="O74" s="118">
        <v>-0.2</v>
      </c>
      <c r="P74" s="119">
        <v>0.1</v>
      </c>
      <c r="Q74" s="120">
        <v>0.2</v>
      </c>
      <c r="R74" s="121">
        <v>-0.4</v>
      </c>
      <c r="S74" s="122">
        <v>0.2</v>
      </c>
      <c r="T74" s="123">
        <v>0</v>
      </c>
      <c r="U74" s="124">
        <v>0.2</v>
      </c>
      <c r="V74" s="125">
        <v>0.2</v>
      </c>
      <c r="W74" s="126">
        <v>0.2</v>
      </c>
    </row>
    <row r="75" spans="1:23" ht="14.6" customHeight="1">
      <c r="A75" s="590" t="s">
        <v>1233</v>
      </c>
      <c r="B75" s="599" t="s">
        <v>1234</v>
      </c>
      <c r="C75" s="146" t="s">
        <v>1238</v>
      </c>
      <c r="D75" s="131">
        <v>120</v>
      </c>
      <c r="E75" s="132">
        <v>110</v>
      </c>
      <c r="F75" s="115" t="s">
        <v>1239</v>
      </c>
      <c r="G75" s="644" t="s">
        <v>1240</v>
      </c>
      <c r="H75" s="621">
        <v>1</v>
      </c>
      <c r="I75" s="621">
        <v>0</v>
      </c>
      <c r="J75" s="621">
        <v>2</v>
      </c>
      <c r="K75" s="621">
        <v>1</v>
      </c>
      <c r="L75" s="621">
        <v>1</v>
      </c>
      <c r="M75" s="116" t="s">
        <v>968</v>
      </c>
      <c r="N75" s="117" t="s">
        <v>748</v>
      </c>
      <c r="O75" s="133">
        <v>-0.3</v>
      </c>
      <c r="P75" s="134">
        <v>0</v>
      </c>
      <c r="Q75" s="120">
        <v>0.2</v>
      </c>
      <c r="R75" s="121">
        <v>-0.4</v>
      </c>
      <c r="S75" s="122">
        <v>0</v>
      </c>
      <c r="T75" s="123">
        <v>0.2</v>
      </c>
      <c r="U75" s="124">
        <v>0</v>
      </c>
      <c r="V75" s="125">
        <v>0</v>
      </c>
      <c r="W75" s="126">
        <v>-0.2</v>
      </c>
    </row>
    <row r="76" spans="1:23" ht="14.6" customHeight="1">
      <c r="A76" s="590" t="s">
        <v>1233</v>
      </c>
      <c r="B76" s="599" t="s">
        <v>1234</v>
      </c>
      <c r="C76" s="147" t="s">
        <v>1241</v>
      </c>
      <c r="D76" s="131">
        <v>75</v>
      </c>
      <c r="E76" s="132">
        <v>175</v>
      </c>
      <c r="F76" s="115" t="s">
        <v>1242</v>
      </c>
      <c r="G76" s="644" t="s">
        <v>1243</v>
      </c>
      <c r="H76" s="621">
        <v>1</v>
      </c>
      <c r="I76" s="621">
        <v>2</v>
      </c>
      <c r="J76" s="621">
        <v>1</v>
      </c>
      <c r="K76" s="621">
        <v>1</v>
      </c>
      <c r="L76" s="621">
        <v>2</v>
      </c>
      <c r="M76" s="116" t="s">
        <v>968</v>
      </c>
      <c r="N76" s="117" t="s">
        <v>736</v>
      </c>
      <c r="O76" s="118">
        <v>-0.4</v>
      </c>
      <c r="P76" s="119">
        <v>0.4</v>
      </c>
      <c r="Q76" s="120">
        <v>-0.2</v>
      </c>
      <c r="R76" s="121">
        <v>0</v>
      </c>
      <c r="S76" s="122">
        <v>-0.2</v>
      </c>
      <c r="T76" s="123">
        <v>-0.2</v>
      </c>
      <c r="U76" s="124">
        <v>0.2</v>
      </c>
      <c r="V76" s="125">
        <v>0</v>
      </c>
      <c r="W76" s="126">
        <v>0</v>
      </c>
    </row>
    <row r="77" spans="1:23" ht="14.6" customHeight="1">
      <c r="A77" s="590" t="s">
        <v>1233</v>
      </c>
      <c r="B77" s="599" t="s">
        <v>1244</v>
      </c>
      <c r="C77" s="145" t="s">
        <v>1245</v>
      </c>
      <c r="D77" s="131">
        <v>100</v>
      </c>
      <c r="E77" s="132">
        <v>100</v>
      </c>
      <c r="F77" s="115" t="s">
        <v>1246</v>
      </c>
      <c r="G77" s="644" t="s">
        <v>1247</v>
      </c>
      <c r="H77" s="621">
        <v>0</v>
      </c>
      <c r="I77" s="621">
        <v>0</v>
      </c>
      <c r="J77" s="621">
        <v>1</v>
      </c>
      <c r="K77" s="621">
        <v>2</v>
      </c>
      <c r="L77" s="621">
        <v>1</v>
      </c>
      <c r="M77" s="116" t="s">
        <v>968</v>
      </c>
      <c r="N77" s="117" t="s">
        <v>736</v>
      </c>
      <c r="O77" s="133">
        <v>-0.4</v>
      </c>
      <c r="P77" s="134">
        <v>0</v>
      </c>
      <c r="Q77" s="120">
        <v>0.7</v>
      </c>
      <c r="R77" s="121">
        <v>-0.7</v>
      </c>
      <c r="S77" s="122">
        <v>0</v>
      </c>
      <c r="T77" s="123">
        <v>0</v>
      </c>
      <c r="U77" s="124">
        <v>0</v>
      </c>
      <c r="V77" s="125">
        <v>0</v>
      </c>
      <c r="W77" s="126">
        <v>0</v>
      </c>
    </row>
    <row r="78" spans="1:23" ht="14.6" customHeight="1">
      <c r="A78" s="590" t="s">
        <v>1233</v>
      </c>
      <c r="B78" s="599" t="s">
        <v>1244</v>
      </c>
      <c r="C78" s="146" t="s">
        <v>1248</v>
      </c>
      <c r="D78" s="131">
        <v>125</v>
      </c>
      <c r="E78" s="132">
        <v>85</v>
      </c>
      <c r="F78" s="115" t="s">
        <v>1249</v>
      </c>
      <c r="G78" s="644" t="s">
        <v>1250</v>
      </c>
      <c r="H78" s="621">
        <v>2</v>
      </c>
      <c r="I78" s="621">
        <v>1</v>
      </c>
      <c r="J78" s="621">
        <v>2</v>
      </c>
      <c r="K78" s="621">
        <v>1</v>
      </c>
      <c r="L78" s="621">
        <v>1</v>
      </c>
      <c r="M78" s="116" t="s">
        <v>968</v>
      </c>
      <c r="N78" s="117" t="s">
        <v>736</v>
      </c>
      <c r="O78" s="118">
        <v>-0.4</v>
      </c>
      <c r="P78" s="119">
        <v>0.2</v>
      </c>
      <c r="Q78" s="120">
        <v>0.2</v>
      </c>
      <c r="R78" s="121">
        <v>0</v>
      </c>
      <c r="S78" s="122">
        <v>-0.4</v>
      </c>
      <c r="T78" s="123">
        <v>0</v>
      </c>
      <c r="U78" s="124">
        <v>-0.4</v>
      </c>
      <c r="V78" s="125">
        <v>0.1</v>
      </c>
      <c r="W78" s="126">
        <v>0.1</v>
      </c>
    </row>
    <row r="79" spans="1:23" ht="14.6" customHeight="1">
      <c r="A79" s="590" t="s">
        <v>1233</v>
      </c>
      <c r="B79" s="599" t="s">
        <v>1244</v>
      </c>
      <c r="C79" s="147" t="s">
        <v>1251</v>
      </c>
      <c r="D79" s="131">
        <v>85</v>
      </c>
      <c r="E79" s="132">
        <v>85</v>
      </c>
      <c r="F79" s="115" t="s">
        <v>1252</v>
      </c>
      <c r="G79" s="644" t="s">
        <v>1253</v>
      </c>
      <c r="H79" s="621">
        <v>1</v>
      </c>
      <c r="I79" s="621">
        <v>1</v>
      </c>
      <c r="J79" s="621">
        <v>1</v>
      </c>
      <c r="K79" s="621">
        <v>1</v>
      </c>
      <c r="L79" s="621">
        <v>2</v>
      </c>
      <c r="M79" s="116" t="s">
        <v>968</v>
      </c>
      <c r="N79" s="117" t="s">
        <v>757</v>
      </c>
      <c r="O79" s="118">
        <v>0</v>
      </c>
      <c r="P79" s="119">
        <v>0.2</v>
      </c>
      <c r="Q79" s="120">
        <v>0.2</v>
      </c>
      <c r="R79" s="121">
        <v>0</v>
      </c>
      <c r="S79" s="122">
        <v>-0.2</v>
      </c>
      <c r="T79" s="123">
        <v>0</v>
      </c>
      <c r="U79" s="124">
        <v>-0.6</v>
      </c>
      <c r="V79" s="125">
        <v>-0.4</v>
      </c>
      <c r="W79" s="126">
        <v>-0.2</v>
      </c>
    </row>
    <row r="80" spans="1:23" ht="14.6" customHeight="1">
      <c r="A80" s="590" t="s">
        <v>1233</v>
      </c>
      <c r="B80" s="599" t="s">
        <v>1254</v>
      </c>
      <c r="C80" s="145" t="s">
        <v>1255</v>
      </c>
      <c r="D80" s="131">
        <v>70</v>
      </c>
      <c r="E80" s="132">
        <v>125</v>
      </c>
      <c r="F80" s="115" t="s">
        <v>1256</v>
      </c>
      <c r="G80" s="644" t="s">
        <v>1257</v>
      </c>
      <c r="H80" s="621">
        <v>0</v>
      </c>
      <c r="I80" s="621">
        <v>0</v>
      </c>
      <c r="J80" s="621">
        <v>0</v>
      </c>
      <c r="K80" s="621">
        <v>2</v>
      </c>
      <c r="L80" s="621">
        <v>2</v>
      </c>
      <c r="M80" s="116" t="s">
        <v>968</v>
      </c>
      <c r="N80" s="117" t="s">
        <v>736</v>
      </c>
      <c r="O80" s="133">
        <v>0.3</v>
      </c>
      <c r="P80" s="134">
        <v>-0.3</v>
      </c>
      <c r="Q80" s="120">
        <v>0</v>
      </c>
      <c r="R80" s="121">
        <v>0</v>
      </c>
      <c r="S80" s="122">
        <v>0.3</v>
      </c>
      <c r="T80" s="123">
        <v>-0.3</v>
      </c>
      <c r="U80" s="124">
        <v>0.5</v>
      </c>
      <c r="V80" s="125">
        <v>0</v>
      </c>
      <c r="W80" s="126">
        <v>-0.5</v>
      </c>
    </row>
    <row r="81" spans="1:23" ht="14.6" customHeight="1">
      <c r="A81" s="590" t="s">
        <v>1233</v>
      </c>
      <c r="B81" s="599" t="s">
        <v>1254</v>
      </c>
      <c r="C81" s="146" t="s">
        <v>1258</v>
      </c>
      <c r="D81" s="131">
        <v>40</v>
      </c>
      <c r="E81" s="132">
        <v>150</v>
      </c>
      <c r="F81" s="115" t="s">
        <v>1259</v>
      </c>
      <c r="G81" s="644" t="s">
        <v>1260</v>
      </c>
      <c r="H81" s="621">
        <v>-2</v>
      </c>
      <c r="I81" s="621">
        <v>1</v>
      </c>
      <c r="J81" s="621">
        <v>-1</v>
      </c>
      <c r="K81" s="621">
        <v>1</v>
      </c>
      <c r="L81" s="621">
        <v>4</v>
      </c>
      <c r="M81" s="116" t="s">
        <v>968</v>
      </c>
      <c r="N81" s="117" t="s">
        <v>736</v>
      </c>
      <c r="O81" s="133">
        <v>0.2</v>
      </c>
      <c r="P81" s="134">
        <v>-0.2</v>
      </c>
      <c r="Q81" s="120">
        <v>0</v>
      </c>
      <c r="R81" s="121">
        <v>0</v>
      </c>
      <c r="S81" s="122">
        <v>0.3</v>
      </c>
      <c r="T81" s="123">
        <v>-0.1</v>
      </c>
      <c r="U81" s="124">
        <v>0.3</v>
      </c>
      <c r="V81" s="125">
        <v>-0.7</v>
      </c>
      <c r="W81" s="126">
        <v>0.2</v>
      </c>
    </row>
    <row r="82" spans="1:23" ht="14.6" customHeight="1">
      <c r="A82" s="590" t="s">
        <v>1233</v>
      </c>
      <c r="B82" s="599" t="s">
        <v>1254</v>
      </c>
      <c r="C82" s="147" t="s">
        <v>1261</v>
      </c>
      <c r="D82" s="131">
        <v>85</v>
      </c>
      <c r="E82" s="132">
        <v>105</v>
      </c>
      <c r="F82" s="115" t="s">
        <v>1262</v>
      </c>
      <c r="G82" s="644" t="s">
        <v>1263</v>
      </c>
      <c r="H82" s="621">
        <v>1</v>
      </c>
      <c r="I82" s="621">
        <v>1</v>
      </c>
      <c r="J82" s="621">
        <v>1</v>
      </c>
      <c r="K82" s="621">
        <v>1</v>
      </c>
      <c r="L82" s="621">
        <v>1</v>
      </c>
      <c r="M82" s="116" t="s">
        <v>968</v>
      </c>
      <c r="N82" s="117" t="s">
        <v>748</v>
      </c>
      <c r="O82" s="118">
        <v>0</v>
      </c>
      <c r="P82" s="119">
        <v>-0.2</v>
      </c>
      <c r="Q82" s="120">
        <v>0</v>
      </c>
      <c r="R82" s="121">
        <v>0</v>
      </c>
      <c r="S82" s="122">
        <v>0.3</v>
      </c>
      <c r="T82" s="123">
        <v>-0.3</v>
      </c>
      <c r="U82" s="124">
        <v>0.3</v>
      </c>
      <c r="V82" s="125">
        <v>-0.5</v>
      </c>
      <c r="W82" s="126">
        <v>0</v>
      </c>
    </row>
    <row r="83" spans="1:23" ht="14.6" customHeight="1">
      <c r="A83" s="590" t="s">
        <v>1233</v>
      </c>
      <c r="B83" s="599" t="s">
        <v>1264</v>
      </c>
      <c r="C83" s="145" t="s">
        <v>1265</v>
      </c>
      <c r="D83" s="131">
        <v>30</v>
      </c>
      <c r="E83" s="132">
        <v>60</v>
      </c>
      <c r="F83" s="115" t="s">
        <v>1266</v>
      </c>
      <c r="G83" s="644" t="s">
        <v>1267</v>
      </c>
      <c r="H83" s="621">
        <v>1</v>
      </c>
      <c r="I83" s="621">
        <v>1</v>
      </c>
      <c r="J83" s="621">
        <v>0</v>
      </c>
      <c r="K83" s="621">
        <v>3</v>
      </c>
      <c r="L83" s="621">
        <v>1</v>
      </c>
      <c r="M83" s="116" t="s">
        <v>1268</v>
      </c>
      <c r="N83" s="117" t="s">
        <v>736</v>
      </c>
      <c r="O83" s="118">
        <v>-0.5</v>
      </c>
      <c r="P83" s="119">
        <v>0.5</v>
      </c>
      <c r="Q83" s="120">
        <v>0.5</v>
      </c>
      <c r="R83" s="121">
        <v>-0.5</v>
      </c>
      <c r="S83" s="122">
        <v>0</v>
      </c>
      <c r="T83" s="123">
        <v>0</v>
      </c>
      <c r="U83" s="124">
        <v>-0.4</v>
      </c>
      <c r="V83" s="125">
        <v>-0.4</v>
      </c>
      <c r="W83" s="126">
        <v>-0.4</v>
      </c>
    </row>
    <row r="84" spans="1:23" ht="14.6" customHeight="1">
      <c r="A84" s="590" t="s">
        <v>1233</v>
      </c>
      <c r="B84" s="599" t="s">
        <v>1264</v>
      </c>
      <c r="C84" s="146" t="s">
        <v>1269</v>
      </c>
      <c r="D84" s="131">
        <v>100</v>
      </c>
      <c r="E84" s="132">
        <v>100</v>
      </c>
      <c r="F84" s="115" t="s">
        <v>1270</v>
      </c>
      <c r="G84" s="644" t="s">
        <v>1271</v>
      </c>
      <c r="H84" s="621">
        <v>0</v>
      </c>
      <c r="I84" s="621">
        <v>1</v>
      </c>
      <c r="J84" s="621">
        <v>0</v>
      </c>
      <c r="K84" s="621">
        <v>2</v>
      </c>
      <c r="L84" s="621">
        <v>2</v>
      </c>
      <c r="M84" s="116" t="s">
        <v>968</v>
      </c>
      <c r="N84" s="117" t="s">
        <v>748</v>
      </c>
      <c r="O84" s="133">
        <v>0</v>
      </c>
      <c r="P84" s="134">
        <v>0.3</v>
      </c>
      <c r="Q84" s="120">
        <v>0.5</v>
      </c>
      <c r="R84" s="121">
        <v>-0.4</v>
      </c>
      <c r="S84" s="122">
        <v>-0.2</v>
      </c>
      <c r="T84" s="123">
        <v>-0.2</v>
      </c>
      <c r="U84" s="124">
        <v>0</v>
      </c>
      <c r="V84" s="125">
        <v>0</v>
      </c>
      <c r="W84" s="126">
        <v>0</v>
      </c>
    </row>
    <row r="85" spans="1:23" ht="14.6" customHeight="1">
      <c r="A85" s="590" t="s">
        <v>1233</v>
      </c>
      <c r="B85" s="599" t="s">
        <v>1264</v>
      </c>
      <c r="C85" s="147" t="s">
        <v>1272</v>
      </c>
      <c r="D85" s="131">
        <v>150</v>
      </c>
      <c r="E85" s="132">
        <v>120</v>
      </c>
      <c r="F85" s="115" t="s">
        <v>1273</v>
      </c>
      <c r="G85" s="644" t="s">
        <v>1274</v>
      </c>
      <c r="H85" s="621">
        <v>2</v>
      </c>
      <c r="I85" s="621">
        <v>2</v>
      </c>
      <c r="J85" s="621">
        <v>1</v>
      </c>
      <c r="K85" s="621">
        <v>1</v>
      </c>
      <c r="L85" s="621">
        <v>1</v>
      </c>
      <c r="M85" s="116" t="s">
        <v>1051</v>
      </c>
      <c r="N85" s="117" t="s">
        <v>736</v>
      </c>
      <c r="O85" s="133">
        <v>0.1</v>
      </c>
      <c r="P85" s="134">
        <v>0.1</v>
      </c>
      <c r="Q85" s="120">
        <v>0.1</v>
      </c>
      <c r="R85" s="121">
        <v>0.1</v>
      </c>
      <c r="S85" s="122">
        <v>0.1</v>
      </c>
      <c r="T85" s="123">
        <v>0.1</v>
      </c>
      <c r="U85" s="124">
        <v>0.1</v>
      </c>
      <c r="V85" s="125">
        <v>0.1</v>
      </c>
      <c r="W85" s="126">
        <v>0.1</v>
      </c>
    </row>
    <row r="86" spans="1:23" ht="14.6" customHeight="1">
      <c r="A86" s="591" t="s">
        <v>1275</v>
      </c>
      <c r="B86" s="600" t="s">
        <v>1276</v>
      </c>
      <c r="C86" s="148" t="s">
        <v>1277</v>
      </c>
      <c r="D86" s="131">
        <v>120</v>
      </c>
      <c r="E86" s="132">
        <v>100</v>
      </c>
      <c r="F86" s="115" t="s">
        <v>1278</v>
      </c>
      <c r="G86" s="644" t="s">
        <v>1279</v>
      </c>
      <c r="H86" s="621">
        <v>1</v>
      </c>
      <c r="I86" s="621">
        <v>1</v>
      </c>
      <c r="J86" s="621">
        <v>0</v>
      </c>
      <c r="K86" s="621">
        <v>0</v>
      </c>
      <c r="L86" s="621">
        <v>2</v>
      </c>
      <c r="M86" s="116" t="s">
        <v>968</v>
      </c>
      <c r="N86" s="117" t="s">
        <v>736</v>
      </c>
      <c r="O86" s="118">
        <v>0.6</v>
      </c>
      <c r="P86" s="119">
        <v>0.6</v>
      </c>
      <c r="Q86" s="120">
        <v>-0.2</v>
      </c>
      <c r="R86" s="121">
        <v>-0.2</v>
      </c>
      <c r="S86" s="122">
        <v>0</v>
      </c>
      <c r="T86" s="123">
        <v>-0.2</v>
      </c>
      <c r="U86" s="124">
        <v>0.1</v>
      </c>
      <c r="V86" s="125">
        <v>-0.6</v>
      </c>
      <c r="W86" s="126">
        <v>0</v>
      </c>
    </row>
    <row r="87" spans="1:23" ht="14.6" customHeight="1">
      <c r="A87" s="591" t="s">
        <v>1275</v>
      </c>
      <c r="B87" s="600" t="s">
        <v>1276</v>
      </c>
      <c r="C87" s="149" t="s">
        <v>1280</v>
      </c>
      <c r="D87" s="131">
        <v>80</v>
      </c>
      <c r="E87" s="132">
        <v>80</v>
      </c>
      <c r="F87" s="115" t="s">
        <v>1281</v>
      </c>
      <c r="G87" s="644" t="s">
        <v>1282</v>
      </c>
      <c r="H87" s="621">
        <v>1</v>
      </c>
      <c r="I87" s="621">
        <v>1</v>
      </c>
      <c r="J87" s="621">
        <v>1</v>
      </c>
      <c r="K87" s="621">
        <v>1</v>
      </c>
      <c r="L87" s="621">
        <v>1</v>
      </c>
      <c r="M87" s="116" t="s">
        <v>968</v>
      </c>
      <c r="N87" s="117" t="s">
        <v>736</v>
      </c>
      <c r="O87" s="118">
        <v>1</v>
      </c>
      <c r="P87" s="119">
        <v>-0.5</v>
      </c>
      <c r="Q87" s="120">
        <v>-0.3</v>
      </c>
      <c r="R87" s="121">
        <v>-0.2</v>
      </c>
      <c r="S87" s="122">
        <v>0.2</v>
      </c>
      <c r="T87" s="123">
        <v>-0.2</v>
      </c>
      <c r="U87" s="124">
        <v>0.4</v>
      </c>
      <c r="V87" s="125">
        <v>-0.6</v>
      </c>
      <c r="W87" s="126">
        <v>0</v>
      </c>
    </row>
    <row r="88" spans="1:23" ht="14.6" customHeight="1">
      <c r="A88" s="591" t="s">
        <v>1275</v>
      </c>
      <c r="B88" s="600" t="s">
        <v>1276</v>
      </c>
      <c r="C88" s="150" t="s">
        <v>1283</v>
      </c>
      <c r="D88" s="131">
        <v>130</v>
      </c>
      <c r="E88" s="132">
        <v>80</v>
      </c>
      <c r="F88" s="115" t="s">
        <v>1284</v>
      </c>
      <c r="G88" s="644" t="s">
        <v>1285</v>
      </c>
      <c r="H88" s="621">
        <v>1</v>
      </c>
      <c r="I88" s="621">
        <v>1</v>
      </c>
      <c r="J88" s="621">
        <v>1</v>
      </c>
      <c r="K88" s="621">
        <v>1</v>
      </c>
      <c r="L88" s="621">
        <v>1</v>
      </c>
      <c r="M88" s="116" t="s">
        <v>968</v>
      </c>
      <c r="N88" s="117" t="s">
        <v>736</v>
      </c>
      <c r="O88" s="118">
        <v>0.7</v>
      </c>
      <c r="P88" s="119">
        <v>0</v>
      </c>
      <c r="Q88" s="120">
        <v>-0.4</v>
      </c>
      <c r="R88" s="121">
        <v>0.4</v>
      </c>
      <c r="S88" s="122">
        <v>0</v>
      </c>
      <c r="T88" s="123">
        <v>0</v>
      </c>
      <c r="U88" s="124">
        <v>0</v>
      </c>
      <c r="V88" s="125">
        <v>-0.6</v>
      </c>
      <c r="W88" s="126">
        <v>0</v>
      </c>
    </row>
    <row r="89" spans="1:23" ht="14.6" customHeight="1">
      <c r="A89" s="591" t="s">
        <v>1275</v>
      </c>
      <c r="B89" s="600" t="s">
        <v>1286</v>
      </c>
      <c r="C89" s="148" t="s">
        <v>1287</v>
      </c>
      <c r="D89" s="131">
        <v>75</v>
      </c>
      <c r="E89" s="132">
        <v>115</v>
      </c>
      <c r="F89" s="115" t="s">
        <v>1288</v>
      </c>
      <c r="G89" s="644" t="s">
        <v>1289</v>
      </c>
      <c r="H89" s="621">
        <v>1</v>
      </c>
      <c r="I89" s="621">
        <v>1</v>
      </c>
      <c r="J89" s="621">
        <v>0</v>
      </c>
      <c r="K89" s="621">
        <v>0</v>
      </c>
      <c r="L89" s="621">
        <v>2</v>
      </c>
      <c r="M89" s="116" t="s">
        <v>968</v>
      </c>
      <c r="N89" s="117" t="s">
        <v>752</v>
      </c>
      <c r="O89" s="118">
        <v>0.2</v>
      </c>
      <c r="P89" s="119">
        <v>0.2</v>
      </c>
      <c r="Q89" s="120">
        <v>0.2</v>
      </c>
      <c r="R89" s="121">
        <v>0.2</v>
      </c>
      <c r="S89" s="122">
        <v>0.2</v>
      </c>
      <c r="T89" s="123">
        <v>0.2</v>
      </c>
      <c r="U89" s="124">
        <v>0.2</v>
      </c>
      <c r="V89" s="125">
        <v>-0.8</v>
      </c>
      <c r="W89" s="126">
        <v>-0.8</v>
      </c>
    </row>
    <row r="90" spans="1:23" ht="14.6" customHeight="1">
      <c r="A90" s="591" t="s">
        <v>1275</v>
      </c>
      <c r="B90" s="600" t="s">
        <v>1286</v>
      </c>
      <c r="C90" s="149" t="s">
        <v>1290</v>
      </c>
      <c r="D90" s="131">
        <v>100</v>
      </c>
      <c r="E90" s="132">
        <v>110</v>
      </c>
      <c r="F90" s="115" t="s">
        <v>1291</v>
      </c>
      <c r="G90" s="644" t="s">
        <v>1292</v>
      </c>
      <c r="H90" s="621">
        <v>1</v>
      </c>
      <c r="I90" s="621">
        <v>1</v>
      </c>
      <c r="J90" s="621">
        <v>1</v>
      </c>
      <c r="K90" s="621">
        <v>1</v>
      </c>
      <c r="L90" s="621">
        <v>1</v>
      </c>
      <c r="M90" s="116" t="s">
        <v>968</v>
      </c>
      <c r="N90" s="117" t="s">
        <v>748</v>
      </c>
      <c r="O90" s="118">
        <v>0.2</v>
      </c>
      <c r="P90" s="119">
        <v>0.2</v>
      </c>
      <c r="Q90" s="120">
        <v>0.2</v>
      </c>
      <c r="R90" s="121">
        <v>0.2</v>
      </c>
      <c r="S90" s="122">
        <v>0.2</v>
      </c>
      <c r="T90" s="123">
        <v>0.2</v>
      </c>
      <c r="U90" s="124">
        <v>0.2</v>
      </c>
      <c r="V90" s="125">
        <v>-0.7</v>
      </c>
      <c r="W90" s="126">
        <v>-0.7</v>
      </c>
    </row>
    <row r="91" spans="1:23" ht="14.6" customHeight="1">
      <c r="A91" s="591" t="s">
        <v>1275</v>
      </c>
      <c r="B91" s="600" t="s">
        <v>1286</v>
      </c>
      <c r="C91" s="150" t="s">
        <v>1293</v>
      </c>
      <c r="D91" s="131">
        <v>120</v>
      </c>
      <c r="E91" s="132">
        <v>110</v>
      </c>
      <c r="F91" s="115" t="s">
        <v>1294</v>
      </c>
      <c r="G91" s="644" t="s">
        <v>1295</v>
      </c>
      <c r="H91" s="621">
        <v>2</v>
      </c>
      <c r="I91" s="621">
        <v>0</v>
      </c>
      <c r="J91" s="621">
        <v>-2</v>
      </c>
      <c r="K91" s="621">
        <v>2</v>
      </c>
      <c r="L91" s="621">
        <v>0</v>
      </c>
      <c r="M91" s="116" t="s">
        <v>968</v>
      </c>
      <c r="N91" s="117" t="s">
        <v>731</v>
      </c>
      <c r="O91" s="118">
        <v>0.2</v>
      </c>
      <c r="P91" s="119">
        <v>0</v>
      </c>
      <c r="Q91" s="120">
        <v>0.1</v>
      </c>
      <c r="R91" s="121">
        <v>0.1</v>
      </c>
      <c r="S91" s="122">
        <v>0</v>
      </c>
      <c r="T91" s="123">
        <v>0.1</v>
      </c>
      <c r="U91" s="124">
        <v>0.1</v>
      </c>
      <c r="V91" s="125">
        <v>-0.5</v>
      </c>
      <c r="W91" s="126">
        <v>-0.5</v>
      </c>
    </row>
    <row r="92" spans="1:23" ht="14.6" customHeight="1">
      <c r="A92" s="591" t="s">
        <v>1275</v>
      </c>
      <c r="B92" s="600" t="s">
        <v>1296</v>
      </c>
      <c r="C92" s="148" t="s">
        <v>1297</v>
      </c>
      <c r="D92" s="131">
        <v>80</v>
      </c>
      <c r="E92" s="132">
        <v>100</v>
      </c>
      <c r="F92" s="115" t="s">
        <v>1298</v>
      </c>
      <c r="G92" s="644" t="s">
        <v>1299</v>
      </c>
      <c r="H92" s="621">
        <v>1</v>
      </c>
      <c r="I92" s="621">
        <v>1</v>
      </c>
      <c r="J92" s="621">
        <v>1</v>
      </c>
      <c r="K92" s="621">
        <v>1</v>
      </c>
      <c r="L92" s="621">
        <v>1</v>
      </c>
      <c r="M92" s="116" t="s">
        <v>968</v>
      </c>
      <c r="N92" s="117" t="s">
        <v>736</v>
      </c>
      <c r="O92" s="118">
        <v>0</v>
      </c>
      <c r="P92" s="119">
        <v>-1</v>
      </c>
      <c r="Q92" s="120">
        <v>0</v>
      </c>
      <c r="R92" s="121">
        <v>0</v>
      </c>
      <c r="S92" s="122">
        <v>0</v>
      </c>
      <c r="T92" s="123">
        <v>0</v>
      </c>
      <c r="U92" s="124">
        <v>0.8</v>
      </c>
      <c r="V92" s="125">
        <v>-0.2</v>
      </c>
      <c r="W92" s="126">
        <v>0</v>
      </c>
    </row>
    <row r="93" spans="1:23" ht="14.6" customHeight="1">
      <c r="A93" s="591" t="s">
        <v>1275</v>
      </c>
      <c r="B93" s="600" t="s">
        <v>1296</v>
      </c>
      <c r="C93" s="149" t="s">
        <v>1300</v>
      </c>
      <c r="D93" s="131">
        <v>30</v>
      </c>
      <c r="E93" s="132">
        <v>70</v>
      </c>
      <c r="F93" s="115" t="s">
        <v>1301</v>
      </c>
      <c r="G93" s="644" t="s">
        <v>1302</v>
      </c>
      <c r="H93" s="621">
        <v>-2</v>
      </c>
      <c r="I93" s="621">
        <v>-2</v>
      </c>
      <c r="J93" s="621">
        <v>3</v>
      </c>
      <c r="K93" s="621">
        <v>3</v>
      </c>
      <c r="L93" s="621">
        <v>3</v>
      </c>
      <c r="M93" s="116" t="s">
        <v>1051</v>
      </c>
      <c r="N93" s="117" t="s">
        <v>736</v>
      </c>
      <c r="O93" s="118">
        <v>0</v>
      </c>
      <c r="P93" s="119">
        <v>0</v>
      </c>
      <c r="Q93" s="120">
        <v>0</v>
      </c>
      <c r="R93" s="121">
        <v>0</v>
      </c>
      <c r="S93" s="122">
        <v>0</v>
      </c>
      <c r="T93" s="123">
        <v>0</v>
      </c>
      <c r="U93" s="124">
        <v>1</v>
      </c>
      <c r="V93" s="125">
        <v>-0.1</v>
      </c>
      <c r="W93" s="126">
        <v>0</v>
      </c>
    </row>
    <row r="94" spans="1:23" ht="14.6" customHeight="1">
      <c r="A94" s="591" t="s">
        <v>1275</v>
      </c>
      <c r="B94" s="600" t="s">
        <v>1296</v>
      </c>
      <c r="C94" s="150" t="s">
        <v>1303</v>
      </c>
      <c r="D94" s="131">
        <v>80</v>
      </c>
      <c r="E94" s="132">
        <v>100</v>
      </c>
      <c r="F94" s="115" t="s">
        <v>1304</v>
      </c>
      <c r="G94" s="644" t="s">
        <v>1305</v>
      </c>
      <c r="H94" s="621">
        <v>1</v>
      </c>
      <c r="I94" s="621">
        <v>1</v>
      </c>
      <c r="J94" s="621">
        <v>1</v>
      </c>
      <c r="K94" s="621">
        <v>1</v>
      </c>
      <c r="L94" s="621">
        <v>1</v>
      </c>
      <c r="M94" s="116" t="s">
        <v>968</v>
      </c>
      <c r="N94" s="117" t="s">
        <v>736</v>
      </c>
      <c r="O94" s="118">
        <v>0.4</v>
      </c>
      <c r="P94" s="119">
        <v>0.4</v>
      </c>
      <c r="Q94" s="120">
        <v>0</v>
      </c>
      <c r="R94" s="121">
        <v>0</v>
      </c>
      <c r="S94" s="122">
        <v>0</v>
      </c>
      <c r="T94" s="123">
        <v>0</v>
      </c>
      <c r="U94" s="124">
        <v>0</v>
      </c>
      <c r="V94" s="125">
        <v>0</v>
      </c>
      <c r="W94" s="126">
        <v>0</v>
      </c>
    </row>
    <row r="95" spans="1:23" ht="14.6" customHeight="1">
      <c r="A95" s="591" t="s">
        <v>1275</v>
      </c>
      <c r="B95" s="600" t="s">
        <v>1306</v>
      </c>
      <c r="C95" s="148" t="s">
        <v>1307</v>
      </c>
      <c r="D95" s="131">
        <v>200</v>
      </c>
      <c r="E95" s="132">
        <v>200</v>
      </c>
      <c r="F95" s="115" t="s">
        <v>1308</v>
      </c>
      <c r="G95" s="644" t="s">
        <v>1309</v>
      </c>
      <c r="H95" s="621">
        <v>3</v>
      </c>
      <c r="I95" s="621">
        <v>3</v>
      </c>
      <c r="J95" s="621">
        <v>0</v>
      </c>
      <c r="K95" s="621">
        <v>0</v>
      </c>
      <c r="L95" s="621">
        <v>0</v>
      </c>
      <c r="M95" s="116" t="s">
        <v>1062</v>
      </c>
      <c r="N95" s="117" t="s">
        <v>748</v>
      </c>
      <c r="O95" s="118">
        <v>-0.3</v>
      </c>
      <c r="P95" s="119">
        <v>-0.3</v>
      </c>
      <c r="Q95" s="120">
        <v>-0.3</v>
      </c>
      <c r="R95" s="121">
        <v>-0.3</v>
      </c>
      <c r="S95" s="122">
        <v>-0.3</v>
      </c>
      <c r="T95" s="123">
        <v>-0.3</v>
      </c>
      <c r="U95" s="124">
        <v>-0.3</v>
      </c>
      <c r="V95" s="125">
        <v>-0.3</v>
      </c>
      <c r="W95" s="126">
        <v>-0.3</v>
      </c>
    </row>
    <row r="96" spans="1:23" ht="14.6" customHeight="1">
      <c r="A96" s="591" t="s">
        <v>1275</v>
      </c>
      <c r="B96" s="600" t="s">
        <v>1306</v>
      </c>
      <c r="C96" s="149" t="s">
        <v>1310</v>
      </c>
      <c r="D96" s="131">
        <v>250</v>
      </c>
      <c r="E96" s="132">
        <v>0</v>
      </c>
      <c r="F96" s="115" t="s">
        <v>1311</v>
      </c>
      <c r="G96" s="644" t="s">
        <v>1312</v>
      </c>
      <c r="H96" s="621">
        <v>1</v>
      </c>
      <c r="I96" s="621">
        <v>1</v>
      </c>
      <c r="J96" s="621">
        <v>0</v>
      </c>
      <c r="K96" s="621">
        <v>0</v>
      </c>
      <c r="L96" s="621">
        <v>0</v>
      </c>
      <c r="M96" s="116" t="s">
        <v>968</v>
      </c>
      <c r="N96" s="117" t="s">
        <v>752</v>
      </c>
      <c r="O96" s="118">
        <v>0.4</v>
      </c>
      <c r="P96" s="119">
        <v>-0.7</v>
      </c>
      <c r="Q96" s="120">
        <v>0.2</v>
      </c>
      <c r="R96" s="121">
        <v>-0.6</v>
      </c>
      <c r="S96" s="122">
        <v>-0.2</v>
      </c>
      <c r="T96" s="123">
        <v>0</v>
      </c>
      <c r="U96" s="124">
        <v>0</v>
      </c>
      <c r="V96" s="125">
        <v>0</v>
      </c>
      <c r="W96" s="126">
        <v>0</v>
      </c>
    </row>
    <row r="97" spans="1:23" ht="14.6" customHeight="1">
      <c r="A97" s="591" t="s">
        <v>1275</v>
      </c>
      <c r="B97" s="600" t="s">
        <v>1306</v>
      </c>
      <c r="C97" s="150" t="s">
        <v>1313</v>
      </c>
      <c r="D97" s="131">
        <v>10</v>
      </c>
      <c r="E97" s="132">
        <v>240</v>
      </c>
      <c r="F97" s="151" t="s">
        <v>1314</v>
      </c>
      <c r="G97" s="644" t="s">
        <v>1315</v>
      </c>
      <c r="H97" s="152">
        <v>-2</v>
      </c>
      <c r="I97" s="152">
        <v>4</v>
      </c>
      <c r="J97" s="152">
        <v>-1</v>
      </c>
      <c r="K97" s="152">
        <v>-1</v>
      </c>
      <c r="L97" s="152">
        <v>-1</v>
      </c>
      <c r="M97" s="153" t="s">
        <v>968</v>
      </c>
      <c r="N97" s="117" t="s">
        <v>736</v>
      </c>
      <c r="O97" s="118">
        <v>0.1</v>
      </c>
      <c r="P97" s="119">
        <v>0.1</v>
      </c>
      <c r="Q97" s="120">
        <v>0.1</v>
      </c>
      <c r="R97" s="121">
        <v>0.1</v>
      </c>
      <c r="S97" s="122">
        <v>0.1</v>
      </c>
      <c r="T97" s="123">
        <v>0.1</v>
      </c>
      <c r="U97" s="124">
        <v>0.5</v>
      </c>
      <c r="V97" s="125">
        <v>0.1</v>
      </c>
      <c r="W97" s="126">
        <v>0</v>
      </c>
    </row>
    <row r="98" spans="1:23" ht="14.6" customHeight="1">
      <c r="A98" s="592" t="s">
        <v>1316</v>
      </c>
      <c r="B98" s="604" t="s">
        <v>1317</v>
      </c>
      <c r="C98" s="601" t="s">
        <v>1318</v>
      </c>
      <c r="D98" s="113">
        <v>100</v>
      </c>
      <c r="E98" s="114">
        <v>100</v>
      </c>
      <c r="F98" s="151" t="s">
        <v>1319</v>
      </c>
      <c r="G98" s="644" t="s">
        <v>1320</v>
      </c>
      <c r="H98" s="152">
        <v>6</v>
      </c>
      <c r="I98" s="152">
        <v>6</v>
      </c>
      <c r="J98" s="152">
        <v>3</v>
      </c>
      <c r="K98" s="152">
        <v>3</v>
      </c>
      <c r="L98" s="152">
        <v>3</v>
      </c>
      <c r="M98" s="153" t="s">
        <v>1040</v>
      </c>
      <c r="N98" s="117" t="s">
        <v>731</v>
      </c>
      <c r="O98" s="118">
        <v>0</v>
      </c>
      <c r="P98" s="119">
        <v>0.3</v>
      </c>
      <c r="Q98" s="120">
        <v>0</v>
      </c>
      <c r="R98" s="121">
        <v>0.3</v>
      </c>
      <c r="S98" s="122">
        <v>0.3</v>
      </c>
      <c r="T98" s="123">
        <v>0.3</v>
      </c>
      <c r="U98" s="124">
        <v>0</v>
      </c>
      <c r="V98" s="125">
        <v>0.3</v>
      </c>
      <c r="W98" s="126">
        <v>0.3</v>
      </c>
    </row>
    <row r="99" spans="1:23" ht="14.6" customHeight="1">
      <c r="A99" s="592" t="s">
        <v>1316</v>
      </c>
      <c r="B99" s="604" t="s">
        <v>1317</v>
      </c>
      <c r="C99" s="602" t="s">
        <v>1321</v>
      </c>
      <c r="D99" s="113">
        <v>300</v>
      </c>
      <c r="E99" s="114">
        <v>40</v>
      </c>
      <c r="F99" s="151" t="s">
        <v>1322</v>
      </c>
      <c r="G99" s="644" t="s">
        <v>1323</v>
      </c>
      <c r="H99" s="152">
        <v>4</v>
      </c>
      <c r="I99" s="152">
        <v>-2</v>
      </c>
      <c r="J99" s="152">
        <v>3</v>
      </c>
      <c r="K99" s="152">
        <v>-1</v>
      </c>
      <c r="L99" s="152">
        <v>0</v>
      </c>
      <c r="M99" s="153" t="s">
        <v>1051</v>
      </c>
      <c r="N99" s="117" t="s">
        <v>757</v>
      </c>
      <c r="O99" s="118">
        <v>0.1</v>
      </c>
      <c r="P99" s="119">
        <v>0.1</v>
      </c>
      <c r="Q99" s="120">
        <v>0.2</v>
      </c>
      <c r="R99" s="121">
        <v>0.2</v>
      </c>
      <c r="S99" s="122">
        <v>0.4</v>
      </c>
      <c r="T99" s="123">
        <v>-0.8</v>
      </c>
      <c r="U99" s="124">
        <v>0</v>
      </c>
      <c r="V99" s="125">
        <v>0.1</v>
      </c>
      <c r="W99" s="126">
        <v>0.1</v>
      </c>
    </row>
    <row r="100" spans="1:23" ht="14.6" customHeight="1">
      <c r="A100" s="592" t="s">
        <v>1316</v>
      </c>
      <c r="B100" s="604" t="s">
        <v>1317</v>
      </c>
      <c r="C100" s="602" t="s">
        <v>1324</v>
      </c>
      <c r="D100" s="113">
        <v>60</v>
      </c>
      <c r="E100" s="114">
        <v>200</v>
      </c>
      <c r="F100" s="151" t="s">
        <v>1325</v>
      </c>
      <c r="G100" s="644" t="s">
        <v>1326</v>
      </c>
      <c r="H100" s="621">
        <v>0</v>
      </c>
      <c r="I100" s="621">
        <v>0</v>
      </c>
      <c r="J100" s="621">
        <v>1</v>
      </c>
      <c r="K100" s="621">
        <v>4</v>
      </c>
      <c r="L100" s="621">
        <v>4</v>
      </c>
      <c r="M100" s="116" t="s">
        <v>1025</v>
      </c>
      <c r="N100" s="117" t="s">
        <v>736</v>
      </c>
      <c r="O100" s="118">
        <v>0</v>
      </c>
      <c r="P100" s="119">
        <v>0</v>
      </c>
      <c r="Q100" s="120">
        <v>0</v>
      </c>
      <c r="R100" s="121">
        <v>0</v>
      </c>
      <c r="S100" s="122">
        <v>0</v>
      </c>
      <c r="T100" s="123">
        <v>0</v>
      </c>
      <c r="U100" s="124">
        <v>0</v>
      </c>
      <c r="V100" s="125">
        <v>0</v>
      </c>
      <c r="W100" s="126">
        <v>0</v>
      </c>
    </row>
    <row r="101" spans="1:23" ht="14.6" customHeight="1">
      <c r="A101" s="592" t="s">
        <v>1316</v>
      </c>
      <c r="B101" s="604" t="s">
        <v>1327</v>
      </c>
      <c r="C101" s="603" t="s">
        <v>1328</v>
      </c>
      <c r="D101" s="113">
        <v>110</v>
      </c>
      <c r="E101" s="114">
        <v>100</v>
      </c>
      <c r="F101" s="151" t="s">
        <v>1329</v>
      </c>
      <c r="G101" s="644" t="s">
        <v>1330</v>
      </c>
      <c r="H101" s="621">
        <v>1</v>
      </c>
      <c r="I101" s="621">
        <v>1</v>
      </c>
      <c r="J101" s="621">
        <v>1</v>
      </c>
      <c r="K101" s="621">
        <v>1</v>
      </c>
      <c r="L101" s="621">
        <v>1</v>
      </c>
      <c r="M101" s="116" t="s">
        <v>968</v>
      </c>
      <c r="N101" s="117" t="s">
        <v>736</v>
      </c>
      <c r="O101" s="118">
        <v>0.7</v>
      </c>
      <c r="P101" s="119">
        <v>0.7</v>
      </c>
      <c r="Q101" s="120">
        <v>0.7</v>
      </c>
      <c r="R101" s="121">
        <v>0.7</v>
      </c>
      <c r="S101" s="122">
        <v>0.7</v>
      </c>
      <c r="T101" s="123">
        <v>0.7</v>
      </c>
      <c r="U101" s="124">
        <v>0.7</v>
      </c>
      <c r="V101" s="125">
        <v>0.7</v>
      </c>
      <c r="W101" s="126">
        <v>0.7</v>
      </c>
    </row>
    <row r="102" spans="1:23" ht="14.6" customHeight="1">
      <c r="A102" s="592" t="s">
        <v>1316</v>
      </c>
      <c r="B102" s="604" t="s">
        <v>1327</v>
      </c>
      <c r="C102" s="603" t="s">
        <v>1331</v>
      </c>
      <c r="D102" s="113">
        <v>95</v>
      </c>
      <c r="E102" s="114">
        <v>140</v>
      </c>
      <c r="F102" s="151" t="s">
        <v>1332</v>
      </c>
      <c r="G102" s="644" t="s">
        <v>1333</v>
      </c>
      <c r="H102" s="621">
        <v>1</v>
      </c>
      <c r="I102" s="621">
        <v>2</v>
      </c>
      <c r="J102" s="621">
        <v>1</v>
      </c>
      <c r="K102" s="621">
        <v>2</v>
      </c>
      <c r="L102" s="621">
        <v>1</v>
      </c>
      <c r="M102" s="116" t="s">
        <v>968</v>
      </c>
      <c r="N102" s="117" t="s">
        <v>748</v>
      </c>
      <c r="O102" s="118">
        <v>0.3</v>
      </c>
      <c r="P102" s="119">
        <v>-0.2</v>
      </c>
      <c r="Q102" s="120">
        <v>-0.1</v>
      </c>
      <c r="R102" s="121">
        <v>-0.1</v>
      </c>
      <c r="S102" s="122">
        <v>0.1</v>
      </c>
      <c r="T102" s="123">
        <v>0.2</v>
      </c>
      <c r="U102" s="124">
        <v>0</v>
      </c>
      <c r="V102" s="125">
        <v>0.3</v>
      </c>
      <c r="W102" s="126">
        <v>0.6</v>
      </c>
    </row>
    <row r="103" spans="1:23" ht="14.6" customHeight="1">
      <c r="A103" s="592" t="s">
        <v>1316</v>
      </c>
      <c r="B103" s="604" t="s">
        <v>1327</v>
      </c>
      <c r="C103" s="603" t="s">
        <v>1334</v>
      </c>
      <c r="D103" s="113">
        <v>100</v>
      </c>
      <c r="E103" s="114">
        <v>100</v>
      </c>
      <c r="F103" s="151" t="s">
        <v>1335</v>
      </c>
      <c r="G103" s="644" t="s">
        <v>1336</v>
      </c>
      <c r="H103" s="621">
        <v>0</v>
      </c>
      <c r="I103" s="621">
        <v>4</v>
      </c>
      <c r="J103" s="621">
        <v>3</v>
      </c>
      <c r="K103" s="621">
        <v>0</v>
      </c>
      <c r="L103" s="621">
        <v>3</v>
      </c>
      <c r="M103" s="116" t="s">
        <v>968</v>
      </c>
      <c r="N103" s="117" t="s">
        <v>736</v>
      </c>
      <c r="O103" s="118">
        <v>0</v>
      </c>
      <c r="P103" s="119">
        <v>0</v>
      </c>
      <c r="Q103" s="120">
        <v>0</v>
      </c>
      <c r="R103" s="121">
        <v>0.2</v>
      </c>
      <c r="S103" s="122">
        <v>0</v>
      </c>
      <c r="T103" s="123">
        <v>0.6</v>
      </c>
      <c r="U103" s="124">
        <v>0</v>
      </c>
      <c r="V103" s="125">
        <v>0.2</v>
      </c>
      <c r="W103" s="126">
        <v>-0.4</v>
      </c>
    </row>
    <row r="104" spans="1:23" ht="14.6" customHeight="1">
      <c r="A104" s="592" t="s">
        <v>1316</v>
      </c>
      <c r="B104" s="605" t="s">
        <v>1337</v>
      </c>
      <c r="C104" s="157" t="s">
        <v>1338</v>
      </c>
      <c r="D104" s="113">
        <v>50</v>
      </c>
      <c r="E104" s="114">
        <v>70</v>
      </c>
      <c r="F104" s="115" t="s">
        <v>1339</v>
      </c>
      <c r="G104" s="656" t="s">
        <v>5794</v>
      </c>
      <c r="H104" s="621">
        <v>0</v>
      </c>
      <c r="I104" s="621">
        <v>2</v>
      </c>
      <c r="J104" s="621">
        <v>1</v>
      </c>
      <c r="K104" s="621">
        <v>5</v>
      </c>
      <c r="L104" s="621">
        <v>1</v>
      </c>
      <c r="M104" s="116" t="s">
        <v>968</v>
      </c>
      <c r="N104" s="117" t="s">
        <v>748</v>
      </c>
      <c r="O104" s="118">
        <v>0.3</v>
      </c>
      <c r="P104" s="119">
        <v>0.3</v>
      </c>
      <c r="Q104" s="120">
        <v>-0.4</v>
      </c>
      <c r="R104" s="121">
        <v>0.2</v>
      </c>
      <c r="S104" s="122">
        <v>0.5</v>
      </c>
      <c r="T104" s="123">
        <v>0</v>
      </c>
      <c r="U104" s="124">
        <v>-0.8</v>
      </c>
      <c r="V104" s="125">
        <v>0.2</v>
      </c>
      <c r="W104" s="126">
        <v>0</v>
      </c>
    </row>
    <row r="105" spans="1:23" ht="14.6" customHeight="1">
      <c r="A105" s="592" t="s">
        <v>1316</v>
      </c>
      <c r="B105" s="605" t="s">
        <v>1337</v>
      </c>
      <c r="C105" s="602" t="s">
        <v>1340</v>
      </c>
      <c r="D105" s="113">
        <v>85</v>
      </c>
      <c r="E105" s="114">
        <v>145</v>
      </c>
      <c r="F105" s="115" t="s">
        <v>1341</v>
      </c>
      <c r="G105" s="656" t="s">
        <v>5795</v>
      </c>
      <c r="H105" s="621">
        <v>-3</v>
      </c>
      <c r="I105" s="621">
        <v>3</v>
      </c>
      <c r="J105" s="621">
        <v>0</v>
      </c>
      <c r="K105" s="621">
        <v>0</v>
      </c>
      <c r="L105" s="621">
        <v>4</v>
      </c>
      <c r="M105" s="116" t="s">
        <v>968</v>
      </c>
      <c r="N105" s="117" t="s">
        <v>752</v>
      </c>
      <c r="O105" s="118">
        <v>0.5</v>
      </c>
      <c r="P105" s="119">
        <v>0</v>
      </c>
      <c r="Q105" s="120">
        <v>-0.2</v>
      </c>
      <c r="R105" s="121">
        <v>-0.2</v>
      </c>
      <c r="S105" s="122">
        <v>0.5</v>
      </c>
      <c r="T105" s="123">
        <v>0</v>
      </c>
      <c r="U105" s="124">
        <v>-0.4</v>
      </c>
      <c r="V105" s="125">
        <v>0.1</v>
      </c>
      <c r="W105" s="126">
        <v>0.1</v>
      </c>
    </row>
    <row r="106" spans="1:23" ht="14.6" customHeight="1">
      <c r="A106" s="592" t="s">
        <v>1316</v>
      </c>
      <c r="B106" s="605" t="s">
        <v>1337</v>
      </c>
      <c r="C106" s="607" t="s">
        <v>1342</v>
      </c>
      <c r="D106" s="113">
        <v>30</v>
      </c>
      <c r="E106" s="114">
        <v>30</v>
      </c>
      <c r="F106" s="115" t="s">
        <v>1343</v>
      </c>
      <c r="G106" s="656" t="s">
        <v>5796</v>
      </c>
      <c r="H106" s="621">
        <v>2</v>
      </c>
      <c r="I106" s="621">
        <v>2</v>
      </c>
      <c r="J106" s="621">
        <v>2</v>
      </c>
      <c r="K106" s="621">
        <v>0</v>
      </c>
      <c r="L106" s="621">
        <v>0</v>
      </c>
      <c r="M106" s="116" t="s">
        <v>1344</v>
      </c>
      <c r="N106" s="117" t="s">
        <v>1165</v>
      </c>
      <c r="O106" s="118">
        <v>0.4</v>
      </c>
      <c r="P106" s="119">
        <v>0.5</v>
      </c>
      <c r="Q106" s="120">
        <v>0.1</v>
      </c>
      <c r="R106" s="121">
        <v>0.1</v>
      </c>
      <c r="S106" s="122">
        <v>0.8</v>
      </c>
      <c r="T106" s="123">
        <v>0</v>
      </c>
      <c r="U106" s="124">
        <v>-0.2</v>
      </c>
      <c r="V106" s="125">
        <v>0.4</v>
      </c>
      <c r="W106" s="126">
        <v>0.4</v>
      </c>
    </row>
    <row r="107" spans="1:23" ht="14.6" customHeight="1">
      <c r="A107" s="592" t="s">
        <v>1316</v>
      </c>
      <c r="B107" s="605" t="s">
        <v>1345</v>
      </c>
      <c r="C107" s="603" t="s">
        <v>1346</v>
      </c>
      <c r="D107" s="113">
        <v>140</v>
      </c>
      <c r="E107" s="114">
        <v>85</v>
      </c>
      <c r="F107" s="151" t="s">
        <v>1347</v>
      </c>
      <c r="G107" s="644" t="s">
        <v>1348</v>
      </c>
      <c r="H107" s="621">
        <v>4</v>
      </c>
      <c r="I107" s="621">
        <v>2</v>
      </c>
      <c r="J107" s="621">
        <v>0</v>
      </c>
      <c r="K107" s="621">
        <v>0</v>
      </c>
      <c r="L107" s="621">
        <v>0</v>
      </c>
      <c r="M107" s="116" t="s">
        <v>968</v>
      </c>
      <c r="N107" s="117" t="s">
        <v>752</v>
      </c>
      <c r="O107" s="118">
        <v>-0.3</v>
      </c>
      <c r="P107" s="119">
        <v>0</v>
      </c>
      <c r="Q107" s="120">
        <v>0.4</v>
      </c>
      <c r="R107" s="121">
        <v>-0.2</v>
      </c>
      <c r="S107" s="122">
        <v>-0.2</v>
      </c>
      <c r="T107" s="123">
        <v>0.7</v>
      </c>
      <c r="U107" s="124">
        <v>0.4</v>
      </c>
      <c r="V107" s="125">
        <v>0.2</v>
      </c>
      <c r="W107" s="126">
        <v>0.2</v>
      </c>
    </row>
    <row r="108" spans="1:23" ht="14.6" customHeight="1">
      <c r="A108" s="592" t="s">
        <v>1316</v>
      </c>
      <c r="B108" s="605" t="s">
        <v>1345</v>
      </c>
      <c r="C108" s="603" t="s">
        <v>1349</v>
      </c>
      <c r="D108" s="113">
        <v>160</v>
      </c>
      <c r="E108" s="114">
        <v>25</v>
      </c>
      <c r="F108" s="151" t="s">
        <v>1350</v>
      </c>
      <c r="G108" s="644" t="s">
        <v>1351</v>
      </c>
      <c r="H108" s="621">
        <v>5</v>
      </c>
      <c r="I108" s="621">
        <v>5</v>
      </c>
      <c r="J108" s="621">
        <v>2</v>
      </c>
      <c r="K108" s="621">
        <v>1</v>
      </c>
      <c r="L108" s="621">
        <v>0</v>
      </c>
      <c r="M108" s="116" t="s">
        <v>968</v>
      </c>
      <c r="N108" s="117" t="s">
        <v>736</v>
      </c>
      <c r="O108" s="118">
        <v>0</v>
      </c>
      <c r="P108" s="119">
        <v>0</v>
      </c>
      <c r="Q108" s="120">
        <v>0</v>
      </c>
      <c r="R108" s="121">
        <v>0.2</v>
      </c>
      <c r="S108" s="122">
        <v>0</v>
      </c>
      <c r="T108" s="123">
        <v>0.6</v>
      </c>
      <c r="U108" s="124">
        <v>0</v>
      </c>
      <c r="V108" s="125">
        <v>0.2</v>
      </c>
      <c r="W108" s="126">
        <v>-0.4</v>
      </c>
    </row>
    <row r="109" spans="1:23" ht="14.6" customHeight="1">
      <c r="A109" s="592" t="s">
        <v>1316</v>
      </c>
      <c r="B109" s="605" t="s">
        <v>1345</v>
      </c>
      <c r="C109" s="606" t="s">
        <v>1352</v>
      </c>
      <c r="D109" s="113">
        <v>100</v>
      </c>
      <c r="E109" s="114">
        <v>100</v>
      </c>
      <c r="F109" s="151" t="s">
        <v>1353</v>
      </c>
      <c r="G109" s="644" t="s">
        <v>1354</v>
      </c>
      <c r="H109" s="621">
        <v>1</v>
      </c>
      <c r="I109" s="621">
        <v>1</v>
      </c>
      <c r="J109" s="621">
        <v>1</v>
      </c>
      <c r="K109" s="621">
        <v>1</v>
      </c>
      <c r="L109" s="621">
        <v>1</v>
      </c>
      <c r="M109" s="116" t="s">
        <v>968</v>
      </c>
      <c r="N109" s="117" t="s">
        <v>748</v>
      </c>
      <c r="O109" s="118">
        <v>0.1</v>
      </c>
      <c r="P109" s="119">
        <v>0.1</v>
      </c>
      <c r="Q109" s="120">
        <v>0.1</v>
      </c>
      <c r="R109" s="121">
        <v>0.1</v>
      </c>
      <c r="S109" s="122">
        <v>0.1</v>
      </c>
      <c r="T109" s="123">
        <v>0.1</v>
      </c>
      <c r="U109" s="124">
        <v>0.1</v>
      </c>
      <c r="V109" s="125">
        <v>0.1</v>
      </c>
      <c r="W109" s="126">
        <v>0.1</v>
      </c>
    </row>
    <row r="110" spans="1:23" ht="15" customHeight="1">
      <c r="A110" s="657" t="s">
        <v>1355</v>
      </c>
      <c r="B110" s="628" t="s">
        <v>1356</v>
      </c>
      <c r="C110" s="620"/>
      <c r="D110" s="620"/>
      <c r="E110" s="620"/>
      <c r="F110" s="620"/>
      <c r="G110" s="620"/>
      <c r="H110" s="620"/>
      <c r="I110" s="620"/>
      <c r="J110" s="620"/>
      <c r="K110" s="620"/>
      <c r="L110" s="620"/>
    </row>
    <row r="111" spans="1:23" ht="15" customHeight="1">
      <c r="A111" s="640" t="s">
        <v>597</v>
      </c>
      <c r="B111" s="2" t="s">
        <v>598</v>
      </c>
      <c r="C111" s="617"/>
      <c r="D111" s="617"/>
      <c r="E111" s="617"/>
      <c r="F111" s="617"/>
      <c r="H111" s="617"/>
      <c r="I111" s="617"/>
      <c r="J111" s="617"/>
      <c r="K111" s="617"/>
      <c r="L111" s="617"/>
    </row>
    <row r="112" spans="1:23" ht="15" customHeight="1">
      <c r="A112" s="640" t="s">
        <v>599</v>
      </c>
      <c r="B112" s="2" t="s">
        <v>600</v>
      </c>
      <c r="C112" s="617"/>
      <c r="D112" s="617"/>
      <c r="E112" s="617"/>
      <c r="F112" s="617"/>
      <c r="H112" s="617"/>
      <c r="I112" s="617"/>
      <c r="J112" s="617"/>
      <c r="K112" s="617"/>
      <c r="L112" s="617"/>
    </row>
    <row r="113" spans="1:12" ht="15" customHeight="1">
      <c r="A113" s="640" t="s">
        <v>601</v>
      </c>
      <c r="B113" s="2" t="s">
        <v>602</v>
      </c>
      <c r="C113" s="617"/>
      <c r="D113" s="617"/>
      <c r="E113" s="617"/>
      <c r="F113" s="617"/>
      <c r="H113" s="617"/>
      <c r="I113" s="617"/>
      <c r="J113" s="617"/>
      <c r="K113" s="617"/>
      <c r="L113" s="617"/>
    </row>
    <row r="114" spans="1:12" ht="15" customHeight="1">
      <c r="A114" s="640" t="s">
        <v>603</v>
      </c>
      <c r="B114" s="2" t="s">
        <v>604</v>
      </c>
      <c r="C114" s="617"/>
      <c r="D114" s="617"/>
      <c r="E114" s="617"/>
      <c r="F114" s="617"/>
      <c r="H114" s="617"/>
      <c r="I114" s="617"/>
      <c r="J114" s="617"/>
      <c r="K114" s="617"/>
      <c r="L114" s="617"/>
    </row>
    <row r="115" spans="1:12" ht="15" customHeight="1">
      <c r="A115" s="640" t="s">
        <v>605</v>
      </c>
      <c r="B115" s="2" t="s">
        <v>606</v>
      </c>
      <c r="C115" s="617"/>
      <c r="D115" s="617"/>
      <c r="E115" s="617"/>
      <c r="F115" s="617"/>
      <c r="H115" s="617"/>
      <c r="I115" s="617"/>
      <c r="J115" s="617"/>
      <c r="K115" s="617"/>
      <c r="L115" s="617"/>
    </row>
    <row r="116" spans="1:12" ht="15" customHeight="1">
      <c r="A116" s="640" t="s">
        <v>607</v>
      </c>
      <c r="B116" s="2" t="s">
        <v>608</v>
      </c>
      <c r="C116" s="617"/>
      <c r="D116" s="617"/>
      <c r="E116" s="617"/>
      <c r="F116" s="617"/>
      <c r="H116" s="617"/>
      <c r="I116" s="617"/>
      <c r="J116" s="617"/>
      <c r="K116" s="617"/>
      <c r="L116" s="617"/>
    </row>
    <row r="117" spans="1:12" ht="15" customHeight="1">
      <c r="A117" s="640" t="s">
        <v>609</v>
      </c>
      <c r="B117" s="2" t="s">
        <v>610</v>
      </c>
      <c r="C117" s="617"/>
      <c r="D117" s="617"/>
      <c r="E117" s="617"/>
      <c r="F117" s="617"/>
      <c r="H117" s="617"/>
      <c r="I117" s="617"/>
      <c r="J117" s="617"/>
      <c r="K117" s="617"/>
      <c r="L117" s="617"/>
    </row>
    <row r="118" spans="1:12" ht="15" customHeight="1">
      <c r="A118" s="640" t="s">
        <v>611</v>
      </c>
      <c r="B118" s="2" t="s">
        <v>612</v>
      </c>
      <c r="C118" s="617"/>
      <c r="D118" s="617"/>
      <c r="E118" s="617"/>
      <c r="F118" s="617"/>
      <c r="H118" s="617"/>
      <c r="I118" s="617"/>
      <c r="J118" s="617"/>
      <c r="K118" s="617"/>
      <c r="L118" s="617"/>
    </row>
    <row r="119" spans="1:12" ht="15" customHeight="1">
      <c r="A119" s="640" t="s">
        <v>613</v>
      </c>
      <c r="B119" s="2" t="s">
        <v>614</v>
      </c>
      <c r="C119" s="617"/>
      <c r="D119" s="617"/>
      <c r="E119" s="617"/>
      <c r="F119" s="617"/>
      <c r="H119" s="617"/>
      <c r="I119" s="617"/>
      <c r="J119" s="617"/>
      <c r="K119" s="617"/>
      <c r="L119" s="617"/>
    </row>
    <row r="120" spans="1:12" ht="15" customHeight="1">
      <c r="A120" s="640" t="s">
        <v>615</v>
      </c>
      <c r="B120" s="2" t="s">
        <v>616</v>
      </c>
      <c r="C120" s="617"/>
      <c r="D120" s="617"/>
      <c r="E120" s="617"/>
      <c r="F120" s="617"/>
      <c r="H120" s="617"/>
      <c r="I120" s="617"/>
      <c r="J120" s="617"/>
      <c r="K120" s="617"/>
      <c r="L120" s="617"/>
    </row>
    <row r="121" spans="1:12" ht="15" customHeight="1">
      <c r="A121" s="640" t="s">
        <v>617</v>
      </c>
      <c r="B121" s="2" t="s">
        <v>618</v>
      </c>
      <c r="C121" s="617"/>
      <c r="D121" s="617"/>
      <c r="E121" s="617"/>
      <c r="F121" s="617"/>
      <c r="H121" s="617"/>
      <c r="I121" s="617"/>
      <c r="J121" s="617"/>
      <c r="K121" s="617"/>
      <c r="L121" s="617"/>
    </row>
    <row r="122" spans="1:12" ht="15" customHeight="1">
      <c r="A122" s="640" t="s">
        <v>619</v>
      </c>
      <c r="B122" s="2" t="s">
        <v>620</v>
      </c>
      <c r="C122" s="617"/>
      <c r="D122" s="617"/>
      <c r="E122" s="617"/>
      <c r="F122" s="617"/>
      <c r="H122" s="617"/>
      <c r="I122" s="617"/>
      <c r="J122" s="617"/>
      <c r="K122" s="617"/>
      <c r="L122" s="617"/>
    </row>
    <row r="123" spans="1:12" ht="15" customHeight="1">
      <c r="A123" s="640" t="s">
        <v>621</v>
      </c>
      <c r="B123" s="2" t="s">
        <v>622</v>
      </c>
      <c r="C123" s="617"/>
      <c r="D123" s="617"/>
      <c r="E123" s="617"/>
      <c r="F123" s="617"/>
      <c r="H123" s="617"/>
      <c r="I123" s="617"/>
      <c r="J123" s="617"/>
      <c r="K123" s="617"/>
      <c r="L123" s="617"/>
    </row>
    <row r="124" spans="1:12" ht="15" customHeight="1">
      <c r="A124" s="640" t="s">
        <v>623</v>
      </c>
      <c r="B124" s="2" t="s">
        <v>624</v>
      </c>
      <c r="C124" s="617"/>
      <c r="D124" s="617"/>
      <c r="E124" s="617"/>
      <c r="F124" s="617"/>
      <c r="H124" s="617"/>
      <c r="I124" s="617"/>
      <c r="J124" s="617"/>
      <c r="K124" s="617"/>
      <c r="L124" s="617"/>
    </row>
    <row r="125" spans="1:12" ht="15" customHeight="1">
      <c r="A125" s="640" t="s">
        <v>625</v>
      </c>
      <c r="B125" s="2" t="s">
        <v>626</v>
      </c>
      <c r="C125" s="617"/>
      <c r="D125" s="617"/>
      <c r="E125" s="617"/>
      <c r="F125" s="617"/>
      <c r="H125" s="617"/>
      <c r="I125" s="617"/>
      <c r="J125" s="617"/>
      <c r="K125" s="617"/>
      <c r="L125" s="617"/>
    </row>
    <row r="126" spans="1:12" ht="15" customHeight="1">
      <c r="A126" s="640" t="s">
        <v>627</v>
      </c>
      <c r="B126" s="2" t="s">
        <v>628</v>
      </c>
      <c r="C126" s="617"/>
      <c r="D126" s="617"/>
      <c r="E126" s="617"/>
      <c r="F126" s="617"/>
      <c r="H126" s="617"/>
      <c r="I126" s="617"/>
      <c r="J126" s="617"/>
      <c r="K126" s="617"/>
      <c r="L126" s="617"/>
    </row>
    <row r="127" spans="1:12" ht="15" customHeight="1">
      <c r="A127" s="640" t="s">
        <v>629</v>
      </c>
      <c r="B127" s="2" t="s">
        <v>630</v>
      </c>
      <c r="C127" s="617"/>
      <c r="D127" s="617"/>
      <c r="E127" s="617"/>
      <c r="F127" s="617"/>
      <c r="H127" s="617"/>
      <c r="I127" s="617"/>
      <c r="J127" s="617"/>
      <c r="K127" s="617"/>
      <c r="L127" s="617"/>
    </row>
    <row r="128" spans="1:12" ht="15" customHeight="1">
      <c r="A128" s="640" t="s">
        <v>631</v>
      </c>
      <c r="B128" s="2" t="s">
        <v>632</v>
      </c>
      <c r="C128" s="617"/>
      <c r="D128" s="617"/>
      <c r="E128" s="617"/>
      <c r="F128" s="617"/>
      <c r="H128" s="617"/>
      <c r="I128" s="617"/>
      <c r="J128" s="617"/>
      <c r="K128" s="617"/>
      <c r="L128" s="617"/>
    </row>
    <row r="129" spans="1:12" ht="15" customHeight="1">
      <c r="A129" s="640" t="s">
        <v>633</v>
      </c>
      <c r="B129" s="2" t="s">
        <v>634</v>
      </c>
      <c r="C129" s="617"/>
      <c r="D129" s="617"/>
      <c r="E129" s="617"/>
      <c r="F129" s="617"/>
      <c r="H129" s="617"/>
      <c r="I129" s="617"/>
      <c r="J129" s="617"/>
      <c r="K129" s="617"/>
      <c r="L129" s="617"/>
    </row>
    <row r="130" spans="1:12" ht="15" customHeight="1">
      <c r="A130" s="640" t="s">
        <v>635</v>
      </c>
      <c r="B130" s="2" t="s">
        <v>636</v>
      </c>
      <c r="C130" s="617"/>
      <c r="D130" s="617"/>
      <c r="E130" s="617"/>
      <c r="F130" s="617"/>
      <c r="H130" s="617"/>
      <c r="I130" s="617"/>
      <c r="J130" s="617"/>
      <c r="K130" s="617"/>
      <c r="L130" s="617"/>
    </row>
    <row r="131" spans="1:12" ht="15" customHeight="1">
      <c r="A131" s="640" t="s">
        <v>637</v>
      </c>
      <c r="B131" s="2" t="s">
        <v>638</v>
      </c>
      <c r="C131" s="617"/>
      <c r="D131" s="617"/>
      <c r="E131" s="617"/>
      <c r="F131" s="617"/>
      <c r="H131" s="617"/>
      <c r="I131" s="617"/>
      <c r="J131" s="617"/>
      <c r="K131" s="617"/>
      <c r="L131" s="617"/>
    </row>
    <row r="132" spans="1:12" ht="15" customHeight="1">
      <c r="A132" s="640" t="s">
        <v>639</v>
      </c>
      <c r="B132" s="2" t="s">
        <v>640</v>
      </c>
      <c r="C132" s="617"/>
      <c r="D132" s="617"/>
      <c r="E132" s="617"/>
      <c r="F132" s="617"/>
      <c r="H132" s="617"/>
      <c r="I132" s="617"/>
      <c r="J132" s="617"/>
      <c r="K132" s="617"/>
      <c r="L132" s="617"/>
    </row>
    <row r="133" spans="1:12" ht="15" customHeight="1">
      <c r="A133" s="640" t="s">
        <v>641</v>
      </c>
      <c r="B133" s="2" t="s">
        <v>642</v>
      </c>
      <c r="C133" s="617"/>
      <c r="D133" s="617"/>
      <c r="E133" s="617"/>
      <c r="F133" s="617"/>
      <c r="H133" s="617"/>
      <c r="I133" s="617"/>
      <c r="J133" s="617"/>
      <c r="K133" s="617"/>
      <c r="L133" s="617"/>
    </row>
    <row r="134" spans="1:12" ht="15" customHeight="1">
      <c r="A134" s="640" t="s">
        <v>643</v>
      </c>
      <c r="B134" s="2" t="s">
        <v>644</v>
      </c>
      <c r="C134" s="617"/>
      <c r="D134" s="617"/>
      <c r="E134" s="617"/>
      <c r="F134" s="617"/>
      <c r="H134" s="617"/>
      <c r="I134" s="617"/>
      <c r="J134" s="617"/>
      <c r="K134" s="617"/>
      <c r="L134" s="617"/>
    </row>
    <row r="135" spans="1:12" ht="15" customHeight="1">
      <c r="A135" s="640" t="s">
        <v>645</v>
      </c>
      <c r="B135" s="2" t="s">
        <v>646</v>
      </c>
      <c r="C135" s="617"/>
      <c r="D135" s="617"/>
      <c r="E135" s="617"/>
      <c r="F135" s="617"/>
      <c r="H135" s="617"/>
      <c r="I135" s="617"/>
      <c r="J135" s="617"/>
      <c r="K135" s="617"/>
      <c r="L135" s="617"/>
    </row>
    <row r="136" spans="1:12" ht="15" customHeight="1">
      <c r="A136" s="640" t="s">
        <v>647</v>
      </c>
      <c r="B136" s="2" t="s">
        <v>648</v>
      </c>
      <c r="C136" s="617"/>
      <c r="D136" s="617"/>
      <c r="E136" s="617"/>
      <c r="F136" s="617"/>
      <c r="H136" s="617"/>
      <c r="I136" s="617"/>
      <c r="J136" s="617"/>
      <c r="K136" s="617"/>
      <c r="L136" s="617"/>
    </row>
    <row r="137" spans="1:12" ht="15" customHeight="1">
      <c r="A137" s="640" t="s">
        <v>649</v>
      </c>
      <c r="B137" s="2" t="s">
        <v>650</v>
      </c>
      <c r="C137" s="617"/>
      <c r="D137" s="617"/>
      <c r="E137" s="617"/>
      <c r="F137" s="617"/>
      <c r="H137" s="617"/>
      <c r="I137" s="617"/>
      <c r="J137" s="617"/>
      <c r="K137" s="617"/>
      <c r="L137" s="617"/>
    </row>
    <row r="138" spans="1:12" ht="15" customHeight="1">
      <c r="A138" s="640" t="s">
        <v>651</v>
      </c>
      <c r="B138" s="2" t="s">
        <v>652</v>
      </c>
      <c r="C138" s="617"/>
      <c r="D138" s="617"/>
      <c r="E138" s="617"/>
      <c r="F138" s="617"/>
      <c r="H138" s="617"/>
      <c r="I138" s="617"/>
      <c r="J138" s="617"/>
      <c r="K138" s="617"/>
      <c r="L138" s="617"/>
    </row>
    <row r="139" spans="1:12" ht="15" customHeight="1">
      <c r="A139" s="640" t="s">
        <v>653</v>
      </c>
      <c r="B139" s="2" t="s">
        <v>654</v>
      </c>
      <c r="C139" s="617"/>
      <c r="D139" s="617"/>
      <c r="E139" s="617"/>
      <c r="F139" s="617"/>
      <c r="H139" s="617"/>
      <c r="I139" s="617"/>
      <c r="J139" s="617"/>
      <c r="K139" s="617"/>
      <c r="L139" s="617"/>
    </row>
    <row r="140" spans="1:12" ht="15" customHeight="1">
      <c r="A140" s="640" t="s">
        <v>655</v>
      </c>
      <c r="B140" s="2" t="s">
        <v>656</v>
      </c>
      <c r="C140" s="617"/>
      <c r="D140" s="617"/>
      <c r="E140" s="617"/>
      <c r="F140" s="617"/>
      <c r="H140" s="617"/>
      <c r="I140" s="617"/>
      <c r="J140" s="617"/>
      <c r="K140" s="617"/>
      <c r="L140" s="617"/>
    </row>
    <row r="141" spans="1:12" ht="15" customHeight="1">
      <c r="A141" s="640" t="s">
        <v>657</v>
      </c>
      <c r="B141" s="2" t="s">
        <v>658</v>
      </c>
      <c r="C141" s="617"/>
      <c r="D141" s="617"/>
      <c r="E141" s="617"/>
      <c r="F141" s="617"/>
      <c r="H141" s="617"/>
      <c r="I141" s="617"/>
      <c r="J141" s="617"/>
      <c r="K141" s="617"/>
      <c r="L141" s="617"/>
    </row>
    <row r="142" spans="1:12" ht="15" customHeight="1">
      <c r="A142" s="640" t="s">
        <v>659</v>
      </c>
      <c r="B142" s="2" t="s">
        <v>660</v>
      </c>
      <c r="C142" s="617"/>
      <c r="D142" s="617"/>
      <c r="E142" s="617"/>
      <c r="F142" s="617"/>
      <c r="H142" s="617"/>
      <c r="I142" s="617"/>
      <c r="J142" s="617"/>
      <c r="K142" s="617"/>
      <c r="L142" s="617"/>
    </row>
    <row r="143" spans="1:12" ht="15" customHeight="1">
      <c r="A143" s="640" t="s">
        <v>661</v>
      </c>
      <c r="B143" s="2" t="s">
        <v>662</v>
      </c>
      <c r="C143" s="617"/>
      <c r="D143" s="617"/>
      <c r="E143" s="617"/>
      <c r="F143" s="617"/>
      <c r="H143" s="617"/>
      <c r="I143" s="617"/>
      <c r="J143" s="617"/>
      <c r="K143" s="617"/>
      <c r="L143" s="617"/>
    </row>
    <row r="144" spans="1:12" ht="15" customHeight="1">
      <c r="A144" s="640" t="s">
        <v>663</v>
      </c>
      <c r="B144" s="2" t="s">
        <v>664</v>
      </c>
      <c r="C144" s="617"/>
      <c r="D144" s="617"/>
      <c r="E144" s="617"/>
      <c r="F144" s="617"/>
      <c r="H144" s="617"/>
      <c r="I144" s="617"/>
      <c r="J144" s="617"/>
      <c r="K144" s="617"/>
      <c r="L144" s="617"/>
    </row>
    <row r="145" spans="1:23" ht="15" customHeight="1">
      <c r="A145" s="640" t="s">
        <v>665</v>
      </c>
      <c r="B145" s="2" t="s">
        <v>666</v>
      </c>
      <c r="C145" s="617"/>
      <c r="D145" s="617"/>
      <c r="E145" s="617"/>
      <c r="F145" s="617"/>
      <c r="H145" s="617"/>
      <c r="I145" s="617"/>
      <c r="J145" s="617"/>
      <c r="K145" s="617"/>
      <c r="L145" s="617"/>
    </row>
    <row r="146" spans="1:23" ht="15" customHeight="1">
      <c r="A146" s="640" t="s">
        <v>667</v>
      </c>
      <c r="B146" s="2" t="s">
        <v>668</v>
      </c>
      <c r="C146" s="617"/>
      <c r="D146" s="617"/>
      <c r="E146" s="617"/>
      <c r="F146" s="617"/>
      <c r="H146" s="617"/>
      <c r="I146" s="617"/>
      <c r="J146" s="617"/>
      <c r="K146" s="617"/>
      <c r="L146" s="617"/>
      <c r="N146" s="14"/>
      <c r="O146" s="642"/>
      <c r="P146" s="155"/>
      <c r="Q146" s="641"/>
      <c r="R146" s="641"/>
      <c r="S146" s="642"/>
      <c r="T146" s="642"/>
      <c r="U146" s="642"/>
      <c r="V146" s="642"/>
      <c r="W146" s="642"/>
    </row>
    <row r="147" spans="1:23" ht="15" customHeight="1">
      <c r="A147" s="640" t="s">
        <v>669</v>
      </c>
      <c r="B147" s="2" t="s">
        <v>670</v>
      </c>
      <c r="C147" s="617"/>
      <c r="D147" s="617"/>
      <c r="E147" s="617"/>
      <c r="F147" s="617"/>
      <c r="H147" s="617"/>
      <c r="I147" s="617"/>
      <c r="J147" s="617"/>
      <c r="K147" s="617"/>
      <c r="L147" s="617"/>
      <c r="N147" s="14"/>
      <c r="O147" s="642"/>
      <c r="P147" s="155"/>
      <c r="Q147" s="641"/>
      <c r="R147" s="641"/>
      <c r="S147" s="642"/>
      <c r="T147" s="642"/>
      <c r="U147" s="642"/>
      <c r="V147" s="642"/>
      <c r="W147" s="642"/>
    </row>
    <row r="148" spans="1:23" ht="15" customHeight="1">
      <c r="A148" s="640" t="s">
        <v>671</v>
      </c>
      <c r="B148" s="2" t="s">
        <v>672</v>
      </c>
      <c r="C148" s="617"/>
      <c r="D148" s="617"/>
      <c r="E148" s="617"/>
      <c r="F148" s="617"/>
      <c r="H148" s="617"/>
      <c r="I148" s="617"/>
      <c r="J148" s="617"/>
      <c r="K148" s="617"/>
      <c r="L148" s="617"/>
      <c r="N148" s="156"/>
      <c r="O148" s="642"/>
      <c r="P148" s="155"/>
      <c r="Q148" s="641"/>
      <c r="R148" s="642"/>
      <c r="S148" s="642"/>
      <c r="T148" s="642"/>
      <c r="U148" s="642"/>
      <c r="V148" s="642"/>
      <c r="W148" s="642"/>
    </row>
    <row r="149" spans="1:23" ht="15" customHeight="1">
      <c r="A149" s="640" t="s">
        <v>673</v>
      </c>
      <c r="B149" s="2" t="s">
        <v>674</v>
      </c>
      <c r="C149" s="617"/>
      <c r="D149" s="617"/>
      <c r="E149" s="617"/>
      <c r="F149" s="617"/>
      <c r="H149" s="617"/>
      <c r="I149" s="617"/>
      <c r="J149" s="617"/>
      <c r="K149" s="617"/>
      <c r="L149" s="617"/>
      <c r="N149" s="10"/>
      <c r="O149" s="642"/>
      <c r="P149" s="642"/>
      <c r="Q149" s="642"/>
      <c r="R149" s="642"/>
      <c r="S149" s="642"/>
      <c r="T149" s="642"/>
      <c r="U149" s="642"/>
      <c r="V149" s="642"/>
      <c r="W149" s="642"/>
    </row>
    <row r="150" spans="1:23" ht="15" customHeight="1">
      <c r="A150" s="640" t="s">
        <v>675</v>
      </c>
      <c r="B150" s="2" t="s">
        <v>676</v>
      </c>
      <c r="C150" s="617"/>
      <c r="D150" s="617"/>
      <c r="E150" s="617"/>
      <c r="F150" s="617"/>
      <c r="H150" s="617"/>
      <c r="I150" s="617"/>
      <c r="J150" s="617"/>
      <c r="K150" s="617"/>
      <c r="L150" s="617"/>
      <c r="N150" s="10"/>
      <c r="O150" s="642"/>
      <c r="P150" s="642"/>
      <c r="Q150" s="642"/>
      <c r="R150" s="642"/>
      <c r="S150" s="642"/>
      <c r="T150" s="642"/>
      <c r="U150" s="642"/>
      <c r="V150" s="642"/>
      <c r="W150" s="642"/>
    </row>
    <row r="151" spans="1:23" ht="15" customHeight="1">
      <c r="A151" s="640" t="s">
        <v>677</v>
      </c>
      <c r="B151" s="2" t="s">
        <v>678</v>
      </c>
      <c r="C151" s="617"/>
      <c r="D151" s="617"/>
      <c r="E151" s="617"/>
      <c r="F151" s="617"/>
      <c r="H151" s="617"/>
      <c r="I151" s="617"/>
      <c r="J151" s="617"/>
      <c r="K151" s="617"/>
      <c r="L151" s="617"/>
      <c r="N151" s="10"/>
      <c r="O151" s="642"/>
      <c r="P151" s="642"/>
      <c r="Q151" s="642"/>
      <c r="R151" s="642"/>
      <c r="S151" s="642"/>
      <c r="T151" s="642"/>
      <c r="U151" s="642"/>
      <c r="V151" s="642"/>
      <c r="W151" s="642"/>
    </row>
    <row r="152" spans="1:23" ht="15" customHeight="1">
      <c r="A152" s="640" t="s">
        <v>679</v>
      </c>
      <c r="B152" s="2" t="s">
        <v>680</v>
      </c>
      <c r="C152" s="617"/>
      <c r="D152" s="617"/>
      <c r="E152" s="617"/>
      <c r="F152" s="617"/>
      <c r="H152" s="617"/>
      <c r="I152" s="617"/>
      <c r="J152" s="617"/>
      <c r="K152" s="617"/>
      <c r="L152" s="617"/>
      <c r="N152" s="10"/>
      <c r="O152" s="642"/>
      <c r="P152" s="642"/>
      <c r="Q152" s="642"/>
      <c r="R152" s="642"/>
      <c r="S152" s="642"/>
      <c r="T152" s="642"/>
      <c r="U152" s="642"/>
      <c r="V152" s="642"/>
      <c r="W152" s="642"/>
    </row>
    <row r="153" spans="1:23" ht="15" customHeight="1">
      <c r="A153" s="640" t="s">
        <v>681</v>
      </c>
      <c r="B153" s="2" t="s">
        <v>682</v>
      </c>
      <c r="C153" s="617"/>
      <c r="D153" s="617"/>
      <c r="E153" s="617"/>
      <c r="F153" s="617"/>
      <c r="H153" s="617"/>
      <c r="I153" s="617"/>
      <c r="J153" s="617"/>
      <c r="K153" s="617"/>
      <c r="L153" s="617"/>
      <c r="N153" s="10"/>
      <c r="O153" s="642"/>
      <c r="P153" s="642"/>
      <c r="Q153" s="642"/>
      <c r="R153" s="642"/>
      <c r="S153" s="642"/>
      <c r="T153" s="642"/>
      <c r="U153" s="642"/>
      <c r="V153" s="642"/>
      <c r="W153" s="642"/>
    </row>
    <row r="154" spans="1:23" ht="15" customHeight="1">
      <c r="A154" s="640" t="s">
        <v>683</v>
      </c>
      <c r="B154" s="2" t="s">
        <v>684</v>
      </c>
      <c r="C154" s="617"/>
      <c r="D154" s="617"/>
      <c r="E154" s="617"/>
      <c r="F154" s="617"/>
      <c r="H154" s="617"/>
      <c r="I154" s="617"/>
      <c r="J154" s="617"/>
      <c r="K154" s="617"/>
      <c r="L154" s="617"/>
      <c r="N154" s="10"/>
      <c r="O154" s="642"/>
      <c r="P154" s="642"/>
      <c r="Q154" s="642"/>
      <c r="R154" s="642"/>
      <c r="S154" s="642"/>
      <c r="T154" s="642"/>
      <c r="U154" s="642"/>
      <c r="V154" s="642"/>
      <c r="W154" s="642"/>
    </row>
    <row r="155" spans="1:23" ht="15" customHeight="1">
      <c r="A155" s="640" t="s">
        <v>685</v>
      </c>
      <c r="B155" s="2" t="s">
        <v>686</v>
      </c>
      <c r="C155" s="617"/>
      <c r="D155" s="617"/>
      <c r="E155" s="617"/>
      <c r="F155" s="617"/>
      <c r="H155" s="617"/>
      <c r="I155" s="617"/>
      <c r="J155" s="617"/>
      <c r="K155" s="617"/>
      <c r="L155" s="617"/>
      <c r="N155" s="10"/>
      <c r="O155" s="642"/>
      <c r="P155" s="642"/>
      <c r="Q155" s="642"/>
      <c r="R155" s="642"/>
      <c r="S155" s="642"/>
      <c r="T155" s="642"/>
      <c r="U155" s="642"/>
      <c r="V155" s="642"/>
      <c r="W155" s="642"/>
    </row>
    <row r="156" spans="1:23" ht="15" customHeight="1">
      <c r="A156" s="640" t="s">
        <v>687</v>
      </c>
      <c r="B156" s="2" t="s">
        <v>688</v>
      </c>
      <c r="C156" s="617"/>
      <c r="D156" s="617"/>
      <c r="E156" s="617"/>
      <c r="F156" s="617"/>
      <c r="H156" s="617"/>
      <c r="I156" s="617"/>
      <c r="J156" s="617"/>
      <c r="K156" s="617"/>
      <c r="L156" s="617"/>
      <c r="N156" s="10"/>
      <c r="O156" s="642"/>
      <c r="P156" s="642"/>
      <c r="Q156" s="642"/>
      <c r="R156" s="642"/>
      <c r="S156" s="642"/>
      <c r="T156" s="642"/>
      <c r="U156" s="642"/>
      <c r="V156" s="642"/>
      <c r="W156" s="642"/>
    </row>
    <row r="157" spans="1:23" ht="15" customHeight="1">
      <c r="A157" s="640" t="s">
        <v>689</v>
      </c>
      <c r="B157" s="2" t="s">
        <v>690</v>
      </c>
      <c r="C157" s="617"/>
      <c r="D157" s="617"/>
      <c r="E157" s="617"/>
      <c r="F157" s="617"/>
      <c r="H157" s="617"/>
      <c r="I157" s="617"/>
      <c r="J157" s="617"/>
      <c r="K157" s="617"/>
      <c r="L157" s="617"/>
      <c r="N157" s="10"/>
      <c r="O157" s="642"/>
      <c r="P157" s="642"/>
      <c r="Q157" s="642"/>
      <c r="R157" s="642"/>
      <c r="S157" s="642"/>
      <c r="T157" s="642"/>
      <c r="U157" s="642"/>
      <c r="V157" s="642"/>
      <c r="W157" s="642"/>
    </row>
    <row r="158" spans="1:23" ht="15" customHeight="1">
      <c r="A158" s="640" t="s">
        <v>691</v>
      </c>
      <c r="B158" s="2" t="s">
        <v>692</v>
      </c>
      <c r="C158" s="617"/>
      <c r="D158" s="617"/>
      <c r="E158" s="617"/>
      <c r="F158" s="617"/>
      <c r="H158" s="617"/>
      <c r="I158" s="617"/>
      <c r="J158" s="617"/>
      <c r="K158" s="617"/>
      <c r="L158" s="617"/>
      <c r="N158" s="10"/>
      <c r="O158" s="642"/>
      <c r="P158" s="642"/>
      <c r="Q158" s="642"/>
      <c r="R158" s="642"/>
      <c r="S158" s="642"/>
      <c r="T158" s="642"/>
      <c r="U158" s="642"/>
      <c r="V158" s="642"/>
      <c r="W158" s="642"/>
    </row>
    <row r="159" spans="1:23" ht="15" customHeight="1">
      <c r="A159" s="640" t="s">
        <v>693</v>
      </c>
      <c r="B159" s="616" t="s">
        <v>5793</v>
      </c>
      <c r="C159" s="617"/>
      <c r="D159" s="617"/>
      <c r="E159" s="617"/>
      <c r="F159" s="617"/>
      <c r="H159" s="617"/>
      <c r="I159" s="617"/>
      <c r="J159" s="617"/>
      <c r="K159" s="617"/>
      <c r="L159" s="617"/>
      <c r="N159" s="10"/>
      <c r="O159" s="642"/>
      <c r="P159" s="642"/>
      <c r="Q159" s="642"/>
      <c r="R159" s="642"/>
      <c r="S159" s="642"/>
      <c r="T159" s="642"/>
      <c r="U159" s="642"/>
      <c r="V159" s="642"/>
      <c r="W159" s="642"/>
    </row>
    <row r="160" spans="1:23" ht="15" customHeight="1">
      <c r="A160" s="640" t="s">
        <v>694</v>
      </c>
      <c r="B160" s="2" t="s">
        <v>695</v>
      </c>
      <c r="C160" s="617"/>
      <c r="D160" s="617"/>
      <c r="E160" s="617"/>
      <c r="F160" s="617"/>
      <c r="H160" s="617"/>
      <c r="I160" s="617"/>
      <c r="J160" s="617"/>
      <c r="K160" s="617"/>
      <c r="L160" s="617"/>
      <c r="N160" s="10"/>
      <c r="O160" s="642"/>
      <c r="P160" s="642"/>
      <c r="Q160" s="642"/>
      <c r="R160" s="642"/>
      <c r="S160" s="642"/>
      <c r="T160" s="642"/>
      <c r="U160" s="642"/>
      <c r="V160" s="642"/>
      <c r="W160" s="642"/>
    </row>
    <row r="161" spans="1:23" ht="15" customHeight="1">
      <c r="A161" s="640" t="s">
        <v>696</v>
      </c>
      <c r="B161" s="2" t="s">
        <v>697</v>
      </c>
      <c r="C161" s="617"/>
      <c r="D161" s="617"/>
      <c r="E161" s="617"/>
      <c r="F161" s="617"/>
      <c r="H161" s="617"/>
      <c r="I161" s="617"/>
      <c r="J161" s="617"/>
      <c r="K161" s="617"/>
      <c r="L161" s="617"/>
      <c r="N161" s="10"/>
      <c r="O161" s="642"/>
      <c r="P161" s="642"/>
      <c r="Q161" s="642"/>
      <c r="R161" s="642"/>
      <c r="S161" s="642"/>
      <c r="T161" s="642"/>
      <c r="U161" s="642"/>
      <c r="V161" s="642"/>
      <c r="W161" s="642"/>
    </row>
    <row r="162" spans="1:23" ht="15" customHeight="1">
      <c r="A162" s="640" t="s">
        <v>698</v>
      </c>
      <c r="B162" s="2" t="s">
        <v>699</v>
      </c>
      <c r="C162" s="617"/>
      <c r="D162" s="617"/>
      <c r="E162" s="617"/>
      <c r="F162" s="617"/>
      <c r="H162" s="617"/>
      <c r="I162" s="617"/>
      <c r="J162" s="617"/>
      <c r="K162" s="617"/>
      <c r="L162" s="617"/>
      <c r="N162" s="10"/>
      <c r="O162" s="642"/>
      <c r="P162" s="642"/>
      <c r="Q162" s="642"/>
      <c r="R162" s="642"/>
      <c r="S162" s="642"/>
      <c r="T162" s="642"/>
      <c r="U162" s="642"/>
      <c r="V162" s="642"/>
      <c r="W162" s="642"/>
    </row>
    <row r="163" spans="1:23" ht="15" customHeight="1">
      <c r="A163" s="640" t="s">
        <v>700</v>
      </c>
      <c r="B163" s="2" t="s">
        <v>701</v>
      </c>
      <c r="C163" s="617"/>
      <c r="D163" s="617"/>
      <c r="E163" s="617"/>
      <c r="F163" s="617"/>
      <c r="H163" s="617"/>
      <c r="I163" s="617"/>
      <c r="J163" s="617"/>
      <c r="K163" s="617"/>
      <c r="L163" s="617"/>
      <c r="N163" s="10"/>
      <c r="O163" s="642"/>
      <c r="P163" s="642"/>
      <c r="Q163" s="642"/>
      <c r="R163" s="642"/>
      <c r="S163" s="642"/>
      <c r="T163" s="642"/>
      <c r="U163" s="642"/>
      <c r="V163" s="642"/>
      <c r="W163" s="642"/>
    </row>
    <row r="164" spans="1:23" ht="15" customHeight="1">
      <c r="A164" s="640" t="s">
        <v>702</v>
      </c>
      <c r="B164" s="2" t="s">
        <v>703</v>
      </c>
      <c r="C164" s="617"/>
      <c r="D164" s="617"/>
      <c r="E164" s="617"/>
      <c r="F164" s="617"/>
      <c r="H164" s="617"/>
      <c r="I164" s="617"/>
      <c r="J164" s="617"/>
      <c r="K164" s="617"/>
      <c r="L164" s="617"/>
      <c r="N164" s="10"/>
      <c r="O164" s="642"/>
      <c r="P164" s="642"/>
      <c r="Q164" s="642"/>
      <c r="R164" s="642"/>
      <c r="S164" s="642"/>
      <c r="T164" s="642"/>
      <c r="U164" s="642"/>
      <c r="V164" s="642"/>
      <c r="W164" s="642"/>
    </row>
    <row r="165" spans="1:23" ht="15" customHeight="1">
      <c r="A165" s="640" t="s">
        <v>704</v>
      </c>
      <c r="B165" s="2" t="s">
        <v>705</v>
      </c>
      <c r="C165" s="617"/>
      <c r="D165" s="617"/>
      <c r="E165" s="617"/>
      <c r="F165" s="617"/>
      <c r="H165" s="617"/>
      <c r="I165" s="617"/>
      <c r="J165" s="617"/>
      <c r="K165" s="617"/>
      <c r="L165" s="617"/>
      <c r="N165" s="10"/>
      <c r="O165" s="642"/>
      <c r="P165" s="642"/>
      <c r="Q165" s="642"/>
      <c r="R165" s="642"/>
      <c r="S165" s="642"/>
      <c r="T165" s="642"/>
      <c r="U165" s="642"/>
      <c r="V165" s="642"/>
      <c r="W165" s="642"/>
    </row>
    <row r="166" spans="1:23" ht="15" customHeight="1">
      <c r="A166" s="640" t="s">
        <v>706</v>
      </c>
      <c r="B166" s="2" t="s">
        <v>707</v>
      </c>
      <c r="C166" s="617"/>
      <c r="D166" s="617"/>
      <c r="E166" s="617"/>
      <c r="F166" s="617"/>
      <c r="H166" s="617"/>
      <c r="I166" s="617"/>
      <c r="J166" s="617"/>
      <c r="K166" s="617"/>
      <c r="L166" s="617"/>
      <c r="N166" s="10"/>
      <c r="O166" s="642"/>
      <c r="P166" s="642"/>
      <c r="Q166" s="642"/>
      <c r="R166" s="642"/>
      <c r="S166" s="642"/>
      <c r="T166" s="642"/>
      <c r="U166" s="642"/>
      <c r="V166" s="642"/>
      <c r="W166" s="642"/>
    </row>
    <row r="167" spans="1:23" ht="15" customHeight="1">
      <c r="A167" s="640" t="s">
        <v>708</v>
      </c>
      <c r="B167" s="2" t="s">
        <v>709</v>
      </c>
      <c r="C167" s="617"/>
      <c r="D167" s="617"/>
      <c r="E167" s="617"/>
      <c r="F167" s="617"/>
      <c r="H167" s="617"/>
      <c r="I167" s="617"/>
      <c r="J167" s="617"/>
      <c r="K167" s="617"/>
      <c r="L167" s="617"/>
      <c r="N167" s="10"/>
      <c r="O167" s="642"/>
      <c r="P167" s="642"/>
      <c r="Q167" s="642"/>
      <c r="R167" s="642"/>
      <c r="S167" s="642"/>
      <c r="T167" s="642"/>
      <c r="U167" s="642"/>
      <c r="V167" s="642"/>
      <c r="W167" s="642"/>
    </row>
    <row r="168" spans="1:23" ht="15" customHeight="1">
      <c r="A168" s="640" t="s">
        <v>710</v>
      </c>
      <c r="B168" s="2" t="s">
        <v>711</v>
      </c>
      <c r="C168" s="617"/>
      <c r="D168" s="617"/>
      <c r="E168" s="617"/>
      <c r="F168" s="617"/>
      <c r="H168" s="617"/>
      <c r="I168" s="617"/>
      <c r="J168" s="617"/>
      <c r="K168" s="617"/>
      <c r="L168" s="617"/>
      <c r="N168" s="10"/>
      <c r="O168" s="10"/>
      <c r="P168" s="642"/>
      <c r="Q168" s="642"/>
      <c r="R168" s="642"/>
      <c r="S168" s="642"/>
      <c r="T168" s="642"/>
      <c r="U168" s="642"/>
      <c r="V168" s="642"/>
      <c r="W168" s="642"/>
    </row>
    <row r="169" spans="1:23" ht="15" customHeight="1">
      <c r="A169" s="640" t="s">
        <v>712</v>
      </c>
      <c r="B169" s="2" t="s">
        <v>713</v>
      </c>
      <c r="C169" s="617"/>
      <c r="D169" s="617"/>
      <c r="E169" s="617"/>
      <c r="F169" s="617"/>
      <c r="H169" s="617"/>
      <c r="I169" s="617"/>
      <c r="J169" s="617"/>
      <c r="K169" s="617"/>
      <c r="L169" s="617"/>
      <c r="N169" s="10"/>
      <c r="O169" s="10"/>
      <c r="P169" s="642"/>
      <c r="Q169" s="642"/>
      <c r="R169" s="642"/>
      <c r="S169" s="642"/>
      <c r="T169" s="642"/>
      <c r="U169" s="642"/>
      <c r="V169" s="642"/>
      <c r="W169" s="642"/>
    </row>
    <row r="170" spans="1:23" ht="15" customHeight="1">
      <c r="A170" s="640" t="s">
        <v>714</v>
      </c>
      <c r="B170" s="2" t="s">
        <v>715</v>
      </c>
      <c r="C170" s="618"/>
      <c r="D170" s="618"/>
      <c r="E170" s="618"/>
      <c r="F170" s="618"/>
      <c r="H170" s="618"/>
      <c r="I170" s="618"/>
      <c r="J170" s="618"/>
      <c r="K170" s="618"/>
      <c r="L170" s="618"/>
      <c r="N170" s="10"/>
      <c r="O170" s="10"/>
      <c r="P170" s="642"/>
      <c r="Q170" s="642"/>
      <c r="R170" s="642"/>
      <c r="S170" s="642"/>
      <c r="T170" s="642"/>
      <c r="U170" s="642"/>
      <c r="V170" s="642"/>
      <c r="W170" s="642"/>
    </row>
    <row r="171" spans="1:23" ht="15" customHeight="1">
      <c r="N171" s="10"/>
      <c r="O171" s="10"/>
      <c r="P171" s="642"/>
      <c r="Q171" s="642"/>
      <c r="R171" s="642"/>
      <c r="S171" s="642"/>
      <c r="T171" s="642"/>
      <c r="U171" s="642"/>
      <c r="V171" s="642"/>
      <c r="W171" s="642"/>
    </row>
    <row r="172" spans="1:23" ht="15" customHeight="1">
      <c r="N172" s="10"/>
      <c r="O172" s="10"/>
      <c r="P172" s="642"/>
      <c r="Q172" s="642"/>
      <c r="R172" s="642"/>
      <c r="S172" s="642"/>
      <c r="T172" s="642"/>
      <c r="U172" s="642"/>
      <c r="V172" s="642"/>
      <c r="W172" s="642"/>
    </row>
    <row r="173" spans="1:23" ht="15" customHeight="1">
      <c r="N173" s="10"/>
      <c r="O173" s="10"/>
      <c r="P173" s="642"/>
      <c r="Q173" s="642"/>
      <c r="R173" s="642"/>
      <c r="S173" s="642"/>
      <c r="T173" s="642"/>
      <c r="U173" s="642"/>
      <c r="V173" s="642"/>
      <c r="W173" s="642"/>
    </row>
    <row r="174" spans="1:23" ht="15" customHeight="1">
      <c r="N174" s="10"/>
      <c r="O174" s="10"/>
      <c r="P174" s="642"/>
      <c r="Q174" s="642"/>
      <c r="R174" s="642"/>
      <c r="S174" s="642"/>
      <c r="T174" s="642"/>
      <c r="U174" s="642"/>
      <c r="V174" s="642"/>
      <c r="W174" s="642"/>
    </row>
    <row r="175" spans="1:23" ht="15" customHeight="1">
      <c r="N175" s="10"/>
      <c r="O175" s="10"/>
      <c r="P175" s="642"/>
      <c r="Q175" s="642"/>
      <c r="R175" s="642"/>
      <c r="S175" s="642"/>
      <c r="T175" s="642"/>
      <c r="U175" s="642"/>
      <c r="V175" s="642"/>
      <c r="W175" s="642"/>
    </row>
    <row r="176" spans="1:23" ht="15" customHeight="1">
      <c r="N176" s="10"/>
      <c r="O176" s="10"/>
      <c r="P176" s="642"/>
      <c r="Q176" s="642"/>
      <c r="R176" s="642"/>
      <c r="S176" s="642"/>
      <c r="T176" s="642"/>
      <c r="U176" s="642"/>
      <c r="V176" s="642"/>
      <c r="W176" s="642"/>
    </row>
    <row r="177" spans="14:23" ht="15" customHeight="1">
      <c r="N177" s="10"/>
      <c r="O177" s="10"/>
      <c r="P177" s="642"/>
      <c r="Q177" s="642"/>
      <c r="R177" s="642"/>
      <c r="S177" s="642"/>
      <c r="T177" s="642"/>
      <c r="U177" s="642"/>
      <c r="V177" s="642"/>
      <c r="W177" s="642"/>
    </row>
    <row r="178" spans="14:23" ht="15" customHeight="1">
      <c r="N178" s="10"/>
      <c r="O178" s="10"/>
      <c r="P178" s="642"/>
      <c r="Q178" s="642"/>
      <c r="R178" s="642"/>
      <c r="S178" s="642"/>
      <c r="T178" s="642"/>
      <c r="U178" s="642"/>
      <c r="V178" s="642"/>
      <c r="W178" s="642"/>
    </row>
    <row r="179" spans="14:23" ht="15" customHeight="1">
      <c r="N179" s="10"/>
      <c r="O179" s="10"/>
      <c r="P179" s="642"/>
      <c r="Q179" s="642"/>
      <c r="R179" s="642"/>
      <c r="S179" s="642"/>
      <c r="T179" s="642"/>
      <c r="U179" s="642"/>
      <c r="V179" s="642"/>
      <c r="W179" s="642"/>
    </row>
    <row r="180" spans="14:23" ht="15" customHeight="1">
      <c r="N180" s="10"/>
      <c r="O180" s="10"/>
      <c r="P180" s="642"/>
      <c r="Q180" s="642"/>
      <c r="R180" s="642"/>
      <c r="S180" s="642"/>
      <c r="T180" s="642"/>
      <c r="U180" s="642"/>
      <c r="V180" s="642"/>
      <c r="W180" s="642"/>
    </row>
    <row r="181" spans="14:23" ht="15" customHeight="1">
      <c r="N181" s="10"/>
      <c r="O181" s="10"/>
      <c r="P181" s="642"/>
      <c r="Q181" s="642"/>
      <c r="R181" s="642"/>
      <c r="S181" s="642"/>
      <c r="T181" s="642"/>
      <c r="U181" s="642"/>
      <c r="V181" s="642"/>
      <c r="W181" s="642"/>
    </row>
    <row r="182" spans="14:23" ht="15" customHeight="1">
      <c r="N182" s="10"/>
      <c r="O182" s="10"/>
      <c r="P182" s="642"/>
      <c r="Q182" s="642"/>
      <c r="R182" s="642"/>
      <c r="S182" s="642"/>
      <c r="T182" s="642"/>
      <c r="U182" s="642"/>
      <c r="V182" s="642"/>
      <c r="W182" s="642"/>
    </row>
    <row r="183" spans="14:23" ht="15" customHeight="1">
      <c r="N183" s="10"/>
      <c r="O183" s="10"/>
      <c r="P183" s="642"/>
      <c r="Q183" s="642"/>
      <c r="R183" s="642"/>
      <c r="S183" s="642"/>
      <c r="T183" s="642"/>
      <c r="U183" s="642"/>
      <c r="V183" s="642"/>
      <c r="W183" s="642"/>
    </row>
    <row r="184" spans="14:23" ht="15" customHeight="1">
      <c r="N184" s="10"/>
      <c r="O184" s="10"/>
      <c r="P184" s="642"/>
      <c r="Q184" s="642"/>
      <c r="R184" s="642"/>
      <c r="S184" s="642"/>
      <c r="T184" s="642"/>
      <c r="U184" s="642"/>
      <c r="V184" s="642"/>
      <c r="W184" s="642"/>
    </row>
    <row r="185" spans="14:23" ht="15" customHeight="1">
      <c r="N185" s="10"/>
      <c r="O185" s="10"/>
      <c r="P185" s="642"/>
      <c r="Q185" s="642"/>
      <c r="R185" s="642"/>
      <c r="S185" s="642"/>
      <c r="T185" s="642"/>
      <c r="U185" s="642"/>
      <c r="V185" s="642"/>
      <c r="W185" s="642"/>
    </row>
    <row r="186" spans="14:23" ht="15" customHeight="1">
      <c r="N186" s="10"/>
      <c r="O186" s="10"/>
      <c r="P186" s="642"/>
      <c r="Q186" s="642"/>
      <c r="R186" s="642"/>
      <c r="S186" s="642"/>
      <c r="T186" s="642"/>
      <c r="U186" s="642"/>
      <c r="V186" s="642"/>
      <c r="W186" s="642"/>
    </row>
    <row r="187" spans="14:23" ht="15" customHeight="1">
      <c r="N187" s="10"/>
      <c r="O187" s="10"/>
      <c r="P187" s="642"/>
      <c r="Q187" s="642"/>
      <c r="R187" s="642"/>
      <c r="S187" s="642"/>
      <c r="T187" s="642"/>
      <c r="U187" s="642"/>
      <c r="V187" s="642"/>
      <c r="W187" s="642"/>
    </row>
    <row r="188" spans="14:23" ht="15" customHeight="1">
      <c r="N188" s="10"/>
      <c r="O188" s="10"/>
      <c r="P188" s="642"/>
      <c r="Q188" s="642"/>
      <c r="R188" s="642"/>
      <c r="S188" s="642"/>
      <c r="T188" s="642"/>
      <c r="U188" s="642"/>
      <c r="V188" s="642"/>
      <c r="W188" s="642"/>
    </row>
    <row r="189" spans="14:23" ht="15" customHeight="1">
      <c r="N189" s="10"/>
      <c r="O189" s="10"/>
      <c r="P189" s="642"/>
      <c r="Q189" s="642"/>
      <c r="R189" s="642"/>
      <c r="S189" s="642"/>
      <c r="T189" s="642"/>
      <c r="U189" s="642"/>
      <c r="V189" s="642"/>
      <c r="W189" s="642"/>
    </row>
    <row r="190" spans="14:23" ht="15" customHeight="1">
      <c r="N190" s="10"/>
      <c r="O190" s="10"/>
      <c r="P190" s="642"/>
      <c r="Q190" s="642"/>
      <c r="R190" s="642"/>
      <c r="S190" s="642"/>
      <c r="T190" s="642"/>
      <c r="U190" s="642"/>
      <c r="V190" s="642"/>
      <c r="W190" s="642"/>
    </row>
    <row r="191" spans="14:23" ht="15" customHeight="1">
      <c r="N191" s="10"/>
      <c r="O191" s="10"/>
      <c r="P191" s="642"/>
      <c r="Q191" s="642"/>
      <c r="R191" s="642"/>
      <c r="S191" s="642"/>
      <c r="T191" s="642"/>
      <c r="U191" s="642"/>
      <c r="V191" s="642"/>
      <c r="W191" s="642"/>
    </row>
    <row r="192" spans="14:23" ht="15" customHeight="1">
      <c r="N192" s="10"/>
      <c r="O192" s="10"/>
      <c r="P192" s="642"/>
      <c r="Q192" s="642"/>
      <c r="R192" s="642"/>
      <c r="S192" s="642"/>
      <c r="T192" s="642"/>
      <c r="U192" s="642"/>
      <c r="V192" s="642"/>
      <c r="W192" s="642"/>
    </row>
    <row r="193" spans="14:23" ht="15" customHeight="1">
      <c r="N193" s="10"/>
      <c r="O193" s="10"/>
      <c r="P193" s="642"/>
      <c r="Q193" s="642"/>
      <c r="R193" s="642"/>
      <c r="S193" s="642"/>
      <c r="T193" s="642"/>
      <c r="U193" s="642"/>
      <c r="V193" s="642"/>
      <c r="W193" s="642"/>
    </row>
    <row r="194" spans="14:23" ht="15" customHeight="1">
      <c r="N194" s="10"/>
      <c r="O194" s="10"/>
      <c r="P194" s="642"/>
      <c r="Q194" s="642"/>
      <c r="R194" s="642"/>
      <c r="S194" s="642"/>
      <c r="T194" s="642"/>
      <c r="U194" s="642"/>
      <c r="V194" s="642"/>
      <c r="W194" s="642"/>
    </row>
    <row r="195" spans="14:23" ht="15" customHeight="1">
      <c r="N195" s="10"/>
      <c r="O195" s="10"/>
      <c r="P195" s="642"/>
      <c r="Q195" s="642"/>
      <c r="R195" s="642"/>
      <c r="S195" s="642"/>
      <c r="T195" s="642"/>
      <c r="U195" s="642"/>
      <c r="V195" s="642"/>
      <c r="W195" s="642"/>
    </row>
    <row r="196" spans="14:23" ht="15" customHeight="1">
      <c r="N196" s="10"/>
      <c r="O196" s="10"/>
      <c r="P196" s="642"/>
      <c r="Q196" s="642"/>
      <c r="R196" s="642"/>
      <c r="S196" s="642"/>
      <c r="T196" s="642"/>
      <c r="U196" s="642"/>
      <c r="V196" s="642"/>
      <c r="W196" s="642"/>
    </row>
    <row r="197" spans="14:23" ht="15" customHeight="1">
      <c r="N197" s="10"/>
      <c r="O197" s="10"/>
      <c r="P197" s="642"/>
      <c r="Q197" s="642"/>
      <c r="R197" s="642"/>
      <c r="S197" s="642"/>
      <c r="T197" s="642"/>
      <c r="U197" s="642"/>
      <c r="V197" s="642"/>
      <c r="W197" s="642"/>
    </row>
    <row r="198" spans="14:23" ht="15" customHeight="1">
      <c r="N198" s="10"/>
      <c r="O198" s="10"/>
      <c r="P198" s="642"/>
      <c r="Q198" s="642"/>
      <c r="R198" s="642"/>
      <c r="S198" s="642"/>
      <c r="T198" s="642"/>
      <c r="U198" s="642"/>
      <c r="V198" s="642"/>
      <c r="W198" s="642"/>
    </row>
    <row r="199" spans="14:23" ht="15" customHeight="1">
      <c r="N199" s="10"/>
      <c r="O199" s="10"/>
      <c r="P199" s="642"/>
      <c r="Q199" s="642"/>
      <c r="R199" s="642"/>
      <c r="S199" s="642"/>
      <c r="T199" s="642"/>
      <c r="U199" s="642"/>
      <c r="V199" s="642"/>
      <c r="W199" s="642"/>
    </row>
    <row r="200" spans="14:23" ht="15" customHeight="1">
      <c r="N200" s="10"/>
      <c r="O200" s="10"/>
      <c r="P200" s="642"/>
      <c r="Q200" s="642"/>
      <c r="R200" s="642"/>
      <c r="S200" s="642"/>
      <c r="T200" s="642"/>
      <c r="U200" s="642"/>
      <c r="V200" s="642"/>
      <c r="W200" s="642"/>
    </row>
    <row r="201" spans="14:23" ht="15" customHeight="1">
      <c r="N201" s="10"/>
      <c r="O201" s="10"/>
      <c r="P201" s="642"/>
      <c r="Q201" s="642"/>
      <c r="R201" s="642"/>
      <c r="S201" s="642"/>
      <c r="T201" s="642"/>
      <c r="U201" s="642"/>
      <c r="V201" s="642"/>
      <c r="W201" s="642"/>
    </row>
    <row r="202" spans="14:23" ht="15" customHeight="1">
      <c r="N202" s="10"/>
      <c r="O202" s="10"/>
      <c r="P202" s="642"/>
      <c r="Q202" s="642"/>
      <c r="R202" s="642"/>
      <c r="S202" s="642"/>
      <c r="T202" s="642"/>
      <c r="U202" s="642"/>
      <c r="V202" s="642"/>
      <c r="W202" s="642"/>
    </row>
    <row r="203" spans="14:23" ht="15" customHeight="1">
      <c r="N203" s="10"/>
      <c r="O203" s="10"/>
      <c r="P203" s="642"/>
      <c r="Q203" s="642"/>
      <c r="R203" s="642"/>
      <c r="S203" s="642"/>
      <c r="T203" s="642"/>
      <c r="U203" s="642"/>
      <c r="V203" s="642"/>
      <c r="W203" s="642"/>
    </row>
    <row r="204" spans="14:23" ht="15" customHeight="1">
      <c r="N204" s="10"/>
      <c r="O204" s="10"/>
      <c r="P204" s="642"/>
      <c r="Q204" s="642"/>
      <c r="R204" s="642"/>
      <c r="S204" s="642"/>
      <c r="T204" s="642"/>
      <c r="U204" s="642"/>
      <c r="V204" s="642"/>
      <c r="W204" s="642"/>
    </row>
    <row r="205" spans="14:23" ht="15" customHeight="1">
      <c r="N205" s="10"/>
      <c r="O205" s="10"/>
      <c r="P205" s="642"/>
      <c r="Q205" s="642"/>
      <c r="R205" s="642"/>
      <c r="S205" s="642"/>
      <c r="T205" s="642"/>
      <c r="U205" s="642"/>
      <c r="V205" s="642"/>
      <c r="W205" s="642"/>
    </row>
    <row r="206" spans="14:23" ht="15" customHeight="1">
      <c r="N206" s="10"/>
      <c r="O206" s="10"/>
      <c r="P206" s="642"/>
      <c r="Q206" s="642"/>
      <c r="R206" s="642"/>
      <c r="S206" s="642"/>
      <c r="T206" s="642"/>
      <c r="U206" s="642"/>
      <c r="V206" s="642"/>
      <c r="W206" s="642"/>
    </row>
    <row r="207" spans="14:23" ht="15" customHeight="1">
      <c r="N207" s="10"/>
      <c r="O207" s="10"/>
      <c r="P207" s="642"/>
      <c r="Q207" s="642"/>
      <c r="R207" s="642"/>
      <c r="S207" s="642"/>
      <c r="T207" s="642"/>
      <c r="U207" s="642"/>
      <c r="V207" s="642"/>
      <c r="W207" s="642"/>
    </row>
    <row r="208" spans="14:23" ht="15" customHeight="1">
      <c r="N208" s="10"/>
      <c r="O208" s="10"/>
      <c r="P208" s="642"/>
      <c r="Q208" s="642"/>
      <c r="R208" s="642"/>
      <c r="S208" s="642"/>
      <c r="T208" s="642"/>
      <c r="U208" s="642"/>
      <c r="V208" s="642"/>
      <c r="W208" s="642"/>
    </row>
    <row r="209" spans="1:23" ht="15" customHeight="1">
      <c r="A209" s="10"/>
      <c r="B209" s="10"/>
      <c r="C209" s="10"/>
      <c r="D209" s="10"/>
      <c r="E209" s="10"/>
      <c r="F209" s="10"/>
      <c r="H209" s="10"/>
      <c r="I209" s="10"/>
      <c r="J209" s="10"/>
      <c r="K209" s="10"/>
      <c r="L209" s="10"/>
      <c r="M209" s="10"/>
      <c r="N209" s="10"/>
      <c r="O209" s="10"/>
      <c r="P209" s="642"/>
      <c r="Q209" s="642"/>
      <c r="R209" s="642"/>
      <c r="S209" s="642"/>
      <c r="T209" s="642"/>
      <c r="U209" s="642"/>
      <c r="V209" s="642"/>
      <c r="W209" s="642"/>
    </row>
    <row r="210" spans="1:23" ht="15" customHeight="1">
      <c r="A210" s="10"/>
      <c r="B210" s="10"/>
      <c r="C210" s="10"/>
      <c r="D210" s="10"/>
      <c r="E210" s="10"/>
      <c r="F210" s="10"/>
      <c r="H210" s="10"/>
      <c r="I210" s="10"/>
      <c r="J210" s="10"/>
      <c r="K210" s="10"/>
      <c r="L210" s="10"/>
      <c r="M210" s="10"/>
      <c r="N210" s="10"/>
      <c r="O210" s="10"/>
      <c r="P210" s="642"/>
      <c r="Q210" s="642"/>
      <c r="R210" s="642"/>
      <c r="S210" s="642"/>
      <c r="T210" s="642"/>
      <c r="U210" s="642"/>
      <c r="V210" s="642"/>
      <c r="W210" s="642"/>
    </row>
    <row r="211" spans="1:23" ht="15" customHeight="1">
      <c r="A211" s="10"/>
      <c r="B211" s="10"/>
      <c r="C211" s="10"/>
      <c r="D211" s="10"/>
      <c r="E211" s="10"/>
      <c r="F211" s="10"/>
      <c r="H211" s="10"/>
      <c r="I211" s="10"/>
      <c r="J211" s="10"/>
      <c r="K211" s="10"/>
      <c r="L211" s="10"/>
      <c r="M211" s="10"/>
      <c r="N211" s="10"/>
      <c r="O211" s="10"/>
      <c r="P211" s="642"/>
      <c r="Q211" s="642"/>
      <c r="R211" s="642"/>
      <c r="S211" s="642"/>
      <c r="T211" s="642"/>
      <c r="U211" s="642"/>
      <c r="V211" s="642"/>
      <c r="W211" s="642"/>
    </row>
    <row r="212" spans="1:23" ht="14.15"/>
    <row r="213" spans="1:23" ht="14.15"/>
    <row r="214" spans="1:23" ht="14.15"/>
    <row r="215" spans="1:23" ht="14.15"/>
    <row r="216" spans="1:23" ht="14.15"/>
    <row r="217" spans="1:23" ht="14.15"/>
    <row r="218" spans="1:23" ht="14.15"/>
    <row r="219" spans="1:23" ht="14.15"/>
    <row r="220" spans="1:23" ht="14.15"/>
    <row r="221" spans="1:23" ht="14.15"/>
    <row r="222" spans="1:23" ht="14.15"/>
    <row r="223" spans="1:23" ht="14.15"/>
    <row r="224" spans="1:23" ht="14.15"/>
    <row r="225" ht="14.15"/>
    <row r="226" ht="14.15"/>
    <row r="227" ht="14.15"/>
    <row r="228" ht="14.15"/>
    <row r="229" ht="14.15"/>
    <row r="230" ht="14.15"/>
    <row r="231" ht="14.15"/>
    <row r="232" ht="14.15"/>
    <row r="233" ht="14.15"/>
    <row r="234" ht="14.15"/>
    <row r="235" ht="14.15"/>
    <row r="236" ht="14.15"/>
    <row r="237" ht="14.15"/>
    <row r="238" ht="14.15"/>
    <row r="239" ht="14.15"/>
    <row r="240" ht="14.15"/>
    <row r="241" ht="14.15"/>
    <row r="242" ht="14.15"/>
    <row r="243" ht="14.15"/>
    <row r="244" ht="14.15"/>
    <row r="245" ht="14.15"/>
    <row r="246" ht="14.15"/>
    <row r="247" ht="14.15"/>
    <row r="248" ht="14.15"/>
    <row r="249" ht="14.15"/>
    <row r="250" ht="14.15"/>
    <row r="251" ht="14.15"/>
    <row r="252" ht="14.15"/>
    <row r="253" ht="14.15"/>
    <row r="254" ht="14.15"/>
    <row r="255" ht="14.15"/>
    <row r="256" ht="14.15"/>
    <row r="257" spans="1:23" ht="14.15"/>
    <row r="258" spans="1:23" ht="14.15"/>
    <row r="259" spans="1:23" ht="14.15"/>
    <row r="260" spans="1:23" ht="15" customHeight="1">
      <c r="A260" s="642"/>
      <c r="B260" s="642"/>
      <c r="C260" s="642"/>
      <c r="D260" s="154"/>
      <c r="E260" s="154"/>
      <c r="F260" s="642"/>
      <c r="H260" s="642"/>
      <c r="I260" s="642"/>
      <c r="J260" s="642"/>
      <c r="K260" s="642"/>
      <c r="L260" s="642"/>
      <c r="M260" s="642"/>
      <c r="N260" s="642"/>
      <c r="O260" s="642"/>
      <c r="P260" s="642"/>
      <c r="Q260" s="642"/>
      <c r="R260" s="642"/>
      <c r="S260" s="642"/>
      <c r="T260" s="642"/>
      <c r="U260" s="642"/>
      <c r="V260" s="642"/>
      <c r="W260" s="642"/>
    </row>
    <row r="261" spans="1:23" ht="15" customHeight="1">
      <c r="A261" s="642"/>
      <c r="B261" s="642"/>
      <c r="C261" s="642"/>
      <c r="D261" s="154"/>
      <c r="E261" s="154"/>
      <c r="F261" s="642"/>
      <c r="H261" s="642"/>
      <c r="I261" s="642"/>
      <c r="J261" s="642"/>
      <c r="K261" s="642"/>
      <c r="L261" s="642"/>
      <c r="M261" s="642"/>
      <c r="N261" s="642"/>
      <c r="O261" s="642"/>
      <c r="P261" s="642"/>
      <c r="Q261" s="642"/>
      <c r="R261" s="642"/>
      <c r="S261" s="642"/>
      <c r="T261" s="642"/>
      <c r="U261" s="642"/>
      <c r="V261" s="642"/>
      <c r="W261" s="642"/>
    </row>
    <row r="262" spans="1:23" ht="15" customHeight="1">
      <c r="A262" s="642"/>
      <c r="B262" s="642"/>
      <c r="C262" s="642"/>
      <c r="D262" s="154"/>
      <c r="E262" s="154"/>
      <c r="F262" s="642"/>
      <c r="H262" s="642"/>
      <c r="I262" s="642"/>
      <c r="J262" s="642"/>
      <c r="K262" s="642"/>
      <c r="L262" s="642"/>
      <c r="M262" s="642"/>
      <c r="N262" s="642"/>
      <c r="O262" s="642"/>
      <c r="P262" s="642"/>
      <c r="Q262" s="642"/>
      <c r="R262" s="642"/>
      <c r="S262" s="642"/>
      <c r="T262" s="642"/>
      <c r="U262" s="642"/>
      <c r="V262" s="642"/>
      <c r="W262" s="642"/>
    </row>
    <row r="263" spans="1:23" ht="15" customHeight="1">
      <c r="A263" s="642"/>
      <c r="B263" s="642"/>
      <c r="C263" s="642"/>
      <c r="D263" s="154"/>
      <c r="E263" s="154"/>
      <c r="F263" s="642"/>
      <c r="H263" s="642"/>
      <c r="I263" s="642"/>
      <c r="J263" s="642"/>
      <c r="K263" s="642"/>
      <c r="L263" s="642"/>
      <c r="M263" s="642"/>
      <c r="N263" s="642"/>
      <c r="O263" s="642"/>
      <c r="P263" s="642"/>
      <c r="Q263" s="642"/>
      <c r="R263" s="642"/>
      <c r="S263" s="642"/>
      <c r="T263" s="642"/>
      <c r="U263" s="642"/>
      <c r="V263" s="642"/>
      <c r="W263" s="642"/>
    </row>
    <row r="264" spans="1:23" ht="15" customHeight="1">
      <c r="A264" s="642"/>
      <c r="B264" s="642"/>
      <c r="C264" s="642"/>
      <c r="D264" s="154"/>
      <c r="E264" s="154"/>
      <c r="F264" s="642"/>
      <c r="H264" s="642"/>
      <c r="I264" s="642"/>
      <c r="J264" s="642"/>
      <c r="K264" s="642"/>
      <c r="L264" s="642"/>
      <c r="M264" s="642"/>
      <c r="N264" s="642"/>
      <c r="O264" s="642"/>
      <c r="P264" s="642"/>
      <c r="Q264" s="642"/>
      <c r="R264" s="642"/>
      <c r="S264" s="642"/>
      <c r="T264" s="642"/>
      <c r="U264" s="642"/>
      <c r="V264" s="642"/>
      <c r="W264" s="642"/>
    </row>
    <row r="265" spans="1:23" ht="15" customHeight="1">
      <c r="A265" s="642"/>
      <c r="B265" s="642"/>
      <c r="C265" s="642"/>
      <c r="D265" s="154"/>
      <c r="E265" s="154"/>
      <c r="F265" s="642"/>
      <c r="H265" s="642"/>
      <c r="I265" s="642"/>
      <c r="J265" s="642"/>
      <c r="K265" s="642"/>
      <c r="L265" s="642"/>
      <c r="M265" s="642"/>
      <c r="N265" s="642"/>
      <c r="O265" s="642"/>
      <c r="P265" s="642"/>
      <c r="Q265" s="642"/>
      <c r="R265" s="642"/>
      <c r="S265" s="642"/>
      <c r="T265" s="642"/>
      <c r="U265" s="642"/>
      <c r="V265" s="642"/>
      <c r="W265" s="642"/>
    </row>
    <row r="266" spans="1:23" ht="15" customHeight="1">
      <c r="A266" s="642"/>
      <c r="B266" s="642"/>
      <c r="C266" s="642"/>
      <c r="D266" s="154"/>
      <c r="E266" s="154"/>
      <c r="F266" s="642"/>
      <c r="H266" s="642"/>
      <c r="I266" s="642"/>
      <c r="J266" s="642"/>
      <c r="K266" s="642"/>
      <c r="L266" s="642"/>
      <c r="M266" s="642"/>
      <c r="N266" s="642"/>
      <c r="O266" s="642"/>
      <c r="P266" s="642"/>
      <c r="Q266" s="642"/>
      <c r="R266" s="642"/>
      <c r="S266" s="642"/>
      <c r="T266" s="642"/>
      <c r="U266" s="642"/>
      <c r="V266" s="642"/>
      <c r="W266" s="642"/>
    </row>
    <row r="267" spans="1:23" ht="15" customHeight="1">
      <c r="A267" s="642"/>
      <c r="B267" s="642"/>
      <c r="C267" s="642"/>
      <c r="D267" s="154"/>
      <c r="E267" s="154"/>
      <c r="F267" s="642"/>
      <c r="H267" s="642"/>
      <c r="I267" s="642"/>
      <c r="J267" s="642"/>
      <c r="K267" s="642"/>
      <c r="L267" s="642"/>
      <c r="M267" s="642"/>
      <c r="N267" s="642"/>
      <c r="O267" s="642"/>
      <c r="P267" s="642"/>
      <c r="Q267" s="642"/>
      <c r="R267" s="642"/>
      <c r="S267" s="642"/>
      <c r="T267" s="642"/>
      <c r="U267" s="642"/>
      <c r="V267" s="642"/>
      <c r="W267" s="642"/>
    </row>
    <row r="268" spans="1:23" ht="15" customHeight="1">
      <c r="A268" s="642"/>
      <c r="B268" s="642"/>
      <c r="C268" s="642"/>
      <c r="D268" s="154"/>
      <c r="E268" s="154"/>
      <c r="F268" s="642"/>
      <c r="H268" s="642"/>
      <c r="I268" s="642"/>
      <c r="J268" s="642"/>
      <c r="K268" s="642"/>
      <c r="L268" s="642"/>
      <c r="M268" s="642"/>
      <c r="N268" s="642"/>
      <c r="O268" s="642"/>
      <c r="P268" s="642"/>
      <c r="Q268" s="642"/>
      <c r="R268" s="642"/>
      <c r="S268" s="642"/>
      <c r="T268" s="642"/>
      <c r="U268" s="642"/>
      <c r="V268" s="642"/>
      <c r="W268" s="642"/>
    </row>
    <row r="269" spans="1:23" ht="15" customHeight="1">
      <c r="A269" s="642"/>
      <c r="B269" s="642"/>
      <c r="C269" s="642"/>
      <c r="D269" s="154"/>
      <c r="E269" s="154"/>
      <c r="F269" s="642"/>
      <c r="H269" s="642"/>
      <c r="I269" s="642"/>
      <c r="J269" s="642"/>
      <c r="K269" s="642"/>
      <c r="L269" s="642"/>
      <c r="M269" s="642"/>
      <c r="N269" s="642"/>
      <c r="O269" s="642"/>
      <c r="P269" s="642"/>
      <c r="Q269" s="642"/>
      <c r="R269" s="642"/>
      <c r="S269" s="642"/>
      <c r="T269" s="642"/>
      <c r="U269" s="642"/>
      <c r="V269" s="642"/>
      <c r="W269" s="642"/>
    </row>
    <row r="270" spans="1:23" ht="15" customHeight="1">
      <c r="A270" s="642"/>
      <c r="B270" s="642"/>
      <c r="C270" s="642"/>
      <c r="D270" s="154"/>
      <c r="E270" s="154"/>
      <c r="F270" s="642"/>
      <c r="H270" s="642"/>
      <c r="I270" s="642"/>
      <c r="J270" s="642"/>
      <c r="K270" s="642"/>
      <c r="L270" s="642"/>
      <c r="M270" s="642"/>
      <c r="N270" s="642"/>
      <c r="O270" s="642"/>
      <c r="P270" s="642"/>
      <c r="Q270" s="642"/>
      <c r="R270" s="642"/>
      <c r="S270" s="642"/>
      <c r="T270" s="642"/>
      <c r="U270" s="642"/>
      <c r="V270" s="642"/>
      <c r="W270" s="642"/>
    </row>
    <row r="271" spans="1:23" ht="15" customHeight="1">
      <c r="A271" s="642"/>
      <c r="B271" s="642"/>
      <c r="C271" s="642"/>
      <c r="D271" s="154"/>
      <c r="E271" s="154"/>
      <c r="F271" s="642"/>
      <c r="H271" s="642"/>
      <c r="I271" s="642"/>
      <c r="J271" s="642"/>
      <c r="K271" s="642"/>
      <c r="L271" s="642"/>
      <c r="M271" s="642"/>
      <c r="N271" s="642"/>
      <c r="O271" s="642"/>
      <c r="P271" s="642"/>
      <c r="Q271" s="642"/>
      <c r="R271" s="642"/>
      <c r="S271" s="642"/>
      <c r="T271" s="642"/>
      <c r="U271" s="642"/>
      <c r="V271" s="642"/>
      <c r="W271" s="642"/>
    </row>
    <row r="272" spans="1:23" ht="15" customHeight="1">
      <c r="A272" s="642"/>
      <c r="B272" s="642"/>
      <c r="C272" s="642"/>
      <c r="D272" s="154"/>
      <c r="E272" s="154"/>
      <c r="F272" s="642"/>
      <c r="H272" s="642"/>
      <c r="I272" s="642"/>
      <c r="J272" s="642"/>
      <c r="K272" s="642"/>
      <c r="L272" s="642"/>
      <c r="M272" s="642"/>
      <c r="N272" s="642"/>
      <c r="O272" s="642"/>
      <c r="P272" s="642"/>
      <c r="Q272" s="642"/>
      <c r="R272" s="642"/>
      <c r="S272" s="642"/>
      <c r="T272" s="642"/>
      <c r="U272" s="642"/>
      <c r="V272" s="642"/>
      <c r="W272" s="642"/>
    </row>
    <row r="273" spans="1:23" ht="15" customHeight="1">
      <c r="A273" s="642"/>
      <c r="B273" s="642"/>
      <c r="C273" s="642"/>
      <c r="D273" s="154"/>
      <c r="E273" s="154"/>
      <c r="F273" s="642"/>
      <c r="H273" s="642"/>
      <c r="I273" s="642"/>
      <c r="J273" s="642"/>
      <c r="K273" s="642"/>
      <c r="L273" s="642"/>
      <c r="M273" s="642"/>
      <c r="N273" s="642"/>
      <c r="O273" s="642"/>
      <c r="P273" s="642"/>
      <c r="Q273" s="642"/>
      <c r="R273" s="642"/>
      <c r="S273" s="642"/>
      <c r="T273" s="642"/>
      <c r="U273" s="642"/>
      <c r="V273" s="642"/>
      <c r="W273" s="642"/>
    </row>
    <row r="274" spans="1:23" ht="15" customHeight="1">
      <c r="A274" s="642"/>
      <c r="B274" s="642"/>
      <c r="C274" s="642"/>
      <c r="D274" s="154"/>
      <c r="E274" s="154"/>
      <c r="F274" s="642"/>
      <c r="H274" s="642"/>
      <c r="I274" s="642"/>
      <c r="J274" s="642"/>
      <c r="K274" s="642"/>
      <c r="L274" s="642"/>
      <c r="M274" s="642"/>
      <c r="N274" s="642"/>
      <c r="O274" s="642"/>
      <c r="P274" s="642"/>
      <c r="Q274" s="642"/>
      <c r="R274" s="642"/>
      <c r="S274" s="642"/>
      <c r="T274" s="642"/>
      <c r="U274" s="642"/>
      <c r="V274" s="642"/>
      <c r="W274" s="642"/>
    </row>
    <row r="275" spans="1:23" ht="15" customHeight="1">
      <c r="A275" s="642"/>
      <c r="B275" s="642"/>
      <c r="C275" s="642"/>
      <c r="D275" s="154"/>
      <c r="E275" s="154"/>
      <c r="F275" s="642"/>
      <c r="H275" s="642"/>
      <c r="I275" s="642"/>
      <c r="J275" s="642"/>
      <c r="K275" s="642"/>
      <c r="L275" s="642"/>
      <c r="M275" s="642"/>
      <c r="N275" s="642"/>
      <c r="O275" s="642"/>
      <c r="P275" s="642"/>
      <c r="Q275" s="642"/>
      <c r="R275" s="642"/>
      <c r="S275" s="642"/>
      <c r="T275" s="642"/>
      <c r="U275" s="642"/>
      <c r="V275" s="642"/>
      <c r="W275" s="642"/>
    </row>
    <row r="276" spans="1:23" ht="15" customHeight="1">
      <c r="A276" s="642"/>
      <c r="B276" s="642"/>
      <c r="C276" s="642"/>
      <c r="D276" s="154"/>
      <c r="E276" s="154"/>
      <c r="F276" s="642"/>
      <c r="H276" s="642"/>
      <c r="I276" s="642"/>
      <c r="J276" s="642"/>
      <c r="K276" s="642"/>
      <c r="L276" s="642"/>
      <c r="M276" s="642"/>
      <c r="N276" s="642"/>
      <c r="O276" s="642"/>
      <c r="P276" s="642"/>
      <c r="Q276" s="642"/>
      <c r="R276" s="642"/>
      <c r="S276" s="642"/>
      <c r="T276" s="642"/>
      <c r="U276" s="642"/>
      <c r="V276" s="642"/>
      <c r="W276" s="642"/>
    </row>
    <row r="277" spans="1:23" ht="15" customHeight="1">
      <c r="A277" s="642"/>
      <c r="B277" s="642"/>
      <c r="C277" s="642"/>
      <c r="D277" s="154"/>
      <c r="E277" s="154"/>
      <c r="F277" s="642"/>
      <c r="H277" s="642"/>
      <c r="I277" s="642"/>
      <c r="J277" s="642"/>
      <c r="K277" s="642"/>
      <c r="L277" s="642"/>
      <c r="M277" s="642"/>
      <c r="N277" s="642"/>
      <c r="O277" s="642"/>
      <c r="P277" s="642"/>
      <c r="Q277" s="642"/>
      <c r="R277" s="642"/>
      <c r="S277" s="642"/>
      <c r="T277" s="642"/>
      <c r="U277" s="642"/>
      <c r="V277" s="642"/>
      <c r="W277" s="642"/>
    </row>
    <row r="278" spans="1:23" ht="15" customHeight="1">
      <c r="A278" s="642"/>
      <c r="B278" s="642"/>
      <c r="C278" s="642"/>
      <c r="D278" s="154"/>
      <c r="E278" s="154"/>
      <c r="F278" s="642"/>
      <c r="H278" s="642"/>
      <c r="I278" s="642"/>
      <c r="J278" s="642"/>
      <c r="K278" s="642"/>
      <c r="L278" s="642"/>
      <c r="M278" s="642"/>
      <c r="N278" s="642"/>
      <c r="O278" s="642"/>
      <c r="P278" s="642"/>
      <c r="Q278" s="642"/>
      <c r="R278" s="642"/>
      <c r="S278" s="642"/>
      <c r="T278" s="642"/>
      <c r="U278" s="642"/>
      <c r="V278" s="642"/>
      <c r="W278" s="642"/>
    </row>
    <row r="279" spans="1:23" ht="15" customHeight="1">
      <c r="A279" s="642"/>
      <c r="B279" s="642"/>
      <c r="C279" s="642"/>
      <c r="D279" s="154"/>
      <c r="E279" s="154"/>
      <c r="F279" s="642"/>
      <c r="H279" s="642"/>
      <c r="I279" s="642"/>
      <c r="J279" s="642"/>
      <c r="K279" s="642"/>
      <c r="L279" s="642"/>
      <c r="M279" s="642"/>
      <c r="N279" s="642"/>
      <c r="O279" s="642"/>
      <c r="P279" s="642"/>
      <c r="Q279" s="642"/>
      <c r="R279" s="642"/>
      <c r="S279" s="642"/>
      <c r="T279" s="642"/>
      <c r="U279" s="642"/>
      <c r="V279" s="642"/>
      <c r="W279" s="642"/>
    </row>
    <row r="280" spans="1:23" ht="15" customHeight="1">
      <c r="A280" s="642"/>
      <c r="B280" s="642"/>
      <c r="C280" s="642"/>
      <c r="D280" s="154"/>
      <c r="E280" s="154"/>
      <c r="F280" s="642"/>
      <c r="H280" s="642"/>
      <c r="I280" s="642"/>
      <c r="J280" s="642"/>
      <c r="K280" s="642"/>
      <c r="L280" s="642"/>
      <c r="M280" s="642"/>
      <c r="N280" s="642"/>
      <c r="O280" s="642"/>
      <c r="P280" s="642"/>
      <c r="Q280" s="642"/>
      <c r="R280" s="642"/>
      <c r="S280" s="642"/>
      <c r="T280" s="642"/>
      <c r="U280" s="642"/>
      <c r="V280" s="642"/>
      <c r="W280" s="642"/>
    </row>
    <row r="281" spans="1:23" ht="15" customHeight="1">
      <c r="A281" s="642"/>
      <c r="B281" s="642"/>
      <c r="C281" s="642"/>
      <c r="D281" s="154"/>
      <c r="E281" s="154"/>
      <c r="F281" s="642"/>
      <c r="H281" s="642"/>
      <c r="I281" s="642"/>
      <c r="J281" s="642"/>
      <c r="K281" s="642"/>
      <c r="L281" s="642"/>
      <c r="M281" s="642"/>
      <c r="N281" s="642"/>
      <c r="O281" s="642"/>
      <c r="P281" s="642"/>
      <c r="Q281" s="642"/>
      <c r="R281" s="642"/>
      <c r="S281" s="642"/>
      <c r="T281" s="642"/>
      <c r="U281" s="642"/>
      <c r="V281" s="642"/>
      <c r="W281" s="642"/>
    </row>
    <row r="282" spans="1:23" ht="15" customHeight="1">
      <c r="A282" s="642"/>
      <c r="B282" s="642"/>
      <c r="C282" s="642"/>
      <c r="D282" s="154"/>
      <c r="E282" s="154"/>
      <c r="F282" s="642"/>
      <c r="H282" s="642"/>
      <c r="I282" s="642"/>
      <c r="J282" s="642"/>
      <c r="K282" s="642"/>
      <c r="L282" s="642"/>
      <c r="M282" s="642"/>
      <c r="N282" s="642"/>
      <c r="O282" s="642"/>
      <c r="P282" s="642"/>
      <c r="Q282" s="642"/>
      <c r="R282" s="642"/>
      <c r="S282" s="642"/>
      <c r="T282" s="642"/>
      <c r="U282" s="642"/>
      <c r="V282" s="642"/>
      <c r="W282" s="642"/>
    </row>
    <row r="283" spans="1:23" ht="15" customHeight="1">
      <c r="A283" s="642"/>
      <c r="B283" s="642"/>
      <c r="C283" s="642"/>
      <c r="D283" s="154"/>
      <c r="E283" s="154"/>
      <c r="F283" s="642"/>
      <c r="H283" s="642"/>
      <c r="I283" s="642"/>
      <c r="J283" s="642"/>
      <c r="K283" s="642"/>
      <c r="L283" s="642"/>
      <c r="M283" s="642"/>
      <c r="N283" s="642"/>
      <c r="O283" s="642"/>
      <c r="P283" s="642"/>
      <c r="Q283" s="642"/>
      <c r="R283" s="642"/>
      <c r="S283" s="642"/>
      <c r="T283" s="642"/>
      <c r="U283" s="642"/>
      <c r="V283" s="642"/>
      <c r="W283" s="642"/>
    </row>
    <row r="284" spans="1:23" ht="15" customHeight="1">
      <c r="A284" s="642"/>
      <c r="B284" s="642"/>
      <c r="C284" s="642"/>
      <c r="D284" s="154"/>
      <c r="E284" s="154"/>
      <c r="F284" s="642"/>
      <c r="H284" s="642"/>
      <c r="I284" s="642"/>
      <c r="J284" s="642"/>
      <c r="K284" s="642"/>
      <c r="L284" s="642"/>
      <c r="M284" s="642"/>
      <c r="N284" s="642"/>
      <c r="O284" s="642"/>
      <c r="P284" s="642"/>
      <c r="Q284" s="642"/>
      <c r="R284" s="642"/>
      <c r="S284" s="642"/>
      <c r="T284" s="642"/>
      <c r="U284" s="642"/>
      <c r="V284" s="642"/>
      <c r="W284" s="642"/>
    </row>
    <row r="285" spans="1:23" ht="15" customHeight="1">
      <c r="A285" s="642"/>
      <c r="B285" s="642"/>
      <c r="C285" s="642"/>
      <c r="D285" s="154"/>
      <c r="E285" s="154"/>
      <c r="F285" s="642"/>
      <c r="H285" s="642"/>
      <c r="I285" s="642"/>
      <c r="J285" s="642"/>
      <c r="K285" s="642"/>
      <c r="L285" s="642"/>
      <c r="M285" s="642"/>
      <c r="N285" s="642"/>
      <c r="O285" s="642"/>
      <c r="P285" s="642"/>
      <c r="Q285" s="642"/>
      <c r="R285" s="642"/>
      <c r="S285" s="642"/>
      <c r="T285" s="642"/>
      <c r="U285" s="642"/>
      <c r="V285" s="642"/>
      <c r="W285" s="642"/>
    </row>
    <row r="286" spans="1:23" ht="15" customHeight="1">
      <c r="A286" s="642"/>
      <c r="B286" s="642"/>
      <c r="C286" s="642"/>
      <c r="D286" s="154"/>
      <c r="E286" s="154"/>
      <c r="F286" s="642"/>
      <c r="H286" s="642"/>
      <c r="I286" s="642"/>
      <c r="J286" s="642"/>
      <c r="K286" s="642"/>
      <c r="L286" s="642"/>
      <c r="M286" s="642"/>
      <c r="N286" s="642"/>
      <c r="O286" s="642"/>
      <c r="P286" s="642"/>
      <c r="Q286" s="642"/>
      <c r="R286" s="642"/>
      <c r="S286" s="642"/>
      <c r="T286" s="642"/>
      <c r="U286" s="642"/>
      <c r="V286" s="642"/>
      <c r="W286" s="642"/>
    </row>
    <row r="287" spans="1:23" ht="15" customHeight="1">
      <c r="A287" s="642"/>
      <c r="B287" s="642"/>
      <c r="C287" s="642"/>
      <c r="D287" s="154"/>
      <c r="E287" s="154"/>
      <c r="F287" s="642"/>
      <c r="H287" s="642"/>
      <c r="I287" s="642"/>
      <c r="J287" s="642"/>
      <c r="K287" s="642"/>
      <c r="L287" s="642"/>
      <c r="M287" s="642"/>
      <c r="N287" s="642"/>
      <c r="O287" s="642"/>
      <c r="P287" s="642"/>
      <c r="Q287" s="642"/>
      <c r="R287" s="642"/>
      <c r="S287" s="642"/>
      <c r="T287" s="642"/>
      <c r="U287" s="642"/>
      <c r="V287" s="642"/>
      <c r="W287" s="642"/>
    </row>
    <row r="288" spans="1:23" ht="15" customHeight="1">
      <c r="A288" s="642"/>
      <c r="B288" s="642"/>
      <c r="C288" s="642"/>
      <c r="D288" s="154"/>
      <c r="E288" s="154"/>
      <c r="F288" s="642"/>
      <c r="H288" s="642"/>
      <c r="I288" s="642"/>
      <c r="J288" s="642"/>
      <c r="K288" s="642"/>
      <c r="L288" s="642"/>
      <c r="M288" s="642"/>
      <c r="N288" s="642"/>
      <c r="O288" s="642"/>
      <c r="P288" s="642"/>
      <c r="Q288" s="642"/>
      <c r="R288" s="642"/>
      <c r="S288" s="642"/>
      <c r="T288" s="642"/>
      <c r="U288" s="642"/>
      <c r="V288" s="642"/>
      <c r="W288" s="642"/>
    </row>
    <row r="289" spans="1:23" ht="15" customHeight="1">
      <c r="A289" s="642"/>
      <c r="B289" s="642"/>
      <c r="C289" s="642"/>
      <c r="D289" s="154"/>
      <c r="E289" s="154"/>
      <c r="F289" s="642"/>
      <c r="H289" s="642"/>
      <c r="I289" s="642"/>
      <c r="J289" s="642"/>
      <c r="K289" s="642"/>
      <c r="L289" s="642"/>
      <c r="M289" s="642"/>
      <c r="N289" s="642"/>
      <c r="O289" s="642"/>
      <c r="P289" s="642"/>
      <c r="Q289" s="642"/>
      <c r="R289" s="642"/>
      <c r="S289" s="642"/>
      <c r="T289" s="642"/>
      <c r="U289" s="642"/>
      <c r="V289" s="642"/>
      <c r="W289" s="642"/>
    </row>
    <row r="290" spans="1:23" ht="15" customHeight="1">
      <c r="A290" s="642"/>
      <c r="B290" s="642"/>
      <c r="C290" s="642"/>
      <c r="D290" s="154"/>
      <c r="E290" s="154"/>
      <c r="F290" s="642"/>
      <c r="H290" s="642"/>
      <c r="I290" s="642"/>
      <c r="J290" s="642"/>
      <c r="K290" s="642"/>
      <c r="L290" s="642"/>
      <c r="M290" s="642"/>
      <c r="N290" s="642"/>
      <c r="O290" s="642"/>
      <c r="P290" s="642"/>
      <c r="Q290" s="642"/>
      <c r="R290" s="642"/>
      <c r="S290" s="642"/>
      <c r="T290" s="642"/>
      <c r="U290" s="642"/>
      <c r="V290" s="642"/>
      <c r="W290" s="642"/>
    </row>
    <row r="291" spans="1:23" ht="15" customHeight="1">
      <c r="A291" s="642"/>
      <c r="B291" s="642"/>
      <c r="C291" s="642"/>
      <c r="D291" s="154"/>
      <c r="E291" s="154"/>
      <c r="F291" s="642"/>
      <c r="H291" s="642"/>
      <c r="I291" s="642"/>
      <c r="J291" s="642"/>
      <c r="K291" s="642"/>
      <c r="L291" s="642"/>
      <c r="M291" s="642"/>
      <c r="N291" s="642"/>
      <c r="O291" s="642"/>
      <c r="P291" s="642"/>
      <c r="Q291" s="642"/>
      <c r="R291" s="642"/>
      <c r="S291" s="642"/>
      <c r="T291" s="642"/>
      <c r="U291" s="642"/>
      <c r="V291" s="642"/>
      <c r="W291" s="642"/>
    </row>
    <row r="292" spans="1:23" ht="15" customHeight="1">
      <c r="A292" s="642"/>
      <c r="B292" s="642"/>
      <c r="C292" s="642"/>
      <c r="D292" s="154"/>
      <c r="E292" s="154"/>
      <c r="F292" s="642"/>
      <c r="H292" s="642"/>
      <c r="I292" s="642"/>
      <c r="J292" s="642"/>
      <c r="K292" s="642"/>
      <c r="L292" s="642"/>
      <c r="M292" s="642"/>
      <c r="N292" s="642"/>
      <c r="O292" s="642"/>
      <c r="P292" s="642"/>
      <c r="Q292" s="642"/>
      <c r="R292" s="642"/>
      <c r="S292" s="642"/>
      <c r="T292" s="642"/>
      <c r="U292" s="642"/>
      <c r="V292" s="642"/>
      <c r="W292" s="642"/>
    </row>
    <row r="293" spans="1:23" ht="15" customHeight="1">
      <c r="A293" s="642"/>
      <c r="B293" s="642"/>
      <c r="C293" s="642"/>
      <c r="D293" s="154"/>
      <c r="E293" s="154"/>
      <c r="F293" s="642"/>
      <c r="H293" s="642"/>
      <c r="I293" s="642"/>
      <c r="J293" s="642"/>
      <c r="K293" s="642"/>
      <c r="L293" s="642"/>
      <c r="M293" s="642"/>
      <c r="N293" s="642"/>
      <c r="O293" s="642"/>
      <c r="P293" s="642"/>
      <c r="Q293" s="642"/>
      <c r="R293" s="642"/>
      <c r="S293" s="642"/>
      <c r="T293" s="642"/>
      <c r="U293" s="642"/>
      <c r="V293" s="642"/>
      <c r="W293" s="642"/>
    </row>
    <row r="294" spans="1:23" ht="15" customHeight="1">
      <c r="A294" s="642"/>
      <c r="B294" s="642"/>
      <c r="C294" s="642"/>
      <c r="D294" s="154"/>
      <c r="E294" s="154"/>
      <c r="F294" s="642"/>
      <c r="H294" s="642"/>
      <c r="I294" s="642"/>
      <c r="J294" s="642"/>
      <c r="K294" s="642"/>
      <c r="L294" s="642"/>
      <c r="M294" s="642"/>
      <c r="N294" s="642"/>
      <c r="O294" s="642"/>
      <c r="P294" s="642"/>
      <c r="Q294" s="642"/>
      <c r="R294" s="642"/>
      <c r="S294" s="642"/>
      <c r="T294" s="642"/>
      <c r="U294" s="642"/>
      <c r="V294" s="642"/>
      <c r="W294" s="642"/>
    </row>
    <row r="295" spans="1:23" ht="15" customHeight="1">
      <c r="A295" s="642"/>
      <c r="B295" s="642"/>
      <c r="C295" s="642"/>
      <c r="D295" s="154"/>
      <c r="E295" s="154"/>
      <c r="F295" s="642"/>
      <c r="H295" s="642"/>
      <c r="I295" s="642"/>
      <c r="J295" s="642"/>
      <c r="K295" s="642"/>
      <c r="L295" s="642"/>
      <c r="M295" s="642"/>
      <c r="N295" s="642"/>
      <c r="O295" s="642"/>
      <c r="P295" s="642"/>
      <c r="Q295" s="642"/>
      <c r="R295" s="642"/>
      <c r="S295" s="642"/>
      <c r="T295" s="642"/>
      <c r="U295" s="642"/>
      <c r="V295" s="642"/>
      <c r="W295" s="642"/>
    </row>
    <row r="296" spans="1:23" ht="15" customHeight="1">
      <c r="A296" s="642"/>
      <c r="B296" s="642"/>
      <c r="C296" s="642"/>
      <c r="D296" s="154"/>
      <c r="E296" s="154"/>
      <c r="F296" s="642"/>
      <c r="H296" s="642"/>
      <c r="I296" s="642"/>
      <c r="J296" s="642"/>
      <c r="K296" s="642"/>
      <c r="L296" s="642"/>
      <c r="M296" s="642"/>
      <c r="N296" s="642"/>
      <c r="O296" s="642"/>
      <c r="P296" s="642"/>
      <c r="Q296" s="642"/>
      <c r="R296" s="642"/>
      <c r="S296" s="642"/>
      <c r="T296" s="642"/>
      <c r="U296" s="642"/>
      <c r="V296" s="642"/>
      <c r="W296" s="642"/>
    </row>
    <row r="297" spans="1:23" ht="15" customHeight="1">
      <c r="A297" s="642"/>
      <c r="B297" s="642"/>
      <c r="C297" s="642"/>
      <c r="D297" s="154"/>
      <c r="E297" s="154"/>
      <c r="F297" s="642"/>
      <c r="H297" s="642"/>
      <c r="I297" s="642"/>
      <c r="J297" s="642"/>
      <c r="K297" s="642"/>
      <c r="L297" s="642"/>
      <c r="M297" s="642"/>
      <c r="N297" s="642"/>
      <c r="O297" s="642"/>
      <c r="P297" s="642"/>
      <c r="Q297" s="642"/>
      <c r="R297" s="642"/>
      <c r="S297" s="642"/>
      <c r="T297" s="642"/>
      <c r="U297" s="642"/>
      <c r="V297" s="642"/>
      <c r="W297" s="642"/>
    </row>
    <row r="298" spans="1:23" ht="15" customHeight="1">
      <c r="A298" s="642"/>
      <c r="B298" s="642"/>
      <c r="C298" s="642"/>
      <c r="D298" s="154"/>
      <c r="E298" s="154"/>
      <c r="F298" s="642"/>
      <c r="H298" s="642"/>
      <c r="I298" s="642"/>
      <c r="J298" s="642"/>
      <c r="K298" s="642"/>
      <c r="L298" s="642"/>
      <c r="M298" s="642"/>
      <c r="N298" s="642"/>
      <c r="O298" s="642"/>
      <c r="P298" s="642"/>
      <c r="Q298" s="642"/>
      <c r="R298" s="642"/>
      <c r="S298" s="642"/>
      <c r="T298" s="642"/>
      <c r="U298" s="642"/>
      <c r="V298" s="642"/>
      <c r="W298" s="642"/>
    </row>
    <row r="299" spans="1:23" ht="15" customHeight="1">
      <c r="A299" s="642"/>
      <c r="B299" s="642"/>
      <c r="C299" s="642"/>
      <c r="D299" s="154"/>
      <c r="E299" s="154"/>
      <c r="F299" s="642"/>
      <c r="H299" s="642"/>
      <c r="I299" s="642"/>
      <c r="J299" s="642"/>
      <c r="K299" s="642"/>
      <c r="L299" s="642"/>
      <c r="M299" s="642"/>
      <c r="N299" s="642"/>
      <c r="O299" s="642"/>
      <c r="P299" s="642"/>
      <c r="Q299" s="642"/>
      <c r="R299" s="642"/>
      <c r="S299" s="642"/>
      <c r="T299" s="642"/>
      <c r="U299" s="642"/>
      <c r="V299" s="642"/>
      <c r="W299" s="642"/>
    </row>
    <row r="300" spans="1:23" ht="15" customHeight="1">
      <c r="A300" s="642"/>
      <c r="B300" s="642"/>
      <c r="C300" s="642"/>
      <c r="D300" s="154"/>
      <c r="E300" s="154"/>
      <c r="F300" s="642"/>
      <c r="H300" s="642"/>
      <c r="I300" s="642"/>
      <c r="J300" s="642"/>
      <c r="K300" s="642"/>
      <c r="L300" s="642"/>
      <c r="M300" s="642"/>
      <c r="N300" s="642"/>
      <c r="O300" s="642"/>
      <c r="P300" s="642"/>
      <c r="Q300" s="642"/>
      <c r="R300" s="642"/>
      <c r="S300" s="642"/>
      <c r="T300" s="642"/>
      <c r="U300" s="642"/>
      <c r="V300" s="642"/>
      <c r="W300" s="642"/>
    </row>
    <row r="301" spans="1:23" ht="15" customHeight="1">
      <c r="A301" s="642"/>
      <c r="B301" s="642"/>
      <c r="C301" s="642"/>
      <c r="D301" s="154"/>
      <c r="E301" s="154"/>
      <c r="F301" s="642"/>
      <c r="H301" s="642"/>
      <c r="I301" s="642"/>
      <c r="J301" s="642"/>
      <c r="K301" s="642"/>
      <c r="L301" s="642"/>
      <c r="M301" s="642"/>
      <c r="N301" s="642"/>
      <c r="O301" s="642"/>
      <c r="P301" s="642"/>
      <c r="Q301" s="642"/>
      <c r="R301" s="642"/>
      <c r="S301" s="642"/>
      <c r="T301" s="642"/>
      <c r="U301" s="642"/>
      <c r="V301" s="642"/>
      <c r="W301" s="642"/>
    </row>
    <row r="302" spans="1:23" ht="15" customHeight="1">
      <c r="A302" s="642"/>
      <c r="B302" s="642"/>
      <c r="C302" s="642"/>
      <c r="D302" s="154"/>
      <c r="E302" s="154"/>
      <c r="F302" s="642"/>
      <c r="H302" s="642"/>
      <c r="I302" s="642"/>
      <c r="J302" s="642"/>
      <c r="K302" s="642"/>
      <c r="L302" s="642"/>
      <c r="M302" s="642"/>
      <c r="N302" s="642"/>
      <c r="O302" s="642"/>
      <c r="P302" s="642"/>
      <c r="Q302" s="642"/>
      <c r="R302" s="642"/>
      <c r="S302" s="642"/>
      <c r="T302" s="642"/>
      <c r="U302" s="642"/>
      <c r="V302" s="642"/>
      <c r="W302" s="642"/>
    </row>
    <row r="303" spans="1:23" ht="15" customHeight="1">
      <c r="A303" s="642"/>
      <c r="B303" s="642"/>
      <c r="C303" s="642"/>
      <c r="D303" s="154"/>
      <c r="E303" s="154"/>
      <c r="F303" s="642"/>
      <c r="H303" s="642"/>
      <c r="I303" s="642"/>
      <c r="J303" s="642"/>
      <c r="K303" s="642"/>
      <c r="L303" s="642"/>
      <c r="M303" s="642"/>
      <c r="N303" s="642"/>
      <c r="O303" s="642"/>
      <c r="P303" s="642"/>
      <c r="Q303" s="642"/>
      <c r="R303" s="642"/>
      <c r="S303" s="642"/>
      <c r="T303" s="642"/>
      <c r="U303" s="642"/>
      <c r="V303" s="642"/>
      <c r="W303" s="642"/>
    </row>
    <row r="304" spans="1:23" ht="15" customHeight="1">
      <c r="A304" s="642"/>
      <c r="B304" s="642"/>
      <c r="C304" s="642"/>
      <c r="D304" s="154"/>
      <c r="E304" s="154"/>
      <c r="F304" s="642"/>
      <c r="H304" s="642"/>
      <c r="I304" s="642"/>
      <c r="J304" s="642"/>
      <c r="K304" s="642"/>
      <c r="L304" s="642"/>
      <c r="M304" s="642"/>
      <c r="N304" s="642"/>
      <c r="O304" s="642"/>
      <c r="P304" s="642"/>
      <c r="Q304" s="642"/>
      <c r="R304" s="642"/>
      <c r="S304" s="642"/>
      <c r="T304" s="642"/>
      <c r="U304" s="642"/>
      <c r="V304" s="642"/>
      <c r="W304" s="642"/>
    </row>
    <row r="305" spans="1:23" ht="15" customHeight="1">
      <c r="A305" s="642"/>
      <c r="B305" s="642"/>
      <c r="C305" s="642"/>
      <c r="D305" s="154"/>
      <c r="E305" s="154"/>
      <c r="F305" s="642"/>
      <c r="H305" s="642"/>
      <c r="I305" s="642"/>
      <c r="J305" s="642"/>
      <c r="K305" s="642"/>
      <c r="L305" s="642"/>
      <c r="M305" s="642"/>
      <c r="N305" s="642"/>
      <c r="O305" s="642"/>
      <c r="P305" s="642"/>
      <c r="Q305" s="642"/>
      <c r="R305" s="642"/>
      <c r="S305" s="642"/>
      <c r="T305" s="642"/>
      <c r="U305" s="642"/>
      <c r="V305" s="642"/>
      <c r="W305" s="642"/>
    </row>
    <row r="306" spans="1:23" ht="15" customHeight="1">
      <c r="A306" s="642"/>
      <c r="B306" s="642"/>
      <c r="C306" s="642"/>
      <c r="D306" s="154"/>
      <c r="E306" s="154"/>
      <c r="F306" s="642"/>
      <c r="H306" s="642"/>
      <c r="I306" s="642"/>
      <c r="J306" s="642"/>
      <c r="K306" s="642"/>
      <c r="L306" s="642"/>
      <c r="M306" s="642"/>
      <c r="N306" s="642"/>
      <c r="O306" s="642"/>
      <c r="P306" s="642"/>
      <c r="Q306" s="642"/>
      <c r="R306" s="642"/>
      <c r="S306" s="642"/>
      <c r="T306" s="642"/>
      <c r="U306" s="642"/>
      <c r="V306" s="642"/>
      <c r="W306" s="642"/>
    </row>
    <row r="307" spans="1:23" ht="15" customHeight="1">
      <c r="A307" s="642"/>
      <c r="B307" s="642"/>
      <c r="C307" s="642"/>
      <c r="D307" s="154"/>
      <c r="E307" s="154"/>
      <c r="F307" s="642"/>
      <c r="H307" s="642"/>
      <c r="I307" s="642"/>
      <c r="J307" s="642"/>
      <c r="K307" s="642"/>
      <c r="L307" s="642"/>
      <c r="M307" s="642"/>
      <c r="N307" s="642"/>
      <c r="O307" s="642"/>
      <c r="P307" s="642"/>
      <c r="Q307" s="642"/>
      <c r="R307" s="642"/>
      <c r="S307" s="642"/>
      <c r="T307" s="642"/>
      <c r="U307" s="642"/>
      <c r="V307" s="642"/>
      <c r="W307" s="642"/>
    </row>
    <row r="308" spans="1:23" ht="15" customHeight="1">
      <c r="A308" s="642"/>
      <c r="B308" s="642"/>
      <c r="C308" s="642"/>
      <c r="D308" s="154"/>
      <c r="E308" s="154"/>
      <c r="F308" s="642"/>
      <c r="H308" s="642"/>
      <c r="I308" s="642"/>
      <c r="J308" s="642"/>
      <c r="K308" s="642"/>
      <c r="L308" s="642"/>
      <c r="M308" s="642"/>
      <c r="N308" s="642"/>
      <c r="O308" s="642"/>
      <c r="P308" s="642"/>
      <c r="Q308" s="642"/>
      <c r="R308" s="642"/>
      <c r="S308" s="642"/>
      <c r="T308" s="642"/>
      <c r="U308" s="642"/>
      <c r="V308" s="642"/>
      <c r="W308" s="642"/>
    </row>
    <row r="309" spans="1:23" ht="15" customHeight="1">
      <c r="A309" s="642"/>
      <c r="B309" s="642"/>
      <c r="C309" s="642"/>
      <c r="D309" s="154"/>
      <c r="E309" s="154"/>
      <c r="F309" s="642"/>
      <c r="H309" s="642"/>
      <c r="I309" s="642"/>
      <c r="J309" s="642"/>
      <c r="K309" s="642"/>
      <c r="L309" s="642"/>
      <c r="M309" s="642"/>
      <c r="N309" s="642"/>
      <c r="O309" s="642"/>
      <c r="P309" s="642"/>
      <c r="Q309" s="642"/>
      <c r="R309" s="642"/>
      <c r="S309" s="642"/>
      <c r="T309" s="642"/>
      <c r="U309" s="642"/>
      <c r="V309" s="642"/>
      <c r="W309" s="642"/>
    </row>
    <row r="310" spans="1:23" ht="15" customHeight="1">
      <c r="A310" s="642"/>
      <c r="B310" s="642"/>
      <c r="C310" s="642"/>
      <c r="D310" s="154"/>
      <c r="E310" s="154"/>
      <c r="F310" s="642"/>
      <c r="H310" s="642"/>
      <c r="I310" s="642"/>
      <c r="J310" s="642"/>
      <c r="K310" s="642"/>
      <c r="L310" s="642"/>
      <c r="M310" s="642"/>
      <c r="N310" s="642"/>
      <c r="O310" s="642"/>
      <c r="P310" s="642"/>
      <c r="Q310" s="642"/>
      <c r="R310" s="642"/>
      <c r="S310" s="642"/>
      <c r="T310" s="642"/>
      <c r="U310" s="642"/>
      <c r="V310" s="642"/>
      <c r="W310" s="642"/>
    </row>
    <row r="311" spans="1:23" ht="15" customHeight="1">
      <c r="A311" s="642"/>
      <c r="B311" s="642"/>
      <c r="C311" s="642"/>
      <c r="D311" s="154"/>
      <c r="E311" s="154"/>
      <c r="F311" s="642"/>
      <c r="H311" s="642"/>
      <c r="I311" s="642"/>
      <c r="J311" s="642"/>
      <c r="K311" s="642"/>
      <c r="L311" s="642"/>
      <c r="M311" s="642"/>
      <c r="N311" s="642"/>
      <c r="O311" s="642"/>
      <c r="P311" s="642"/>
      <c r="Q311" s="642"/>
      <c r="R311" s="642"/>
      <c r="S311" s="642"/>
      <c r="T311" s="642"/>
      <c r="U311" s="642"/>
      <c r="V311" s="642"/>
      <c r="W311" s="642"/>
    </row>
    <row r="312" spans="1:23" ht="15" customHeight="1">
      <c r="A312" s="642"/>
      <c r="B312" s="642"/>
      <c r="C312" s="642"/>
      <c r="D312" s="154"/>
      <c r="E312" s="154"/>
      <c r="F312" s="642"/>
      <c r="H312" s="642"/>
      <c r="I312" s="642"/>
      <c r="J312" s="642"/>
      <c r="K312" s="642"/>
      <c r="L312" s="642"/>
      <c r="M312" s="642"/>
      <c r="N312" s="642"/>
      <c r="O312" s="642"/>
      <c r="P312" s="642"/>
      <c r="Q312" s="642"/>
      <c r="R312" s="642"/>
      <c r="S312" s="642"/>
      <c r="T312" s="642"/>
      <c r="U312" s="642"/>
      <c r="V312" s="642"/>
      <c r="W312" s="642"/>
    </row>
    <row r="313" spans="1:23" ht="15" customHeight="1">
      <c r="A313" s="642"/>
      <c r="B313" s="642"/>
      <c r="C313" s="642"/>
      <c r="D313" s="154"/>
      <c r="E313" s="154"/>
      <c r="F313" s="642"/>
      <c r="H313" s="642"/>
      <c r="I313" s="642"/>
      <c r="J313" s="642"/>
      <c r="K313" s="642"/>
      <c r="L313" s="642"/>
      <c r="M313" s="642"/>
      <c r="N313" s="642"/>
      <c r="O313" s="642"/>
      <c r="P313" s="642"/>
      <c r="Q313" s="642"/>
      <c r="R313" s="642"/>
      <c r="S313" s="642"/>
      <c r="T313" s="642"/>
      <c r="U313" s="642"/>
      <c r="V313" s="642"/>
      <c r="W313" s="642"/>
    </row>
    <row r="314" spans="1:23" ht="15" customHeight="1">
      <c r="A314" s="642"/>
      <c r="B314" s="642"/>
      <c r="C314" s="642"/>
      <c r="D314" s="154"/>
      <c r="E314" s="154"/>
      <c r="F314" s="642"/>
      <c r="H314" s="642"/>
      <c r="I314" s="642"/>
      <c r="J314" s="642"/>
      <c r="K314" s="642"/>
      <c r="L314" s="642"/>
      <c r="M314" s="642"/>
      <c r="N314" s="642"/>
      <c r="O314" s="642"/>
      <c r="P314" s="642"/>
      <c r="Q314" s="642"/>
      <c r="R314" s="642"/>
      <c r="S314" s="642"/>
      <c r="T314" s="642"/>
      <c r="U314" s="642"/>
      <c r="V314" s="642"/>
      <c r="W314" s="642"/>
    </row>
    <row r="315" spans="1:23" ht="15" customHeight="1">
      <c r="A315" s="642"/>
      <c r="B315" s="642"/>
      <c r="C315" s="642"/>
      <c r="D315" s="154"/>
      <c r="E315" s="154"/>
      <c r="F315" s="642"/>
      <c r="H315" s="642"/>
      <c r="I315" s="642"/>
      <c r="J315" s="642"/>
      <c r="K315" s="642"/>
      <c r="L315" s="642"/>
      <c r="M315" s="642"/>
      <c r="N315" s="642"/>
      <c r="O315" s="642"/>
      <c r="P315" s="642"/>
      <c r="Q315" s="642"/>
      <c r="R315" s="642"/>
      <c r="S315" s="642"/>
      <c r="T315" s="642"/>
      <c r="U315" s="642"/>
      <c r="V315" s="642"/>
      <c r="W315" s="642"/>
    </row>
    <row r="316" spans="1:23" ht="15" customHeight="1">
      <c r="A316" s="642"/>
      <c r="B316" s="642"/>
      <c r="C316" s="642"/>
      <c r="D316" s="154"/>
      <c r="E316" s="154"/>
      <c r="F316" s="642"/>
      <c r="H316" s="642"/>
      <c r="I316" s="642"/>
      <c r="J316" s="642"/>
      <c r="K316" s="642"/>
      <c r="L316" s="642"/>
      <c r="M316" s="642"/>
      <c r="N316" s="642"/>
      <c r="O316" s="642"/>
      <c r="P316" s="642"/>
      <c r="Q316" s="642"/>
      <c r="R316" s="642"/>
      <c r="S316" s="642"/>
      <c r="T316" s="642"/>
      <c r="U316" s="642"/>
      <c r="V316" s="642"/>
      <c r="W316" s="642"/>
    </row>
    <row r="317" spans="1:23" ht="15" customHeight="1">
      <c r="A317" s="642"/>
      <c r="B317" s="642"/>
      <c r="C317" s="642"/>
      <c r="D317" s="154"/>
      <c r="E317" s="154"/>
      <c r="F317" s="642"/>
      <c r="H317" s="642"/>
      <c r="I317" s="642"/>
      <c r="J317" s="642"/>
      <c r="K317" s="642"/>
      <c r="L317" s="642"/>
      <c r="M317" s="642"/>
      <c r="N317" s="642"/>
      <c r="O317" s="642"/>
      <c r="P317" s="642"/>
      <c r="Q317" s="642"/>
      <c r="R317" s="642"/>
      <c r="S317" s="642"/>
      <c r="T317" s="642"/>
      <c r="U317" s="642"/>
      <c r="V317" s="642"/>
      <c r="W317" s="642"/>
    </row>
    <row r="318" spans="1:23" ht="15" customHeight="1">
      <c r="A318" s="642"/>
      <c r="B318" s="642"/>
      <c r="C318" s="642"/>
      <c r="D318" s="154"/>
      <c r="E318" s="154"/>
      <c r="F318" s="642"/>
      <c r="H318" s="642"/>
      <c r="I318" s="642"/>
      <c r="J318" s="642"/>
      <c r="K318" s="642"/>
      <c r="L318" s="642"/>
      <c r="M318" s="642"/>
      <c r="N318" s="642"/>
      <c r="O318" s="642"/>
      <c r="P318" s="642"/>
      <c r="Q318" s="642"/>
      <c r="R318" s="642"/>
      <c r="S318" s="642"/>
      <c r="T318" s="642"/>
      <c r="U318" s="642"/>
      <c r="V318" s="642"/>
      <c r="W318" s="642"/>
    </row>
    <row r="319" spans="1:23" ht="15" customHeight="1">
      <c r="A319" s="642"/>
      <c r="B319" s="642"/>
      <c r="C319" s="642"/>
      <c r="D319" s="154"/>
      <c r="E319" s="154"/>
      <c r="F319" s="642"/>
      <c r="H319" s="642"/>
      <c r="I319" s="642"/>
      <c r="J319" s="642"/>
      <c r="K319" s="642"/>
      <c r="L319" s="642"/>
      <c r="M319" s="642"/>
      <c r="N319" s="642"/>
      <c r="O319" s="642"/>
      <c r="P319" s="642"/>
      <c r="Q319" s="642"/>
      <c r="R319" s="642"/>
      <c r="S319" s="642"/>
      <c r="T319" s="642"/>
      <c r="U319" s="642"/>
      <c r="V319" s="642"/>
      <c r="W319" s="642"/>
    </row>
    <row r="320" spans="1:23" ht="15" customHeight="1">
      <c r="A320" s="642"/>
      <c r="B320" s="642"/>
      <c r="C320" s="642"/>
      <c r="D320" s="154"/>
      <c r="E320" s="154"/>
      <c r="F320" s="642"/>
      <c r="H320" s="642"/>
      <c r="I320" s="642"/>
      <c r="J320" s="642"/>
      <c r="K320" s="642"/>
      <c r="L320" s="642"/>
      <c r="M320" s="642"/>
      <c r="N320" s="642"/>
      <c r="O320" s="642"/>
      <c r="P320" s="642"/>
      <c r="Q320" s="642"/>
      <c r="R320" s="642"/>
      <c r="S320" s="642"/>
      <c r="T320" s="642"/>
      <c r="U320" s="642"/>
      <c r="V320" s="642"/>
      <c r="W320" s="642"/>
    </row>
    <row r="321" spans="1:23" ht="15" customHeight="1">
      <c r="A321" s="642"/>
      <c r="B321" s="642"/>
      <c r="C321" s="642"/>
      <c r="D321" s="154"/>
      <c r="E321" s="154"/>
      <c r="F321" s="642"/>
      <c r="H321" s="642"/>
      <c r="I321" s="642"/>
      <c r="J321" s="642"/>
      <c r="K321" s="642"/>
      <c r="L321" s="642"/>
      <c r="M321" s="642"/>
      <c r="N321" s="642"/>
      <c r="O321" s="642"/>
      <c r="P321" s="642"/>
      <c r="Q321" s="642"/>
      <c r="R321" s="642"/>
      <c r="S321" s="642"/>
      <c r="T321" s="642"/>
      <c r="U321" s="642"/>
      <c r="V321" s="642"/>
      <c r="W321" s="642"/>
    </row>
    <row r="322" spans="1:23" ht="15" customHeight="1">
      <c r="A322" s="642"/>
      <c r="B322" s="642"/>
      <c r="C322" s="642"/>
      <c r="D322" s="154"/>
      <c r="E322" s="154"/>
      <c r="F322" s="642"/>
      <c r="H322" s="642"/>
      <c r="I322" s="642"/>
      <c r="J322" s="642"/>
      <c r="K322" s="642"/>
      <c r="L322" s="642"/>
      <c r="M322" s="642"/>
      <c r="N322" s="642"/>
      <c r="O322" s="642"/>
      <c r="P322" s="642"/>
      <c r="Q322" s="642"/>
      <c r="R322" s="642"/>
      <c r="S322" s="642"/>
      <c r="T322" s="642"/>
      <c r="U322" s="642"/>
      <c r="V322" s="642"/>
      <c r="W322" s="642"/>
    </row>
    <row r="323" spans="1:23" ht="15" customHeight="1">
      <c r="A323" s="642"/>
      <c r="B323" s="642"/>
      <c r="C323" s="642"/>
      <c r="D323" s="154"/>
      <c r="E323" s="154"/>
      <c r="F323" s="642"/>
      <c r="H323" s="642"/>
      <c r="I323" s="642"/>
      <c r="J323" s="642"/>
      <c r="K323" s="642"/>
      <c r="L323" s="642"/>
      <c r="M323" s="642"/>
      <c r="N323" s="642"/>
      <c r="O323" s="642"/>
      <c r="P323" s="642"/>
      <c r="Q323" s="642"/>
      <c r="R323" s="642"/>
      <c r="S323" s="642"/>
      <c r="T323" s="642"/>
      <c r="U323" s="642"/>
      <c r="V323" s="642"/>
      <c r="W323" s="642"/>
    </row>
    <row r="324" spans="1:23" ht="15" customHeight="1">
      <c r="A324" s="642"/>
      <c r="B324" s="642"/>
      <c r="C324" s="642"/>
      <c r="D324" s="154"/>
      <c r="E324" s="154"/>
      <c r="F324" s="642"/>
      <c r="H324" s="642"/>
      <c r="I324" s="642"/>
      <c r="J324" s="642"/>
      <c r="K324" s="642"/>
      <c r="L324" s="642"/>
      <c r="M324" s="642"/>
      <c r="N324" s="642"/>
      <c r="O324" s="642"/>
      <c r="P324" s="642"/>
      <c r="Q324" s="642"/>
      <c r="R324" s="642"/>
      <c r="S324" s="642"/>
      <c r="T324" s="642"/>
      <c r="U324" s="642"/>
      <c r="V324" s="642"/>
      <c r="W324" s="642"/>
    </row>
    <row r="325" spans="1:23" ht="15" customHeight="1">
      <c r="A325" s="642"/>
      <c r="B325" s="642"/>
      <c r="C325" s="642"/>
      <c r="D325" s="154"/>
      <c r="E325" s="154"/>
      <c r="F325" s="642"/>
      <c r="H325" s="642"/>
      <c r="I325" s="642"/>
      <c r="J325" s="642"/>
      <c r="K325" s="642"/>
      <c r="L325" s="642"/>
      <c r="M325" s="642"/>
      <c r="N325" s="642"/>
      <c r="O325" s="642"/>
      <c r="P325" s="642"/>
      <c r="Q325" s="642"/>
      <c r="R325" s="642"/>
      <c r="S325" s="642"/>
      <c r="T325" s="642"/>
      <c r="U325" s="642"/>
      <c r="V325" s="642"/>
      <c r="W325" s="642"/>
    </row>
    <row r="326" spans="1:23" ht="15" customHeight="1">
      <c r="A326" s="642"/>
      <c r="B326" s="642"/>
      <c r="C326" s="642"/>
      <c r="D326" s="154"/>
      <c r="E326" s="154"/>
      <c r="F326" s="642"/>
      <c r="H326" s="642"/>
      <c r="I326" s="642"/>
      <c r="J326" s="642"/>
      <c r="K326" s="642"/>
      <c r="L326" s="642"/>
      <c r="M326" s="642"/>
      <c r="N326" s="642"/>
      <c r="O326" s="642"/>
      <c r="P326" s="642"/>
      <c r="Q326" s="642"/>
      <c r="R326" s="642"/>
      <c r="S326" s="642"/>
      <c r="T326" s="642"/>
      <c r="U326" s="642"/>
      <c r="V326" s="642"/>
      <c r="W326" s="642"/>
    </row>
    <row r="327" spans="1:23" ht="15" customHeight="1">
      <c r="A327" s="642"/>
      <c r="B327" s="642"/>
      <c r="C327" s="642"/>
      <c r="D327" s="154"/>
      <c r="E327" s="154"/>
      <c r="F327" s="642"/>
      <c r="H327" s="642"/>
      <c r="I327" s="642"/>
      <c r="J327" s="642"/>
      <c r="K327" s="642"/>
      <c r="L327" s="642"/>
      <c r="M327" s="642"/>
      <c r="N327" s="642"/>
      <c r="O327" s="642"/>
      <c r="P327" s="642"/>
      <c r="Q327" s="642"/>
      <c r="R327" s="642"/>
      <c r="S327" s="642"/>
      <c r="T327" s="642"/>
      <c r="U327" s="642"/>
      <c r="V327" s="642"/>
      <c r="W327" s="642"/>
    </row>
    <row r="328" spans="1:23" ht="15" customHeight="1">
      <c r="A328" s="642"/>
      <c r="B328" s="642"/>
      <c r="C328" s="642"/>
      <c r="D328" s="154"/>
      <c r="E328" s="154"/>
      <c r="F328" s="642"/>
      <c r="H328" s="642"/>
      <c r="I328" s="642"/>
      <c r="J328" s="642"/>
      <c r="K328" s="642"/>
      <c r="L328" s="642"/>
      <c r="M328" s="642"/>
      <c r="N328" s="642"/>
      <c r="O328" s="642"/>
      <c r="P328" s="642"/>
      <c r="Q328" s="642"/>
      <c r="R328" s="642"/>
      <c r="S328" s="642"/>
      <c r="T328" s="642"/>
      <c r="U328" s="642"/>
      <c r="V328" s="642"/>
      <c r="W328" s="642"/>
    </row>
    <row r="329" spans="1:23" ht="15" customHeight="1">
      <c r="A329" s="642"/>
      <c r="B329" s="642"/>
      <c r="C329" s="642"/>
      <c r="D329" s="154"/>
      <c r="E329" s="154"/>
      <c r="F329" s="642"/>
      <c r="H329" s="642"/>
      <c r="I329" s="642"/>
      <c r="J329" s="642"/>
      <c r="K329" s="642"/>
      <c r="L329" s="642"/>
      <c r="M329" s="642"/>
      <c r="N329" s="642"/>
      <c r="O329" s="642"/>
      <c r="P329" s="642"/>
      <c r="Q329" s="642"/>
      <c r="R329" s="642"/>
      <c r="S329" s="642"/>
      <c r="T329" s="642"/>
      <c r="U329" s="642"/>
      <c r="V329" s="642"/>
      <c r="W329" s="642"/>
    </row>
    <row r="330" spans="1:23" ht="15" customHeight="1">
      <c r="A330" s="642"/>
      <c r="B330" s="642"/>
      <c r="C330" s="642"/>
      <c r="D330" s="154"/>
      <c r="E330" s="154"/>
      <c r="F330" s="642"/>
      <c r="H330" s="642"/>
      <c r="I330" s="642"/>
      <c r="J330" s="642"/>
      <c r="K330" s="642"/>
      <c r="L330" s="642"/>
      <c r="M330" s="642"/>
      <c r="N330" s="642"/>
      <c r="O330" s="642"/>
      <c r="P330" s="642"/>
      <c r="Q330" s="642"/>
      <c r="R330" s="642"/>
      <c r="S330" s="642"/>
      <c r="T330" s="642"/>
      <c r="U330" s="642"/>
      <c r="V330" s="642"/>
      <c r="W330" s="642"/>
    </row>
    <row r="331" spans="1:23" ht="15" customHeight="1">
      <c r="A331" s="642"/>
      <c r="B331" s="642"/>
      <c r="C331" s="642"/>
      <c r="D331" s="154"/>
      <c r="E331" s="154"/>
      <c r="F331" s="642"/>
      <c r="H331" s="642"/>
      <c r="I331" s="642"/>
      <c r="J331" s="642"/>
      <c r="K331" s="642"/>
      <c r="L331" s="642"/>
      <c r="M331" s="642"/>
      <c r="N331" s="642"/>
      <c r="O331" s="642"/>
      <c r="P331" s="642"/>
      <c r="Q331" s="642"/>
      <c r="R331" s="642"/>
      <c r="S331" s="642"/>
      <c r="T331" s="642"/>
      <c r="U331" s="642"/>
      <c r="V331" s="642"/>
      <c r="W331" s="642"/>
    </row>
    <row r="332" spans="1:23" ht="15" customHeight="1">
      <c r="A332" s="642"/>
      <c r="B332" s="642"/>
      <c r="C332" s="642"/>
      <c r="D332" s="154"/>
      <c r="E332" s="154"/>
      <c r="F332" s="642"/>
      <c r="H332" s="642"/>
      <c r="I332" s="642"/>
      <c r="J332" s="642"/>
      <c r="K332" s="642"/>
      <c r="L332" s="642"/>
      <c r="M332" s="642"/>
      <c r="N332" s="642"/>
      <c r="O332" s="642"/>
      <c r="P332" s="642"/>
      <c r="Q332" s="642"/>
      <c r="R332" s="642"/>
      <c r="S332" s="642"/>
      <c r="T332" s="642"/>
      <c r="U332" s="642"/>
      <c r="V332" s="642"/>
      <c r="W332" s="642"/>
    </row>
    <row r="333" spans="1:23" ht="15" customHeight="1">
      <c r="A333" s="642"/>
      <c r="B333" s="642"/>
      <c r="C333" s="642"/>
      <c r="D333" s="154"/>
      <c r="E333" s="154"/>
      <c r="F333" s="642"/>
      <c r="H333" s="642"/>
      <c r="I333" s="642"/>
      <c r="J333" s="642"/>
      <c r="K333" s="642"/>
      <c r="L333" s="642"/>
      <c r="M333" s="642"/>
      <c r="N333" s="642"/>
      <c r="O333" s="642"/>
      <c r="P333" s="642"/>
      <c r="Q333" s="642"/>
      <c r="R333" s="642"/>
      <c r="S333" s="642"/>
      <c r="T333" s="642"/>
      <c r="U333" s="642"/>
      <c r="V333" s="642"/>
      <c r="W333" s="642"/>
    </row>
    <row r="334" spans="1:23" ht="15" customHeight="1">
      <c r="A334" s="642"/>
      <c r="B334" s="642"/>
      <c r="C334" s="642"/>
      <c r="D334" s="154"/>
      <c r="E334" s="154"/>
      <c r="F334" s="642"/>
      <c r="H334" s="642"/>
      <c r="I334" s="642"/>
      <c r="J334" s="642"/>
      <c r="K334" s="642"/>
      <c r="L334" s="642"/>
      <c r="M334" s="642"/>
      <c r="N334" s="642"/>
      <c r="O334" s="642"/>
      <c r="P334" s="642"/>
      <c r="Q334" s="642"/>
      <c r="R334" s="642"/>
      <c r="S334" s="642"/>
      <c r="T334" s="642"/>
      <c r="U334" s="642"/>
      <c r="V334" s="642"/>
      <c r="W334" s="642"/>
    </row>
    <row r="335" spans="1:23" ht="15" customHeight="1">
      <c r="A335" s="642"/>
      <c r="B335" s="642"/>
      <c r="C335" s="642"/>
      <c r="D335" s="154"/>
      <c r="E335" s="154"/>
      <c r="F335" s="642"/>
      <c r="H335" s="642"/>
      <c r="I335" s="642"/>
      <c r="J335" s="642"/>
      <c r="K335" s="642"/>
      <c r="L335" s="642"/>
      <c r="M335" s="642"/>
      <c r="N335" s="642"/>
      <c r="O335" s="642"/>
      <c r="P335" s="642"/>
      <c r="Q335" s="642"/>
      <c r="R335" s="642"/>
      <c r="S335" s="642"/>
      <c r="T335" s="642"/>
      <c r="U335" s="642"/>
      <c r="V335" s="642"/>
      <c r="W335" s="642"/>
    </row>
    <row r="336" spans="1:23" ht="15" customHeight="1">
      <c r="A336" s="642"/>
      <c r="B336" s="642"/>
      <c r="C336" s="642"/>
      <c r="D336" s="154"/>
      <c r="E336" s="154"/>
      <c r="F336" s="642"/>
      <c r="H336" s="642"/>
      <c r="I336" s="642"/>
      <c r="J336" s="642"/>
      <c r="K336" s="642"/>
      <c r="L336" s="642"/>
      <c r="M336" s="642"/>
      <c r="N336" s="642"/>
      <c r="O336" s="642"/>
      <c r="P336" s="642"/>
      <c r="Q336" s="642"/>
      <c r="R336" s="642"/>
      <c r="S336" s="642"/>
      <c r="T336" s="642"/>
      <c r="U336" s="642"/>
      <c r="V336" s="642"/>
      <c r="W336" s="642"/>
    </row>
    <row r="337" spans="1:23" ht="15" customHeight="1">
      <c r="A337" s="642"/>
      <c r="B337" s="642"/>
      <c r="C337" s="642"/>
      <c r="D337" s="154"/>
      <c r="E337" s="154"/>
      <c r="F337" s="642"/>
      <c r="H337" s="642"/>
      <c r="I337" s="642"/>
      <c r="J337" s="642"/>
      <c r="K337" s="642"/>
      <c r="L337" s="642"/>
      <c r="M337" s="642"/>
      <c r="N337" s="642"/>
      <c r="O337" s="642"/>
      <c r="P337" s="642"/>
      <c r="Q337" s="642"/>
      <c r="R337" s="642"/>
      <c r="S337" s="642"/>
      <c r="T337" s="642"/>
      <c r="U337" s="642"/>
      <c r="V337" s="642"/>
      <c r="W337" s="642"/>
    </row>
    <row r="338" spans="1:23" ht="15" customHeight="1">
      <c r="A338" s="642"/>
      <c r="B338" s="642"/>
      <c r="C338" s="642"/>
      <c r="D338" s="154"/>
      <c r="E338" s="154"/>
      <c r="F338" s="642"/>
      <c r="H338" s="642"/>
      <c r="I338" s="642"/>
      <c r="J338" s="642"/>
      <c r="K338" s="642"/>
      <c r="L338" s="642"/>
      <c r="M338" s="642"/>
      <c r="N338" s="642"/>
      <c r="O338" s="642"/>
      <c r="P338" s="642"/>
      <c r="Q338" s="642"/>
      <c r="R338" s="642"/>
      <c r="S338" s="642"/>
      <c r="T338" s="642"/>
      <c r="U338" s="642"/>
      <c r="V338" s="642"/>
      <c r="W338" s="642"/>
    </row>
    <row r="339" spans="1:23" ht="15" customHeight="1">
      <c r="A339" s="642"/>
      <c r="B339" s="642"/>
      <c r="C339" s="642"/>
      <c r="D339" s="154"/>
      <c r="E339" s="154"/>
      <c r="F339" s="642"/>
      <c r="H339" s="642"/>
      <c r="I339" s="642"/>
      <c r="J339" s="642"/>
      <c r="K339" s="642"/>
      <c r="L339" s="642"/>
      <c r="M339" s="642"/>
      <c r="N339" s="642"/>
      <c r="O339" s="642"/>
      <c r="P339" s="642"/>
      <c r="Q339" s="642"/>
      <c r="R339" s="642"/>
      <c r="S339" s="642"/>
      <c r="T339" s="642"/>
      <c r="U339" s="642"/>
      <c r="V339" s="642"/>
      <c r="W339" s="642"/>
    </row>
    <row r="340" spans="1:23" ht="15" customHeight="1">
      <c r="A340" s="642"/>
      <c r="B340" s="642"/>
      <c r="C340" s="642"/>
      <c r="D340" s="154"/>
      <c r="E340" s="154"/>
      <c r="F340" s="642"/>
      <c r="H340" s="642"/>
      <c r="I340" s="642"/>
      <c r="J340" s="642"/>
      <c r="K340" s="642"/>
      <c r="L340" s="642"/>
      <c r="M340" s="642"/>
      <c r="N340" s="642"/>
      <c r="O340" s="642"/>
      <c r="P340" s="642"/>
      <c r="Q340" s="642"/>
      <c r="R340" s="642"/>
      <c r="S340" s="642"/>
      <c r="T340" s="642"/>
      <c r="U340" s="642"/>
      <c r="V340" s="642"/>
      <c r="W340" s="642"/>
    </row>
    <row r="341" spans="1:23" ht="15" customHeight="1">
      <c r="A341" s="642"/>
      <c r="B341" s="642"/>
      <c r="C341" s="642"/>
      <c r="D341" s="154"/>
      <c r="E341" s="154"/>
      <c r="F341" s="642"/>
      <c r="H341" s="642"/>
      <c r="I341" s="642"/>
      <c r="J341" s="642"/>
      <c r="K341" s="642"/>
      <c r="L341" s="642"/>
      <c r="M341" s="642"/>
      <c r="N341" s="642"/>
      <c r="O341" s="642"/>
      <c r="P341" s="642"/>
      <c r="Q341" s="642"/>
      <c r="R341" s="642"/>
      <c r="S341" s="642"/>
      <c r="T341" s="642"/>
      <c r="U341" s="642"/>
      <c r="V341" s="642"/>
      <c r="W341" s="642"/>
    </row>
    <row r="342" spans="1:23" ht="15" customHeight="1">
      <c r="A342" s="642"/>
      <c r="B342" s="642"/>
      <c r="C342" s="642"/>
      <c r="D342" s="154"/>
      <c r="E342" s="154"/>
      <c r="F342" s="642"/>
      <c r="H342" s="642"/>
      <c r="I342" s="642"/>
      <c r="J342" s="642"/>
      <c r="K342" s="642"/>
      <c r="L342" s="642"/>
      <c r="M342" s="642"/>
      <c r="N342" s="642"/>
      <c r="O342" s="642"/>
      <c r="P342" s="642"/>
      <c r="Q342" s="642"/>
      <c r="R342" s="642"/>
      <c r="S342" s="642"/>
      <c r="T342" s="642"/>
      <c r="U342" s="642"/>
      <c r="V342" s="642"/>
      <c r="W342" s="642"/>
    </row>
    <row r="343" spans="1:23" ht="15" customHeight="1">
      <c r="A343" s="642"/>
      <c r="B343" s="642"/>
      <c r="C343" s="642"/>
      <c r="D343" s="154"/>
      <c r="E343" s="154"/>
      <c r="F343" s="642"/>
      <c r="H343" s="642"/>
      <c r="I343" s="642"/>
      <c r="J343" s="642"/>
      <c r="K343" s="642"/>
      <c r="L343" s="642"/>
      <c r="M343" s="642"/>
      <c r="N343" s="642"/>
      <c r="O343" s="642"/>
      <c r="P343" s="642"/>
      <c r="Q343" s="642"/>
      <c r="R343" s="642"/>
      <c r="S343" s="642"/>
      <c r="T343" s="642"/>
      <c r="U343" s="642"/>
      <c r="V343" s="642"/>
      <c r="W343" s="642"/>
    </row>
    <row r="344" spans="1:23" ht="15" customHeight="1">
      <c r="A344" s="642"/>
      <c r="B344" s="642"/>
      <c r="C344" s="642"/>
      <c r="D344" s="154"/>
      <c r="E344" s="154"/>
      <c r="F344" s="642"/>
      <c r="H344" s="642"/>
      <c r="I344" s="642"/>
      <c r="J344" s="642"/>
      <c r="K344" s="642"/>
      <c r="L344" s="642"/>
      <c r="M344" s="642"/>
      <c r="N344" s="642"/>
      <c r="O344" s="642"/>
      <c r="P344" s="642"/>
      <c r="Q344" s="642"/>
      <c r="R344" s="642"/>
      <c r="S344" s="642"/>
      <c r="T344" s="642"/>
      <c r="U344" s="642"/>
      <c r="V344" s="642"/>
      <c r="W344" s="642"/>
    </row>
    <row r="345" spans="1:23" ht="15" customHeight="1">
      <c r="A345" s="642"/>
      <c r="B345" s="642"/>
      <c r="C345" s="642"/>
      <c r="D345" s="154"/>
      <c r="E345" s="154"/>
      <c r="F345" s="642"/>
      <c r="H345" s="642"/>
      <c r="I345" s="642"/>
      <c r="J345" s="642"/>
      <c r="K345" s="642"/>
      <c r="L345" s="642"/>
      <c r="M345" s="642"/>
      <c r="N345" s="642"/>
      <c r="O345" s="642"/>
      <c r="P345" s="642"/>
      <c r="Q345" s="642"/>
      <c r="R345" s="642"/>
      <c r="S345" s="642"/>
      <c r="T345" s="642"/>
      <c r="U345" s="642"/>
      <c r="V345" s="642"/>
      <c r="W345" s="642"/>
    </row>
    <row r="346" spans="1:23" ht="15" customHeight="1">
      <c r="A346" s="642"/>
      <c r="B346" s="642"/>
      <c r="C346" s="642"/>
      <c r="D346" s="154"/>
      <c r="E346" s="154"/>
      <c r="F346" s="642"/>
      <c r="H346" s="642"/>
      <c r="I346" s="642"/>
      <c r="J346" s="642"/>
      <c r="K346" s="642"/>
      <c r="L346" s="642"/>
      <c r="M346" s="642"/>
      <c r="N346" s="642"/>
      <c r="O346" s="642"/>
      <c r="P346" s="642"/>
      <c r="Q346" s="642"/>
      <c r="R346" s="642"/>
      <c r="S346" s="642"/>
      <c r="T346" s="642"/>
      <c r="U346" s="642"/>
      <c r="V346" s="642"/>
      <c r="W346" s="642"/>
    </row>
    <row r="347" spans="1:23" ht="15" customHeight="1">
      <c r="A347" s="642"/>
      <c r="B347" s="642"/>
      <c r="C347" s="642"/>
      <c r="D347" s="154"/>
      <c r="E347" s="154"/>
      <c r="F347" s="642"/>
      <c r="H347" s="642"/>
      <c r="I347" s="642"/>
      <c r="J347" s="642"/>
      <c r="K347" s="642"/>
      <c r="L347" s="642"/>
      <c r="M347" s="642"/>
      <c r="N347" s="642"/>
      <c r="O347" s="642"/>
      <c r="P347" s="642"/>
      <c r="Q347" s="642"/>
      <c r="R347" s="642"/>
      <c r="S347" s="642"/>
      <c r="T347" s="642"/>
      <c r="U347" s="642"/>
      <c r="V347" s="642"/>
      <c r="W347" s="642"/>
    </row>
    <row r="348" spans="1:23" ht="15" customHeight="1">
      <c r="A348" s="642"/>
      <c r="B348" s="642"/>
      <c r="C348" s="642"/>
      <c r="D348" s="154"/>
      <c r="E348" s="154"/>
      <c r="F348" s="642"/>
      <c r="H348" s="642"/>
      <c r="I348" s="642"/>
      <c r="J348" s="642"/>
      <c r="K348" s="642"/>
      <c r="L348" s="642"/>
      <c r="M348" s="642"/>
      <c r="N348" s="642"/>
      <c r="O348" s="642"/>
      <c r="P348" s="642"/>
      <c r="Q348" s="642"/>
      <c r="R348" s="642"/>
      <c r="S348" s="642"/>
      <c r="T348" s="642"/>
      <c r="U348" s="642"/>
      <c r="V348" s="642"/>
      <c r="W348" s="642"/>
    </row>
    <row r="349" spans="1:23" ht="15" customHeight="1">
      <c r="A349" s="642"/>
      <c r="B349" s="642"/>
      <c r="C349" s="642"/>
      <c r="D349" s="154"/>
      <c r="E349" s="154"/>
      <c r="F349" s="642"/>
      <c r="H349" s="642"/>
      <c r="I349" s="642"/>
      <c r="J349" s="642"/>
      <c r="K349" s="642"/>
      <c r="L349" s="642"/>
      <c r="M349" s="642"/>
      <c r="N349" s="642"/>
      <c r="O349" s="642"/>
      <c r="P349" s="642"/>
      <c r="Q349" s="642"/>
      <c r="R349" s="642"/>
      <c r="S349" s="642"/>
      <c r="T349" s="642"/>
      <c r="U349" s="642"/>
      <c r="V349" s="642"/>
      <c r="W349" s="642"/>
    </row>
    <row r="350" spans="1:23" ht="15" customHeight="1">
      <c r="A350" s="642"/>
      <c r="B350" s="642"/>
      <c r="C350" s="642"/>
      <c r="D350" s="154"/>
      <c r="E350" s="154"/>
      <c r="F350" s="642"/>
      <c r="H350" s="642"/>
      <c r="I350" s="642"/>
      <c r="J350" s="642"/>
      <c r="K350" s="642"/>
      <c r="L350" s="642"/>
      <c r="M350" s="642"/>
      <c r="N350" s="642"/>
      <c r="O350" s="642"/>
      <c r="P350" s="642"/>
      <c r="Q350" s="642"/>
      <c r="R350" s="642"/>
      <c r="S350" s="642"/>
      <c r="T350" s="642"/>
      <c r="U350" s="642"/>
      <c r="V350" s="642"/>
      <c r="W350" s="642"/>
    </row>
    <row r="351" spans="1:23" ht="15" customHeight="1">
      <c r="A351" s="642"/>
      <c r="B351" s="642"/>
      <c r="C351" s="642"/>
      <c r="D351" s="154"/>
      <c r="E351" s="154"/>
      <c r="F351" s="642"/>
      <c r="H351" s="642"/>
      <c r="I351" s="642"/>
      <c r="J351" s="642"/>
      <c r="K351" s="642"/>
      <c r="L351" s="642"/>
      <c r="M351" s="642"/>
      <c r="N351" s="642"/>
      <c r="O351" s="642"/>
      <c r="P351" s="642"/>
      <c r="Q351" s="642"/>
      <c r="R351" s="642"/>
      <c r="S351" s="642"/>
      <c r="T351" s="642"/>
      <c r="U351" s="642"/>
      <c r="V351" s="642"/>
      <c r="W351" s="642"/>
    </row>
    <row r="352" spans="1:23" ht="15" customHeight="1">
      <c r="A352" s="642"/>
      <c r="B352" s="642"/>
      <c r="C352" s="642"/>
      <c r="D352" s="154"/>
      <c r="E352" s="154"/>
      <c r="F352" s="642"/>
      <c r="H352" s="642"/>
      <c r="I352" s="642"/>
      <c r="J352" s="642"/>
      <c r="K352" s="642"/>
      <c r="L352" s="642"/>
      <c r="M352" s="642"/>
      <c r="N352" s="642"/>
      <c r="O352" s="642"/>
      <c r="P352" s="642"/>
      <c r="Q352" s="642"/>
      <c r="R352" s="642"/>
      <c r="S352" s="642"/>
      <c r="T352" s="642"/>
      <c r="U352" s="642"/>
      <c r="V352" s="642"/>
      <c r="W352" s="642"/>
    </row>
    <row r="353" spans="1:23" ht="15" customHeight="1">
      <c r="A353" s="642"/>
      <c r="B353" s="642"/>
      <c r="C353" s="642"/>
      <c r="D353" s="154"/>
      <c r="E353" s="154"/>
      <c r="F353" s="642"/>
      <c r="H353" s="642"/>
      <c r="I353" s="642"/>
      <c r="J353" s="642"/>
      <c r="K353" s="642"/>
      <c r="L353" s="642"/>
      <c r="M353" s="642"/>
      <c r="N353" s="642"/>
      <c r="O353" s="642"/>
      <c r="P353" s="642"/>
      <c r="Q353" s="642"/>
      <c r="R353" s="642"/>
      <c r="S353" s="642"/>
      <c r="T353" s="642"/>
      <c r="U353" s="642"/>
      <c r="V353" s="642"/>
      <c r="W353" s="642"/>
    </row>
    <row r="354" spans="1:23" ht="15" customHeight="1">
      <c r="A354" s="642"/>
      <c r="B354" s="642"/>
      <c r="C354" s="642"/>
      <c r="D354" s="154"/>
      <c r="E354" s="154"/>
      <c r="F354" s="642"/>
      <c r="H354" s="642"/>
      <c r="I354" s="642"/>
      <c r="J354" s="642"/>
      <c r="K354" s="642"/>
      <c r="L354" s="642"/>
      <c r="M354" s="642"/>
      <c r="N354" s="642"/>
      <c r="O354" s="642"/>
      <c r="P354" s="642"/>
      <c r="Q354" s="642"/>
      <c r="R354" s="642"/>
      <c r="S354" s="642"/>
      <c r="T354" s="642"/>
      <c r="U354" s="642"/>
      <c r="V354" s="642"/>
      <c r="W354" s="642"/>
    </row>
    <row r="355" spans="1:23" ht="15" customHeight="1">
      <c r="A355" s="642"/>
      <c r="B355" s="642"/>
      <c r="C355" s="642"/>
      <c r="D355" s="154"/>
      <c r="E355" s="154"/>
      <c r="F355" s="642"/>
      <c r="H355" s="642"/>
      <c r="I355" s="642"/>
      <c r="J355" s="642"/>
      <c r="K355" s="642"/>
      <c r="L355" s="642"/>
      <c r="M355" s="642"/>
      <c r="N355" s="642"/>
      <c r="O355" s="642"/>
      <c r="P355" s="642"/>
      <c r="Q355" s="642"/>
      <c r="R355" s="642"/>
      <c r="S355" s="642"/>
      <c r="T355" s="642"/>
      <c r="U355" s="642"/>
      <c r="V355" s="642"/>
      <c r="W355" s="642"/>
    </row>
    <row r="356" spans="1:23" ht="15" customHeight="1">
      <c r="A356" s="642"/>
      <c r="B356" s="642"/>
      <c r="C356" s="642"/>
      <c r="D356" s="154"/>
      <c r="E356" s="154"/>
      <c r="F356" s="642"/>
      <c r="H356" s="642"/>
      <c r="I356" s="642"/>
      <c r="J356" s="642"/>
      <c r="K356" s="642"/>
      <c r="L356" s="642"/>
      <c r="M356" s="642"/>
      <c r="N356" s="642"/>
      <c r="O356" s="642"/>
      <c r="P356" s="642"/>
      <c r="Q356" s="642"/>
      <c r="R356" s="642"/>
      <c r="S356" s="642"/>
      <c r="T356" s="642"/>
      <c r="U356" s="642"/>
      <c r="V356" s="642"/>
      <c r="W356" s="642"/>
    </row>
    <row r="357" spans="1:23" ht="15" customHeight="1">
      <c r="A357" s="642"/>
      <c r="B357" s="642"/>
      <c r="C357" s="642"/>
      <c r="D357" s="154"/>
      <c r="E357" s="154"/>
      <c r="F357" s="642"/>
      <c r="H357" s="642"/>
      <c r="I357" s="642"/>
      <c r="J357" s="642"/>
      <c r="K357" s="642"/>
      <c r="L357" s="642"/>
      <c r="M357" s="642"/>
      <c r="N357" s="642"/>
      <c r="O357" s="642"/>
      <c r="P357" s="642"/>
      <c r="Q357" s="642"/>
      <c r="R357" s="642"/>
      <c r="S357" s="642"/>
      <c r="T357" s="642"/>
      <c r="U357" s="642"/>
      <c r="V357" s="642"/>
      <c r="W357" s="642"/>
    </row>
    <row r="358" spans="1:23" ht="15" customHeight="1">
      <c r="A358" s="642"/>
      <c r="B358" s="642"/>
      <c r="C358" s="642"/>
      <c r="D358" s="154"/>
      <c r="E358" s="154"/>
      <c r="F358" s="642"/>
      <c r="H358" s="642"/>
      <c r="I358" s="642"/>
      <c r="J358" s="642"/>
      <c r="K358" s="642"/>
      <c r="L358" s="642"/>
      <c r="M358" s="642"/>
      <c r="N358" s="642"/>
      <c r="O358" s="642"/>
      <c r="P358" s="642"/>
      <c r="Q358" s="642"/>
      <c r="R358" s="642"/>
      <c r="S358" s="642"/>
      <c r="T358" s="642"/>
      <c r="U358" s="642"/>
      <c r="V358" s="642"/>
      <c r="W358" s="642"/>
    </row>
    <row r="359" spans="1:23" ht="15" customHeight="1">
      <c r="A359" s="642"/>
      <c r="B359" s="642"/>
      <c r="C359" s="642"/>
      <c r="D359" s="154"/>
      <c r="E359" s="154"/>
      <c r="F359" s="642"/>
      <c r="H359" s="642"/>
      <c r="I359" s="642"/>
      <c r="J359" s="642"/>
      <c r="K359" s="642"/>
      <c r="L359" s="642"/>
      <c r="M359" s="642"/>
      <c r="N359" s="642"/>
      <c r="O359" s="642"/>
      <c r="P359" s="642"/>
      <c r="Q359" s="642"/>
      <c r="R359" s="642"/>
      <c r="S359" s="642"/>
      <c r="T359" s="642"/>
      <c r="U359" s="642"/>
      <c r="V359" s="642"/>
      <c r="W359" s="642"/>
    </row>
    <row r="360" spans="1:23" ht="15" customHeight="1">
      <c r="A360" s="642"/>
      <c r="B360" s="642"/>
      <c r="C360" s="642"/>
      <c r="D360" s="154"/>
      <c r="E360" s="154"/>
      <c r="F360" s="642"/>
      <c r="H360" s="642"/>
      <c r="I360" s="642"/>
      <c r="J360" s="642"/>
      <c r="K360" s="642"/>
      <c r="L360" s="642"/>
      <c r="M360" s="642"/>
      <c r="N360" s="642"/>
      <c r="O360" s="642"/>
      <c r="P360" s="642"/>
      <c r="Q360" s="642"/>
      <c r="R360" s="642"/>
      <c r="S360" s="642"/>
      <c r="T360" s="642"/>
      <c r="U360" s="642"/>
      <c r="V360" s="642"/>
      <c r="W360" s="642"/>
    </row>
    <row r="361" spans="1:23" ht="15" customHeight="1">
      <c r="A361" s="642"/>
      <c r="B361" s="642"/>
      <c r="C361" s="642"/>
      <c r="D361" s="154"/>
      <c r="E361" s="154"/>
      <c r="F361" s="642"/>
      <c r="H361" s="642"/>
      <c r="I361" s="642"/>
      <c r="J361" s="642"/>
      <c r="K361" s="642"/>
      <c r="L361" s="642"/>
      <c r="M361" s="642"/>
      <c r="N361" s="642"/>
      <c r="O361" s="642"/>
      <c r="P361" s="642"/>
      <c r="Q361" s="642"/>
      <c r="R361" s="642"/>
      <c r="S361" s="642"/>
      <c r="T361" s="642"/>
      <c r="U361" s="642"/>
      <c r="V361" s="642"/>
      <c r="W361" s="642"/>
    </row>
    <row r="362" spans="1:23" ht="15" customHeight="1">
      <c r="A362" s="642"/>
      <c r="B362" s="642"/>
      <c r="C362" s="642"/>
      <c r="D362" s="154"/>
      <c r="E362" s="154"/>
      <c r="F362" s="642"/>
      <c r="H362" s="642"/>
      <c r="I362" s="642"/>
      <c r="J362" s="642"/>
      <c r="K362" s="642"/>
      <c r="L362" s="642"/>
      <c r="M362" s="642"/>
      <c r="N362" s="642"/>
      <c r="O362" s="642"/>
      <c r="P362" s="642"/>
      <c r="Q362" s="642"/>
      <c r="R362" s="642"/>
      <c r="S362" s="642"/>
      <c r="T362" s="642"/>
      <c r="U362" s="642"/>
      <c r="V362" s="642"/>
      <c r="W362" s="642"/>
    </row>
    <row r="363" spans="1:23" ht="15" customHeight="1">
      <c r="A363" s="642"/>
      <c r="B363" s="642"/>
      <c r="C363" s="642"/>
      <c r="D363" s="154"/>
      <c r="E363" s="154"/>
      <c r="F363" s="642"/>
      <c r="H363" s="642"/>
      <c r="I363" s="642"/>
      <c r="J363" s="642"/>
      <c r="K363" s="642"/>
      <c r="L363" s="642"/>
      <c r="M363" s="642"/>
      <c r="N363" s="642"/>
      <c r="O363" s="642"/>
      <c r="P363" s="642"/>
      <c r="Q363" s="642"/>
      <c r="R363" s="642"/>
      <c r="S363" s="642"/>
      <c r="T363" s="642"/>
      <c r="U363" s="642"/>
      <c r="V363" s="642"/>
      <c r="W363" s="642"/>
    </row>
    <row r="364" spans="1:23" ht="15" customHeight="1">
      <c r="A364" s="642"/>
      <c r="B364" s="642"/>
      <c r="C364" s="642"/>
      <c r="D364" s="154"/>
      <c r="E364" s="154"/>
      <c r="F364" s="642"/>
      <c r="H364" s="642"/>
      <c r="I364" s="642"/>
      <c r="J364" s="642"/>
      <c r="K364" s="642"/>
      <c r="L364" s="642"/>
      <c r="M364" s="642"/>
      <c r="N364" s="642"/>
      <c r="O364" s="642"/>
      <c r="P364" s="642"/>
      <c r="Q364" s="642"/>
      <c r="R364" s="642"/>
      <c r="S364" s="642"/>
      <c r="T364" s="642"/>
      <c r="U364" s="642"/>
      <c r="V364" s="642"/>
      <c r="W364" s="642"/>
    </row>
    <row r="365" spans="1:23" ht="15" customHeight="1">
      <c r="A365" s="642"/>
      <c r="B365" s="642"/>
      <c r="C365" s="642"/>
      <c r="D365" s="154"/>
      <c r="E365" s="154"/>
      <c r="F365" s="642"/>
      <c r="H365" s="642"/>
      <c r="I365" s="642"/>
      <c r="J365" s="642"/>
      <c r="K365" s="642"/>
      <c r="L365" s="642"/>
      <c r="M365" s="642"/>
      <c r="N365" s="642"/>
      <c r="O365" s="642"/>
      <c r="P365" s="642"/>
      <c r="Q365" s="642"/>
      <c r="R365" s="642"/>
      <c r="S365" s="642"/>
      <c r="T365" s="642"/>
      <c r="U365" s="642"/>
      <c r="V365" s="642"/>
      <c r="W365" s="642"/>
    </row>
    <row r="366" spans="1:23" ht="15" customHeight="1">
      <c r="A366" s="642"/>
      <c r="B366" s="642"/>
      <c r="C366" s="642"/>
      <c r="D366" s="154"/>
      <c r="E366" s="154"/>
      <c r="F366" s="642"/>
      <c r="H366" s="642"/>
      <c r="I366" s="642"/>
      <c r="J366" s="642"/>
      <c r="K366" s="642"/>
      <c r="L366" s="642"/>
      <c r="M366" s="642"/>
      <c r="N366" s="642"/>
      <c r="O366" s="642"/>
      <c r="P366" s="642"/>
      <c r="Q366" s="642"/>
      <c r="R366" s="642"/>
      <c r="S366" s="642"/>
      <c r="T366" s="642"/>
      <c r="U366" s="642"/>
      <c r="V366" s="642"/>
      <c r="W366" s="642"/>
    </row>
    <row r="367" spans="1:23" ht="15" customHeight="1">
      <c r="A367" s="642"/>
      <c r="B367" s="642"/>
      <c r="C367" s="642"/>
      <c r="D367" s="154"/>
      <c r="E367" s="154"/>
      <c r="F367" s="642"/>
      <c r="H367" s="642"/>
      <c r="I367" s="642"/>
      <c r="J367" s="642"/>
      <c r="K367" s="642"/>
      <c r="L367" s="642"/>
      <c r="M367" s="642"/>
      <c r="N367" s="642"/>
      <c r="O367" s="642"/>
      <c r="P367" s="642"/>
      <c r="Q367" s="642"/>
      <c r="R367" s="642"/>
      <c r="S367" s="642"/>
      <c r="T367" s="642"/>
      <c r="U367" s="642"/>
      <c r="V367" s="642"/>
      <c r="W367" s="642"/>
    </row>
    <row r="368" spans="1:23" ht="15" customHeight="1">
      <c r="A368" s="642"/>
      <c r="B368" s="642"/>
      <c r="C368" s="642"/>
      <c r="D368" s="154"/>
      <c r="E368" s="154"/>
      <c r="F368" s="642"/>
      <c r="H368" s="642"/>
      <c r="I368" s="642"/>
      <c r="J368" s="642"/>
      <c r="K368" s="642"/>
      <c r="L368" s="642"/>
      <c r="M368" s="642"/>
      <c r="N368" s="642"/>
      <c r="O368" s="642"/>
      <c r="P368" s="642"/>
      <c r="Q368" s="642"/>
      <c r="R368" s="642"/>
      <c r="S368" s="642"/>
      <c r="T368" s="642"/>
      <c r="U368" s="642"/>
      <c r="V368" s="642"/>
      <c r="W368" s="642"/>
    </row>
    <row r="369" spans="1:23" ht="15" customHeight="1">
      <c r="A369" s="642"/>
      <c r="B369" s="642"/>
      <c r="C369" s="642"/>
      <c r="D369" s="154"/>
      <c r="E369" s="154"/>
      <c r="F369" s="642"/>
      <c r="H369" s="642"/>
      <c r="I369" s="642"/>
      <c r="J369" s="642"/>
      <c r="K369" s="642"/>
      <c r="L369" s="642"/>
      <c r="M369" s="642"/>
      <c r="N369" s="642"/>
      <c r="O369" s="642"/>
      <c r="P369" s="642"/>
      <c r="Q369" s="642"/>
      <c r="R369" s="642"/>
      <c r="S369" s="642"/>
      <c r="T369" s="642"/>
      <c r="U369" s="642"/>
      <c r="V369" s="642"/>
      <c r="W369" s="642"/>
    </row>
    <row r="370" spans="1:23" ht="15" customHeight="1">
      <c r="A370" s="642"/>
      <c r="B370" s="642"/>
      <c r="C370" s="642"/>
      <c r="D370" s="154"/>
      <c r="E370" s="154"/>
      <c r="F370" s="642"/>
      <c r="H370" s="642"/>
      <c r="I370" s="642"/>
      <c r="J370" s="642"/>
      <c r="K370" s="642"/>
      <c r="L370" s="642"/>
      <c r="M370" s="642"/>
      <c r="N370" s="642"/>
      <c r="O370" s="642"/>
      <c r="P370" s="642"/>
      <c r="Q370" s="642"/>
      <c r="R370" s="642"/>
      <c r="S370" s="642"/>
      <c r="T370" s="642"/>
      <c r="U370" s="642"/>
      <c r="V370" s="642"/>
      <c r="W370" s="642"/>
    </row>
    <row r="371" spans="1:23" ht="15" customHeight="1">
      <c r="A371" s="642"/>
      <c r="B371" s="642"/>
      <c r="C371" s="642"/>
      <c r="D371" s="154"/>
      <c r="E371" s="154"/>
      <c r="F371" s="642"/>
      <c r="H371" s="642"/>
      <c r="I371" s="642"/>
      <c r="J371" s="642"/>
      <c r="K371" s="642"/>
      <c r="L371" s="642"/>
      <c r="M371" s="642"/>
      <c r="N371" s="642"/>
      <c r="O371" s="642"/>
      <c r="P371" s="642"/>
      <c r="Q371" s="642"/>
      <c r="R371" s="642"/>
      <c r="S371" s="642"/>
      <c r="T371" s="642"/>
      <c r="U371" s="642"/>
      <c r="V371" s="642"/>
      <c r="W371" s="642"/>
    </row>
    <row r="372" spans="1:23" ht="15" customHeight="1">
      <c r="A372" s="642"/>
      <c r="B372" s="642"/>
      <c r="C372" s="642"/>
      <c r="D372" s="154"/>
      <c r="E372" s="154"/>
      <c r="F372" s="642"/>
      <c r="H372" s="642"/>
      <c r="I372" s="642"/>
      <c r="J372" s="642"/>
      <c r="K372" s="642"/>
      <c r="L372" s="642"/>
      <c r="M372" s="642"/>
      <c r="N372" s="642"/>
      <c r="O372" s="642"/>
      <c r="P372" s="642"/>
      <c r="Q372" s="642"/>
      <c r="R372" s="642"/>
      <c r="S372" s="642"/>
      <c r="T372" s="642"/>
      <c r="U372" s="642"/>
      <c r="V372" s="642"/>
      <c r="W372" s="642"/>
    </row>
    <row r="373" spans="1:23" ht="15" customHeight="1">
      <c r="A373" s="642"/>
      <c r="B373" s="642"/>
      <c r="C373" s="642"/>
      <c r="D373" s="154"/>
      <c r="E373" s="154"/>
      <c r="F373" s="642"/>
      <c r="H373" s="642"/>
      <c r="I373" s="642"/>
      <c r="J373" s="642"/>
      <c r="K373" s="642"/>
      <c r="L373" s="642"/>
      <c r="M373" s="642"/>
      <c r="N373" s="642"/>
      <c r="O373" s="642"/>
      <c r="P373" s="642"/>
      <c r="Q373" s="642"/>
      <c r="R373" s="642"/>
      <c r="S373" s="642"/>
      <c r="T373" s="642"/>
      <c r="U373" s="642"/>
      <c r="V373" s="642"/>
      <c r="W373" s="642"/>
    </row>
    <row r="374" spans="1:23" ht="15" customHeight="1">
      <c r="A374" s="642"/>
      <c r="B374" s="642"/>
      <c r="C374" s="642"/>
      <c r="D374" s="154"/>
      <c r="E374" s="154"/>
      <c r="F374" s="642"/>
      <c r="H374" s="642"/>
      <c r="I374" s="642"/>
      <c r="J374" s="642"/>
      <c r="K374" s="642"/>
      <c r="L374" s="642"/>
      <c r="M374" s="642"/>
      <c r="N374" s="642"/>
      <c r="O374" s="642"/>
      <c r="P374" s="642"/>
      <c r="Q374" s="642"/>
      <c r="R374" s="642"/>
      <c r="S374" s="642"/>
      <c r="T374" s="642"/>
      <c r="U374" s="642"/>
      <c r="V374" s="642"/>
      <c r="W374" s="642"/>
    </row>
    <row r="375" spans="1:23" ht="15" customHeight="1">
      <c r="A375" s="642"/>
      <c r="B375" s="642"/>
      <c r="C375" s="642"/>
      <c r="D375" s="154"/>
      <c r="E375" s="154"/>
      <c r="F375" s="642"/>
      <c r="H375" s="642"/>
      <c r="I375" s="642"/>
      <c r="J375" s="642"/>
      <c r="K375" s="642"/>
      <c r="L375" s="642"/>
      <c r="M375" s="642"/>
      <c r="N375" s="642"/>
      <c r="O375" s="642"/>
      <c r="P375" s="642"/>
      <c r="Q375" s="642"/>
      <c r="R375" s="642"/>
      <c r="S375" s="642"/>
      <c r="T375" s="642"/>
      <c r="U375" s="642"/>
      <c r="V375" s="642"/>
      <c r="W375" s="642"/>
    </row>
    <row r="376" spans="1:23" ht="15" customHeight="1">
      <c r="A376" s="642"/>
      <c r="B376" s="642"/>
      <c r="C376" s="642"/>
      <c r="D376" s="154"/>
      <c r="E376" s="154"/>
      <c r="F376" s="642"/>
      <c r="H376" s="642"/>
      <c r="I376" s="642"/>
      <c r="J376" s="642"/>
      <c r="K376" s="642"/>
      <c r="L376" s="642"/>
      <c r="M376" s="642"/>
      <c r="N376" s="642"/>
      <c r="O376" s="642"/>
      <c r="P376" s="642"/>
      <c r="Q376" s="642"/>
      <c r="R376" s="642"/>
      <c r="S376" s="642"/>
      <c r="T376" s="642"/>
      <c r="U376" s="642"/>
      <c r="V376" s="642"/>
      <c r="W376" s="642"/>
    </row>
    <row r="377" spans="1:23" ht="15" customHeight="1">
      <c r="A377" s="642"/>
      <c r="B377" s="642"/>
      <c r="C377" s="642"/>
      <c r="D377" s="154"/>
      <c r="E377" s="154"/>
      <c r="F377" s="642"/>
      <c r="H377" s="642"/>
      <c r="I377" s="642"/>
      <c r="J377" s="642"/>
      <c r="K377" s="642"/>
      <c r="L377" s="642"/>
      <c r="M377" s="642"/>
      <c r="N377" s="642"/>
      <c r="O377" s="642"/>
      <c r="P377" s="642"/>
      <c r="Q377" s="642"/>
      <c r="R377" s="642"/>
      <c r="S377" s="642"/>
      <c r="T377" s="642"/>
      <c r="U377" s="642"/>
      <c r="V377" s="642"/>
      <c r="W377" s="642"/>
    </row>
    <row r="378" spans="1:23" ht="15" customHeight="1">
      <c r="A378" s="642"/>
      <c r="B378" s="642"/>
      <c r="C378" s="642"/>
      <c r="D378" s="154"/>
      <c r="E378" s="154"/>
      <c r="F378" s="642"/>
      <c r="H378" s="642"/>
      <c r="I378" s="642"/>
      <c r="J378" s="642"/>
      <c r="K378" s="642"/>
      <c r="L378" s="642"/>
      <c r="M378" s="642"/>
      <c r="N378" s="642"/>
      <c r="O378" s="642"/>
      <c r="P378" s="642"/>
      <c r="Q378" s="642"/>
      <c r="R378" s="642"/>
      <c r="S378" s="642"/>
      <c r="T378" s="642"/>
      <c r="U378" s="642"/>
      <c r="V378" s="642"/>
      <c r="W378" s="642"/>
    </row>
    <row r="379" spans="1:23" ht="15" customHeight="1">
      <c r="A379" s="642"/>
      <c r="B379" s="642"/>
      <c r="C379" s="642"/>
      <c r="D379" s="154"/>
      <c r="E379" s="154"/>
      <c r="F379" s="642"/>
      <c r="H379" s="642"/>
      <c r="I379" s="642"/>
      <c r="J379" s="642"/>
      <c r="K379" s="642"/>
      <c r="L379" s="642"/>
      <c r="M379" s="642"/>
      <c r="N379" s="642"/>
      <c r="O379" s="642"/>
      <c r="P379" s="642"/>
      <c r="Q379" s="642"/>
      <c r="R379" s="642"/>
      <c r="S379" s="642"/>
      <c r="T379" s="642"/>
      <c r="U379" s="642"/>
      <c r="V379" s="642"/>
      <c r="W379" s="642"/>
    </row>
    <row r="380" spans="1:23" ht="15" customHeight="1">
      <c r="A380" s="642"/>
      <c r="B380" s="642"/>
      <c r="C380" s="642"/>
      <c r="D380" s="154"/>
      <c r="E380" s="154"/>
      <c r="F380" s="642"/>
      <c r="H380" s="642"/>
      <c r="I380" s="642"/>
      <c r="J380" s="642"/>
      <c r="K380" s="642"/>
      <c r="L380" s="642"/>
      <c r="M380" s="642"/>
      <c r="N380" s="642"/>
      <c r="O380" s="642"/>
      <c r="P380" s="642"/>
      <c r="Q380" s="642"/>
      <c r="R380" s="642"/>
      <c r="S380" s="642"/>
      <c r="T380" s="642"/>
      <c r="U380" s="642"/>
      <c r="V380" s="642"/>
      <c r="W380" s="642"/>
    </row>
    <row r="381" spans="1:23" ht="15" customHeight="1">
      <c r="A381" s="642"/>
      <c r="B381" s="642"/>
      <c r="C381" s="642"/>
      <c r="D381" s="154"/>
      <c r="E381" s="154"/>
      <c r="F381" s="642"/>
      <c r="H381" s="642"/>
      <c r="I381" s="642"/>
      <c r="J381" s="642"/>
      <c r="K381" s="642"/>
      <c r="L381" s="642"/>
      <c r="M381" s="642"/>
      <c r="N381" s="642"/>
      <c r="O381" s="642"/>
      <c r="P381" s="642"/>
      <c r="Q381" s="642"/>
      <c r="R381" s="642"/>
      <c r="S381" s="642"/>
      <c r="T381" s="642"/>
      <c r="U381" s="642"/>
      <c r="V381" s="642"/>
      <c r="W381" s="642"/>
    </row>
    <row r="382" spans="1:23" ht="15" customHeight="1">
      <c r="A382" s="642"/>
      <c r="B382" s="642"/>
      <c r="C382" s="642"/>
      <c r="D382" s="154"/>
      <c r="E382" s="154"/>
      <c r="F382" s="642"/>
      <c r="H382" s="642"/>
      <c r="I382" s="642"/>
      <c r="J382" s="642"/>
      <c r="K382" s="642"/>
      <c r="L382" s="642"/>
      <c r="M382" s="642"/>
      <c r="N382" s="642"/>
      <c r="O382" s="642"/>
      <c r="P382" s="642"/>
      <c r="Q382" s="642"/>
      <c r="R382" s="642"/>
      <c r="S382" s="642"/>
      <c r="T382" s="642"/>
      <c r="U382" s="642"/>
      <c r="V382" s="642"/>
      <c r="W382" s="642"/>
    </row>
    <row r="383" spans="1:23" ht="15" customHeight="1">
      <c r="A383" s="642"/>
      <c r="B383" s="642"/>
      <c r="C383" s="642"/>
      <c r="D383" s="154"/>
      <c r="E383" s="154"/>
      <c r="F383" s="642"/>
      <c r="H383" s="642"/>
      <c r="I383" s="642"/>
      <c r="J383" s="642"/>
      <c r="K383" s="642"/>
      <c r="L383" s="642"/>
      <c r="M383" s="642"/>
      <c r="N383" s="642"/>
      <c r="O383" s="642"/>
      <c r="P383" s="642"/>
      <c r="Q383" s="642"/>
      <c r="R383" s="642"/>
      <c r="S383" s="642"/>
      <c r="T383" s="642"/>
      <c r="U383" s="642"/>
      <c r="V383" s="642"/>
      <c r="W383" s="642"/>
    </row>
    <row r="384" spans="1:23" ht="15" customHeight="1">
      <c r="A384" s="642"/>
      <c r="B384" s="642"/>
      <c r="C384" s="642"/>
      <c r="D384" s="154"/>
      <c r="E384" s="154"/>
      <c r="F384" s="642"/>
      <c r="H384" s="642"/>
      <c r="I384" s="642"/>
      <c r="J384" s="642"/>
      <c r="K384" s="642"/>
      <c r="L384" s="642"/>
      <c r="M384" s="642"/>
      <c r="N384" s="642"/>
      <c r="O384" s="642"/>
      <c r="P384" s="642"/>
      <c r="Q384" s="642"/>
      <c r="R384" s="642"/>
      <c r="S384" s="642"/>
      <c r="T384" s="642"/>
      <c r="U384" s="642"/>
      <c r="V384" s="642"/>
      <c r="W384" s="642"/>
    </row>
    <row r="385" spans="1:23" ht="15" customHeight="1">
      <c r="A385" s="642"/>
      <c r="B385" s="642"/>
      <c r="C385" s="642"/>
      <c r="D385" s="154"/>
      <c r="E385" s="154"/>
      <c r="F385" s="642"/>
      <c r="H385" s="642"/>
      <c r="I385" s="642"/>
      <c r="J385" s="642"/>
      <c r="K385" s="642"/>
      <c r="L385" s="642"/>
      <c r="M385" s="642"/>
      <c r="N385" s="642"/>
      <c r="O385" s="642"/>
      <c r="P385" s="642"/>
      <c r="Q385" s="642"/>
      <c r="R385" s="642"/>
      <c r="S385" s="642"/>
      <c r="T385" s="642"/>
      <c r="U385" s="642"/>
      <c r="V385" s="642"/>
      <c r="W385" s="642"/>
    </row>
    <row r="386" spans="1:23" ht="15" customHeight="1">
      <c r="A386" s="642"/>
      <c r="B386" s="642"/>
      <c r="C386" s="642"/>
      <c r="D386" s="154"/>
      <c r="E386" s="154"/>
      <c r="F386" s="642"/>
      <c r="H386" s="642"/>
      <c r="I386" s="642"/>
      <c r="J386" s="642"/>
      <c r="K386" s="642"/>
      <c r="L386" s="642"/>
      <c r="M386" s="642"/>
      <c r="N386" s="642"/>
      <c r="O386" s="642"/>
      <c r="P386" s="642"/>
      <c r="Q386" s="642"/>
      <c r="R386" s="642"/>
      <c r="S386" s="642"/>
      <c r="T386" s="642"/>
      <c r="U386" s="642"/>
      <c r="V386" s="642"/>
      <c r="W386" s="642"/>
    </row>
    <row r="387" spans="1:23" ht="15" customHeight="1">
      <c r="A387" s="642"/>
      <c r="B387" s="642"/>
      <c r="C387" s="642"/>
      <c r="D387" s="154"/>
      <c r="E387" s="154"/>
      <c r="F387" s="642"/>
      <c r="H387" s="642"/>
      <c r="I387" s="642"/>
      <c r="J387" s="642"/>
      <c r="K387" s="642"/>
      <c r="L387" s="642"/>
      <c r="M387" s="642"/>
      <c r="N387" s="642"/>
      <c r="O387" s="642"/>
      <c r="P387" s="642"/>
      <c r="Q387" s="642"/>
      <c r="R387" s="642"/>
      <c r="S387" s="642"/>
      <c r="T387" s="642"/>
      <c r="U387" s="642"/>
      <c r="V387" s="642"/>
      <c r="W387" s="642"/>
    </row>
    <row r="388" spans="1:23" ht="15" customHeight="1">
      <c r="A388" s="642"/>
      <c r="B388" s="642"/>
      <c r="C388" s="642"/>
      <c r="D388" s="154"/>
      <c r="E388" s="154"/>
      <c r="F388" s="642"/>
      <c r="H388" s="642"/>
      <c r="I388" s="642"/>
      <c r="J388" s="642"/>
      <c r="K388" s="642"/>
      <c r="L388" s="642"/>
      <c r="M388" s="642"/>
      <c r="N388" s="642"/>
      <c r="O388" s="642"/>
      <c r="P388" s="642"/>
      <c r="Q388" s="642"/>
      <c r="R388" s="642"/>
      <c r="S388" s="642"/>
      <c r="T388" s="642"/>
      <c r="U388" s="642"/>
      <c r="V388" s="642"/>
      <c r="W388" s="642"/>
    </row>
    <row r="389" spans="1:23" ht="15" customHeight="1">
      <c r="A389" s="642"/>
      <c r="B389" s="642"/>
      <c r="C389" s="642"/>
      <c r="D389" s="154"/>
      <c r="E389" s="154"/>
      <c r="F389" s="642"/>
      <c r="H389" s="642"/>
      <c r="I389" s="642"/>
      <c r="J389" s="642"/>
      <c r="K389" s="642"/>
      <c r="L389" s="642"/>
      <c r="M389" s="642"/>
      <c r="N389" s="642"/>
      <c r="O389" s="642"/>
      <c r="P389" s="642"/>
      <c r="Q389" s="642"/>
      <c r="R389" s="642"/>
      <c r="S389" s="642"/>
      <c r="T389" s="642"/>
      <c r="U389" s="642"/>
      <c r="V389" s="642"/>
      <c r="W389" s="642"/>
    </row>
    <row r="390" spans="1:23" ht="15" customHeight="1">
      <c r="A390" s="642"/>
      <c r="B390" s="642"/>
      <c r="C390" s="642"/>
      <c r="D390" s="154"/>
      <c r="E390" s="154"/>
      <c r="F390" s="642"/>
      <c r="H390" s="642"/>
      <c r="I390" s="642"/>
      <c r="J390" s="642"/>
      <c r="K390" s="642"/>
      <c r="L390" s="642"/>
      <c r="M390" s="642"/>
      <c r="N390" s="642"/>
      <c r="O390" s="642"/>
      <c r="P390" s="642"/>
      <c r="Q390" s="642"/>
      <c r="R390" s="642"/>
      <c r="S390" s="642"/>
      <c r="T390" s="642"/>
      <c r="U390" s="642"/>
      <c r="V390" s="642"/>
      <c r="W390" s="642"/>
    </row>
    <row r="391" spans="1:23" ht="15" customHeight="1">
      <c r="A391" s="642"/>
      <c r="B391" s="642"/>
      <c r="C391" s="642"/>
      <c r="D391" s="154"/>
      <c r="E391" s="154"/>
      <c r="F391" s="642"/>
      <c r="H391" s="642"/>
      <c r="I391" s="642"/>
      <c r="J391" s="642"/>
      <c r="K391" s="642"/>
      <c r="L391" s="642"/>
      <c r="M391" s="642"/>
      <c r="N391" s="642"/>
      <c r="O391" s="642"/>
      <c r="P391" s="642"/>
      <c r="Q391" s="642"/>
      <c r="R391" s="642"/>
      <c r="S391" s="642"/>
      <c r="T391" s="642"/>
      <c r="U391" s="642"/>
      <c r="V391" s="642"/>
      <c r="W391" s="642"/>
    </row>
    <row r="392" spans="1:23" ht="15" customHeight="1">
      <c r="A392" s="642"/>
      <c r="B392" s="642"/>
      <c r="C392" s="642"/>
      <c r="D392" s="154"/>
      <c r="E392" s="154"/>
      <c r="F392" s="642"/>
      <c r="H392" s="642"/>
      <c r="I392" s="642"/>
      <c r="J392" s="642"/>
      <c r="K392" s="642"/>
      <c r="L392" s="642"/>
      <c r="M392" s="642"/>
      <c r="N392" s="642"/>
      <c r="O392" s="642"/>
      <c r="P392" s="642"/>
      <c r="Q392" s="642"/>
      <c r="R392" s="642"/>
      <c r="S392" s="642"/>
      <c r="T392" s="642"/>
      <c r="U392" s="642"/>
      <c r="V392" s="642"/>
      <c r="W392" s="642"/>
    </row>
    <row r="393" spans="1:23" ht="15" customHeight="1">
      <c r="A393" s="642"/>
      <c r="B393" s="642"/>
      <c r="C393" s="642"/>
      <c r="D393" s="154"/>
      <c r="E393" s="154"/>
      <c r="F393" s="642"/>
      <c r="H393" s="642"/>
      <c r="I393" s="642"/>
      <c r="J393" s="642"/>
      <c r="K393" s="642"/>
      <c r="L393" s="642"/>
      <c r="M393" s="642"/>
      <c r="N393" s="642"/>
      <c r="O393" s="642"/>
      <c r="P393" s="642"/>
      <c r="Q393" s="642"/>
      <c r="R393" s="642"/>
      <c r="S393" s="642"/>
      <c r="T393" s="642"/>
      <c r="U393" s="642"/>
      <c r="V393" s="642"/>
      <c r="W393" s="642"/>
    </row>
    <row r="394" spans="1:23" ht="15" customHeight="1">
      <c r="A394" s="642"/>
      <c r="B394" s="642"/>
      <c r="C394" s="642"/>
      <c r="D394" s="154"/>
      <c r="E394" s="154"/>
      <c r="F394" s="642"/>
      <c r="H394" s="642"/>
      <c r="I394" s="642"/>
      <c r="J394" s="642"/>
      <c r="K394" s="642"/>
      <c r="L394" s="642"/>
      <c r="M394" s="642"/>
      <c r="N394" s="642"/>
      <c r="O394" s="642"/>
      <c r="P394" s="642"/>
      <c r="Q394" s="642"/>
      <c r="R394" s="642"/>
      <c r="S394" s="642"/>
      <c r="T394" s="642"/>
      <c r="U394" s="642"/>
      <c r="V394" s="642"/>
      <c r="W394" s="642"/>
    </row>
    <row r="395" spans="1:23" ht="15" customHeight="1">
      <c r="A395" s="642"/>
      <c r="B395" s="642"/>
      <c r="C395" s="642"/>
      <c r="D395" s="154"/>
      <c r="E395" s="154"/>
      <c r="F395" s="642"/>
      <c r="H395" s="642"/>
      <c r="I395" s="642"/>
      <c r="J395" s="642"/>
      <c r="K395" s="642"/>
      <c r="L395" s="642"/>
      <c r="M395" s="642"/>
      <c r="N395" s="642"/>
      <c r="O395" s="642"/>
      <c r="P395" s="642"/>
      <c r="Q395" s="642"/>
      <c r="R395" s="642"/>
      <c r="S395" s="642"/>
      <c r="T395" s="642"/>
      <c r="U395" s="642"/>
      <c r="V395" s="642"/>
      <c r="W395" s="642"/>
    </row>
    <row r="396" spans="1:23" ht="15" customHeight="1">
      <c r="A396" s="642"/>
      <c r="B396" s="642"/>
      <c r="C396" s="642"/>
      <c r="D396" s="154"/>
      <c r="E396" s="154"/>
      <c r="F396" s="642"/>
      <c r="H396" s="642"/>
      <c r="I396" s="642"/>
      <c r="J396" s="642"/>
      <c r="K396" s="642"/>
      <c r="L396" s="642"/>
      <c r="M396" s="642"/>
      <c r="N396" s="642"/>
      <c r="O396" s="642"/>
      <c r="P396" s="642"/>
      <c r="Q396" s="642"/>
      <c r="R396" s="642"/>
      <c r="S396" s="642"/>
      <c r="T396" s="642"/>
      <c r="U396" s="642"/>
      <c r="V396" s="642"/>
      <c r="W396" s="642"/>
    </row>
    <row r="397" spans="1:23" ht="15" customHeight="1">
      <c r="A397" s="642"/>
      <c r="B397" s="642"/>
      <c r="C397" s="642"/>
      <c r="D397" s="154"/>
      <c r="E397" s="154"/>
      <c r="F397" s="642"/>
      <c r="H397" s="642"/>
      <c r="I397" s="642"/>
      <c r="J397" s="642"/>
      <c r="K397" s="642"/>
      <c r="L397" s="642"/>
      <c r="M397" s="642"/>
      <c r="N397" s="642"/>
      <c r="O397" s="642"/>
      <c r="P397" s="642"/>
      <c r="Q397" s="642"/>
      <c r="R397" s="642"/>
      <c r="S397" s="642"/>
      <c r="T397" s="642"/>
      <c r="U397" s="642"/>
      <c r="V397" s="642"/>
      <c r="W397" s="642"/>
    </row>
    <row r="398" spans="1:23" ht="15" customHeight="1">
      <c r="A398" s="642"/>
      <c r="B398" s="642"/>
      <c r="C398" s="642"/>
      <c r="D398" s="154"/>
      <c r="E398" s="154"/>
      <c r="F398" s="642"/>
      <c r="H398" s="642"/>
      <c r="I398" s="642"/>
      <c r="J398" s="642"/>
      <c r="K398" s="642"/>
      <c r="L398" s="642"/>
      <c r="M398" s="642"/>
      <c r="N398" s="642"/>
      <c r="O398" s="642"/>
      <c r="P398" s="642"/>
      <c r="Q398" s="642"/>
      <c r="R398" s="642"/>
      <c r="S398" s="642"/>
      <c r="T398" s="642"/>
      <c r="U398" s="642"/>
      <c r="V398" s="642"/>
      <c r="W398" s="642"/>
    </row>
    <row r="399" spans="1:23" ht="15" customHeight="1">
      <c r="A399" s="642"/>
      <c r="B399" s="642"/>
      <c r="C399" s="642"/>
      <c r="D399" s="154"/>
      <c r="E399" s="154"/>
      <c r="F399" s="642"/>
      <c r="H399" s="642"/>
      <c r="I399" s="642"/>
      <c r="J399" s="642"/>
      <c r="K399" s="642"/>
      <c r="L399" s="642"/>
      <c r="M399" s="642"/>
      <c r="N399" s="642"/>
      <c r="O399" s="642"/>
      <c r="P399" s="642"/>
      <c r="Q399" s="642"/>
      <c r="R399" s="642"/>
      <c r="S399" s="642"/>
      <c r="T399" s="642"/>
      <c r="U399" s="642"/>
      <c r="V399" s="642"/>
      <c r="W399" s="642"/>
    </row>
    <row r="400" spans="1:23" ht="15" customHeight="1">
      <c r="A400" s="642"/>
      <c r="B400" s="642"/>
      <c r="C400" s="642"/>
      <c r="D400" s="154"/>
      <c r="E400" s="154"/>
      <c r="F400" s="642"/>
      <c r="H400" s="642"/>
      <c r="I400" s="642"/>
      <c r="J400" s="642"/>
      <c r="K400" s="642"/>
      <c r="L400" s="642"/>
      <c r="M400" s="642"/>
      <c r="N400" s="642"/>
      <c r="O400" s="642"/>
      <c r="P400" s="642"/>
      <c r="Q400" s="642"/>
      <c r="R400" s="642"/>
      <c r="S400" s="642"/>
      <c r="T400" s="642"/>
      <c r="U400" s="642"/>
      <c r="V400" s="642"/>
      <c r="W400" s="642"/>
    </row>
    <row r="401" spans="1:23" ht="15" customHeight="1">
      <c r="A401" s="642"/>
      <c r="B401" s="642"/>
      <c r="C401" s="642"/>
      <c r="D401" s="154"/>
      <c r="E401" s="154"/>
      <c r="F401" s="642"/>
      <c r="H401" s="642"/>
      <c r="I401" s="642"/>
      <c r="J401" s="642"/>
      <c r="K401" s="642"/>
      <c r="L401" s="642"/>
      <c r="M401" s="642"/>
      <c r="N401" s="642"/>
      <c r="O401" s="642"/>
      <c r="P401" s="642"/>
      <c r="Q401" s="642"/>
      <c r="R401" s="642"/>
      <c r="S401" s="642"/>
      <c r="T401" s="642"/>
      <c r="U401" s="642"/>
      <c r="V401" s="642"/>
      <c r="W401" s="642"/>
    </row>
    <row r="402" spans="1:23" ht="15" customHeight="1">
      <c r="A402" s="642"/>
      <c r="B402" s="642"/>
      <c r="C402" s="642"/>
      <c r="D402" s="154"/>
      <c r="E402" s="154"/>
      <c r="F402" s="642"/>
      <c r="H402" s="642"/>
      <c r="I402" s="642"/>
      <c r="J402" s="642"/>
      <c r="K402" s="642"/>
      <c r="L402" s="642"/>
      <c r="M402" s="642"/>
      <c r="N402" s="642"/>
      <c r="O402" s="642"/>
      <c r="P402" s="642"/>
      <c r="Q402" s="642"/>
      <c r="R402" s="642"/>
      <c r="S402" s="642"/>
      <c r="T402" s="642"/>
      <c r="U402" s="642"/>
      <c r="V402" s="642"/>
      <c r="W402" s="642"/>
    </row>
    <row r="403" spans="1:23" ht="15" customHeight="1">
      <c r="A403" s="642"/>
      <c r="B403" s="642"/>
      <c r="C403" s="642"/>
      <c r="D403" s="154"/>
      <c r="E403" s="154"/>
      <c r="F403" s="642"/>
      <c r="H403" s="642"/>
      <c r="I403" s="642"/>
      <c r="J403" s="642"/>
      <c r="K403" s="642"/>
      <c r="L403" s="642"/>
      <c r="M403" s="642"/>
      <c r="N403" s="642"/>
      <c r="O403" s="642"/>
      <c r="P403" s="642"/>
      <c r="Q403" s="642"/>
      <c r="R403" s="642"/>
      <c r="S403" s="642"/>
      <c r="T403" s="642"/>
      <c r="U403" s="642"/>
      <c r="V403" s="642"/>
      <c r="W403" s="642"/>
    </row>
    <row r="404" spans="1:23" ht="15" customHeight="1">
      <c r="A404" s="642"/>
      <c r="B404" s="642"/>
      <c r="C404" s="642"/>
      <c r="D404" s="154"/>
      <c r="E404" s="154"/>
      <c r="F404" s="642"/>
      <c r="H404" s="642"/>
      <c r="I404" s="642"/>
      <c r="J404" s="642"/>
      <c r="K404" s="642"/>
      <c r="L404" s="642"/>
      <c r="M404" s="642"/>
      <c r="N404" s="642"/>
      <c r="O404" s="642"/>
      <c r="P404" s="642"/>
      <c r="Q404" s="642"/>
      <c r="R404" s="642"/>
      <c r="S404" s="642"/>
      <c r="T404" s="642"/>
      <c r="U404" s="642"/>
      <c r="V404" s="642"/>
      <c r="W404" s="642"/>
    </row>
    <row r="405" spans="1:23" ht="15" customHeight="1">
      <c r="A405" s="642"/>
      <c r="B405" s="642"/>
      <c r="C405" s="642"/>
      <c r="D405" s="154"/>
      <c r="E405" s="154"/>
      <c r="F405" s="642"/>
      <c r="H405" s="642"/>
      <c r="I405" s="642"/>
      <c r="J405" s="642"/>
      <c r="K405" s="642"/>
      <c r="L405" s="642"/>
      <c r="M405" s="642"/>
      <c r="N405" s="642"/>
      <c r="O405" s="642"/>
      <c r="P405" s="642"/>
      <c r="Q405" s="642"/>
      <c r="R405" s="642"/>
      <c r="S405" s="642"/>
      <c r="T405" s="642"/>
      <c r="U405" s="642"/>
      <c r="V405" s="642"/>
      <c r="W405" s="642"/>
    </row>
    <row r="406" spans="1:23" ht="15" customHeight="1">
      <c r="A406" s="642"/>
      <c r="B406" s="642"/>
      <c r="C406" s="642"/>
      <c r="D406" s="154"/>
      <c r="E406" s="154"/>
      <c r="F406" s="642"/>
      <c r="H406" s="642"/>
      <c r="I406" s="642"/>
      <c r="J406" s="642"/>
      <c r="K406" s="642"/>
      <c r="L406" s="642"/>
      <c r="M406" s="642"/>
      <c r="N406" s="642"/>
      <c r="O406" s="642"/>
      <c r="P406" s="642"/>
      <c r="Q406" s="642"/>
      <c r="R406" s="642"/>
      <c r="S406" s="642"/>
      <c r="T406" s="642"/>
      <c r="U406" s="642"/>
      <c r="V406" s="642"/>
      <c r="W406" s="642"/>
    </row>
    <row r="407" spans="1:23" ht="15" customHeight="1">
      <c r="A407" s="642"/>
      <c r="B407" s="642"/>
      <c r="C407" s="642"/>
      <c r="D407" s="154"/>
      <c r="E407" s="154"/>
      <c r="F407" s="642"/>
      <c r="H407" s="642"/>
      <c r="I407" s="642"/>
      <c r="J407" s="642"/>
      <c r="K407" s="642"/>
      <c r="L407" s="642"/>
      <c r="M407" s="642"/>
      <c r="N407" s="642"/>
      <c r="O407" s="642"/>
      <c r="P407" s="642"/>
      <c r="Q407" s="642"/>
      <c r="R407" s="642"/>
      <c r="S407" s="642"/>
      <c r="T407" s="642"/>
      <c r="U407" s="642"/>
      <c r="V407" s="642"/>
      <c r="W407" s="642"/>
    </row>
    <row r="408" spans="1:23" ht="15" customHeight="1">
      <c r="A408" s="642"/>
      <c r="B408" s="642"/>
      <c r="C408" s="642"/>
      <c r="D408" s="154"/>
      <c r="E408" s="154"/>
      <c r="F408" s="642"/>
      <c r="H408" s="642"/>
      <c r="I408" s="642"/>
      <c r="J408" s="642"/>
      <c r="K408" s="642"/>
      <c r="L408" s="642"/>
      <c r="M408" s="642"/>
      <c r="N408" s="642"/>
      <c r="O408" s="642"/>
      <c r="P408" s="642"/>
      <c r="Q408" s="642"/>
      <c r="R408" s="642"/>
      <c r="S408" s="642"/>
      <c r="T408" s="642"/>
      <c r="U408" s="642"/>
      <c r="V408" s="642"/>
      <c r="W408" s="642"/>
    </row>
    <row r="409" spans="1:23" ht="15" customHeight="1">
      <c r="A409" s="642"/>
      <c r="B409" s="642"/>
      <c r="C409" s="642"/>
      <c r="D409" s="154"/>
      <c r="E409" s="154"/>
      <c r="F409" s="642"/>
      <c r="H409" s="642"/>
      <c r="I409" s="642"/>
      <c r="J409" s="642"/>
      <c r="K409" s="642"/>
      <c r="L409" s="642"/>
      <c r="M409" s="642"/>
      <c r="N409" s="642"/>
      <c r="O409" s="642"/>
      <c r="P409" s="642"/>
      <c r="Q409" s="642"/>
      <c r="R409" s="642"/>
      <c r="S409" s="642"/>
      <c r="T409" s="642"/>
      <c r="U409" s="642"/>
      <c r="V409" s="642"/>
      <c r="W409" s="642"/>
    </row>
    <row r="410" spans="1:23" ht="15" customHeight="1">
      <c r="A410" s="642"/>
      <c r="B410" s="642"/>
      <c r="C410" s="642"/>
      <c r="D410" s="154"/>
      <c r="E410" s="154"/>
      <c r="F410" s="642"/>
      <c r="H410" s="642"/>
      <c r="I410" s="642"/>
      <c r="J410" s="642"/>
      <c r="K410" s="642"/>
      <c r="L410" s="642"/>
      <c r="M410" s="642"/>
      <c r="N410" s="642"/>
      <c r="O410" s="642"/>
      <c r="P410" s="642"/>
      <c r="Q410" s="642"/>
      <c r="R410" s="642"/>
      <c r="S410" s="642"/>
      <c r="T410" s="642"/>
      <c r="U410" s="642"/>
      <c r="V410" s="642"/>
      <c r="W410" s="642"/>
    </row>
    <row r="411" spans="1:23" ht="15" customHeight="1">
      <c r="A411" s="642"/>
      <c r="B411" s="642"/>
      <c r="C411" s="642"/>
      <c r="D411" s="154"/>
      <c r="E411" s="154"/>
      <c r="F411" s="642"/>
      <c r="H411" s="642"/>
      <c r="I411" s="642"/>
      <c r="J411" s="642"/>
      <c r="K411" s="642"/>
      <c r="L411" s="642"/>
      <c r="M411" s="642"/>
      <c r="N411" s="642"/>
      <c r="O411" s="642"/>
      <c r="P411" s="642"/>
      <c r="Q411" s="642"/>
      <c r="R411" s="642"/>
      <c r="S411" s="642"/>
      <c r="T411" s="642"/>
      <c r="U411" s="642"/>
      <c r="V411" s="642"/>
      <c r="W411" s="642"/>
    </row>
    <row r="412" spans="1:23" ht="15" customHeight="1">
      <c r="A412" s="642"/>
      <c r="B412" s="642"/>
      <c r="C412" s="642"/>
      <c r="D412" s="154"/>
      <c r="E412" s="154"/>
      <c r="F412" s="642"/>
      <c r="H412" s="642"/>
      <c r="I412" s="642"/>
      <c r="J412" s="642"/>
      <c r="K412" s="642"/>
      <c r="L412" s="642"/>
      <c r="M412" s="642"/>
      <c r="N412" s="642"/>
      <c r="O412" s="642"/>
      <c r="P412" s="642"/>
      <c r="Q412" s="642"/>
      <c r="R412" s="642"/>
      <c r="S412" s="642"/>
      <c r="T412" s="642"/>
      <c r="U412" s="642"/>
      <c r="V412" s="642"/>
      <c r="W412" s="642"/>
    </row>
    <row r="413" spans="1:23" ht="15" customHeight="1">
      <c r="A413" s="642"/>
      <c r="B413" s="642"/>
      <c r="C413" s="642"/>
      <c r="D413" s="154"/>
      <c r="E413" s="154"/>
      <c r="F413" s="642"/>
      <c r="H413" s="642"/>
      <c r="I413" s="642"/>
      <c r="J413" s="642"/>
      <c r="K413" s="642"/>
      <c r="L413" s="642"/>
      <c r="M413" s="642"/>
      <c r="N413" s="642"/>
      <c r="O413" s="642"/>
      <c r="P413" s="642"/>
      <c r="Q413" s="642"/>
      <c r="R413" s="642"/>
      <c r="S413" s="642"/>
      <c r="T413" s="642"/>
      <c r="U413" s="642"/>
      <c r="V413" s="642"/>
      <c r="W413" s="642"/>
    </row>
    <row r="414" spans="1:23" ht="15" customHeight="1">
      <c r="A414" s="642"/>
      <c r="B414" s="642"/>
      <c r="C414" s="642"/>
      <c r="D414" s="154"/>
      <c r="E414" s="154"/>
      <c r="F414" s="642"/>
      <c r="H414" s="642"/>
      <c r="I414" s="642"/>
      <c r="J414" s="642"/>
      <c r="K414" s="642"/>
      <c r="L414" s="642"/>
      <c r="M414" s="642"/>
      <c r="N414" s="642"/>
      <c r="O414" s="642"/>
      <c r="P414" s="642"/>
      <c r="Q414" s="642"/>
      <c r="R414" s="642"/>
      <c r="S414" s="642"/>
      <c r="T414" s="642"/>
      <c r="U414" s="642"/>
      <c r="V414" s="642"/>
      <c r="W414" s="642"/>
    </row>
    <row r="415" spans="1:23" ht="15" customHeight="1">
      <c r="A415" s="642"/>
      <c r="B415" s="642"/>
      <c r="C415" s="642"/>
      <c r="D415" s="154"/>
      <c r="E415" s="154"/>
      <c r="F415" s="642"/>
      <c r="H415" s="642"/>
      <c r="I415" s="642"/>
      <c r="J415" s="642"/>
      <c r="K415" s="642"/>
      <c r="L415" s="642"/>
      <c r="M415" s="642"/>
      <c r="N415" s="642"/>
      <c r="O415" s="642"/>
      <c r="P415" s="642"/>
      <c r="Q415" s="642"/>
      <c r="R415" s="642"/>
      <c r="S415" s="642"/>
      <c r="T415" s="642"/>
      <c r="U415" s="642"/>
      <c r="V415" s="642"/>
      <c r="W415" s="642"/>
    </row>
    <row r="416" spans="1:23" ht="15" customHeight="1">
      <c r="A416" s="642"/>
      <c r="B416" s="642"/>
      <c r="C416" s="642"/>
      <c r="D416" s="154"/>
      <c r="E416" s="154"/>
      <c r="F416" s="642"/>
      <c r="H416" s="642"/>
      <c r="I416" s="642"/>
      <c r="J416" s="642"/>
      <c r="K416" s="642"/>
      <c r="L416" s="642"/>
      <c r="M416" s="642"/>
      <c r="N416" s="642"/>
      <c r="O416" s="642"/>
      <c r="P416" s="642"/>
      <c r="Q416" s="642"/>
      <c r="R416" s="642"/>
      <c r="S416" s="642"/>
      <c r="T416" s="642"/>
      <c r="U416" s="642"/>
      <c r="V416" s="642"/>
      <c r="W416" s="642"/>
    </row>
    <row r="417" spans="1:23" ht="15" customHeight="1">
      <c r="A417" s="642"/>
      <c r="B417" s="642"/>
      <c r="C417" s="642"/>
      <c r="D417" s="154"/>
      <c r="E417" s="154"/>
      <c r="F417" s="642"/>
      <c r="H417" s="642"/>
      <c r="I417" s="642"/>
      <c r="J417" s="642"/>
      <c r="K417" s="642"/>
      <c r="L417" s="642"/>
      <c r="M417" s="642"/>
      <c r="N417" s="642"/>
      <c r="O417" s="642"/>
      <c r="P417" s="642"/>
      <c r="Q417" s="642"/>
      <c r="R417" s="642"/>
      <c r="S417" s="642"/>
      <c r="T417" s="642"/>
      <c r="U417" s="642"/>
      <c r="V417" s="642"/>
      <c r="W417" s="642"/>
    </row>
    <row r="418" spans="1:23" ht="15" customHeight="1">
      <c r="A418" s="642"/>
      <c r="B418" s="642"/>
      <c r="C418" s="642"/>
      <c r="D418" s="154"/>
      <c r="E418" s="154"/>
      <c r="F418" s="642"/>
      <c r="H418" s="642"/>
      <c r="I418" s="642"/>
      <c r="J418" s="642"/>
      <c r="K418" s="642"/>
      <c r="L418" s="642"/>
      <c r="M418" s="642"/>
      <c r="N418" s="642"/>
      <c r="O418" s="642"/>
      <c r="P418" s="642"/>
      <c r="Q418" s="642"/>
      <c r="R418" s="642"/>
      <c r="S418" s="642"/>
      <c r="T418" s="642"/>
      <c r="U418" s="642"/>
      <c r="V418" s="642"/>
      <c r="W418" s="642"/>
    </row>
    <row r="419" spans="1:23" ht="15" customHeight="1">
      <c r="A419" s="642"/>
      <c r="B419" s="642"/>
      <c r="C419" s="642"/>
      <c r="D419" s="154"/>
      <c r="E419" s="154"/>
      <c r="F419" s="642"/>
      <c r="H419" s="642"/>
      <c r="I419" s="642"/>
      <c r="J419" s="642"/>
      <c r="K419" s="642"/>
      <c r="L419" s="642"/>
      <c r="M419" s="642"/>
      <c r="N419" s="642"/>
      <c r="O419" s="642"/>
      <c r="P419" s="642"/>
      <c r="Q419" s="642"/>
      <c r="R419" s="642"/>
      <c r="S419" s="642"/>
      <c r="T419" s="642"/>
      <c r="U419" s="642"/>
      <c r="V419" s="642"/>
      <c r="W419" s="642"/>
    </row>
    <row r="420" spans="1:23" ht="15" customHeight="1">
      <c r="A420" s="642"/>
      <c r="B420" s="642"/>
      <c r="C420" s="642"/>
      <c r="D420" s="154"/>
      <c r="E420" s="154"/>
      <c r="F420" s="642"/>
      <c r="H420" s="642"/>
      <c r="I420" s="642"/>
      <c r="J420" s="642"/>
      <c r="K420" s="642"/>
      <c r="L420" s="642"/>
      <c r="M420" s="642"/>
      <c r="N420" s="642"/>
      <c r="O420" s="642"/>
      <c r="P420" s="642"/>
      <c r="Q420" s="642"/>
      <c r="R420" s="642"/>
      <c r="S420" s="642"/>
      <c r="T420" s="642"/>
      <c r="U420" s="642"/>
      <c r="V420" s="642"/>
      <c r="W420" s="642"/>
    </row>
    <row r="421" spans="1:23" ht="15" customHeight="1">
      <c r="A421" s="642"/>
      <c r="B421" s="642"/>
      <c r="C421" s="642"/>
      <c r="D421" s="154"/>
      <c r="E421" s="154"/>
      <c r="F421" s="642"/>
      <c r="H421" s="642"/>
      <c r="I421" s="642"/>
      <c r="J421" s="642"/>
      <c r="K421" s="642"/>
      <c r="L421" s="642"/>
      <c r="M421" s="642"/>
      <c r="N421" s="642"/>
      <c r="O421" s="642"/>
      <c r="P421" s="642"/>
      <c r="Q421" s="642"/>
      <c r="R421" s="642"/>
      <c r="S421" s="642"/>
      <c r="T421" s="642"/>
      <c r="U421" s="642"/>
      <c r="V421" s="642"/>
      <c r="W421" s="642"/>
    </row>
    <row r="422" spans="1:23" ht="15" customHeight="1">
      <c r="A422" s="642"/>
      <c r="B422" s="642"/>
      <c r="C422" s="642"/>
      <c r="D422" s="154"/>
      <c r="E422" s="154"/>
      <c r="F422" s="642"/>
      <c r="H422" s="642"/>
      <c r="I422" s="642"/>
      <c r="J422" s="642"/>
      <c r="K422" s="642"/>
      <c r="L422" s="642"/>
      <c r="M422" s="642"/>
      <c r="N422" s="642"/>
      <c r="O422" s="642"/>
      <c r="P422" s="642"/>
      <c r="Q422" s="642"/>
      <c r="R422" s="642"/>
      <c r="S422" s="642"/>
      <c r="T422" s="642"/>
      <c r="U422" s="642"/>
      <c r="V422" s="642"/>
      <c r="W422" s="642"/>
    </row>
    <row r="423" spans="1:23" ht="15" customHeight="1">
      <c r="A423" s="642"/>
      <c r="B423" s="642"/>
      <c r="C423" s="642"/>
      <c r="D423" s="154"/>
      <c r="E423" s="154"/>
      <c r="F423" s="642"/>
      <c r="H423" s="642"/>
      <c r="I423" s="642"/>
      <c r="J423" s="642"/>
      <c r="K423" s="642"/>
      <c r="L423" s="642"/>
      <c r="M423" s="642"/>
      <c r="N423" s="642"/>
      <c r="O423" s="642"/>
      <c r="P423" s="642"/>
      <c r="Q423" s="642"/>
      <c r="R423" s="642"/>
      <c r="S423" s="642"/>
      <c r="T423" s="642"/>
      <c r="U423" s="642"/>
      <c r="V423" s="642"/>
      <c r="W423" s="642"/>
    </row>
    <row r="424" spans="1:23" ht="15" customHeight="1">
      <c r="A424" s="642"/>
      <c r="B424" s="642"/>
      <c r="C424" s="642"/>
      <c r="D424" s="154"/>
      <c r="E424" s="154"/>
      <c r="F424" s="642"/>
      <c r="H424" s="642"/>
      <c r="I424" s="642"/>
      <c r="J424" s="642"/>
      <c r="K424" s="642"/>
      <c r="L424" s="642"/>
      <c r="M424" s="642"/>
      <c r="N424" s="642"/>
      <c r="O424" s="642"/>
      <c r="P424" s="642"/>
      <c r="Q424" s="642"/>
      <c r="R424" s="642"/>
      <c r="S424" s="642"/>
      <c r="T424" s="642"/>
      <c r="U424" s="642"/>
      <c r="V424" s="642"/>
      <c r="W424" s="642"/>
    </row>
    <row r="425" spans="1:23" ht="15" customHeight="1">
      <c r="A425" s="642"/>
      <c r="B425" s="642"/>
      <c r="C425" s="642"/>
      <c r="D425" s="154"/>
      <c r="E425" s="154"/>
      <c r="F425" s="642"/>
      <c r="H425" s="642"/>
      <c r="I425" s="642"/>
      <c r="J425" s="642"/>
      <c r="K425" s="642"/>
      <c r="L425" s="642"/>
      <c r="M425" s="642"/>
      <c r="N425" s="642"/>
      <c r="O425" s="642"/>
      <c r="P425" s="642"/>
      <c r="Q425" s="642"/>
      <c r="R425" s="642"/>
      <c r="S425" s="642"/>
      <c r="T425" s="642"/>
      <c r="U425" s="642"/>
      <c r="V425" s="642"/>
      <c r="W425" s="642"/>
    </row>
    <row r="426" spans="1:23" ht="15" customHeight="1">
      <c r="A426" s="642"/>
      <c r="B426" s="642"/>
      <c r="C426" s="642"/>
      <c r="D426" s="154"/>
      <c r="E426" s="154"/>
      <c r="F426" s="642"/>
      <c r="H426" s="642"/>
      <c r="I426" s="642"/>
      <c r="J426" s="642"/>
      <c r="K426" s="642"/>
      <c r="L426" s="642"/>
      <c r="M426" s="642"/>
      <c r="N426" s="642"/>
      <c r="O426" s="642"/>
      <c r="P426" s="642"/>
      <c r="Q426" s="642"/>
      <c r="R426" s="642"/>
      <c r="S426" s="642"/>
      <c r="T426" s="642"/>
      <c r="U426" s="642"/>
      <c r="V426" s="642"/>
      <c r="W426" s="642"/>
    </row>
    <row r="427" spans="1:23" ht="15" customHeight="1">
      <c r="A427" s="642"/>
      <c r="B427" s="642"/>
      <c r="C427" s="642"/>
      <c r="D427" s="154"/>
      <c r="E427" s="154"/>
      <c r="F427" s="642"/>
      <c r="H427" s="642"/>
      <c r="I427" s="642"/>
      <c r="J427" s="642"/>
      <c r="K427" s="642"/>
      <c r="L427" s="642"/>
      <c r="M427" s="642"/>
      <c r="N427" s="642"/>
      <c r="O427" s="642"/>
      <c r="P427" s="642"/>
      <c r="Q427" s="642"/>
      <c r="R427" s="642"/>
      <c r="S427" s="642"/>
      <c r="T427" s="642"/>
      <c r="U427" s="642"/>
      <c r="V427" s="642"/>
      <c r="W427" s="642"/>
    </row>
    <row r="428" spans="1:23" ht="15" customHeight="1">
      <c r="A428" s="642"/>
      <c r="B428" s="642"/>
      <c r="C428" s="642"/>
      <c r="D428" s="154"/>
      <c r="E428" s="154"/>
      <c r="F428" s="642"/>
      <c r="H428" s="642"/>
      <c r="I428" s="642"/>
      <c r="J428" s="642"/>
      <c r="K428" s="642"/>
      <c r="L428" s="642"/>
      <c r="M428" s="642"/>
      <c r="N428" s="642"/>
      <c r="O428" s="642"/>
      <c r="P428" s="642"/>
      <c r="Q428" s="642"/>
      <c r="R428" s="642"/>
      <c r="S428" s="642"/>
      <c r="T428" s="642"/>
      <c r="U428" s="642"/>
      <c r="V428" s="642"/>
      <c r="W428" s="642"/>
    </row>
    <row r="429" spans="1:23" ht="15" customHeight="1">
      <c r="A429" s="642"/>
      <c r="B429" s="642"/>
      <c r="C429" s="642"/>
      <c r="D429" s="154"/>
      <c r="E429" s="154"/>
      <c r="F429" s="642"/>
      <c r="H429" s="642"/>
      <c r="I429" s="642"/>
      <c r="J429" s="642"/>
      <c r="K429" s="642"/>
      <c r="L429" s="642"/>
      <c r="M429" s="642"/>
      <c r="N429" s="642"/>
      <c r="O429" s="642"/>
      <c r="P429" s="642"/>
      <c r="Q429" s="642"/>
      <c r="R429" s="642"/>
      <c r="S429" s="642"/>
      <c r="T429" s="642"/>
      <c r="U429" s="642"/>
      <c r="V429" s="642"/>
      <c r="W429" s="642"/>
    </row>
    <row r="430" spans="1:23" ht="15" customHeight="1">
      <c r="A430" s="642"/>
      <c r="B430" s="642"/>
      <c r="C430" s="642"/>
      <c r="D430" s="154"/>
      <c r="E430" s="154"/>
      <c r="F430" s="642"/>
      <c r="H430" s="642"/>
      <c r="I430" s="642"/>
      <c r="J430" s="642"/>
      <c r="K430" s="642"/>
      <c r="L430" s="642"/>
      <c r="M430" s="642"/>
      <c r="N430" s="642"/>
      <c r="O430" s="642"/>
      <c r="P430" s="642"/>
      <c r="Q430" s="642"/>
      <c r="R430" s="642"/>
      <c r="S430" s="642"/>
      <c r="T430" s="642"/>
      <c r="U430" s="642"/>
      <c r="V430" s="642"/>
      <c r="W430" s="642"/>
    </row>
    <row r="431" spans="1:23" ht="15" customHeight="1">
      <c r="A431" s="642"/>
      <c r="B431" s="642"/>
      <c r="C431" s="642"/>
      <c r="D431" s="154"/>
      <c r="E431" s="154"/>
      <c r="F431" s="642"/>
      <c r="H431" s="642"/>
      <c r="I431" s="642"/>
      <c r="J431" s="642"/>
      <c r="K431" s="642"/>
      <c r="L431" s="642"/>
      <c r="M431" s="642"/>
      <c r="N431" s="642"/>
      <c r="O431" s="642"/>
      <c r="P431" s="642"/>
      <c r="Q431" s="642"/>
      <c r="R431" s="642"/>
      <c r="S431" s="642"/>
      <c r="T431" s="642"/>
      <c r="U431" s="642"/>
      <c r="V431" s="642"/>
      <c r="W431" s="642"/>
    </row>
    <row r="432" spans="1:23" ht="15" customHeight="1">
      <c r="A432" s="642"/>
      <c r="B432" s="642"/>
      <c r="C432" s="642"/>
      <c r="D432" s="154"/>
      <c r="E432" s="154"/>
      <c r="F432" s="642"/>
      <c r="H432" s="642"/>
      <c r="I432" s="642"/>
      <c r="J432" s="642"/>
      <c r="K432" s="642"/>
      <c r="L432" s="642"/>
      <c r="M432" s="642"/>
      <c r="N432" s="642"/>
      <c r="O432" s="642"/>
      <c r="P432" s="642"/>
      <c r="Q432" s="642"/>
      <c r="R432" s="642"/>
      <c r="S432" s="642"/>
      <c r="T432" s="642"/>
      <c r="U432" s="642"/>
      <c r="V432" s="642"/>
      <c r="W432" s="642"/>
    </row>
    <row r="433" spans="1:23" ht="15" customHeight="1">
      <c r="A433" s="642"/>
      <c r="B433" s="642"/>
      <c r="C433" s="642"/>
      <c r="D433" s="154"/>
      <c r="E433" s="154"/>
      <c r="F433" s="642"/>
      <c r="H433" s="642"/>
      <c r="I433" s="642"/>
      <c r="J433" s="642"/>
      <c r="K433" s="642"/>
      <c r="L433" s="642"/>
      <c r="M433" s="642"/>
      <c r="N433" s="642"/>
      <c r="O433" s="642"/>
      <c r="P433" s="642"/>
      <c r="Q433" s="642"/>
      <c r="R433" s="642"/>
      <c r="S433" s="642"/>
      <c r="T433" s="642"/>
      <c r="U433" s="642"/>
      <c r="V433" s="642"/>
      <c r="W433" s="642"/>
    </row>
    <row r="434" spans="1:23" ht="15" customHeight="1">
      <c r="A434" s="642"/>
      <c r="B434" s="642"/>
      <c r="C434" s="642"/>
      <c r="D434" s="154"/>
      <c r="E434" s="154"/>
      <c r="F434" s="642"/>
      <c r="H434" s="642"/>
      <c r="I434" s="642"/>
      <c r="J434" s="642"/>
      <c r="K434" s="642"/>
      <c r="L434" s="642"/>
      <c r="M434" s="642"/>
      <c r="N434" s="642"/>
      <c r="O434" s="642"/>
      <c r="P434" s="642"/>
      <c r="Q434" s="642"/>
      <c r="R434" s="642"/>
      <c r="S434" s="642"/>
      <c r="T434" s="642"/>
      <c r="U434" s="642"/>
      <c r="V434" s="642"/>
      <c r="W434" s="642"/>
    </row>
    <row r="435" spans="1:23" ht="15" customHeight="1">
      <c r="A435" s="642"/>
      <c r="B435" s="642"/>
      <c r="C435" s="642"/>
      <c r="D435" s="154"/>
      <c r="E435" s="154"/>
      <c r="F435" s="642"/>
      <c r="H435" s="642"/>
      <c r="I435" s="642"/>
      <c r="J435" s="642"/>
      <c r="K435" s="642"/>
      <c r="L435" s="642"/>
      <c r="M435" s="642"/>
      <c r="N435" s="642"/>
      <c r="O435" s="642"/>
      <c r="P435" s="642"/>
      <c r="Q435" s="642"/>
      <c r="R435" s="642"/>
      <c r="S435" s="642"/>
      <c r="T435" s="642"/>
      <c r="U435" s="642"/>
      <c r="V435" s="642"/>
      <c r="W435" s="642"/>
    </row>
    <row r="436" spans="1:23" ht="15" customHeight="1">
      <c r="A436" s="642"/>
      <c r="B436" s="642"/>
      <c r="C436" s="642"/>
      <c r="D436" s="154"/>
      <c r="E436" s="154"/>
      <c r="F436" s="642"/>
      <c r="H436" s="642"/>
      <c r="I436" s="642"/>
      <c r="J436" s="642"/>
      <c r="K436" s="642"/>
      <c r="L436" s="642"/>
      <c r="M436" s="642"/>
      <c r="N436" s="642"/>
      <c r="O436" s="642"/>
      <c r="P436" s="642"/>
      <c r="Q436" s="642"/>
      <c r="R436" s="642"/>
      <c r="S436" s="642"/>
      <c r="T436" s="642"/>
      <c r="U436" s="642"/>
      <c r="V436" s="642"/>
      <c r="W436" s="642"/>
    </row>
    <row r="437" spans="1:23" ht="15" customHeight="1">
      <c r="A437" s="642"/>
      <c r="B437" s="642"/>
      <c r="C437" s="642"/>
      <c r="D437" s="154"/>
      <c r="E437" s="154"/>
      <c r="F437" s="642"/>
      <c r="H437" s="642"/>
      <c r="I437" s="642"/>
      <c r="J437" s="642"/>
      <c r="K437" s="642"/>
      <c r="L437" s="642"/>
      <c r="M437" s="642"/>
      <c r="N437" s="642"/>
      <c r="O437" s="642"/>
      <c r="P437" s="642"/>
      <c r="Q437" s="642"/>
      <c r="R437" s="642"/>
      <c r="S437" s="642"/>
      <c r="T437" s="642"/>
      <c r="U437" s="642"/>
      <c r="V437" s="642"/>
      <c r="W437" s="642"/>
    </row>
    <row r="438" spans="1:23" ht="15" customHeight="1">
      <c r="A438" s="642"/>
      <c r="B438" s="642"/>
      <c r="C438" s="642"/>
      <c r="D438" s="154"/>
      <c r="E438" s="154"/>
      <c r="F438" s="642"/>
      <c r="H438" s="642"/>
      <c r="I438" s="642"/>
      <c r="J438" s="642"/>
      <c r="K438" s="642"/>
      <c r="L438" s="642"/>
      <c r="M438" s="642"/>
      <c r="N438" s="642"/>
      <c r="O438" s="642"/>
      <c r="P438" s="642"/>
      <c r="Q438" s="642"/>
      <c r="R438" s="642"/>
      <c r="S438" s="642"/>
      <c r="T438" s="642"/>
      <c r="U438" s="642"/>
      <c r="V438" s="642"/>
      <c r="W438" s="642"/>
    </row>
    <row r="439" spans="1:23" ht="15" customHeight="1">
      <c r="A439" s="642"/>
      <c r="B439" s="642"/>
      <c r="C439" s="642"/>
      <c r="D439" s="154"/>
      <c r="E439" s="154"/>
      <c r="F439" s="642"/>
      <c r="H439" s="642"/>
      <c r="I439" s="642"/>
      <c r="J439" s="642"/>
      <c r="K439" s="642"/>
      <c r="L439" s="642"/>
      <c r="M439" s="642"/>
      <c r="N439" s="642"/>
      <c r="O439" s="642"/>
      <c r="P439" s="642"/>
      <c r="Q439" s="642"/>
      <c r="R439" s="642"/>
      <c r="S439" s="642"/>
      <c r="T439" s="642"/>
      <c r="U439" s="642"/>
      <c r="V439" s="642"/>
      <c r="W439" s="642"/>
    </row>
    <row r="440" spans="1:23" ht="15" customHeight="1">
      <c r="A440" s="642"/>
      <c r="B440" s="642"/>
      <c r="C440" s="642"/>
      <c r="D440" s="154"/>
      <c r="E440" s="154"/>
      <c r="F440" s="642"/>
      <c r="H440" s="642"/>
      <c r="I440" s="642"/>
      <c r="J440" s="642"/>
      <c r="K440" s="642"/>
      <c r="L440" s="642"/>
      <c r="M440" s="642"/>
      <c r="N440" s="642"/>
      <c r="O440" s="642"/>
      <c r="P440" s="642"/>
      <c r="Q440" s="642"/>
      <c r="R440" s="642"/>
      <c r="S440" s="642"/>
      <c r="T440" s="642"/>
      <c r="U440" s="642"/>
      <c r="V440" s="642"/>
      <c r="W440" s="642"/>
    </row>
    <row r="441" spans="1:23" ht="15" customHeight="1">
      <c r="A441" s="642"/>
      <c r="B441" s="642"/>
      <c r="C441" s="642"/>
      <c r="D441" s="154"/>
      <c r="E441" s="154"/>
      <c r="F441" s="642"/>
      <c r="H441" s="642"/>
      <c r="I441" s="642"/>
      <c r="J441" s="642"/>
      <c r="K441" s="642"/>
      <c r="L441" s="642"/>
      <c r="M441" s="642"/>
      <c r="N441" s="642"/>
      <c r="O441" s="642"/>
      <c r="P441" s="642"/>
      <c r="Q441" s="642"/>
      <c r="R441" s="642"/>
      <c r="S441" s="642"/>
      <c r="T441" s="642"/>
      <c r="U441" s="642"/>
      <c r="V441" s="642"/>
      <c r="W441" s="642"/>
    </row>
    <row r="442" spans="1:23" ht="15" customHeight="1">
      <c r="A442" s="642"/>
      <c r="B442" s="642"/>
      <c r="C442" s="642"/>
      <c r="D442" s="154"/>
      <c r="E442" s="154"/>
      <c r="F442" s="642"/>
      <c r="H442" s="642"/>
      <c r="I442" s="642"/>
      <c r="J442" s="642"/>
      <c r="K442" s="642"/>
      <c r="L442" s="642"/>
      <c r="M442" s="642"/>
      <c r="N442" s="642"/>
      <c r="O442" s="642"/>
      <c r="P442" s="642"/>
      <c r="Q442" s="642"/>
      <c r="R442" s="642"/>
      <c r="S442" s="642"/>
      <c r="T442" s="642"/>
      <c r="U442" s="642"/>
      <c r="V442" s="642"/>
      <c r="W442" s="642"/>
    </row>
    <row r="443" spans="1:23" ht="15" customHeight="1">
      <c r="A443" s="642"/>
      <c r="B443" s="642"/>
      <c r="C443" s="642"/>
      <c r="D443" s="154"/>
      <c r="E443" s="154"/>
      <c r="F443" s="642"/>
      <c r="H443" s="642"/>
      <c r="I443" s="642"/>
      <c r="J443" s="642"/>
      <c r="K443" s="642"/>
      <c r="L443" s="642"/>
      <c r="M443" s="642"/>
      <c r="N443" s="642"/>
      <c r="O443" s="642"/>
      <c r="P443" s="642"/>
      <c r="Q443" s="642"/>
      <c r="R443" s="642"/>
      <c r="S443" s="642"/>
      <c r="T443" s="642"/>
      <c r="U443" s="642"/>
      <c r="V443" s="642"/>
      <c r="W443" s="642"/>
    </row>
    <row r="444" spans="1:23" ht="15" customHeight="1">
      <c r="A444" s="642"/>
      <c r="B444" s="642"/>
      <c r="C444" s="642"/>
      <c r="D444" s="154"/>
      <c r="E444" s="154"/>
      <c r="F444" s="642"/>
      <c r="H444" s="642"/>
      <c r="I444" s="642"/>
      <c r="J444" s="642"/>
      <c r="K444" s="642"/>
      <c r="L444" s="642"/>
      <c r="M444" s="642"/>
      <c r="N444" s="642"/>
      <c r="O444" s="642"/>
      <c r="P444" s="642"/>
      <c r="Q444" s="642"/>
      <c r="R444" s="642"/>
      <c r="S444" s="642"/>
      <c r="T444" s="642"/>
      <c r="U444" s="642"/>
      <c r="V444" s="642"/>
      <c r="W444" s="642"/>
    </row>
    <row r="445" spans="1:23" ht="15" customHeight="1">
      <c r="A445" s="642"/>
      <c r="B445" s="642"/>
      <c r="C445" s="642"/>
      <c r="D445" s="154"/>
      <c r="E445" s="154"/>
      <c r="F445" s="642"/>
      <c r="H445" s="642"/>
      <c r="I445" s="642"/>
      <c r="J445" s="642"/>
      <c r="K445" s="642"/>
      <c r="L445" s="642"/>
      <c r="M445" s="642"/>
      <c r="N445" s="642"/>
      <c r="O445" s="642"/>
      <c r="P445" s="642"/>
      <c r="Q445" s="642"/>
      <c r="R445" s="642"/>
      <c r="S445" s="642"/>
      <c r="T445" s="642"/>
      <c r="U445" s="642"/>
      <c r="V445" s="642"/>
      <c r="W445" s="642"/>
    </row>
    <row r="446" spans="1:23" ht="15" customHeight="1">
      <c r="A446" s="642"/>
      <c r="B446" s="642"/>
      <c r="C446" s="642"/>
      <c r="D446" s="154"/>
      <c r="E446" s="154"/>
      <c r="F446" s="642"/>
      <c r="H446" s="642"/>
      <c r="I446" s="642"/>
      <c r="J446" s="642"/>
      <c r="K446" s="642"/>
      <c r="L446" s="642"/>
      <c r="M446" s="642"/>
      <c r="N446" s="642"/>
      <c r="O446" s="642"/>
      <c r="P446" s="642"/>
      <c r="Q446" s="642"/>
      <c r="R446" s="642"/>
      <c r="S446" s="642"/>
      <c r="T446" s="642"/>
      <c r="U446" s="642"/>
      <c r="V446" s="642"/>
      <c r="W446" s="642"/>
    </row>
    <row r="447" spans="1:23" ht="15" customHeight="1">
      <c r="A447" s="642"/>
      <c r="B447" s="642"/>
      <c r="C447" s="642"/>
      <c r="D447" s="154"/>
      <c r="E447" s="154"/>
      <c r="F447" s="642"/>
      <c r="H447" s="642"/>
      <c r="I447" s="642"/>
      <c r="J447" s="642"/>
      <c r="K447" s="642"/>
      <c r="L447" s="642"/>
      <c r="M447" s="642"/>
      <c r="N447" s="642"/>
      <c r="O447" s="642"/>
      <c r="P447" s="642"/>
      <c r="Q447" s="642"/>
      <c r="R447" s="642"/>
      <c r="S447" s="642"/>
      <c r="T447" s="642"/>
      <c r="U447" s="642"/>
      <c r="V447" s="642"/>
      <c r="W447" s="642"/>
    </row>
    <row r="448" spans="1:23" ht="15" customHeight="1">
      <c r="A448" s="642"/>
      <c r="B448" s="642"/>
      <c r="C448" s="642"/>
      <c r="D448" s="154"/>
      <c r="E448" s="154"/>
      <c r="F448" s="642"/>
      <c r="H448" s="642"/>
      <c r="I448" s="642"/>
      <c r="J448" s="642"/>
      <c r="K448" s="642"/>
      <c r="L448" s="642"/>
      <c r="M448" s="642"/>
      <c r="N448" s="642"/>
      <c r="O448" s="642"/>
      <c r="P448" s="642"/>
      <c r="Q448" s="642"/>
      <c r="R448" s="642"/>
      <c r="S448" s="642"/>
      <c r="T448" s="642"/>
      <c r="U448" s="642"/>
      <c r="V448" s="642"/>
      <c r="W448" s="642"/>
    </row>
    <row r="449" spans="1:23" ht="15" customHeight="1">
      <c r="A449" s="642"/>
      <c r="B449" s="642"/>
      <c r="C449" s="642"/>
      <c r="D449" s="154"/>
      <c r="E449" s="154"/>
      <c r="F449" s="642"/>
      <c r="H449" s="642"/>
      <c r="I449" s="642"/>
      <c r="J449" s="642"/>
      <c r="K449" s="642"/>
      <c r="L449" s="642"/>
      <c r="M449" s="642"/>
      <c r="N449" s="642"/>
      <c r="O449" s="642"/>
      <c r="P449" s="642"/>
      <c r="Q449" s="642"/>
      <c r="R449" s="642"/>
      <c r="S449" s="642"/>
      <c r="T449" s="642"/>
      <c r="U449" s="642"/>
      <c r="V449" s="642"/>
      <c r="W449" s="642"/>
    </row>
    <row r="450" spans="1:23" ht="15" customHeight="1">
      <c r="A450" s="642"/>
      <c r="B450" s="642"/>
      <c r="C450" s="642"/>
      <c r="D450" s="154"/>
      <c r="E450" s="154"/>
      <c r="F450" s="642"/>
      <c r="H450" s="642"/>
      <c r="I450" s="642"/>
      <c r="J450" s="642"/>
      <c r="K450" s="642"/>
      <c r="L450" s="642"/>
      <c r="M450" s="642"/>
      <c r="N450" s="642"/>
      <c r="O450" s="642"/>
      <c r="P450" s="642"/>
      <c r="Q450" s="642"/>
      <c r="R450" s="642"/>
      <c r="S450" s="642"/>
      <c r="T450" s="642"/>
      <c r="U450" s="642"/>
      <c r="V450" s="642"/>
      <c r="W450" s="642"/>
    </row>
    <row r="451" spans="1:23" ht="15" customHeight="1">
      <c r="A451" s="642"/>
      <c r="B451" s="642"/>
      <c r="C451" s="642"/>
      <c r="D451" s="154"/>
      <c r="E451" s="154"/>
      <c r="F451" s="642"/>
      <c r="H451" s="642"/>
      <c r="I451" s="642"/>
      <c r="J451" s="642"/>
      <c r="K451" s="642"/>
      <c r="L451" s="642"/>
      <c r="M451" s="642"/>
      <c r="N451" s="642"/>
      <c r="O451" s="642"/>
      <c r="P451" s="642"/>
      <c r="Q451" s="642"/>
      <c r="R451" s="642"/>
      <c r="S451" s="642"/>
      <c r="T451" s="642"/>
      <c r="U451" s="642"/>
      <c r="V451" s="642"/>
      <c r="W451" s="642"/>
    </row>
    <row r="452" spans="1:23" ht="15" customHeight="1">
      <c r="A452" s="642"/>
      <c r="B452" s="642"/>
      <c r="C452" s="642"/>
      <c r="D452" s="154"/>
      <c r="E452" s="154"/>
      <c r="F452" s="642"/>
      <c r="H452" s="642"/>
      <c r="I452" s="642"/>
      <c r="J452" s="642"/>
      <c r="K452" s="642"/>
      <c r="L452" s="642"/>
      <c r="M452" s="642"/>
      <c r="N452" s="642"/>
      <c r="O452" s="642"/>
      <c r="P452" s="642"/>
      <c r="Q452" s="642"/>
      <c r="R452" s="642"/>
      <c r="S452" s="642"/>
      <c r="T452" s="642"/>
      <c r="U452" s="642"/>
      <c r="V452" s="642"/>
      <c r="W452" s="642"/>
    </row>
    <row r="453" spans="1:23" ht="15" customHeight="1">
      <c r="A453" s="642"/>
      <c r="B453" s="642"/>
      <c r="C453" s="642"/>
      <c r="D453" s="154"/>
      <c r="E453" s="154"/>
      <c r="F453" s="642"/>
      <c r="H453" s="642"/>
      <c r="I453" s="642"/>
      <c r="J453" s="642"/>
      <c r="K453" s="642"/>
      <c r="L453" s="642"/>
      <c r="M453" s="642"/>
      <c r="N453" s="642"/>
      <c r="O453" s="642"/>
      <c r="P453" s="642"/>
      <c r="Q453" s="642"/>
      <c r="R453" s="642"/>
      <c r="S453" s="642"/>
      <c r="T453" s="642"/>
      <c r="U453" s="642"/>
      <c r="V453" s="642"/>
      <c r="W453" s="642"/>
    </row>
    <row r="454" spans="1:23" ht="15" customHeight="1">
      <c r="A454" s="642"/>
      <c r="B454" s="642"/>
      <c r="C454" s="642"/>
      <c r="D454" s="154"/>
      <c r="E454" s="154"/>
      <c r="F454" s="642"/>
      <c r="H454" s="642"/>
      <c r="I454" s="642"/>
      <c r="J454" s="642"/>
      <c r="K454" s="642"/>
      <c r="L454" s="642"/>
      <c r="M454" s="642"/>
      <c r="N454" s="642"/>
      <c r="O454" s="642"/>
      <c r="P454" s="642"/>
      <c r="Q454" s="642"/>
      <c r="R454" s="642"/>
      <c r="S454" s="642"/>
      <c r="T454" s="642"/>
      <c r="U454" s="642"/>
      <c r="V454" s="642"/>
      <c r="W454" s="642"/>
    </row>
    <row r="455" spans="1:23" ht="15" customHeight="1">
      <c r="A455" s="642"/>
      <c r="B455" s="642"/>
      <c r="C455" s="642"/>
      <c r="D455" s="154"/>
      <c r="E455" s="154"/>
      <c r="F455" s="642"/>
      <c r="H455" s="642"/>
      <c r="I455" s="642"/>
      <c r="J455" s="642"/>
      <c r="K455" s="642"/>
      <c r="L455" s="642"/>
      <c r="M455" s="642"/>
      <c r="N455" s="642"/>
      <c r="O455" s="642"/>
      <c r="P455" s="642"/>
      <c r="Q455" s="642"/>
      <c r="R455" s="642"/>
      <c r="S455" s="642"/>
      <c r="T455" s="642"/>
      <c r="U455" s="642"/>
      <c r="V455" s="642"/>
      <c r="W455" s="642"/>
    </row>
    <row r="456" spans="1:23" ht="15" customHeight="1">
      <c r="A456" s="642"/>
      <c r="B456" s="642"/>
      <c r="C456" s="642"/>
      <c r="D456" s="154"/>
      <c r="E456" s="154"/>
      <c r="F456" s="642"/>
      <c r="H456" s="642"/>
      <c r="I456" s="642"/>
      <c r="J456" s="642"/>
      <c r="K456" s="642"/>
      <c r="L456" s="642"/>
      <c r="M456" s="642"/>
      <c r="N456" s="642"/>
      <c r="O456" s="642"/>
      <c r="P456" s="642"/>
      <c r="Q456" s="642"/>
      <c r="R456" s="642"/>
      <c r="S456" s="642"/>
      <c r="T456" s="642"/>
      <c r="U456" s="642"/>
      <c r="V456" s="642"/>
      <c r="W456" s="642"/>
    </row>
    <row r="457" spans="1:23" ht="15" customHeight="1">
      <c r="A457" s="642"/>
      <c r="B457" s="642"/>
      <c r="C457" s="642"/>
      <c r="D457" s="154"/>
      <c r="E457" s="154"/>
      <c r="F457" s="642"/>
      <c r="H457" s="642"/>
      <c r="I457" s="642"/>
      <c r="J457" s="642"/>
      <c r="K457" s="642"/>
      <c r="L457" s="642"/>
      <c r="M457" s="642"/>
      <c r="N457" s="642"/>
      <c r="O457" s="642"/>
      <c r="P457" s="642"/>
      <c r="Q457" s="642"/>
      <c r="R457" s="642"/>
      <c r="S457" s="642"/>
      <c r="T457" s="642"/>
      <c r="U457" s="642"/>
      <c r="V457" s="642"/>
      <c r="W457" s="642"/>
    </row>
    <row r="458" spans="1:23" ht="15" customHeight="1">
      <c r="A458" s="642"/>
      <c r="B458" s="642"/>
      <c r="C458" s="642"/>
      <c r="D458" s="154"/>
      <c r="E458" s="154"/>
      <c r="F458" s="642"/>
      <c r="H458" s="642"/>
      <c r="I458" s="642"/>
      <c r="J458" s="642"/>
      <c r="K458" s="642"/>
      <c r="L458" s="642"/>
      <c r="M458" s="642"/>
      <c r="N458" s="642"/>
      <c r="O458" s="642"/>
      <c r="P458" s="642"/>
      <c r="Q458" s="642"/>
      <c r="R458" s="642"/>
      <c r="S458" s="642"/>
      <c r="T458" s="642"/>
      <c r="U458" s="642"/>
      <c r="V458" s="642"/>
      <c r="W458" s="642"/>
    </row>
    <row r="459" spans="1:23" ht="15" customHeight="1">
      <c r="A459" s="642"/>
      <c r="B459" s="642"/>
      <c r="C459" s="642"/>
      <c r="D459" s="154"/>
      <c r="E459" s="154"/>
      <c r="F459" s="642"/>
      <c r="H459" s="642"/>
      <c r="I459" s="642"/>
      <c r="J459" s="642"/>
      <c r="K459" s="642"/>
      <c r="L459" s="642"/>
      <c r="M459" s="642"/>
      <c r="N459" s="642"/>
      <c r="O459" s="642"/>
      <c r="P459" s="642"/>
      <c r="Q459" s="642"/>
      <c r="R459" s="642"/>
      <c r="S459" s="642"/>
      <c r="T459" s="642"/>
      <c r="U459" s="642"/>
      <c r="V459" s="642"/>
      <c r="W459" s="642"/>
    </row>
    <row r="460" spans="1:23" ht="15" customHeight="1">
      <c r="A460" s="642"/>
      <c r="B460" s="642"/>
      <c r="C460" s="642"/>
      <c r="D460" s="154"/>
      <c r="E460" s="154"/>
      <c r="F460" s="642"/>
      <c r="H460" s="642"/>
      <c r="I460" s="642"/>
      <c r="J460" s="642"/>
      <c r="K460" s="642"/>
      <c r="L460" s="642"/>
      <c r="M460" s="642"/>
      <c r="N460" s="642"/>
      <c r="O460" s="642"/>
      <c r="P460" s="642"/>
      <c r="Q460" s="642"/>
      <c r="R460" s="642"/>
      <c r="S460" s="642"/>
      <c r="T460" s="642"/>
      <c r="U460" s="642"/>
      <c r="V460" s="642"/>
      <c r="W460" s="642"/>
    </row>
    <row r="461" spans="1:23" ht="15" customHeight="1">
      <c r="A461" s="642"/>
      <c r="B461" s="642"/>
      <c r="C461" s="642"/>
      <c r="D461" s="154"/>
      <c r="E461" s="154"/>
      <c r="F461" s="642"/>
      <c r="H461" s="642"/>
      <c r="I461" s="642"/>
      <c r="J461" s="642"/>
      <c r="K461" s="642"/>
      <c r="L461" s="642"/>
      <c r="M461" s="642"/>
      <c r="N461" s="642"/>
      <c r="O461" s="642"/>
      <c r="P461" s="642"/>
      <c r="Q461" s="642"/>
      <c r="R461" s="642"/>
      <c r="S461" s="642"/>
      <c r="T461" s="642"/>
      <c r="U461" s="642"/>
      <c r="V461" s="642"/>
      <c r="W461" s="642"/>
    </row>
    <row r="462" spans="1:23" ht="15" customHeight="1">
      <c r="A462" s="642"/>
      <c r="B462" s="642"/>
      <c r="C462" s="642"/>
      <c r="D462" s="154"/>
      <c r="E462" s="154"/>
      <c r="F462" s="642"/>
      <c r="H462" s="642"/>
      <c r="I462" s="642"/>
      <c r="J462" s="642"/>
      <c r="K462" s="642"/>
      <c r="L462" s="642"/>
      <c r="M462" s="642"/>
      <c r="N462" s="642"/>
      <c r="O462" s="642"/>
      <c r="P462" s="642"/>
      <c r="Q462" s="642"/>
      <c r="R462" s="642"/>
      <c r="S462" s="642"/>
      <c r="T462" s="642"/>
      <c r="U462" s="642"/>
      <c r="V462" s="642"/>
      <c r="W462" s="642"/>
    </row>
    <row r="463" spans="1:23" ht="15" customHeight="1">
      <c r="A463" s="642"/>
      <c r="B463" s="642"/>
      <c r="C463" s="642"/>
      <c r="D463" s="154"/>
      <c r="E463" s="154"/>
      <c r="F463" s="642"/>
      <c r="H463" s="642"/>
      <c r="I463" s="642"/>
      <c r="J463" s="642"/>
      <c r="K463" s="642"/>
      <c r="L463" s="642"/>
      <c r="M463" s="642"/>
      <c r="N463" s="642"/>
      <c r="O463" s="642"/>
      <c r="P463" s="642"/>
      <c r="Q463" s="642"/>
      <c r="R463" s="642"/>
      <c r="S463" s="642"/>
      <c r="T463" s="642"/>
      <c r="U463" s="642"/>
      <c r="V463" s="642"/>
      <c r="W463" s="642"/>
    </row>
    <row r="464" spans="1:23" ht="15" customHeight="1">
      <c r="A464" s="642"/>
      <c r="B464" s="642"/>
      <c r="C464" s="642"/>
      <c r="D464" s="154"/>
      <c r="E464" s="154"/>
      <c r="F464" s="642"/>
      <c r="H464" s="642"/>
      <c r="I464" s="642"/>
      <c r="J464" s="642"/>
      <c r="K464" s="642"/>
      <c r="L464" s="642"/>
      <c r="M464" s="642"/>
      <c r="N464" s="642"/>
      <c r="O464" s="642"/>
      <c r="P464" s="642"/>
      <c r="Q464" s="642"/>
      <c r="R464" s="642"/>
      <c r="S464" s="642"/>
      <c r="T464" s="642"/>
      <c r="U464" s="642"/>
      <c r="V464" s="642"/>
      <c r="W464" s="642"/>
    </row>
    <row r="465" spans="1:23" ht="15" customHeight="1">
      <c r="A465" s="642"/>
      <c r="B465" s="642"/>
      <c r="C465" s="642"/>
      <c r="D465" s="154"/>
      <c r="E465" s="154"/>
      <c r="F465" s="642"/>
      <c r="H465" s="642"/>
      <c r="I465" s="642"/>
      <c r="J465" s="642"/>
      <c r="K465" s="642"/>
      <c r="L465" s="642"/>
      <c r="M465" s="642"/>
      <c r="N465" s="642"/>
      <c r="O465" s="642"/>
      <c r="P465" s="642"/>
      <c r="Q465" s="642"/>
      <c r="R465" s="642"/>
      <c r="S465" s="642"/>
      <c r="T465" s="642"/>
      <c r="U465" s="642"/>
      <c r="V465" s="642"/>
      <c r="W465" s="642"/>
    </row>
    <row r="466" spans="1:23" ht="15" customHeight="1">
      <c r="A466" s="642"/>
      <c r="B466" s="642"/>
      <c r="C466" s="642"/>
      <c r="D466" s="154"/>
      <c r="E466" s="154"/>
      <c r="F466" s="642"/>
      <c r="H466" s="642"/>
      <c r="I466" s="642"/>
      <c r="J466" s="642"/>
      <c r="K466" s="642"/>
      <c r="L466" s="642"/>
      <c r="M466" s="642"/>
      <c r="N466" s="642"/>
      <c r="O466" s="642"/>
      <c r="P466" s="642"/>
      <c r="Q466" s="642"/>
      <c r="R466" s="642"/>
      <c r="S466" s="642"/>
      <c r="T466" s="642"/>
      <c r="U466" s="642"/>
      <c r="V466" s="642"/>
      <c r="W466" s="642"/>
    </row>
    <row r="467" spans="1:23" ht="15" customHeight="1">
      <c r="A467" s="642"/>
      <c r="B467" s="642"/>
      <c r="C467" s="642"/>
      <c r="D467" s="154"/>
      <c r="E467" s="154"/>
      <c r="F467" s="642"/>
      <c r="H467" s="642"/>
      <c r="I467" s="642"/>
      <c r="J467" s="642"/>
      <c r="K467" s="642"/>
      <c r="L467" s="642"/>
      <c r="M467" s="642"/>
      <c r="N467" s="642"/>
      <c r="O467" s="642"/>
      <c r="P467" s="642"/>
      <c r="Q467" s="642"/>
      <c r="R467" s="642"/>
      <c r="S467" s="642"/>
      <c r="T467" s="642"/>
      <c r="U467" s="642"/>
      <c r="V467" s="642"/>
      <c r="W467" s="642"/>
    </row>
    <row r="468" spans="1:23" ht="15" customHeight="1">
      <c r="A468" s="642"/>
      <c r="B468" s="642"/>
      <c r="C468" s="642"/>
      <c r="D468" s="154"/>
      <c r="E468" s="154"/>
      <c r="F468" s="642"/>
      <c r="H468" s="642"/>
      <c r="I468" s="642"/>
      <c r="J468" s="642"/>
      <c r="K468" s="642"/>
      <c r="L468" s="642"/>
      <c r="M468" s="642"/>
      <c r="N468" s="642"/>
      <c r="O468" s="642"/>
      <c r="P468" s="642"/>
      <c r="Q468" s="642"/>
      <c r="R468" s="642"/>
      <c r="S468" s="642"/>
      <c r="T468" s="642"/>
      <c r="U468" s="642"/>
      <c r="V468" s="642"/>
      <c r="W468" s="642"/>
    </row>
    <row r="469" spans="1:23" ht="15" customHeight="1">
      <c r="A469" s="642"/>
      <c r="B469" s="642"/>
      <c r="C469" s="642"/>
      <c r="D469" s="154"/>
      <c r="E469" s="154"/>
      <c r="F469" s="642"/>
      <c r="H469" s="642"/>
      <c r="I469" s="642"/>
      <c r="J469" s="642"/>
      <c r="K469" s="642"/>
      <c r="L469" s="642"/>
      <c r="M469" s="642"/>
      <c r="N469" s="642"/>
      <c r="O469" s="642"/>
      <c r="P469" s="642"/>
      <c r="Q469" s="642"/>
      <c r="R469" s="642"/>
      <c r="S469" s="642"/>
      <c r="T469" s="642"/>
      <c r="U469" s="642"/>
      <c r="V469" s="642"/>
      <c r="W469" s="642"/>
    </row>
    <row r="470" spans="1:23" ht="15" customHeight="1">
      <c r="A470" s="642"/>
      <c r="B470" s="642"/>
      <c r="C470" s="642"/>
      <c r="D470" s="154"/>
      <c r="E470" s="154"/>
      <c r="F470" s="642"/>
      <c r="H470" s="642"/>
      <c r="I470" s="642"/>
      <c r="J470" s="642"/>
      <c r="K470" s="642"/>
      <c r="L470" s="642"/>
      <c r="M470" s="642"/>
      <c r="N470" s="642"/>
      <c r="O470" s="642"/>
      <c r="P470" s="642"/>
      <c r="Q470" s="642"/>
      <c r="R470" s="642"/>
      <c r="S470" s="642"/>
      <c r="T470" s="642"/>
      <c r="U470" s="642"/>
      <c r="V470" s="642"/>
      <c r="W470" s="642"/>
    </row>
    <row r="471" spans="1:23" ht="15" customHeight="1">
      <c r="A471" s="642"/>
      <c r="B471" s="642"/>
      <c r="C471" s="642"/>
      <c r="D471" s="154"/>
      <c r="E471" s="154"/>
      <c r="F471" s="642"/>
      <c r="H471" s="642"/>
      <c r="I471" s="642"/>
      <c r="J471" s="642"/>
      <c r="K471" s="642"/>
      <c r="L471" s="642"/>
      <c r="M471" s="642"/>
      <c r="N471" s="642"/>
      <c r="O471" s="642"/>
      <c r="P471" s="642"/>
      <c r="Q471" s="642"/>
      <c r="R471" s="642"/>
      <c r="S471" s="642"/>
      <c r="T471" s="642"/>
      <c r="U471" s="642"/>
      <c r="V471" s="642"/>
      <c r="W471" s="642"/>
    </row>
    <row r="472" spans="1:23" ht="15" customHeight="1">
      <c r="A472" s="642"/>
      <c r="B472" s="642"/>
      <c r="C472" s="642"/>
      <c r="D472" s="154"/>
      <c r="E472" s="154"/>
      <c r="F472" s="642"/>
      <c r="H472" s="642"/>
      <c r="I472" s="642"/>
      <c r="J472" s="642"/>
      <c r="K472" s="642"/>
      <c r="L472" s="642"/>
      <c r="M472" s="642"/>
      <c r="N472" s="642"/>
      <c r="O472" s="642"/>
      <c r="P472" s="642"/>
      <c r="Q472" s="642"/>
      <c r="R472" s="642"/>
      <c r="S472" s="642"/>
      <c r="T472" s="642"/>
      <c r="U472" s="642"/>
      <c r="V472" s="642"/>
      <c r="W472" s="642"/>
    </row>
    <row r="473" spans="1:23" ht="15" customHeight="1">
      <c r="A473" s="642"/>
      <c r="B473" s="642"/>
      <c r="C473" s="642"/>
      <c r="D473" s="154"/>
      <c r="E473" s="154"/>
      <c r="F473" s="642"/>
      <c r="H473" s="642"/>
      <c r="I473" s="642"/>
      <c r="J473" s="642"/>
      <c r="K473" s="642"/>
      <c r="L473" s="642"/>
      <c r="M473" s="642"/>
      <c r="N473" s="642"/>
      <c r="O473" s="642"/>
      <c r="P473" s="642"/>
      <c r="Q473" s="642"/>
      <c r="R473" s="642"/>
      <c r="S473" s="642"/>
      <c r="T473" s="642"/>
      <c r="U473" s="642"/>
      <c r="V473" s="642"/>
      <c r="W473" s="642"/>
    </row>
    <row r="474" spans="1:23" ht="15" customHeight="1">
      <c r="A474" s="642"/>
      <c r="B474" s="642"/>
      <c r="C474" s="642"/>
      <c r="D474" s="154"/>
      <c r="E474" s="154"/>
      <c r="F474" s="642"/>
      <c r="H474" s="642"/>
      <c r="I474" s="642"/>
      <c r="J474" s="642"/>
      <c r="K474" s="642"/>
      <c r="L474" s="642"/>
      <c r="M474" s="642"/>
      <c r="N474" s="642"/>
      <c r="O474" s="642"/>
      <c r="P474" s="642"/>
      <c r="Q474" s="642"/>
      <c r="R474" s="642"/>
      <c r="S474" s="642"/>
      <c r="T474" s="642"/>
      <c r="U474" s="642"/>
      <c r="V474" s="642"/>
      <c r="W474" s="642"/>
    </row>
    <row r="475" spans="1:23" ht="15" customHeight="1">
      <c r="A475" s="642"/>
      <c r="B475" s="642"/>
      <c r="C475" s="642"/>
      <c r="D475" s="154"/>
      <c r="E475" s="154"/>
      <c r="F475" s="642"/>
      <c r="H475" s="642"/>
      <c r="I475" s="642"/>
      <c r="J475" s="642"/>
      <c r="K475" s="642"/>
      <c r="L475" s="642"/>
      <c r="M475" s="642"/>
      <c r="N475" s="642"/>
      <c r="O475" s="642"/>
      <c r="P475" s="642"/>
      <c r="Q475" s="642"/>
      <c r="R475" s="642"/>
      <c r="S475" s="642"/>
      <c r="T475" s="642"/>
      <c r="U475" s="642"/>
      <c r="V475" s="642"/>
      <c r="W475" s="642"/>
    </row>
    <row r="476" spans="1:23" ht="15" customHeight="1">
      <c r="A476" s="642"/>
      <c r="B476" s="642"/>
      <c r="C476" s="642"/>
      <c r="D476" s="154"/>
      <c r="E476" s="154"/>
      <c r="F476" s="642"/>
      <c r="H476" s="642"/>
      <c r="I476" s="642"/>
      <c r="J476" s="642"/>
      <c r="K476" s="642"/>
      <c r="L476" s="642"/>
      <c r="M476" s="642"/>
      <c r="N476" s="642"/>
      <c r="O476" s="642"/>
      <c r="P476" s="642"/>
      <c r="Q476" s="642"/>
      <c r="R476" s="642"/>
      <c r="S476" s="642"/>
      <c r="T476" s="642"/>
      <c r="U476" s="642"/>
      <c r="V476" s="642"/>
      <c r="W476" s="642"/>
    </row>
    <row r="477" spans="1:23" ht="15" customHeight="1">
      <c r="A477" s="642"/>
      <c r="B477" s="642"/>
      <c r="C477" s="642"/>
      <c r="D477" s="154"/>
      <c r="E477" s="154"/>
      <c r="F477" s="642"/>
      <c r="H477" s="642"/>
      <c r="I477" s="642"/>
      <c r="J477" s="642"/>
      <c r="K477" s="642"/>
      <c r="L477" s="642"/>
      <c r="M477" s="642"/>
      <c r="N477" s="642"/>
      <c r="O477" s="642"/>
      <c r="P477" s="642"/>
      <c r="Q477" s="642"/>
      <c r="R477" s="642"/>
      <c r="S477" s="642"/>
      <c r="T477" s="642"/>
      <c r="U477" s="642"/>
      <c r="V477" s="642"/>
      <c r="W477" s="642"/>
    </row>
    <row r="478" spans="1:23" ht="15" customHeight="1">
      <c r="A478" s="642"/>
      <c r="B478" s="642"/>
      <c r="C478" s="642"/>
      <c r="D478" s="154"/>
      <c r="E478" s="154"/>
      <c r="F478" s="642"/>
      <c r="H478" s="642"/>
      <c r="I478" s="642"/>
      <c r="J478" s="642"/>
      <c r="K478" s="642"/>
      <c r="L478" s="642"/>
      <c r="M478" s="642"/>
      <c r="N478" s="642"/>
      <c r="O478" s="642"/>
      <c r="P478" s="642"/>
      <c r="Q478" s="642"/>
      <c r="R478" s="642"/>
      <c r="S478" s="642"/>
      <c r="T478" s="642"/>
      <c r="U478" s="642"/>
      <c r="V478" s="642"/>
      <c r="W478" s="642"/>
    </row>
    <row r="479" spans="1:23" ht="15" customHeight="1">
      <c r="A479" s="642"/>
      <c r="B479" s="642"/>
      <c r="C479" s="642"/>
      <c r="D479" s="154"/>
      <c r="E479" s="154"/>
      <c r="F479" s="642"/>
      <c r="H479" s="642"/>
      <c r="I479" s="642"/>
      <c r="J479" s="642"/>
      <c r="K479" s="642"/>
      <c r="L479" s="642"/>
      <c r="M479" s="642"/>
      <c r="N479" s="642"/>
      <c r="O479" s="642"/>
      <c r="P479" s="642"/>
      <c r="Q479" s="642"/>
      <c r="R479" s="642"/>
      <c r="S479" s="642"/>
      <c r="T479" s="642"/>
      <c r="U479" s="642"/>
      <c r="V479" s="642"/>
      <c r="W479" s="642"/>
    </row>
    <row r="480" spans="1:23" ht="15" customHeight="1">
      <c r="A480" s="642"/>
      <c r="B480" s="642"/>
      <c r="C480" s="642"/>
      <c r="D480" s="154"/>
      <c r="E480" s="154"/>
      <c r="F480" s="642"/>
      <c r="H480" s="642"/>
      <c r="I480" s="642"/>
      <c r="J480" s="642"/>
      <c r="K480" s="642"/>
      <c r="L480" s="642"/>
      <c r="M480" s="642"/>
      <c r="N480" s="642"/>
      <c r="O480" s="642"/>
      <c r="P480" s="642"/>
      <c r="Q480" s="642"/>
      <c r="R480" s="642"/>
      <c r="S480" s="642"/>
      <c r="T480" s="642"/>
      <c r="U480" s="642"/>
      <c r="V480" s="642"/>
      <c r="W480" s="642"/>
    </row>
    <row r="481" spans="1:23" ht="15" customHeight="1">
      <c r="A481" s="642"/>
      <c r="B481" s="642"/>
      <c r="C481" s="642"/>
      <c r="D481" s="154"/>
      <c r="E481" s="154"/>
      <c r="F481" s="642"/>
      <c r="H481" s="642"/>
      <c r="I481" s="642"/>
      <c r="J481" s="642"/>
      <c r="K481" s="642"/>
      <c r="L481" s="642"/>
      <c r="M481" s="642"/>
      <c r="N481" s="642"/>
      <c r="O481" s="642"/>
      <c r="P481" s="642"/>
      <c r="Q481" s="642"/>
      <c r="R481" s="642"/>
      <c r="S481" s="642"/>
      <c r="T481" s="642"/>
      <c r="U481" s="642"/>
      <c r="V481" s="642"/>
      <c r="W481" s="642"/>
    </row>
    <row r="482" spans="1:23" ht="15" customHeight="1">
      <c r="A482" s="642"/>
      <c r="B482" s="642"/>
      <c r="C482" s="642"/>
      <c r="D482" s="154"/>
      <c r="E482" s="154"/>
      <c r="F482" s="642"/>
      <c r="H482" s="642"/>
      <c r="I482" s="642"/>
      <c r="J482" s="642"/>
      <c r="K482" s="642"/>
      <c r="L482" s="642"/>
      <c r="M482" s="642"/>
      <c r="N482" s="642"/>
      <c r="O482" s="642"/>
      <c r="P482" s="642"/>
      <c r="Q482" s="642"/>
      <c r="R482" s="642"/>
      <c r="S482" s="642"/>
      <c r="T482" s="642"/>
      <c r="U482" s="642"/>
      <c r="V482" s="642"/>
      <c r="W482" s="642"/>
    </row>
    <row r="483" spans="1:23" ht="15" customHeight="1">
      <c r="A483" s="642"/>
      <c r="B483" s="642"/>
      <c r="C483" s="642"/>
      <c r="D483" s="154"/>
      <c r="E483" s="154"/>
      <c r="F483" s="642"/>
      <c r="H483" s="642"/>
      <c r="I483" s="642"/>
      <c r="J483" s="642"/>
      <c r="K483" s="642"/>
      <c r="L483" s="642"/>
      <c r="M483" s="642"/>
      <c r="N483" s="642"/>
      <c r="O483" s="642"/>
      <c r="P483" s="642"/>
      <c r="Q483" s="642"/>
      <c r="R483" s="642"/>
      <c r="S483" s="642"/>
      <c r="T483" s="642"/>
      <c r="U483" s="642"/>
      <c r="V483" s="642"/>
      <c r="W483" s="642"/>
    </row>
    <row r="484" spans="1:23" ht="15" customHeight="1">
      <c r="A484" s="642"/>
      <c r="B484" s="642"/>
      <c r="C484" s="642"/>
      <c r="D484" s="154"/>
      <c r="E484" s="154"/>
      <c r="F484" s="642"/>
      <c r="H484" s="642"/>
      <c r="I484" s="642"/>
      <c r="J484" s="642"/>
      <c r="K484" s="642"/>
      <c r="L484" s="642"/>
      <c r="M484" s="642"/>
      <c r="N484" s="642"/>
      <c r="O484" s="642"/>
      <c r="P484" s="642"/>
      <c r="Q484" s="642"/>
      <c r="R484" s="642"/>
      <c r="S484" s="642"/>
      <c r="T484" s="642"/>
      <c r="U484" s="642"/>
      <c r="V484" s="642"/>
      <c r="W484" s="642"/>
    </row>
    <row r="485" spans="1:23" ht="15" customHeight="1">
      <c r="A485" s="642"/>
      <c r="B485" s="642"/>
      <c r="C485" s="642"/>
      <c r="D485" s="154"/>
      <c r="E485" s="154"/>
      <c r="F485" s="642"/>
      <c r="H485" s="642"/>
      <c r="I485" s="642"/>
      <c r="J485" s="642"/>
      <c r="K485" s="642"/>
      <c r="L485" s="642"/>
      <c r="M485" s="642"/>
      <c r="N485" s="642"/>
      <c r="O485" s="642"/>
      <c r="P485" s="642"/>
      <c r="Q485" s="642"/>
      <c r="R485" s="642"/>
      <c r="S485" s="642"/>
      <c r="T485" s="642"/>
      <c r="U485" s="642"/>
      <c r="V485" s="642"/>
      <c r="W485" s="642"/>
    </row>
    <row r="486" spans="1:23" ht="15" customHeight="1">
      <c r="A486" s="642"/>
      <c r="B486" s="642"/>
      <c r="C486" s="642"/>
      <c r="D486" s="154"/>
      <c r="E486" s="154"/>
      <c r="F486" s="642"/>
      <c r="H486" s="642"/>
      <c r="I486" s="642"/>
      <c r="J486" s="642"/>
      <c r="K486" s="642"/>
      <c r="L486" s="642"/>
      <c r="M486" s="642"/>
      <c r="N486" s="642"/>
      <c r="O486" s="642"/>
      <c r="P486" s="642"/>
      <c r="Q486" s="642"/>
      <c r="R486" s="642"/>
      <c r="S486" s="642"/>
      <c r="T486" s="642"/>
      <c r="U486" s="642"/>
      <c r="V486" s="642"/>
      <c r="W486" s="642"/>
    </row>
    <row r="487" spans="1:23" ht="15" customHeight="1">
      <c r="A487" s="642"/>
      <c r="B487" s="642"/>
      <c r="C487" s="642"/>
      <c r="D487" s="154"/>
      <c r="E487" s="154"/>
      <c r="F487" s="642"/>
      <c r="H487" s="642"/>
      <c r="I487" s="642"/>
      <c r="J487" s="642"/>
      <c r="K487" s="642"/>
      <c r="L487" s="642"/>
      <c r="M487" s="642"/>
      <c r="N487" s="642"/>
      <c r="O487" s="642"/>
      <c r="P487" s="642"/>
      <c r="Q487" s="642"/>
      <c r="R487" s="642"/>
      <c r="S487" s="642"/>
      <c r="T487" s="642"/>
      <c r="U487" s="642"/>
      <c r="V487" s="642"/>
      <c r="W487" s="642"/>
    </row>
    <row r="488" spans="1:23" ht="15" customHeight="1">
      <c r="A488" s="642"/>
      <c r="B488" s="642"/>
      <c r="C488" s="642"/>
      <c r="D488" s="154"/>
      <c r="E488" s="154"/>
      <c r="F488" s="642"/>
      <c r="H488" s="642"/>
      <c r="I488" s="642"/>
      <c r="J488" s="642"/>
      <c r="K488" s="642"/>
      <c r="L488" s="642"/>
      <c r="M488" s="642"/>
      <c r="N488" s="642"/>
      <c r="O488" s="642"/>
      <c r="P488" s="642"/>
      <c r="Q488" s="642"/>
      <c r="R488" s="642"/>
      <c r="S488" s="642"/>
      <c r="T488" s="642"/>
      <c r="U488" s="642"/>
      <c r="V488" s="642"/>
      <c r="W488" s="642"/>
    </row>
    <row r="489" spans="1:23" ht="15" customHeight="1">
      <c r="A489" s="642"/>
      <c r="B489" s="642"/>
      <c r="C489" s="642"/>
      <c r="D489" s="154"/>
      <c r="E489" s="154"/>
      <c r="F489" s="642"/>
      <c r="H489" s="642"/>
      <c r="I489" s="642"/>
      <c r="J489" s="642"/>
      <c r="K489" s="642"/>
      <c r="L489" s="642"/>
      <c r="M489" s="642"/>
      <c r="N489" s="642"/>
      <c r="O489" s="642"/>
      <c r="P489" s="642"/>
      <c r="Q489" s="642"/>
      <c r="R489" s="642"/>
      <c r="S489" s="642"/>
      <c r="T489" s="642"/>
      <c r="U489" s="642"/>
      <c r="V489" s="642"/>
      <c r="W489" s="642"/>
    </row>
    <row r="490" spans="1:23" ht="15" customHeight="1">
      <c r="A490" s="642"/>
      <c r="B490" s="642"/>
      <c r="C490" s="642"/>
      <c r="D490" s="154"/>
      <c r="E490" s="154"/>
      <c r="F490" s="642"/>
      <c r="H490" s="642"/>
      <c r="I490" s="642"/>
      <c r="J490" s="642"/>
      <c r="K490" s="642"/>
      <c r="L490" s="642"/>
      <c r="M490" s="642"/>
      <c r="N490" s="642"/>
      <c r="O490" s="642"/>
      <c r="P490" s="642"/>
      <c r="Q490" s="642"/>
      <c r="R490" s="642"/>
      <c r="S490" s="642"/>
      <c r="T490" s="642"/>
      <c r="U490" s="642"/>
      <c r="V490" s="642"/>
      <c r="W490" s="642"/>
    </row>
    <row r="491" spans="1:23" ht="15" customHeight="1">
      <c r="A491" s="642"/>
      <c r="B491" s="642"/>
      <c r="C491" s="642"/>
      <c r="D491" s="154"/>
      <c r="E491" s="154"/>
      <c r="F491" s="642"/>
      <c r="H491" s="642"/>
      <c r="I491" s="642"/>
      <c r="J491" s="642"/>
      <c r="K491" s="642"/>
      <c r="L491" s="642"/>
      <c r="M491" s="642"/>
      <c r="N491" s="642"/>
      <c r="O491" s="642"/>
      <c r="P491" s="642"/>
      <c r="Q491" s="642"/>
      <c r="R491" s="642"/>
      <c r="S491" s="642"/>
      <c r="T491" s="642"/>
      <c r="U491" s="642"/>
      <c r="V491" s="642"/>
      <c r="W491" s="642"/>
    </row>
    <row r="492" spans="1:23" ht="15" customHeight="1">
      <c r="A492" s="642"/>
      <c r="B492" s="642"/>
      <c r="C492" s="642"/>
      <c r="D492" s="154"/>
      <c r="E492" s="154"/>
      <c r="F492" s="642"/>
      <c r="H492" s="642"/>
      <c r="I492" s="642"/>
      <c r="J492" s="642"/>
      <c r="K492" s="642"/>
      <c r="L492" s="642"/>
      <c r="M492" s="642"/>
      <c r="N492" s="642"/>
      <c r="O492" s="642"/>
      <c r="P492" s="642"/>
      <c r="Q492" s="642"/>
      <c r="R492" s="642"/>
      <c r="S492" s="642"/>
      <c r="T492" s="642"/>
      <c r="U492" s="642"/>
      <c r="V492" s="642"/>
      <c r="W492" s="642"/>
    </row>
    <row r="493" spans="1:23" ht="15" customHeight="1">
      <c r="A493" s="642"/>
      <c r="B493" s="642"/>
      <c r="C493" s="642"/>
      <c r="D493" s="154"/>
      <c r="E493" s="154"/>
      <c r="F493" s="642"/>
      <c r="H493" s="642"/>
      <c r="I493" s="642"/>
      <c r="J493" s="642"/>
      <c r="K493" s="642"/>
      <c r="L493" s="642"/>
      <c r="M493" s="642"/>
      <c r="N493" s="642"/>
      <c r="O493" s="642"/>
      <c r="P493" s="642"/>
      <c r="Q493" s="642"/>
      <c r="R493" s="642"/>
      <c r="S493" s="642"/>
      <c r="T493" s="642"/>
      <c r="U493" s="642"/>
      <c r="V493" s="642"/>
      <c r="W493" s="642"/>
    </row>
    <row r="494" spans="1:23" ht="15" customHeight="1">
      <c r="A494" s="642"/>
      <c r="B494" s="642"/>
      <c r="C494" s="642"/>
      <c r="D494" s="154"/>
      <c r="E494" s="154"/>
      <c r="F494" s="642"/>
      <c r="H494" s="642"/>
      <c r="I494" s="642"/>
      <c r="J494" s="642"/>
      <c r="K494" s="642"/>
      <c r="L494" s="642"/>
      <c r="M494" s="642"/>
      <c r="N494" s="642"/>
      <c r="O494" s="642"/>
      <c r="P494" s="642"/>
      <c r="Q494" s="642"/>
      <c r="R494" s="642"/>
      <c r="S494" s="642"/>
      <c r="T494" s="642"/>
      <c r="U494" s="642"/>
      <c r="V494" s="642"/>
      <c r="W494" s="642"/>
    </row>
    <row r="495" spans="1:23" ht="15" customHeight="1">
      <c r="A495" s="642"/>
      <c r="B495" s="642"/>
      <c r="C495" s="642"/>
      <c r="D495" s="154"/>
      <c r="E495" s="154"/>
      <c r="F495" s="642"/>
      <c r="H495" s="642"/>
      <c r="I495" s="642"/>
      <c r="J495" s="642"/>
      <c r="K495" s="642"/>
      <c r="L495" s="642"/>
      <c r="M495" s="642"/>
      <c r="N495" s="642"/>
      <c r="O495" s="642"/>
      <c r="P495" s="642"/>
      <c r="Q495" s="642"/>
      <c r="R495" s="642"/>
      <c r="S495" s="642"/>
      <c r="T495" s="642"/>
      <c r="U495" s="642"/>
      <c r="V495" s="642"/>
      <c r="W495" s="642"/>
    </row>
    <row r="496" spans="1:23" ht="15" customHeight="1">
      <c r="A496" s="642"/>
      <c r="B496" s="642"/>
      <c r="C496" s="642"/>
      <c r="D496" s="154"/>
      <c r="E496" s="154"/>
      <c r="F496" s="642"/>
      <c r="H496" s="642"/>
      <c r="I496" s="642"/>
      <c r="J496" s="642"/>
      <c r="K496" s="642"/>
      <c r="L496" s="642"/>
      <c r="M496" s="642"/>
      <c r="N496" s="642"/>
      <c r="O496" s="642"/>
      <c r="P496" s="642"/>
      <c r="Q496" s="642"/>
      <c r="R496" s="642"/>
      <c r="S496" s="642"/>
      <c r="T496" s="642"/>
      <c r="U496" s="642"/>
      <c r="V496" s="642"/>
      <c r="W496" s="642"/>
    </row>
    <row r="497" spans="1:23" ht="15" customHeight="1">
      <c r="A497" s="642"/>
      <c r="B497" s="642"/>
      <c r="C497" s="642"/>
      <c r="D497" s="154"/>
      <c r="E497" s="154"/>
      <c r="F497" s="642"/>
      <c r="H497" s="642"/>
      <c r="I497" s="642"/>
      <c r="J497" s="642"/>
      <c r="K497" s="642"/>
      <c r="L497" s="642"/>
      <c r="M497" s="642"/>
      <c r="N497" s="642"/>
      <c r="O497" s="642"/>
      <c r="P497" s="642"/>
      <c r="Q497" s="642"/>
      <c r="R497" s="642"/>
      <c r="S497" s="642"/>
      <c r="T497" s="642"/>
      <c r="U497" s="642"/>
      <c r="V497" s="642"/>
      <c r="W497" s="642"/>
    </row>
    <row r="498" spans="1:23" ht="15" customHeight="1">
      <c r="A498" s="642"/>
      <c r="B498" s="642"/>
      <c r="C498" s="642"/>
      <c r="D498" s="154"/>
      <c r="E498" s="154"/>
      <c r="F498" s="642"/>
      <c r="H498" s="642"/>
      <c r="I498" s="642"/>
      <c r="J498" s="642"/>
      <c r="K498" s="642"/>
      <c r="L498" s="642"/>
      <c r="M498" s="642"/>
      <c r="N498" s="642"/>
      <c r="O498" s="642"/>
      <c r="P498" s="642"/>
      <c r="Q498" s="642"/>
      <c r="R498" s="642"/>
      <c r="S498" s="642"/>
      <c r="T498" s="642"/>
      <c r="U498" s="642"/>
      <c r="V498" s="642"/>
      <c r="W498" s="642"/>
    </row>
    <row r="499" spans="1:23" ht="15" customHeight="1">
      <c r="A499" s="642"/>
      <c r="B499" s="642"/>
      <c r="C499" s="642"/>
      <c r="D499" s="154"/>
      <c r="E499" s="154"/>
      <c r="F499" s="642"/>
      <c r="H499" s="642"/>
      <c r="I499" s="642"/>
      <c r="J499" s="642"/>
      <c r="K499" s="642"/>
      <c r="L499" s="642"/>
      <c r="M499" s="642"/>
      <c r="N499" s="642"/>
      <c r="O499" s="642"/>
      <c r="P499" s="642"/>
      <c r="Q499" s="642"/>
      <c r="R499" s="642"/>
      <c r="S499" s="642"/>
      <c r="T499" s="642"/>
      <c r="U499" s="642"/>
      <c r="V499" s="642"/>
      <c r="W499" s="642"/>
    </row>
    <row r="500" spans="1:23" ht="15" customHeight="1">
      <c r="A500" s="642"/>
      <c r="B500" s="642"/>
      <c r="C500" s="642"/>
      <c r="D500" s="154"/>
      <c r="E500" s="154"/>
      <c r="F500" s="642"/>
      <c r="H500" s="642"/>
      <c r="I500" s="642"/>
      <c r="J500" s="642"/>
      <c r="K500" s="642"/>
      <c r="L500" s="642"/>
      <c r="M500" s="642"/>
      <c r="N500" s="642"/>
      <c r="O500" s="642"/>
      <c r="P500" s="642"/>
      <c r="Q500" s="642"/>
      <c r="R500" s="642"/>
      <c r="S500" s="642"/>
      <c r="T500" s="642"/>
      <c r="U500" s="642"/>
      <c r="V500" s="642"/>
      <c r="W500" s="642"/>
    </row>
    <row r="501" spans="1:23" ht="15" customHeight="1">
      <c r="A501" s="642"/>
      <c r="B501" s="642"/>
      <c r="C501" s="642"/>
      <c r="D501" s="154"/>
      <c r="E501" s="154"/>
      <c r="F501" s="642"/>
      <c r="H501" s="642"/>
      <c r="I501" s="642"/>
      <c r="J501" s="642"/>
      <c r="K501" s="642"/>
      <c r="L501" s="642"/>
      <c r="M501" s="642"/>
      <c r="N501" s="642"/>
      <c r="O501" s="642"/>
      <c r="P501" s="642"/>
      <c r="Q501" s="642"/>
      <c r="R501" s="642"/>
      <c r="S501" s="642"/>
      <c r="T501" s="642"/>
      <c r="U501" s="642"/>
      <c r="V501" s="642"/>
      <c r="W501" s="642"/>
    </row>
    <row r="502" spans="1:23" ht="15" customHeight="1">
      <c r="A502" s="642"/>
      <c r="B502" s="642"/>
      <c r="C502" s="642"/>
      <c r="D502" s="154"/>
      <c r="E502" s="154"/>
      <c r="F502" s="642"/>
      <c r="H502" s="642"/>
      <c r="I502" s="642"/>
      <c r="J502" s="642"/>
      <c r="K502" s="642"/>
      <c r="L502" s="642"/>
      <c r="M502" s="642"/>
      <c r="N502" s="642"/>
      <c r="O502" s="642"/>
      <c r="P502" s="642"/>
      <c r="Q502" s="642"/>
      <c r="R502" s="642"/>
      <c r="S502" s="642"/>
      <c r="T502" s="642"/>
      <c r="U502" s="642"/>
      <c r="V502" s="642"/>
      <c r="W502" s="642"/>
    </row>
    <row r="503" spans="1:23" ht="15" customHeight="1">
      <c r="A503" s="642"/>
      <c r="B503" s="642"/>
      <c r="C503" s="642"/>
      <c r="D503" s="154"/>
      <c r="E503" s="154"/>
      <c r="F503" s="642"/>
      <c r="H503" s="642"/>
      <c r="I503" s="642"/>
      <c r="J503" s="642"/>
      <c r="K503" s="642"/>
      <c r="L503" s="642"/>
      <c r="M503" s="642"/>
      <c r="N503" s="642"/>
      <c r="O503" s="642"/>
      <c r="P503" s="642"/>
      <c r="Q503" s="642"/>
      <c r="R503" s="642"/>
      <c r="S503" s="642"/>
      <c r="T503" s="642"/>
      <c r="U503" s="642"/>
      <c r="V503" s="642"/>
      <c r="W503" s="642"/>
    </row>
    <row r="504" spans="1:23" ht="15" customHeight="1">
      <c r="A504" s="642"/>
      <c r="B504" s="642"/>
      <c r="C504" s="642"/>
      <c r="D504" s="154"/>
      <c r="E504" s="154"/>
      <c r="F504" s="642"/>
      <c r="H504" s="642"/>
      <c r="I504" s="642"/>
      <c r="J504" s="642"/>
      <c r="K504" s="642"/>
      <c r="L504" s="642"/>
      <c r="M504" s="642"/>
      <c r="N504" s="642"/>
      <c r="O504" s="642"/>
      <c r="P504" s="642"/>
      <c r="Q504" s="642"/>
      <c r="R504" s="642"/>
      <c r="S504" s="642"/>
      <c r="T504" s="642"/>
      <c r="U504" s="642"/>
      <c r="V504" s="642"/>
      <c r="W504" s="642"/>
    </row>
    <row r="505" spans="1:23" ht="15" customHeight="1">
      <c r="A505" s="642"/>
      <c r="B505" s="642"/>
      <c r="C505" s="642"/>
      <c r="D505" s="154"/>
      <c r="E505" s="154"/>
      <c r="F505" s="642"/>
      <c r="H505" s="642"/>
      <c r="I505" s="642"/>
      <c r="J505" s="642"/>
      <c r="K505" s="642"/>
      <c r="L505" s="642"/>
      <c r="M505" s="642"/>
      <c r="N505" s="642"/>
      <c r="O505" s="642"/>
      <c r="P505" s="642"/>
      <c r="Q505" s="642"/>
      <c r="R505" s="642"/>
      <c r="S505" s="642"/>
      <c r="T505" s="642"/>
      <c r="U505" s="642"/>
      <c r="V505" s="642"/>
      <c r="W505" s="642"/>
    </row>
    <row r="506" spans="1:23" ht="15" customHeight="1">
      <c r="A506" s="642"/>
      <c r="B506" s="642"/>
      <c r="C506" s="642"/>
      <c r="D506" s="154"/>
      <c r="E506" s="154"/>
      <c r="F506" s="642"/>
      <c r="H506" s="642"/>
      <c r="I506" s="642"/>
      <c r="J506" s="642"/>
      <c r="K506" s="642"/>
      <c r="L506" s="642"/>
      <c r="M506" s="642"/>
      <c r="N506" s="642"/>
      <c r="O506" s="642"/>
      <c r="P506" s="642"/>
      <c r="Q506" s="642"/>
      <c r="R506" s="642"/>
      <c r="S506" s="642"/>
      <c r="T506" s="642"/>
      <c r="U506" s="642"/>
      <c r="V506" s="642"/>
      <c r="W506" s="642"/>
    </row>
    <row r="507" spans="1:23" ht="15" customHeight="1">
      <c r="A507" s="642"/>
      <c r="B507" s="642"/>
      <c r="C507" s="642"/>
      <c r="D507" s="154"/>
      <c r="E507" s="154"/>
      <c r="F507" s="642"/>
      <c r="H507" s="642"/>
      <c r="I507" s="642"/>
      <c r="J507" s="642"/>
      <c r="K507" s="642"/>
      <c r="L507" s="642"/>
      <c r="M507" s="642"/>
      <c r="N507" s="642"/>
      <c r="O507" s="642"/>
      <c r="P507" s="642"/>
      <c r="Q507" s="642"/>
      <c r="R507" s="642"/>
      <c r="S507" s="642"/>
      <c r="T507" s="642"/>
      <c r="U507" s="642"/>
      <c r="V507" s="642"/>
      <c r="W507" s="642"/>
    </row>
    <row r="508" spans="1:23" ht="15" customHeight="1">
      <c r="A508" s="642"/>
      <c r="B508" s="642"/>
      <c r="C508" s="642"/>
      <c r="D508" s="154"/>
      <c r="E508" s="154"/>
      <c r="F508" s="642"/>
      <c r="H508" s="642"/>
      <c r="I508" s="642"/>
      <c r="J508" s="642"/>
      <c r="K508" s="642"/>
      <c r="L508" s="642"/>
      <c r="M508" s="642"/>
      <c r="N508" s="642"/>
      <c r="O508" s="642"/>
      <c r="P508" s="642"/>
      <c r="Q508" s="642"/>
      <c r="R508" s="642"/>
      <c r="S508" s="642"/>
      <c r="T508" s="642"/>
      <c r="U508" s="642"/>
      <c r="V508" s="642"/>
      <c r="W508" s="642"/>
    </row>
    <row r="509" spans="1:23" ht="15" customHeight="1">
      <c r="A509" s="642"/>
      <c r="B509" s="642"/>
      <c r="C509" s="642"/>
      <c r="D509" s="154"/>
      <c r="E509" s="154"/>
      <c r="F509" s="642"/>
      <c r="H509" s="642"/>
      <c r="I509" s="642"/>
      <c r="J509" s="642"/>
      <c r="K509" s="642"/>
      <c r="L509" s="642"/>
      <c r="M509" s="642"/>
      <c r="N509" s="642"/>
      <c r="O509" s="642"/>
      <c r="P509" s="642"/>
      <c r="Q509" s="642"/>
      <c r="R509" s="642"/>
      <c r="S509" s="642"/>
      <c r="T509" s="642"/>
      <c r="U509" s="642"/>
      <c r="V509" s="642"/>
      <c r="W509" s="642"/>
    </row>
    <row r="510" spans="1:23" ht="15" customHeight="1">
      <c r="A510" s="642"/>
      <c r="B510" s="642"/>
      <c r="C510" s="642"/>
      <c r="D510" s="154"/>
      <c r="E510" s="154"/>
      <c r="F510" s="642"/>
      <c r="H510" s="642"/>
      <c r="I510" s="642"/>
      <c r="J510" s="642"/>
      <c r="K510" s="642"/>
      <c r="L510" s="642"/>
      <c r="M510" s="642"/>
      <c r="N510" s="642"/>
      <c r="O510" s="642"/>
      <c r="P510" s="642"/>
      <c r="Q510" s="642"/>
      <c r="R510" s="642"/>
      <c r="S510" s="642"/>
      <c r="T510" s="642"/>
      <c r="U510" s="642"/>
      <c r="V510" s="642"/>
      <c r="W510" s="642"/>
    </row>
    <row r="511" spans="1:23" ht="15" customHeight="1">
      <c r="A511" s="642"/>
      <c r="B511" s="642"/>
      <c r="C511" s="642"/>
      <c r="D511" s="154"/>
      <c r="E511" s="154"/>
      <c r="F511" s="642"/>
      <c r="H511" s="642"/>
      <c r="I511" s="642"/>
      <c r="J511" s="642"/>
      <c r="K511" s="642"/>
      <c r="L511" s="642"/>
      <c r="M511" s="642"/>
      <c r="N511" s="642"/>
      <c r="O511" s="642"/>
      <c r="P511" s="642"/>
      <c r="Q511" s="642"/>
      <c r="R511" s="642"/>
      <c r="S511" s="642"/>
      <c r="T511" s="642"/>
      <c r="U511" s="642"/>
      <c r="V511" s="642"/>
      <c r="W511" s="642"/>
    </row>
    <row r="512" spans="1:23" ht="15" customHeight="1">
      <c r="A512" s="642"/>
      <c r="B512" s="642"/>
      <c r="C512" s="642"/>
      <c r="D512" s="154"/>
      <c r="E512" s="154"/>
      <c r="F512" s="642"/>
      <c r="H512" s="642"/>
      <c r="I512" s="642"/>
      <c r="J512" s="642"/>
      <c r="K512" s="642"/>
      <c r="L512" s="642"/>
      <c r="M512" s="642"/>
      <c r="N512" s="642"/>
      <c r="O512" s="642"/>
      <c r="P512" s="642"/>
      <c r="Q512" s="642"/>
      <c r="R512" s="642"/>
      <c r="S512" s="642"/>
      <c r="T512" s="642"/>
      <c r="U512" s="642"/>
      <c r="V512" s="642"/>
      <c r="W512" s="642"/>
    </row>
    <row r="513" spans="1:23" ht="15" customHeight="1">
      <c r="A513" s="642"/>
      <c r="B513" s="642"/>
      <c r="C513" s="642"/>
      <c r="D513" s="154"/>
      <c r="E513" s="154"/>
      <c r="F513" s="642"/>
      <c r="H513" s="642"/>
      <c r="I513" s="642"/>
      <c r="J513" s="642"/>
      <c r="K513" s="642"/>
      <c r="L513" s="642"/>
      <c r="M513" s="642"/>
      <c r="N513" s="642"/>
      <c r="O513" s="642"/>
      <c r="P513" s="642"/>
      <c r="Q513" s="642"/>
      <c r="R513" s="642"/>
      <c r="S513" s="642"/>
      <c r="T513" s="642"/>
      <c r="U513" s="642"/>
      <c r="V513" s="642"/>
      <c r="W513" s="642"/>
    </row>
    <row r="514" spans="1:23" ht="15" customHeight="1">
      <c r="A514" s="642"/>
      <c r="B514" s="642"/>
      <c r="C514" s="642"/>
      <c r="D514" s="154"/>
      <c r="E514" s="154"/>
      <c r="F514" s="642"/>
      <c r="H514" s="642"/>
      <c r="I514" s="642"/>
      <c r="J514" s="642"/>
      <c r="K514" s="642"/>
      <c r="L514" s="642"/>
      <c r="M514" s="642"/>
      <c r="N514" s="642"/>
      <c r="O514" s="642"/>
      <c r="P514" s="642"/>
      <c r="Q514" s="642"/>
      <c r="R514" s="642"/>
      <c r="S514" s="642"/>
      <c r="T514" s="642"/>
      <c r="U514" s="642"/>
      <c r="V514" s="642"/>
      <c r="W514" s="642"/>
    </row>
    <row r="515" spans="1:23" ht="15" customHeight="1">
      <c r="A515" s="642"/>
      <c r="B515" s="642"/>
      <c r="C515" s="642"/>
      <c r="D515" s="154"/>
      <c r="E515" s="154"/>
      <c r="F515" s="642"/>
      <c r="H515" s="642"/>
      <c r="I515" s="642"/>
      <c r="J515" s="642"/>
      <c r="K515" s="642"/>
      <c r="L515" s="642"/>
      <c r="M515" s="642"/>
      <c r="N515" s="642"/>
      <c r="O515" s="642"/>
      <c r="P515" s="642"/>
      <c r="Q515" s="642"/>
      <c r="R515" s="642"/>
      <c r="S515" s="642"/>
      <c r="T515" s="642"/>
      <c r="U515" s="642"/>
      <c r="V515" s="642"/>
      <c r="W515" s="642"/>
    </row>
    <row r="516" spans="1:23" ht="15" customHeight="1">
      <c r="A516" s="642"/>
      <c r="B516" s="642"/>
      <c r="C516" s="642"/>
      <c r="D516" s="154"/>
      <c r="E516" s="154"/>
      <c r="F516" s="642"/>
      <c r="H516" s="642"/>
      <c r="I516" s="642"/>
      <c r="J516" s="642"/>
      <c r="K516" s="642"/>
      <c r="L516" s="642"/>
      <c r="M516" s="642"/>
      <c r="N516" s="642"/>
      <c r="O516" s="642"/>
      <c r="P516" s="642"/>
      <c r="Q516" s="642"/>
      <c r="R516" s="642"/>
      <c r="S516" s="642"/>
      <c r="T516" s="642"/>
      <c r="U516" s="642"/>
      <c r="V516" s="642"/>
      <c r="W516" s="642"/>
    </row>
    <row r="517" spans="1:23" ht="15" customHeight="1">
      <c r="A517" s="642"/>
      <c r="B517" s="642"/>
      <c r="C517" s="642"/>
      <c r="D517" s="154"/>
      <c r="E517" s="154"/>
      <c r="F517" s="642"/>
      <c r="H517" s="642"/>
      <c r="I517" s="642"/>
      <c r="J517" s="642"/>
      <c r="K517" s="642"/>
      <c r="L517" s="642"/>
      <c r="M517" s="642"/>
      <c r="N517" s="642"/>
      <c r="O517" s="642"/>
      <c r="P517" s="642"/>
      <c r="Q517" s="642"/>
      <c r="R517" s="642"/>
      <c r="S517" s="642"/>
      <c r="T517" s="642"/>
      <c r="U517" s="642"/>
      <c r="V517" s="642"/>
      <c r="W517" s="642"/>
    </row>
    <row r="518" spans="1:23" ht="15" customHeight="1">
      <c r="A518" s="642"/>
      <c r="B518" s="642"/>
      <c r="C518" s="642"/>
      <c r="D518" s="154"/>
      <c r="E518" s="154"/>
      <c r="F518" s="642"/>
      <c r="H518" s="642"/>
      <c r="I518" s="642"/>
      <c r="J518" s="642"/>
      <c r="K518" s="642"/>
      <c r="L518" s="642"/>
      <c r="M518" s="642"/>
      <c r="N518" s="642"/>
      <c r="O518" s="642"/>
      <c r="P518" s="642"/>
      <c r="Q518" s="642"/>
      <c r="R518" s="642"/>
      <c r="S518" s="642"/>
      <c r="T518" s="642"/>
      <c r="U518" s="642"/>
      <c r="V518" s="642"/>
      <c r="W518" s="642"/>
    </row>
    <row r="519" spans="1:23" ht="15" customHeight="1">
      <c r="A519" s="642"/>
      <c r="B519" s="642"/>
      <c r="C519" s="642"/>
      <c r="D519" s="154"/>
      <c r="E519" s="154"/>
      <c r="F519" s="642"/>
      <c r="H519" s="642"/>
      <c r="I519" s="642"/>
      <c r="J519" s="642"/>
      <c r="K519" s="642"/>
      <c r="L519" s="642"/>
      <c r="M519" s="642"/>
      <c r="N519" s="642"/>
      <c r="O519" s="642"/>
      <c r="P519" s="642"/>
      <c r="Q519" s="642"/>
      <c r="R519" s="642"/>
      <c r="S519" s="642"/>
      <c r="T519" s="642"/>
      <c r="U519" s="642"/>
      <c r="V519" s="642"/>
      <c r="W519" s="642"/>
    </row>
    <row r="520" spans="1:23" ht="15" customHeight="1">
      <c r="A520" s="642"/>
      <c r="B520" s="642"/>
      <c r="C520" s="642"/>
      <c r="D520" s="154"/>
      <c r="E520" s="154"/>
      <c r="F520" s="642"/>
      <c r="H520" s="642"/>
      <c r="I520" s="642"/>
      <c r="J520" s="642"/>
      <c r="K520" s="642"/>
      <c r="L520" s="642"/>
      <c r="M520" s="642"/>
      <c r="N520" s="642"/>
      <c r="O520" s="642"/>
      <c r="P520" s="642"/>
      <c r="Q520" s="642"/>
      <c r="R520" s="642"/>
      <c r="S520" s="642"/>
      <c r="T520" s="642"/>
      <c r="U520" s="642"/>
      <c r="V520" s="642"/>
      <c r="W520" s="642"/>
    </row>
    <row r="521" spans="1:23" ht="15" customHeight="1">
      <c r="A521" s="642"/>
      <c r="B521" s="642"/>
      <c r="C521" s="642"/>
      <c r="D521" s="154"/>
      <c r="E521" s="154"/>
      <c r="F521" s="642"/>
      <c r="H521" s="642"/>
      <c r="I521" s="642"/>
      <c r="J521" s="642"/>
      <c r="K521" s="642"/>
      <c r="L521" s="642"/>
      <c r="M521" s="642"/>
      <c r="N521" s="642"/>
      <c r="O521" s="642"/>
      <c r="P521" s="642"/>
      <c r="Q521" s="642"/>
      <c r="R521" s="642"/>
      <c r="S521" s="642"/>
      <c r="T521" s="642"/>
      <c r="U521" s="642"/>
      <c r="V521" s="642"/>
      <c r="W521" s="642"/>
    </row>
    <row r="522" spans="1:23" ht="15" customHeight="1">
      <c r="A522" s="642"/>
      <c r="B522" s="642"/>
      <c r="C522" s="642"/>
      <c r="D522" s="154"/>
      <c r="E522" s="154"/>
      <c r="F522" s="642"/>
      <c r="H522" s="642"/>
      <c r="I522" s="642"/>
      <c r="J522" s="642"/>
      <c r="K522" s="642"/>
      <c r="L522" s="642"/>
      <c r="M522" s="642"/>
      <c r="N522" s="642"/>
      <c r="O522" s="642"/>
      <c r="P522" s="642"/>
      <c r="Q522" s="642"/>
      <c r="R522" s="642"/>
      <c r="S522" s="642"/>
      <c r="T522" s="642"/>
      <c r="U522" s="642"/>
      <c r="V522" s="642"/>
      <c r="W522" s="642"/>
    </row>
    <row r="523" spans="1:23" ht="15" customHeight="1">
      <c r="A523" s="642"/>
      <c r="B523" s="642"/>
      <c r="C523" s="642"/>
      <c r="D523" s="154"/>
      <c r="E523" s="154"/>
      <c r="F523" s="642"/>
      <c r="H523" s="642"/>
      <c r="I523" s="642"/>
      <c r="J523" s="642"/>
      <c r="K523" s="642"/>
      <c r="L523" s="642"/>
      <c r="M523" s="642"/>
      <c r="N523" s="642"/>
      <c r="O523" s="642"/>
      <c r="P523" s="642"/>
      <c r="Q523" s="642"/>
      <c r="R523" s="642"/>
      <c r="S523" s="642"/>
      <c r="T523" s="642"/>
      <c r="U523" s="642"/>
      <c r="V523" s="642"/>
      <c r="W523" s="642"/>
    </row>
    <row r="524" spans="1:23" ht="15" customHeight="1">
      <c r="A524" s="642"/>
      <c r="B524" s="642"/>
      <c r="C524" s="642"/>
      <c r="D524" s="154"/>
      <c r="E524" s="154"/>
      <c r="F524" s="642"/>
      <c r="H524" s="642"/>
      <c r="I524" s="642"/>
      <c r="J524" s="642"/>
      <c r="K524" s="642"/>
      <c r="L524" s="642"/>
      <c r="M524" s="642"/>
      <c r="N524" s="642"/>
      <c r="O524" s="642"/>
      <c r="P524" s="642"/>
      <c r="Q524" s="642"/>
      <c r="R524" s="642"/>
      <c r="S524" s="642"/>
      <c r="T524" s="642"/>
      <c r="U524" s="642"/>
      <c r="V524" s="642"/>
      <c r="W524" s="642"/>
    </row>
    <row r="525" spans="1:23" ht="15" customHeight="1">
      <c r="A525" s="642"/>
      <c r="B525" s="642"/>
      <c r="C525" s="642"/>
      <c r="D525" s="154"/>
      <c r="E525" s="154"/>
      <c r="F525" s="642"/>
      <c r="H525" s="642"/>
      <c r="I525" s="642"/>
      <c r="J525" s="642"/>
      <c r="K525" s="642"/>
      <c r="L525" s="642"/>
      <c r="M525" s="642"/>
      <c r="N525" s="642"/>
      <c r="O525" s="642"/>
      <c r="P525" s="642"/>
      <c r="Q525" s="642"/>
      <c r="R525" s="642"/>
      <c r="S525" s="642"/>
      <c r="T525" s="642"/>
      <c r="U525" s="642"/>
      <c r="V525" s="642"/>
      <c r="W525" s="642"/>
    </row>
    <row r="526" spans="1:23" ht="15" customHeight="1">
      <c r="A526" s="642"/>
      <c r="B526" s="642"/>
      <c r="C526" s="642"/>
      <c r="D526" s="154"/>
      <c r="E526" s="154"/>
      <c r="F526" s="642"/>
      <c r="H526" s="642"/>
      <c r="I526" s="642"/>
      <c r="J526" s="642"/>
      <c r="K526" s="642"/>
      <c r="L526" s="642"/>
      <c r="M526" s="642"/>
      <c r="N526" s="642"/>
      <c r="O526" s="642"/>
      <c r="P526" s="642"/>
      <c r="Q526" s="642"/>
      <c r="R526" s="642"/>
      <c r="S526" s="642"/>
      <c r="T526" s="642"/>
      <c r="U526" s="642"/>
      <c r="V526" s="642"/>
      <c r="W526" s="642"/>
    </row>
    <row r="527" spans="1:23" ht="15" customHeight="1">
      <c r="A527" s="642"/>
      <c r="B527" s="642"/>
      <c r="C527" s="642"/>
      <c r="D527" s="154"/>
      <c r="E527" s="154"/>
      <c r="F527" s="642"/>
      <c r="H527" s="642"/>
      <c r="I527" s="642"/>
      <c r="J527" s="642"/>
      <c r="K527" s="642"/>
      <c r="L527" s="642"/>
      <c r="M527" s="642"/>
      <c r="N527" s="642"/>
      <c r="O527" s="642"/>
      <c r="P527" s="642"/>
      <c r="Q527" s="642"/>
      <c r="R527" s="642"/>
      <c r="S527" s="642"/>
      <c r="T527" s="642"/>
      <c r="U527" s="642"/>
      <c r="V527" s="642"/>
      <c r="W527" s="642"/>
    </row>
    <row r="528" spans="1:23" ht="15" customHeight="1">
      <c r="A528" s="642"/>
      <c r="B528" s="642"/>
      <c r="C528" s="642"/>
      <c r="D528" s="154"/>
      <c r="E528" s="154"/>
      <c r="F528" s="642"/>
      <c r="H528" s="642"/>
      <c r="I528" s="642"/>
      <c r="J528" s="642"/>
      <c r="K528" s="642"/>
      <c r="L528" s="642"/>
      <c r="M528" s="642"/>
      <c r="N528" s="642"/>
      <c r="O528" s="642"/>
      <c r="P528" s="642"/>
      <c r="Q528" s="642"/>
      <c r="R528" s="642"/>
      <c r="S528" s="642"/>
      <c r="T528" s="642"/>
      <c r="U528" s="642"/>
      <c r="V528" s="642"/>
      <c r="W528" s="642"/>
    </row>
    <row r="529" spans="1:23" ht="15" customHeight="1">
      <c r="A529" s="642"/>
      <c r="B529" s="642"/>
      <c r="C529" s="642"/>
      <c r="D529" s="154"/>
      <c r="E529" s="154"/>
      <c r="F529" s="642"/>
      <c r="H529" s="642"/>
      <c r="I529" s="642"/>
      <c r="J529" s="642"/>
      <c r="K529" s="642"/>
      <c r="L529" s="642"/>
      <c r="M529" s="642"/>
      <c r="N529" s="642"/>
      <c r="O529" s="642"/>
      <c r="P529" s="642"/>
      <c r="Q529" s="642"/>
      <c r="R529" s="642"/>
      <c r="S529" s="642"/>
      <c r="T529" s="642"/>
      <c r="U529" s="642"/>
      <c r="V529" s="642"/>
      <c r="W529" s="642"/>
    </row>
    <row r="530" spans="1:23" ht="15" customHeight="1">
      <c r="A530" s="642"/>
      <c r="B530" s="642"/>
      <c r="C530" s="642"/>
      <c r="D530" s="154"/>
      <c r="E530" s="154"/>
      <c r="F530" s="642"/>
      <c r="H530" s="642"/>
      <c r="I530" s="642"/>
      <c r="J530" s="642"/>
      <c r="K530" s="642"/>
      <c r="L530" s="642"/>
      <c r="M530" s="642"/>
      <c r="N530" s="642"/>
      <c r="O530" s="642"/>
      <c r="P530" s="642"/>
      <c r="Q530" s="642"/>
      <c r="R530" s="642"/>
      <c r="S530" s="642"/>
      <c r="T530" s="642"/>
      <c r="U530" s="642"/>
      <c r="V530" s="642"/>
      <c r="W530" s="642"/>
    </row>
    <row r="531" spans="1:23" ht="15" customHeight="1">
      <c r="A531" s="642"/>
      <c r="B531" s="642"/>
      <c r="C531" s="642"/>
      <c r="D531" s="154"/>
      <c r="E531" s="154"/>
      <c r="F531" s="642"/>
      <c r="H531" s="642"/>
      <c r="I531" s="642"/>
      <c r="J531" s="642"/>
      <c r="K531" s="642"/>
      <c r="L531" s="642"/>
      <c r="M531" s="642"/>
      <c r="N531" s="642"/>
      <c r="O531" s="642"/>
      <c r="P531" s="642"/>
      <c r="Q531" s="642"/>
      <c r="R531" s="642"/>
      <c r="S531" s="642"/>
      <c r="T531" s="642"/>
      <c r="U531" s="642"/>
      <c r="V531" s="642"/>
      <c r="W531" s="642"/>
    </row>
    <row r="532" spans="1:23" ht="15" customHeight="1">
      <c r="A532" s="642"/>
      <c r="B532" s="642"/>
      <c r="C532" s="642"/>
      <c r="D532" s="154"/>
      <c r="E532" s="154"/>
      <c r="F532" s="642"/>
      <c r="H532" s="642"/>
      <c r="I532" s="642"/>
      <c r="J532" s="642"/>
      <c r="K532" s="642"/>
      <c r="L532" s="642"/>
      <c r="M532" s="642"/>
      <c r="N532" s="642"/>
      <c r="O532" s="642"/>
      <c r="P532" s="642"/>
      <c r="Q532" s="642"/>
      <c r="R532" s="642"/>
      <c r="S532" s="642"/>
      <c r="T532" s="642"/>
      <c r="U532" s="642"/>
      <c r="V532" s="642"/>
      <c r="W532" s="642"/>
    </row>
    <row r="533" spans="1:23" ht="15" customHeight="1">
      <c r="A533" s="642"/>
      <c r="B533" s="642"/>
      <c r="C533" s="642"/>
      <c r="D533" s="154"/>
      <c r="E533" s="154"/>
      <c r="F533" s="642"/>
      <c r="H533" s="642"/>
      <c r="I533" s="642"/>
      <c r="J533" s="642"/>
      <c r="K533" s="642"/>
      <c r="L533" s="642"/>
      <c r="M533" s="642"/>
      <c r="N533" s="642"/>
      <c r="O533" s="642"/>
      <c r="P533" s="642"/>
      <c r="Q533" s="642"/>
      <c r="R533" s="642"/>
      <c r="S533" s="642"/>
      <c r="T533" s="642"/>
      <c r="U533" s="642"/>
      <c r="V533" s="642"/>
      <c r="W533" s="642"/>
    </row>
    <row r="534" spans="1:23" ht="15" customHeight="1">
      <c r="A534" s="642"/>
      <c r="B534" s="642"/>
      <c r="C534" s="642"/>
      <c r="D534" s="154"/>
      <c r="E534" s="154"/>
      <c r="F534" s="642"/>
      <c r="H534" s="642"/>
      <c r="I534" s="642"/>
      <c r="J534" s="642"/>
      <c r="K534" s="642"/>
      <c r="L534" s="642"/>
      <c r="M534" s="642"/>
      <c r="N534" s="642"/>
      <c r="O534" s="642"/>
      <c r="P534" s="642"/>
      <c r="Q534" s="642"/>
      <c r="R534" s="642"/>
      <c r="S534" s="642"/>
      <c r="T534" s="642"/>
      <c r="U534" s="642"/>
      <c r="V534" s="642"/>
      <c r="W534" s="642"/>
    </row>
    <row r="535" spans="1:23" ht="15" customHeight="1">
      <c r="A535" s="642"/>
      <c r="B535" s="642"/>
      <c r="C535" s="642"/>
      <c r="D535" s="154"/>
      <c r="E535" s="154"/>
      <c r="F535" s="642"/>
      <c r="H535" s="642"/>
      <c r="I535" s="642"/>
      <c r="J535" s="642"/>
      <c r="K535" s="642"/>
      <c r="L535" s="642"/>
      <c r="M535" s="642"/>
      <c r="N535" s="642"/>
      <c r="O535" s="642"/>
      <c r="P535" s="642"/>
      <c r="Q535" s="642"/>
      <c r="R535" s="642"/>
      <c r="S535" s="642"/>
      <c r="T535" s="642"/>
      <c r="U535" s="642"/>
      <c r="V535" s="642"/>
      <c r="W535" s="642"/>
    </row>
    <row r="536" spans="1:23" ht="15" customHeight="1">
      <c r="A536" s="642"/>
      <c r="B536" s="642"/>
      <c r="C536" s="642"/>
      <c r="D536" s="154"/>
      <c r="E536" s="154"/>
      <c r="F536" s="642"/>
      <c r="H536" s="642"/>
      <c r="I536" s="642"/>
      <c r="J536" s="642"/>
      <c r="K536" s="642"/>
      <c r="L536" s="642"/>
      <c r="M536" s="642"/>
      <c r="N536" s="642"/>
      <c r="O536" s="642"/>
      <c r="P536" s="642"/>
      <c r="Q536" s="642"/>
      <c r="R536" s="642"/>
      <c r="S536" s="642"/>
      <c r="T536" s="642"/>
      <c r="U536" s="642"/>
      <c r="V536" s="642"/>
      <c r="W536" s="642"/>
    </row>
    <row r="537" spans="1:23" ht="15" customHeight="1">
      <c r="A537" s="642"/>
      <c r="B537" s="642"/>
      <c r="C537" s="642"/>
      <c r="D537" s="154"/>
      <c r="E537" s="154"/>
      <c r="F537" s="642"/>
      <c r="H537" s="642"/>
      <c r="I537" s="642"/>
      <c r="J537" s="642"/>
      <c r="K537" s="642"/>
      <c r="L537" s="642"/>
      <c r="M537" s="642"/>
      <c r="N537" s="642"/>
      <c r="O537" s="642"/>
      <c r="P537" s="642"/>
      <c r="Q537" s="642"/>
      <c r="R537" s="642"/>
      <c r="S537" s="642"/>
      <c r="T537" s="642"/>
      <c r="U537" s="642"/>
      <c r="V537" s="642"/>
      <c r="W537" s="642"/>
    </row>
    <row r="538" spans="1:23" ht="15" customHeight="1">
      <c r="A538" s="642"/>
      <c r="B538" s="642"/>
      <c r="C538" s="642"/>
      <c r="D538" s="154"/>
      <c r="E538" s="154"/>
      <c r="F538" s="642"/>
      <c r="H538" s="642"/>
      <c r="I538" s="642"/>
      <c r="J538" s="642"/>
      <c r="K538" s="642"/>
      <c r="L538" s="642"/>
      <c r="M538" s="642"/>
      <c r="N538" s="642"/>
      <c r="O538" s="642"/>
      <c r="P538" s="642"/>
      <c r="Q538" s="642"/>
      <c r="R538" s="642"/>
      <c r="S538" s="642"/>
      <c r="T538" s="642"/>
      <c r="U538" s="642"/>
      <c r="V538" s="642"/>
      <c r="W538" s="642"/>
    </row>
    <row r="539" spans="1:23" ht="15" customHeight="1">
      <c r="A539" s="642"/>
      <c r="B539" s="642"/>
      <c r="C539" s="642"/>
      <c r="D539" s="154"/>
      <c r="E539" s="154"/>
      <c r="F539" s="642"/>
      <c r="H539" s="642"/>
      <c r="I539" s="642"/>
      <c r="J539" s="642"/>
      <c r="K539" s="642"/>
      <c r="L539" s="642"/>
      <c r="M539" s="642"/>
      <c r="N539" s="642"/>
      <c r="O539" s="642"/>
      <c r="P539" s="642"/>
      <c r="Q539" s="642"/>
      <c r="R539" s="642"/>
      <c r="S539" s="642"/>
      <c r="T539" s="642"/>
      <c r="U539" s="642"/>
      <c r="V539" s="642"/>
      <c r="W539" s="642"/>
    </row>
    <row r="540" spans="1:23" ht="15" customHeight="1">
      <c r="A540" s="642"/>
      <c r="B540" s="642"/>
      <c r="C540" s="642"/>
      <c r="D540" s="154"/>
      <c r="E540" s="154"/>
      <c r="F540" s="642"/>
      <c r="H540" s="642"/>
      <c r="I540" s="642"/>
      <c r="J540" s="642"/>
      <c r="K540" s="642"/>
      <c r="L540" s="642"/>
      <c r="M540" s="642"/>
      <c r="N540" s="642"/>
      <c r="O540" s="642"/>
      <c r="P540" s="642"/>
      <c r="Q540" s="642"/>
      <c r="R540" s="642"/>
      <c r="S540" s="642"/>
      <c r="T540" s="642"/>
      <c r="U540" s="642"/>
      <c r="V540" s="642"/>
      <c r="W540" s="642"/>
    </row>
    <row r="541" spans="1:23" ht="15" customHeight="1">
      <c r="A541" s="642"/>
      <c r="B541" s="642"/>
      <c r="C541" s="642"/>
      <c r="D541" s="154"/>
      <c r="E541" s="154"/>
      <c r="F541" s="642"/>
      <c r="H541" s="642"/>
      <c r="I541" s="642"/>
      <c r="J541" s="642"/>
      <c r="K541" s="642"/>
      <c r="L541" s="642"/>
      <c r="M541" s="642"/>
      <c r="N541" s="642"/>
      <c r="O541" s="642"/>
      <c r="P541" s="642"/>
      <c r="Q541" s="642"/>
      <c r="R541" s="642"/>
      <c r="S541" s="642"/>
      <c r="T541" s="642"/>
      <c r="U541" s="642"/>
      <c r="V541" s="642"/>
      <c r="W541" s="642"/>
    </row>
    <row r="542" spans="1:23" ht="15" customHeight="1">
      <c r="A542" s="642"/>
      <c r="B542" s="642"/>
      <c r="C542" s="642"/>
      <c r="D542" s="154"/>
      <c r="E542" s="154"/>
      <c r="F542" s="642"/>
      <c r="H542" s="642"/>
      <c r="I542" s="642"/>
      <c r="J542" s="642"/>
      <c r="K542" s="642"/>
      <c r="L542" s="642"/>
      <c r="M542" s="642"/>
      <c r="N542" s="642"/>
      <c r="O542" s="642"/>
      <c r="P542" s="642"/>
      <c r="Q542" s="642"/>
      <c r="R542" s="642"/>
      <c r="S542" s="642"/>
      <c r="T542" s="642"/>
      <c r="U542" s="642"/>
      <c r="V542" s="642"/>
      <c r="W542" s="642"/>
    </row>
    <row r="543" spans="1:23" ht="15" customHeight="1">
      <c r="A543" s="642"/>
      <c r="B543" s="642"/>
      <c r="C543" s="642"/>
      <c r="D543" s="154"/>
      <c r="E543" s="154"/>
      <c r="F543" s="642"/>
      <c r="H543" s="642"/>
      <c r="I543" s="642"/>
      <c r="J543" s="642"/>
      <c r="K543" s="642"/>
      <c r="L543" s="642"/>
      <c r="M543" s="642"/>
      <c r="N543" s="642"/>
      <c r="O543" s="642"/>
      <c r="P543" s="642"/>
      <c r="Q543" s="642"/>
      <c r="R543" s="642"/>
      <c r="S543" s="642"/>
      <c r="T543" s="642"/>
      <c r="U543" s="642"/>
      <c r="V543" s="642"/>
      <c r="W543" s="642"/>
    </row>
    <row r="544" spans="1:23" ht="15" customHeight="1">
      <c r="A544" s="642"/>
      <c r="B544" s="642"/>
      <c r="C544" s="642"/>
      <c r="D544" s="154"/>
      <c r="E544" s="154"/>
      <c r="F544" s="642"/>
      <c r="H544" s="642"/>
      <c r="I544" s="642"/>
      <c r="J544" s="642"/>
      <c r="K544" s="642"/>
      <c r="L544" s="642"/>
      <c r="M544" s="642"/>
      <c r="N544" s="642"/>
      <c r="O544" s="642"/>
      <c r="P544" s="642"/>
      <c r="Q544" s="642"/>
      <c r="R544" s="642"/>
      <c r="S544" s="642"/>
      <c r="T544" s="642"/>
      <c r="U544" s="642"/>
      <c r="V544" s="642"/>
      <c r="W544" s="642"/>
    </row>
    <row r="545" spans="1:23" ht="15" customHeight="1">
      <c r="A545" s="642"/>
      <c r="B545" s="642"/>
      <c r="C545" s="642"/>
      <c r="D545" s="154"/>
      <c r="E545" s="154"/>
      <c r="F545" s="642"/>
      <c r="H545" s="642"/>
      <c r="I545" s="642"/>
      <c r="J545" s="642"/>
      <c r="K545" s="642"/>
      <c r="L545" s="642"/>
      <c r="M545" s="642"/>
      <c r="N545" s="642"/>
      <c r="O545" s="642"/>
      <c r="P545" s="642"/>
      <c r="Q545" s="642"/>
      <c r="R545" s="642"/>
      <c r="S545" s="642"/>
      <c r="T545" s="642"/>
      <c r="U545" s="642"/>
      <c r="V545" s="642"/>
      <c r="W545" s="642"/>
    </row>
    <row r="546" spans="1:23" ht="15" customHeight="1">
      <c r="A546" s="642"/>
      <c r="B546" s="642"/>
      <c r="C546" s="642"/>
      <c r="D546" s="154"/>
      <c r="E546" s="154"/>
      <c r="F546" s="642"/>
      <c r="H546" s="642"/>
      <c r="I546" s="642"/>
      <c r="J546" s="642"/>
      <c r="K546" s="642"/>
      <c r="L546" s="642"/>
      <c r="M546" s="642"/>
      <c r="N546" s="642"/>
      <c r="O546" s="642"/>
      <c r="P546" s="642"/>
      <c r="Q546" s="642"/>
      <c r="R546" s="642"/>
      <c r="S546" s="642"/>
      <c r="T546" s="642"/>
      <c r="U546" s="642"/>
      <c r="V546" s="642"/>
      <c r="W546" s="642"/>
    </row>
    <row r="547" spans="1:23" ht="15" customHeight="1">
      <c r="A547" s="642"/>
      <c r="B547" s="642"/>
      <c r="C547" s="642"/>
      <c r="D547" s="154"/>
      <c r="E547" s="154"/>
      <c r="F547" s="642"/>
      <c r="H547" s="642"/>
      <c r="I547" s="642"/>
      <c r="J547" s="642"/>
      <c r="K547" s="642"/>
      <c r="L547" s="642"/>
      <c r="M547" s="642"/>
      <c r="N547" s="642"/>
      <c r="O547" s="642"/>
      <c r="P547" s="642"/>
      <c r="Q547" s="642"/>
      <c r="R547" s="642"/>
      <c r="S547" s="642"/>
      <c r="T547" s="642"/>
      <c r="U547" s="642"/>
      <c r="V547" s="642"/>
      <c r="W547" s="642"/>
    </row>
    <row r="548" spans="1:23" ht="15" customHeight="1">
      <c r="A548" s="642"/>
      <c r="B548" s="642"/>
      <c r="C548" s="642"/>
      <c r="D548" s="154"/>
      <c r="E548" s="154"/>
      <c r="F548" s="642"/>
      <c r="H548" s="642"/>
      <c r="I548" s="642"/>
      <c r="J548" s="642"/>
      <c r="K548" s="642"/>
      <c r="L548" s="642"/>
      <c r="M548" s="642"/>
      <c r="N548" s="642"/>
      <c r="O548" s="642"/>
      <c r="P548" s="642"/>
      <c r="Q548" s="642"/>
      <c r="R548" s="642"/>
      <c r="S548" s="642"/>
      <c r="T548" s="642"/>
      <c r="U548" s="642"/>
      <c r="V548" s="642"/>
      <c r="W548" s="642"/>
    </row>
    <row r="549" spans="1:23" ht="15" customHeight="1">
      <c r="A549" s="642"/>
      <c r="B549" s="642"/>
      <c r="C549" s="642"/>
      <c r="D549" s="154"/>
      <c r="E549" s="154"/>
      <c r="F549" s="642"/>
      <c r="H549" s="642"/>
      <c r="I549" s="642"/>
      <c r="J549" s="642"/>
      <c r="K549" s="642"/>
      <c r="L549" s="642"/>
      <c r="M549" s="642"/>
      <c r="N549" s="642"/>
      <c r="O549" s="642"/>
      <c r="P549" s="642"/>
      <c r="Q549" s="642"/>
      <c r="R549" s="642"/>
      <c r="S549" s="642"/>
      <c r="T549" s="642"/>
      <c r="U549" s="642"/>
      <c r="V549" s="642"/>
      <c r="W549" s="642"/>
    </row>
    <row r="550" spans="1:23" ht="15" customHeight="1">
      <c r="A550" s="642"/>
      <c r="B550" s="642"/>
      <c r="C550" s="642"/>
      <c r="D550" s="154"/>
      <c r="E550" s="154"/>
      <c r="F550" s="642"/>
      <c r="H550" s="642"/>
      <c r="I550" s="642"/>
      <c r="J550" s="642"/>
      <c r="K550" s="642"/>
      <c r="L550" s="642"/>
      <c r="M550" s="642"/>
      <c r="N550" s="642"/>
      <c r="O550" s="642"/>
      <c r="P550" s="642"/>
      <c r="Q550" s="642"/>
      <c r="R550" s="642"/>
      <c r="S550" s="642"/>
      <c r="T550" s="642"/>
      <c r="U550" s="642"/>
      <c r="V550" s="642"/>
      <c r="W550" s="642"/>
    </row>
    <row r="551" spans="1:23" ht="15" customHeight="1">
      <c r="A551" s="642"/>
      <c r="B551" s="642"/>
      <c r="C551" s="642"/>
      <c r="D551" s="154"/>
      <c r="E551" s="154"/>
      <c r="F551" s="642"/>
      <c r="H551" s="642"/>
      <c r="I551" s="642"/>
      <c r="J551" s="642"/>
      <c r="K551" s="642"/>
      <c r="L551" s="642"/>
      <c r="M551" s="642"/>
      <c r="N551" s="642"/>
      <c r="O551" s="642"/>
      <c r="P551" s="642"/>
      <c r="Q551" s="642"/>
      <c r="R551" s="642"/>
      <c r="S551" s="642"/>
      <c r="T551" s="642"/>
      <c r="U551" s="642"/>
      <c r="V551" s="642"/>
      <c r="W551" s="642"/>
    </row>
    <row r="552" spans="1:23" ht="15" customHeight="1">
      <c r="A552" s="642"/>
      <c r="B552" s="642"/>
      <c r="C552" s="642"/>
      <c r="D552" s="154"/>
      <c r="E552" s="154"/>
      <c r="F552" s="642"/>
      <c r="H552" s="642"/>
      <c r="I552" s="642"/>
      <c r="J552" s="642"/>
      <c r="K552" s="642"/>
      <c r="L552" s="642"/>
      <c r="M552" s="642"/>
      <c r="N552" s="642"/>
      <c r="O552" s="642"/>
      <c r="P552" s="642"/>
      <c r="Q552" s="642"/>
      <c r="R552" s="642"/>
      <c r="S552" s="642"/>
      <c r="T552" s="642"/>
      <c r="U552" s="642"/>
      <c r="V552" s="642"/>
      <c r="W552" s="642"/>
    </row>
    <row r="553" spans="1:23" ht="15" customHeight="1">
      <c r="A553" s="642"/>
      <c r="B553" s="642"/>
      <c r="C553" s="642"/>
      <c r="D553" s="154"/>
      <c r="E553" s="154"/>
      <c r="F553" s="642"/>
      <c r="H553" s="642"/>
      <c r="I553" s="642"/>
      <c r="J553" s="642"/>
      <c r="K553" s="642"/>
      <c r="L553" s="642"/>
      <c r="M553" s="642"/>
      <c r="N553" s="642"/>
      <c r="O553" s="642"/>
      <c r="P553" s="642"/>
      <c r="Q553" s="642"/>
      <c r="R553" s="642"/>
      <c r="S553" s="642"/>
      <c r="T553" s="642"/>
      <c r="U553" s="642"/>
      <c r="V553" s="642"/>
      <c r="W553" s="642"/>
    </row>
    <row r="554" spans="1:23" ht="15" customHeight="1">
      <c r="A554" s="642"/>
      <c r="B554" s="642"/>
      <c r="C554" s="642"/>
      <c r="D554" s="154"/>
      <c r="E554" s="154"/>
      <c r="F554" s="642"/>
      <c r="H554" s="642"/>
      <c r="I554" s="642"/>
      <c r="J554" s="642"/>
      <c r="K554" s="642"/>
      <c r="L554" s="642"/>
      <c r="M554" s="642"/>
      <c r="N554" s="642"/>
      <c r="O554" s="642"/>
      <c r="P554" s="642"/>
      <c r="Q554" s="642"/>
      <c r="R554" s="642"/>
      <c r="S554" s="642"/>
      <c r="T554" s="642"/>
      <c r="U554" s="642"/>
      <c r="V554" s="642"/>
      <c r="W554" s="642"/>
    </row>
    <row r="555" spans="1:23" ht="15" customHeight="1">
      <c r="A555" s="642"/>
      <c r="B555" s="642"/>
      <c r="C555" s="642"/>
      <c r="D555" s="154"/>
      <c r="E555" s="154"/>
      <c r="F555" s="642"/>
      <c r="H555" s="642"/>
      <c r="I555" s="642"/>
      <c r="J555" s="642"/>
      <c r="K555" s="642"/>
      <c r="L555" s="642"/>
      <c r="M555" s="642"/>
      <c r="N555" s="642"/>
      <c r="O555" s="642"/>
      <c r="P555" s="642"/>
      <c r="Q555" s="642"/>
      <c r="R555" s="642"/>
      <c r="S555" s="642"/>
      <c r="T555" s="642"/>
      <c r="U555" s="642"/>
      <c r="V555" s="642"/>
      <c r="W555" s="642"/>
    </row>
    <row r="556" spans="1:23" ht="15" customHeight="1">
      <c r="A556" s="642"/>
      <c r="B556" s="642"/>
      <c r="C556" s="642"/>
      <c r="D556" s="154"/>
      <c r="E556" s="154"/>
      <c r="F556" s="642"/>
      <c r="H556" s="642"/>
      <c r="I556" s="642"/>
      <c r="J556" s="642"/>
      <c r="K556" s="642"/>
      <c r="L556" s="642"/>
      <c r="M556" s="642"/>
      <c r="N556" s="642"/>
      <c r="O556" s="642"/>
      <c r="P556" s="642"/>
      <c r="Q556" s="642"/>
      <c r="R556" s="642"/>
      <c r="S556" s="642"/>
      <c r="T556" s="642"/>
      <c r="U556" s="642"/>
      <c r="V556" s="642"/>
      <c r="W556" s="642"/>
    </row>
    <row r="557" spans="1:23" ht="15" customHeight="1">
      <c r="A557" s="642"/>
      <c r="B557" s="642"/>
      <c r="C557" s="642"/>
      <c r="D557" s="154"/>
      <c r="E557" s="154"/>
      <c r="F557" s="642"/>
      <c r="H557" s="642"/>
      <c r="I557" s="642"/>
      <c r="J557" s="642"/>
      <c r="K557" s="642"/>
      <c r="L557" s="642"/>
      <c r="M557" s="642"/>
      <c r="N557" s="642"/>
      <c r="O557" s="642"/>
      <c r="P557" s="642"/>
      <c r="Q557" s="642"/>
      <c r="R557" s="642"/>
      <c r="S557" s="642"/>
      <c r="T557" s="642"/>
      <c r="U557" s="642"/>
      <c r="V557" s="642"/>
      <c r="W557" s="642"/>
    </row>
    <row r="558" spans="1:23" ht="15" customHeight="1">
      <c r="A558" s="642"/>
      <c r="B558" s="642"/>
      <c r="C558" s="642"/>
      <c r="D558" s="154"/>
      <c r="E558" s="154"/>
      <c r="F558" s="642"/>
      <c r="H558" s="642"/>
      <c r="I558" s="642"/>
      <c r="J558" s="642"/>
      <c r="K558" s="642"/>
      <c r="L558" s="642"/>
      <c r="M558" s="642"/>
      <c r="N558" s="642"/>
      <c r="O558" s="642"/>
      <c r="P558" s="642"/>
      <c r="Q558" s="642"/>
      <c r="R558" s="642"/>
      <c r="S558" s="642"/>
      <c r="T558" s="642"/>
      <c r="U558" s="642"/>
      <c r="V558" s="642"/>
      <c r="W558" s="642"/>
    </row>
    <row r="559" spans="1:23" ht="15" customHeight="1">
      <c r="A559" s="642"/>
      <c r="B559" s="642"/>
      <c r="C559" s="642"/>
      <c r="D559" s="154"/>
      <c r="E559" s="154"/>
      <c r="F559" s="642"/>
      <c r="H559" s="642"/>
      <c r="I559" s="642"/>
      <c r="J559" s="642"/>
      <c r="K559" s="642"/>
      <c r="L559" s="642"/>
      <c r="M559" s="642"/>
      <c r="N559" s="642"/>
      <c r="O559" s="642"/>
      <c r="P559" s="642"/>
      <c r="Q559" s="642"/>
      <c r="R559" s="642"/>
      <c r="S559" s="642"/>
      <c r="T559" s="642"/>
      <c r="U559" s="642"/>
      <c r="V559" s="642"/>
      <c r="W559" s="642"/>
    </row>
    <row r="560" spans="1:23" ht="15" customHeight="1">
      <c r="A560" s="642"/>
      <c r="B560" s="642"/>
      <c r="C560" s="642"/>
      <c r="D560" s="154"/>
      <c r="E560" s="154"/>
      <c r="F560" s="642"/>
      <c r="H560" s="642"/>
      <c r="I560" s="642"/>
      <c r="J560" s="642"/>
      <c r="K560" s="642"/>
      <c r="L560" s="642"/>
      <c r="M560" s="642"/>
      <c r="N560" s="642"/>
      <c r="O560" s="642"/>
      <c r="P560" s="642"/>
      <c r="Q560" s="642"/>
      <c r="R560" s="642"/>
      <c r="S560" s="642"/>
      <c r="T560" s="642"/>
      <c r="U560" s="642"/>
      <c r="V560" s="642"/>
      <c r="W560" s="642"/>
    </row>
    <row r="561" spans="1:23" ht="15" customHeight="1">
      <c r="A561" s="642"/>
      <c r="B561" s="642"/>
      <c r="C561" s="642"/>
      <c r="D561" s="154"/>
      <c r="E561" s="154"/>
      <c r="F561" s="642"/>
      <c r="H561" s="642"/>
      <c r="I561" s="642"/>
      <c r="J561" s="642"/>
      <c r="K561" s="642"/>
      <c r="L561" s="642"/>
      <c r="M561" s="642"/>
      <c r="N561" s="642"/>
      <c r="O561" s="642"/>
      <c r="P561" s="642"/>
      <c r="Q561" s="642"/>
      <c r="R561" s="642"/>
      <c r="S561" s="642"/>
      <c r="T561" s="642"/>
      <c r="U561" s="642"/>
      <c r="V561" s="642"/>
      <c r="W561" s="642"/>
    </row>
    <row r="562" spans="1:23" ht="15" customHeight="1">
      <c r="A562" s="642"/>
      <c r="B562" s="642"/>
      <c r="C562" s="642"/>
      <c r="D562" s="154"/>
      <c r="E562" s="154"/>
      <c r="F562" s="642"/>
      <c r="H562" s="642"/>
      <c r="I562" s="642"/>
      <c r="J562" s="642"/>
      <c r="K562" s="642"/>
      <c r="L562" s="642"/>
      <c r="M562" s="642"/>
      <c r="N562" s="642"/>
      <c r="O562" s="642"/>
      <c r="P562" s="642"/>
      <c r="Q562" s="642"/>
      <c r="R562" s="642"/>
      <c r="S562" s="642"/>
      <c r="T562" s="642"/>
      <c r="U562" s="642"/>
      <c r="V562" s="642"/>
      <c r="W562" s="642"/>
    </row>
    <row r="563" spans="1:23" ht="15" customHeight="1">
      <c r="A563" s="642"/>
      <c r="B563" s="642"/>
      <c r="C563" s="642"/>
      <c r="D563" s="154"/>
      <c r="E563" s="154"/>
      <c r="F563" s="642"/>
      <c r="H563" s="642"/>
      <c r="I563" s="642"/>
      <c r="J563" s="642"/>
      <c r="K563" s="642"/>
      <c r="L563" s="642"/>
      <c r="M563" s="642"/>
      <c r="N563" s="642"/>
      <c r="O563" s="642"/>
      <c r="P563" s="642"/>
      <c r="Q563" s="642"/>
      <c r="R563" s="642"/>
      <c r="S563" s="642"/>
      <c r="T563" s="642"/>
      <c r="U563" s="642"/>
      <c r="V563" s="642"/>
      <c r="W563" s="642"/>
    </row>
    <row r="564" spans="1:23" ht="15" customHeight="1">
      <c r="A564" s="642"/>
      <c r="B564" s="642"/>
      <c r="C564" s="642"/>
      <c r="D564" s="154"/>
      <c r="E564" s="154"/>
      <c r="F564" s="642"/>
      <c r="H564" s="642"/>
      <c r="I564" s="642"/>
      <c r="J564" s="642"/>
      <c r="K564" s="642"/>
      <c r="L564" s="642"/>
      <c r="M564" s="642"/>
      <c r="N564" s="642"/>
      <c r="O564" s="642"/>
      <c r="P564" s="642"/>
      <c r="Q564" s="642"/>
      <c r="R564" s="642"/>
      <c r="S564" s="642"/>
      <c r="T564" s="642"/>
      <c r="U564" s="642"/>
      <c r="V564" s="642"/>
      <c r="W564" s="642"/>
    </row>
    <row r="565" spans="1:23" ht="15" customHeight="1">
      <c r="A565" s="642"/>
      <c r="B565" s="642"/>
      <c r="C565" s="642"/>
      <c r="D565" s="154"/>
      <c r="E565" s="154"/>
      <c r="F565" s="642"/>
      <c r="H565" s="642"/>
      <c r="I565" s="642"/>
      <c r="J565" s="642"/>
      <c r="K565" s="642"/>
      <c r="L565" s="642"/>
      <c r="M565" s="642"/>
      <c r="N565" s="642"/>
      <c r="O565" s="642"/>
      <c r="P565" s="642"/>
      <c r="Q565" s="642"/>
      <c r="R565" s="642"/>
      <c r="S565" s="642"/>
      <c r="T565" s="642"/>
      <c r="U565" s="642"/>
      <c r="V565" s="642"/>
      <c r="W565" s="642"/>
    </row>
    <row r="566" spans="1:23" ht="15" customHeight="1">
      <c r="A566" s="642"/>
      <c r="B566" s="642"/>
      <c r="C566" s="642"/>
      <c r="D566" s="154"/>
      <c r="E566" s="154"/>
      <c r="F566" s="642"/>
      <c r="H566" s="642"/>
      <c r="I566" s="642"/>
      <c r="J566" s="642"/>
      <c r="K566" s="642"/>
      <c r="L566" s="642"/>
      <c r="M566" s="642"/>
      <c r="N566" s="642"/>
      <c r="O566" s="642"/>
      <c r="P566" s="642"/>
      <c r="Q566" s="642"/>
      <c r="R566" s="642"/>
      <c r="S566" s="642"/>
      <c r="T566" s="642"/>
      <c r="U566" s="642"/>
      <c r="V566" s="642"/>
      <c r="W566" s="642"/>
    </row>
    <row r="567" spans="1:23" ht="15" customHeight="1">
      <c r="A567" s="642"/>
      <c r="B567" s="642"/>
      <c r="C567" s="642"/>
      <c r="D567" s="154"/>
      <c r="E567" s="154"/>
      <c r="F567" s="642"/>
      <c r="H567" s="642"/>
      <c r="I567" s="642"/>
      <c r="J567" s="642"/>
      <c r="K567" s="642"/>
      <c r="L567" s="642"/>
      <c r="M567" s="642"/>
      <c r="N567" s="642"/>
      <c r="O567" s="642"/>
      <c r="P567" s="642"/>
      <c r="Q567" s="642"/>
      <c r="R567" s="642"/>
      <c r="S567" s="642"/>
      <c r="T567" s="642"/>
      <c r="U567" s="642"/>
      <c r="V567" s="642"/>
      <c r="W567" s="642"/>
    </row>
    <row r="568" spans="1:23" ht="15" customHeight="1">
      <c r="A568" s="642"/>
      <c r="B568" s="642"/>
      <c r="C568" s="642"/>
      <c r="D568" s="154"/>
      <c r="E568" s="154"/>
      <c r="F568" s="642"/>
      <c r="H568" s="642"/>
      <c r="I568" s="642"/>
      <c r="J568" s="642"/>
      <c r="K568" s="642"/>
      <c r="L568" s="642"/>
      <c r="M568" s="642"/>
      <c r="N568" s="642"/>
      <c r="O568" s="642"/>
      <c r="P568" s="642"/>
      <c r="Q568" s="642"/>
      <c r="R568" s="642"/>
      <c r="S568" s="642"/>
      <c r="T568" s="642"/>
      <c r="U568" s="642"/>
      <c r="V568" s="642"/>
      <c r="W568" s="642"/>
    </row>
    <row r="569" spans="1:23" ht="15" customHeight="1">
      <c r="A569" s="642"/>
      <c r="B569" s="642"/>
      <c r="C569" s="642"/>
      <c r="D569" s="154"/>
      <c r="E569" s="154"/>
      <c r="F569" s="642"/>
      <c r="H569" s="642"/>
      <c r="I569" s="642"/>
      <c r="J569" s="642"/>
      <c r="K569" s="642"/>
      <c r="L569" s="642"/>
      <c r="M569" s="642"/>
      <c r="N569" s="642"/>
      <c r="O569" s="642"/>
      <c r="P569" s="642"/>
      <c r="Q569" s="642"/>
      <c r="R569" s="642"/>
      <c r="S569" s="642"/>
      <c r="T569" s="642"/>
      <c r="U569" s="642"/>
      <c r="V569" s="642"/>
      <c r="W569" s="642"/>
    </row>
    <row r="570" spans="1:23" ht="15" customHeight="1">
      <c r="A570" s="642"/>
      <c r="B570" s="642"/>
      <c r="C570" s="642"/>
      <c r="D570" s="154"/>
      <c r="E570" s="154"/>
      <c r="F570" s="642"/>
      <c r="H570" s="642"/>
      <c r="I570" s="642"/>
      <c r="J570" s="642"/>
      <c r="K570" s="642"/>
      <c r="L570" s="642"/>
      <c r="M570" s="642"/>
      <c r="N570" s="642"/>
      <c r="O570" s="642"/>
      <c r="P570" s="642"/>
      <c r="Q570" s="642"/>
      <c r="R570" s="642"/>
      <c r="S570" s="642"/>
      <c r="T570" s="642"/>
      <c r="U570" s="642"/>
      <c r="V570" s="642"/>
      <c r="W570" s="642"/>
    </row>
    <row r="571" spans="1:23" ht="15" customHeight="1">
      <c r="A571" s="642"/>
      <c r="B571" s="642"/>
      <c r="C571" s="642"/>
      <c r="D571" s="154"/>
      <c r="E571" s="154"/>
      <c r="F571" s="642"/>
      <c r="H571" s="642"/>
      <c r="I571" s="642"/>
      <c r="J571" s="642"/>
      <c r="K571" s="642"/>
      <c r="L571" s="642"/>
      <c r="M571" s="642"/>
      <c r="N571" s="642"/>
      <c r="O571" s="642"/>
      <c r="P571" s="642"/>
      <c r="Q571" s="642"/>
      <c r="R571" s="642"/>
      <c r="S571" s="642"/>
      <c r="T571" s="642"/>
      <c r="U571" s="642"/>
      <c r="V571" s="642"/>
      <c r="W571" s="642"/>
    </row>
    <row r="572" spans="1:23" ht="15" customHeight="1">
      <c r="A572" s="642"/>
      <c r="B572" s="642"/>
      <c r="C572" s="642"/>
      <c r="D572" s="154"/>
      <c r="E572" s="154"/>
      <c r="F572" s="642"/>
      <c r="H572" s="642"/>
      <c r="I572" s="642"/>
      <c r="J572" s="642"/>
      <c r="K572" s="642"/>
      <c r="L572" s="642"/>
      <c r="M572" s="642"/>
      <c r="N572" s="642"/>
      <c r="O572" s="642"/>
      <c r="P572" s="642"/>
      <c r="Q572" s="642"/>
      <c r="R572" s="642"/>
      <c r="S572" s="642"/>
      <c r="T572" s="642"/>
      <c r="U572" s="642"/>
      <c r="V572" s="642"/>
      <c r="W572" s="642"/>
    </row>
    <row r="573" spans="1:23" ht="15" customHeight="1">
      <c r="A573" s="642"/>
      <c r="B573" s="642"/>
      <c r="C573" s="642"/>
      <c r="D573" s="154"/>
      <c r="E573" s="154"/>
      <c r="F573" s="642"/>
      <c r="H573" s="642"/>
      <c r="I573" s="642"/>
      <c r="J573" s="642"/>
      <c r="K573" s="642"/>
      <c r="L573" s="642"/>
      <c r="M573" s="642"/>
      <c r="N573" s="642"/>
      <c r="O573" s="642"/>
      <c r="P573" s="642"/>
      <c r="Q573" s="642"/>
      <c r="R573" s="642"/>
      <c r="S573" s="642"/>
      <c r="T573" s="642"/>
      <c r="U573" s="642"/>
      <c r="V573" s="642"/>
      <c r="W573" s="642"/>
    </row>
    <row r="574" spans="1:23" ht="15" customHeight="1">
      <c r="A574" s="642"/>
      <c r="B574" s="642"/>
      <c r="C574" s="642"/>
      <c r="D574" s="154"/>
      <c r="E574" s="154"/>
      <c r="F574" s="642"/>
      <c r="H574" s="642"/>
      <c r="I574" s="642"/>
      <c r="J574" s="642"/>
      <c r="K574" s="642"/>
      <c r="L574" s="642"/>
      <c r="M574" s="642"/>
      <c r="N574" s="642"/>
      <c r="O574" s="642"/>
      <c r="P574" s="642"/>
      <c r="Q574" s="642"/>
      <c r="R574" s="642"/>
      <c r="S574" s="642"/>
      <c r="T574" s="642"/>
      <c r="U574" s="642"/>
      <c r="V574" s="642"/>
      <c r="W574" s="642"/>
    </row>
    <row r="575" spans="1:23" ht="15" customHeight="1">
      <c r="A575" s="642"/>
      <c r="B575" s="642"/>
      <c r="C575" s="642"/>
      <c r="D575" s="154"/>
      <c r="E575" s="128" t="s">
        <v>1357</v>
      </c>
      <c r="F575" s="642"/>
      <c r="H575" s="642"/>
      <c r="I575" s="642"/>
      <c r="J575" s="642"/>
      <c r="K575" s="642"/>
      <c r="L575" s="642"/>
      <c r="M575" s="642"/>
      <c r="N575" s="642"/>
      <c r="O575" s="642"/>
      <c r="P575" s="642"/>
      <c r="Q575" s="642"/>
      <c r="R575" s="642"/>
      <c r="S575" s="642"/>
      <c r="T575" s="642"/>
      <c r="U575" s="642"/>
      <c r="V575" s="642"/>
      <c r="W575" s="642"/>
    </row>
    <row r="576" spans="1:23" ht="15" customHeight="1">
      <c r="A576" s="642"/>
      <c r="B576" s="642"/>
      <c r="C576" s="642"/>
      <c r="D576" s="154"/>
      <c r="E576" s="154"/>
      <c r="F576" s="642"/>
      <c r="H576" s="642"/>
      <c r="I576" s="642"/>
      <c r="J576" s="642"/>
      <c r="K576" s="642"/>
      <c r="L576" s="642"/>
      <c r="M576" s="642"/>
      <c r="N576" s="642"/>
      <c r="O576" s="642"/>
      <c r="P576" s="642"/>
      <c r="Q576" s="642"/>
      <c r="R576" s="642"/>
      <c r="S576" s="642"/>
      <c r="T576" s="642"/>
      <c r="U576" s="642"/>
      <c r="V576" s="642"/>
      <c r="W576" s="642"/>
    </row>
    <row r="577" spans="1:23" ht="15" customHeight="1">
      <c r="A577" s="642"/>
      <c r="B577" s="642"/>
      <c r="C577" s="642"/>
      <c r="D577" s="154"/>
      <c r="E577" s="154"/>
      <c r="F577" s="642"/>
      <c r="H577" s="642"/>
      <c r="I577" s="642"/>
      <c r="J577" s="642"/>
      <c r="K577" s="642"/>
      <c r="L577" s="642"/>
      <c r="M577" s="642"/>
      <c r="N577" s="642"/>
      <c r="O577" s="642"/>
      <c r="P577" s="642"/>
      <c r="Q577" s="642"/>
      <c r="R577" s="642"/>
      <c r="S577" s="642"/>
      <c r="T577" s="642"/>
      <c r="U577" s="642"/>
      <c r="V577" s="642"/>
      <c r="W577" s="642"/>
    </row>
    <row r="578" spans="1:23" ht="15" customHeight="1">
      <c r="A578" s="642"/>
      <c r="B578" s="642"/>
      <c r="C578" s="642"/>
      <c r="D578" s="154"/>
      <c r="E578" s="154"/>
      <c r="F578" s="642"/>
      <c r="H578" s="642"/>
      <c r="I578" s="642"/>
      <c r="J578" s="642"/>
      <c r="K578" s="642"/>
      <c r="L578" s="642"/>
      <c r="M578" s="642"/>
      <c r="N578" s="642"/>
      <c r="O578" s="642"/>
      <c r="P578" s="642"/>
      <c r="Q578" s="642"/>
      <c r="R578" s="642"/>
      <c r="S578" s="642"/>
      <c r="T578" s="642"/>
      <c r="U578" s="642"/>
      <c r="V578" s="642"/>
      <c r="W578" s="642"/>
    </row>
    <row r="579" spans="1:23" ht="15" customHeight="1">
      <c r="A579" s="642"/>
      <c r="B579" s="642"/>
      <c r="C579" s="642"/>
      <c r="D579" s="154"/>
      <c r="E579" s="154"/>
      <c r="F579" s="642"/>
      <c r="H579" s="642"/>
      <c r="I579" s="642"/>
      <c r="J579" s="642"/>
      <c r="K579" s="642"/>
      <c r="L579" s="642"/>
      <c r="M579" s="642"/>
      <c r="N579" s="642"/>
      <c r="O579" s="642"/>
      <c r="P579" s="642"/>
      <c r="Q579" s="642"/>
      <c r="R579" s="642"/>
      <c r="S579" s="642"/>
      <c r="T579" s="642"/>
      <c r="U579" s="642"/>
      <c r="V579" s="642"/>
      <c r="W579" s="642"/>
    </row>
    <row r="580" spans="1:23" ht="15" customHeight="1">
      <c r="A580" s="642"/>
      <c r="B580" s="642"/>
      <c r="C580" s="642"/>
      <c r="D580" s="154"/>
      <c r="E580" s="154"/>
      <c r="F580" s="642"/>
      <c r="H580" s="642"/>
      <c r="I580" s="642"/>
      <c r="J580" s="642"/>
      <c r="K580" s="642"/>
      <c r="L580" s="642"/>
      <c r="M580" s="642"/>
      <c r="N580" s="642"/>
      <c r="O580" s="642"/>
      <c r="P580" s="642"/>
      <c r="Q580" s="642"/>
      <c r="R580" s="642"/>
      <c r="S580" s="642"/>
      <c r="T580" s="642"/>
      <c r="U580" s="642"/>
      <c r="V580" s="642"/>
      <c r="W580" s="642"/>
    </row>
    <row r="581" spans="1:23" ht="15" customHeight="1">
      <c r="A581" s="642"/>
      <c r="B581" s="642"/>
      <c r="C581" s="642"/>
      <c r="D581" s="154"/>
      <c r="E581" s="154"/>
      <c r="F581" s="642"/>
      <c r="H581" s="642"/>
      <c r="I581" s="642"/>
      <c r="J581" s="642"/>
      <c r="K581" s="642"/>
      <c r="L581" s="642"/>
      <c r="M581" s="642"/>
      <c r="N581" s="642"/>
      <c r="O581" s="642"/>
      <c r="P581" s="642"/>
      <c r="Q581" s="642"/>
      <c r="R581" s="642"/>
      <c r="S581" s="642"/>
      <c r="T581" s="642"/>
      <c r="U581" s="642"/>
      <c r="V581" s="642"/>
      <c r="W581" s="642"/>
    </row>
    <row r="582" spans="1:23" ht="15" customHeight="1">
      <c r="A582" s="642"/>
      <c r="B582" s="642"/>
      <c r="C582" s="642"/>
      <c r="D582" s="154"/>
      <c r="E582" s="154"/>
      <c r="F582" s="642"/>
      <c r="H582" s="642"/>
      <c r="I582" s="642"/>
      <c r="J582" s="642"/>
      <c r="K582" s="642"/>
      <c r="L582" s="642"/>
      <c r="M582" s="642"/>
      <c r="N582" s="642"/>
      <c r="O582" s="642"/>
      <c r="P582" s="642"/>
      <c r="Q582" s="642"/>
      <c r="R582" s="642"/>
      <c r="S582" s="642"/>
      <c r="T582" s="642"/>
      <c r="U582" s="642"/>
      <c r="V582" s="642"/>
      <c r="W582" s="642"/>
    </row>
    <row r="583" spans="1:23" ht="15" customHeight="1">
      <c r="A583" s="642"/>
      <c r="B583" s="128"/>
      <c r="C583" s="128"/>
      <c r="D583" s="154"/>
      <c r="E583" s="154"/>
      <c r="F583" s="642"/>
      <c r="H583" s="642"/>
      <c r="I583" s="642"/>
      <c r="J583" s="642"/>
      <c r="K583" s="642"/>
      <c r="L583" s="642"/>
      <c r="M583" s="642"/>
      <c r="N583" s="642"/>
      <c r="O583" s="642"/>
      <c r="P583" s="642"/>
      <c r="Q583" s="642"/>
      <c r="R583" s="642"/>
      <c r="S583" s="642"/>
      <c r="T583" s="642"/>
      <c r="U583" s="642"/>
      <c r="V583" s="642"/>
      <c r="W583" s="642"/>
    </row>
    <row r="584" spans="1:23" ht="15" customHeight="1">
      <c r="A584" s="642"/>
      <c r="B584" s="128"/>
      <c r="C584" s="128"/>
      <c r="D584" s="154"/>
      <c r="E584" s="154"/>
      <c r="F584" s="642"/>
      <c r="H584" s="642"/>
      <c r="I584" s="642"/>
      <c r="J584" s="642"/>
      <c r="K584" s="642"/>
      <c r="L584" s="642"/>
      <c r="M584" s="642"/>
      <c r="N584" s="642"/>
      <c r="O584" s="642"/>
      <c r="P584" s="642"/>
      <c r="Q584" s="642"/>
      <c r="R584" s="642"/>
      <c r="S584" s="642"/>
      <c r="T584" s="642"/>
      <c r="U584" s="642"/>
      <c r="V584" s="642"/>
      <c r="W584" s="642"/>
    </row>
    <row r="585" spans="1:23" ht="15" customHeight="1">
      <c r="A585" s="642"/>
      <c r="B585" s="128"/>
      <c r="C585" s="128"/>
      <c r="D585" s="154"/>
      <c r="E585" s="154"/>
      <c r="F585" s="642"/>
      <c r="H585" s="642"/>
      <c r="I585" s="642"/>
      <c r="J585" s="642"/>
      <c r="K585" s="642"/>
      <c r="L585" s="642"/>
      <c r="M585" s="642"/>
      <c r="N585" s="642"/>
      <c r="O585" s="642"/>
      <c r="P585" s="642"/>
      <c r="Q585" s="642"/>
      <c r="R585" s="642"/>
      <c r="S585" s="642"/>
      <c r="T585" s="642"/>
      <c r="U585" s="642"/>
      <c r="V585" s="642"/>
      <c r="W585" s="642"/>
    </row>
    <row r="586" spans="1:23" ht="15" customHeight="1">
      <c r="A586" s="642"/>
      <c r="B586" s="642"/>
      <c r="C586" s="642"/>
      <c r="D586" s="154"/>
      <c r="E586" s="154"/>
      <c r="F586" s="642"/>
      <c r="H586" s="642"/>
      <c r="I586" s="642"/>
      <c r="J586" s="642"/>
      <c r="K586" s="642"/>
      <c r="L586" s="642"/>
      <c r="M586" s="642"/>
      <c r="N586" s="642"/>
      <c r="O586" s="642"/>
      <c r="P586" s="642"/>
      <c r="Q586" s="642"/>
      <c r="R586" s="642"/>
      <c r="S586" s="642"/>
      <c r="T586" s="642"/>
      <c r="U586" s="642"/>
      <c r="V586" s="642"/>
      <c r="W586" s="642"/>
    </row>
    <row r="587" spans="1:23" ht="15" customHeight="1">
      <c r="D587" s="154"/>
      <c r="E587" s="154"/>
      <c r="F587" s="642"/>
      <c r="H587" s="642"/>
      <c r="I587" s="642"/>
      <c r="J587" s="642"/>
      <c r="K587" s="642"/>
      <c r="L587" s="642"/>
      <c r="M587" s="642"/>
      <c r="N587" s="642"/>
      <c r="O587" s="642"/>
      <c r="P587" s="642"/>
      <c r="Q587" s="642"/>
      <c r="R587" s="642"/>
      <c r="S587" s="642"/>
      <c r="T587" s="642"/>
      <c r="U587" s="642"/>
      <c r="V587" s="642"/>
      <c r="W587" s="642"/>
    </row>
    <row r="588" spans="1:23" ht="15" customHeight="1">
      <c r="D588" s="154"/>
      <c r="E588" s="154"/>
      <c r="F588" s="642"/>
      <c r="H588" s="642"/>
      <c r="I588" s="642"/>
      <c r="J588" s="642"/>
      <c r="K588" s="642"/>
      <c r="L588" s="642"/>
      <c r="M588" s="642"/>
      <c r="N588" s="642"/>
      <c r="O588" s="642"/>
      <c r="P588" s="642"/>
      <c r="Q588" s="642"/>
      <c r="R588" s="642"/>
      <c r="S588" s="642"/>
      <c r="T588" s="642"/>
      <c r="U588" s="642"/>
      <c r="V588" s="642"/>
      <c r="W588" s="642"/>
    </row>
    <row r="589" spans="1:23" ht="15" customHeight="1">
      <c r="D589" s="154"/>
      <c r="E589" s="154"/>
      <c r="F589" s="642"/>
      <c r="H589" s="642"/>
      <c r="I589" s="642"/>
      <c r="J589" s="642"/>
      <c r="K589" s="642"/>
      <c r="L589" s="642"/>
      <c r="M589" s="642"/>
      <c r="N589" s="642"/>
      <c r="O589" s="642"/>
      <c r="P589" s="642"/>
      <c r="Q589" s="642"/>
      <c r="R589" s="642"/>
      <c r="S589" s="642"/>
      <c r="T589" s="642"/>
      <c r="U589" s="642"/>
      <c r="V589" s="642"/>
      <c r="W589" s="642"/>
    </row>
    <row r="590" spans="1:23" ht="15" customHeight="1">
      <c r="D590" s="154"/>
      <c r="E590" s="154"/>
      <c r="F590" s="642"/>
      <c r="H590" s="642"/>
      <c r="I590" s="642"/>
      <c r="J590" s="642"/>
      <c r="K590" s="642"/>
      <c r="L590" s="642"/>
      <c r="M590" s="642"/>
      <c r="N590" s="642"/>
      <c r="O590" s="642"/>
      <c r="P590" s="642"/>
      <c r="Q590" s="642"/>
      <c r="R590" s="642"/>
      <c r="S590" s="642"/>
      <c r="T590" s="642"/>
      <c r="U590" s="642"/>
      <c r="V590" s="642"/>
      <c r="W590" s="642"/>
    </row>
    <row r="591" spans="1:23" ht="15" customHeight="1">
      <c r="D591" s="154"/>
      <c r="E591" s="154"/>
      <c r="F591" s="642"/>
      <c r="H591" s="642"/>
      <c r="I591" s="642"/>
      <c r="J591" s="642"/>
      <c r="K591" s="642"/>
      <c r="L591" s="642"/>
      <c r="M591" s="642"/>
      <c r="N591" s="642"/>
      <c r="O591" s="642"/>
      <c r="P591" s="642"/>
      <c r="Q591" s="642"/>
      <c r="R591" s="642"/>
      <c r="S591" s="642"/>
      <c r="T591" s="642"/>
      <c r="U591" s="642"/>
      <c r="V591" s="642"/>
      <c r="W591" s="642"/>
    </row>
    <row r="592" spans="1:23" ht="15" customHeight="1">
      <c r="D592" s="154"/>
      <c r="E592" s="154"/>
      <c r="F592" s="642"/>
      <c r="H592" s="642"/>
      <c r="I592" s="642"/>
      <c r="J592" s="642"/>
      <c r="K592" s="642"/>
      <c r="L592" s="642"/>
      <c r="M592" s="642"/>
      <c r="N592" s="642"/>
      <c r="O592" s="642"/>
      <c r="P592" s="642"/>
      <c r="Q592" s="642"/>
      <c r="R592" s="642"/>
      <c r="S592" s="642"/>
      <c r="T592" s="642"/>
      <c r="U592" s="642"/>
      <c r="V592" s="642"/>
      <c r="W592" s="642"/>
    </row>
    <row r="593" spans="4:23" ht="15" customHeight="1">
      <c r="D593" s="154"/>
      <c r="E593" s="154"/>
      <c r="F593" s="642"/>
      <c r="H593" s="642"/>
      <c r="I593" s="642"/>
      <c r="J593" s="642"/>
      <c r="K593" s="642"/>
      <c r="L593" s="642"/>
      <c r="M593" s="642"/>
      <c r="N593" s="642"/>
      <c r="O593" s="642"/>
      <c r="P593" s="642"/>
      <c r="Q593" s="642"/>
      <c r="R593" s="642"/>
      <c r="S593" s="642"/>
      <c r="T593" s="642"/>
      <c r="U593" s="642"/>
      <c r="V593" s="642"/>
      <c r="W593" s="642"/>
    </row>
    <row r="594" spans="4:23" ht="15" customHeight="1">
      <c r="D594" s="154"/>
      <c r="E594" s="154"/>
      <c r="F594" s="642"/>
      <c r="H594" s="642"/>
      <c r="I594" s="642"/>
      <c r="J594" s="642"/>
      <c r="K594" s="642"/>
      <c r="L594" s="642"/>
      <c r="M594" s="642"/>
      <c r="N594" s="642"/>
      <c r="O594" s="642"/>
      <c r="P594" s="642"/>
      <c r="Q594" s="642"/>
      <c r="R594" s="642"/>
      <c r="S594" s="642"/>
      <c r="T594" s="642"/>
      <c r="U594" s="642"/>
      <c r="V594" s="642"/>
      <c r="W594" s="642"/>
    </row>
    <row r="595" spans="4:23" ht="15" customHeight="1">
      <c r="D595" s="154"/>
      <c r="E595" s="154"/>
      <c r="F595" s="642"/>
      <c r="H595" s="642"/>
      <c r="I595" s="642"/>
      <c r="J595" s="642"/>
      <c r="K595" s="642"/>
      <c r="L595" s="642"/>
      <c r="M595" s="642"/>
      <c r="N595" s="642"/>
      <c r="O595" s="642"/>
      <c r="P595" s="642"/>
      <c r="Q595" s="642"/>
      <c r="R595" s="642"/>
      <c r="S595" s="642"/>
      <c r="T595" s="642"/>
      <c r="U595" s="642"/>
      <c r="V595" s="642"/>
      <c r="W595" s="642"/>
    </row>
    <row r="596" spans="4:23" ht="15" customHeight="1">
      <c r="D596" s="154"/>
      <c r="E596" s="154"/>
      <c r="F596" s="642"/>
      <c r="H596" s="642"/>
      <c r="I596" s="642"/>
      <c r="J596" s="642"/>
      <c r="K596" s="642"/>
      <c r="L596" s="642"/>
      <c r="M596" s="642"/>
      <c r="N596" s="642"/>
      <c r="O596" s="642"/>
      <c r="P596" s="642"/>
      <c r="Q596" s="642"/>
      <c r="R596" s="642"/>
      <c r="S596" s="642"/>
      <c r="T596" s="642"/>
      <c r="U596" s="642"/>
      <c r="V596" s="642"/>
      <c r="W596" s="642"/>
    </row>
    <row r="597" spans="4:23" ht="15" customHeight="1">
      <c r="D597" s="154"/>
      <c r="E597" s="154"/>
      <c r="F597" s="642"/>
      <c r="H597" s="642"/>
      <c r="I597" s="642"/>
      <c r="J597" s="642"/>
      <c r="K597" s="642"/>
      <c r="L597" s="642"/>
      <c r="M597" s="642"/>
      <c r="N597" s="642"/>
      <c r="O597" s="642"/>
      <c r="P597" s="642"/>
      <c r="Q597" s="642"/>
      <c r="R597" s="642"/>
      <c r="S597" s="642"/>
      <c r="T597" s="642"/>
      <c r="U597" s="642"/>
      <c r="V597" s="642"/>
      <c r="W597" s="642"/>
    </row>
    <row r="598" spans="4:23" ht="15" customHeight="1">
      <c r="D598" s="154"/>
      <c r="E598" s="154"/>
      <c r="F598" s="642"/>
      <c r="H598" s="642"/>
      <c r="I598" s="642"/>
      <c r="J598" s="642"/>
      <c r="K598" s="642"/>
      <c r="L598" s="642"/>
      <c r="M598" s="642"/>
      <c r="N598" s="642"/>
      <c r="O598" s="642"/>
      <c r="P598" s="642"/>
      <c r="Q598" s="642"/>
      <c r="R598" s="642"/>
      <c r="S598" s="642"/>
      <c r="T598" s="642"/>
      <c r="U598" s="642"/>
      <c r="V598" s="642"/>
      <c r="W598" s="642"/>
    </row>
  </sheetData>
  <pageMargins left="0.7" right="0.7" top="0.75" bottom="0.75" header="0.3" footer="0.3"/>
  <pageSetup paperSize="9" orientation="portrait"/>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sheetPr>
  <dimension ref="A1:AA789"/>
  <sheetViews>
    <sheetView topLeftCell="A222" workbookViewId="0">
      <pane xSplit="1" topLeftCell="B1" activePane="topRight" state="frozen"/>
      <selection activeCell="A13" sqref="A13"/>
      <selection pane="topRight" activeCell="D238" sqref="D238"/>
    </sheetView>
  </sheetViews>
  <sheetFormatPr defaultColWidth="9" defaultRowHeight="14.25" customHeight="1"/>
  <cols>
    <col min="1" max="1" width="15.85546875" style="158" customWidth="1"/>
    <col min="2" max="2" width="54.140625" style="158" customWidth="1"/>
    <col min="3" max="4" width="52.640625" style="158" customWidth="1"/>
    <col min="5" max="5" width="59.7109375" style="158" customWidth="1"/>
    <col min="6" max="6" width="52.640625" style="158" customWidth="1"/>
    <col min="7" max="7" width="52.35546875" style="158" customWidth="1"/>
    <col min="8" max="10" width="52.640625" style="158" customWidth="1"/>
    <col min="11" max="11" width="57.35546875" style="158" customWidth="1"/>
    <col min="12" max="12" width="45.140625" style="158" customWidth="1"/>
    <col min="13" max="13" width="56.85546875" style="158" hidden="1" customWidth="1"/>
    <col min="14" max="14" width="58.5" style="158" hidden="1" customWidth="1"/>
    <col min="15" max="15" width="67.7109375" style="158" customWidth="1"/>
    <col min="16" max="16" width="50.640625" style="158" customWidth="1"/>
    <col min="17" max="17" width="50.7109375" style="158" customWidth="1"/>
    <col min="18" max="18" width="60.2109375" style="158" customWidth="1"/>
    <col min="19" max="19" width="60.85546875" style="158" customWidth="1"/>
    <col min="20" max="20" width="51" style="158" customWidth="1"/>
    <col min="21" max="21" width="9" style="158" customWidth="1"/>
    <col min="22" max="16384" width="9" style="158"/>
  </cols>
  <sheetData>
    <row r="1" spans="1:11" ht="18.45" customHeight="1">
      <c r="A1" s="159" t="s">
        <v>1358</v>
      </c>
      <c r="B1" s="160" t="s">
        <v>1359</v>
      </c>
      <c r="C1" s="160" t="s">
        <v>1360</v>
      </c>
      <c r="E1" s="802" t="s">
        <v>1361</v>
      </c>
      <c r="F1" s="801"/>
      <c r="G1" s="801"/>
      <c r="H1" s="801"/>
      <c r="I1" s="801"/>
      <c r="J1" s="801"/>
      <c r="K1" s="801"/>
    </row>
    <row r="2" spans="1:11" ht="16.75" customHeight="1">
      <c r="A2" s="161">
        <v>1</v>
      </c>
      <c r="B2" s="162" t="s">
        <v>1362</v>
      </c>
      <c r="C2" s="163" t="s">
        <v>1363</v>
      </c>
      <c r="E2" s="801"/>
      <c r="F2" s="801"/>
      <c r="G2" s="801"/>
      <c r="H2" s="801"/>
      <c r="I2" s="801"/>
      <c r="J2" s="801"/>
      <c r="K2" s="801"/>
    </row>
    <row r="3" spans="1:11" ht="16.75" customHeight="1">
      <c r="A3" s="161" t="s">
        <v>1062</v>
      </c>
      <c r="B3" s="164" t="s">
        <v>1364</v>
      </c>
      <c r="C3" s="165" t="s">
        <v>1365</v>
      </c>
      <c r="E3" s="801"/>
      <c r="F3" s="801"/>
      <c r="G3" s="801"/>
      <c r="H3" s="801"/>
      <c r="I3" s="801"/>
      <c r="J3" s="801"/>
      <c r="K3" s="801"/>
    </row>
    <row r="4" spans="1:11" ht="16.75" customHeight="1">
      <c r="A4" s="161" t="s">
        <v>968</v>
      </c>
      <c r="B4" s="166" t="s">
        <v>1366</v>
      </c>
      <c r="C4" s="167" t="s">
        <v>1367</v>
      </c>
      <c r="E4" s="801"/>
      <c r="F4" s="801"/>
      <c r="G4" s="801"/>
      <c r="H4" s="801"/>
      <c r="I4" s="801"/>
      <c r="J4" s="801"/>
      <c r="K4" s="801"/>
    </row>
    <row r="5" spans="1:11" ht="16.75" customHeight="1">
      <c r="A5" s="161" t="s">
        <v>1040</v>
      </c>
      <c r="B5" s="168" t="s">
        <v>1368</v>
      </c>
      <c r="C5" s="169" t="s">
        <v>1369</v>
      </c>
      <c r="E5" s="801"/>
      <c r="F5" s="801"/>
      <c r="G5" s="801"/>
      <c r="H5" s="801"/>
      <c r="I5" s="801"/>
      <c r="J5" s="801"/>
      <c r="K5" s="801"/>
    </row>
    <row r="6" spans="1:11" ht="16.75" customHeight="1">
      <c r="A6" s="161" t="s">
        <v>1268</v>
      </c>
      <c r="B6" s="170" t="s">
        <v>1370</v>
      </c>
      <c r="C6" s="171" t="s">
        <v>1371</v>
      </c>
      <c r="E6" s="801"/>
      <c r="F6" s="801"/>
      <c r="G6" s="801"/>
      <c r="H6" s="801"/>
      <c r="I6" s="801"/>
      <c r="J6" s="801"/>
      <c r="K6" s="801"/>
    </row>
    <row r="7" spans="1:11" ht="16.75" customHeight="1">
      <c r="A7" s="161" t="s">
        <v>1372</v>
      </c>
      <c r="B7" s="172" t="s">
        <v>1373</v>
      </c>
      <c r="C7" s="173" t="s">
        <v>1374</v>
      </c>
      <c r="E7" s="801"/>
      <c r="F7" s="801"/>
      <c r="G7" s="801"/>
      <c r="H7" s="801"/>
      <c r="I7" s="801"/>
      <c r="J7" s="801"/>
      <c r="K7" s="801"/>
    </row>
    <row r="8" spans="1:11" ht="16.75" customHeight="1">
      <c r="A8" s="161" t="s">
        <v>1375</v>
      </c>
      <c r="B8" s="174" t="s">
        <v>1376</v>
      </c>
      <c r="C8" s="175" t="s">
        <v>1377</v>
      </c>
      <c r="E8" s="801"/>
      <c r="F8" s="801"/>
      <c r="G8" s="801"/>
      <c r="H8" s="801"/>
      <c r="I8" s="801"/>
      <c r="J8" s="801"/>
      <c r="K8" s="801"/>
    </row>
    <row r="9" spans="1:11" ht="16.75" customHeight="1">
      <c r="A9" s="161" t="s">
        <v>1378</v>
      </c>
      <c r="B9" s="174" t="s">
        <v>1376</v>
      </c>
      <c r="C9" s="176" t="s">
        <v>1379</v>
      </c>
      <c r="E9" s="801"/>
      <c r="F9" s="801"/>
      <c r="G9" s="801"/>
      <c r="H9" s="801"/>
      <c r="I9" s="801"/>
      <c r="J9" s="801"/>
      <c r="K9" s="801"/>
    </row>
    <row r="10" spans="1:11" ht="15.75" customHeight="1">
      <c r="A10" s="161" t="s">
        <v>1380</v>
      </c>
      <c r="B10" s="174" t="s">
        <v>1376</v>
      </c>
      <c r="C10" s="177" t="s">
        <v>1381</v>
      </c>
      <c r="E10" s="801"/>
      <c r="F10" s="801"/>
      <c r="G10" s="801"/>
      <c r="H10" s="801"/>
      <c r="I10" s="801"/>
      <c r="J10" s="801"/>
      <c r="K10" s="801"/>
    </row>
    <row r="11" spans="1:11" ht="16.75" customHeight="1">
      <c r="A11" s="161" t="s">
        <v>1382</v>
      </c>
      <c r="B11" s="174" t="s">
        <v>1376</v>
      </c>
      <c r="C11" s="178" t="s">
        <v>1383</v>
      </c>
    </row>
    <row r="12" spans="1:11" ht="16.75" customHeight="1">
      <c r="A12" s="179" t="s">
        <v>1384</v>
      </c>
      <c r="B12" s="174" t="s">
        <v>1376</v>
      </c>
      <c r="C12" s="180" t="s">
        <v>1385</v>
      </c>
    </row>
    <row r="13" spans="1:11" ht="16.75" customHeight="1">
      <c r="A13" s="179" t="s">
        <v>1386</v>
      </c>
      <c r="B13" s="174" t="s">
        <v>1376</v>
      </c>
      <c r="C13" s="181" t="s">
        <v>1387</v>
      </c>
    </row>
    <row r="14" spans="1:11" ht="16.75" customHeight="1">
      <c r="A14" s="179" t="s">
        <v>1388</v>
      </c>
      <c r="B14" s="174" t="s">
        <v>1376</v>
      </c>
    </row>
    <row r="15" spans="1:11" ht="16.75" customHeight="1">
      <c r="A15" s="179" t="s">
        <v>1389</v>
      </c>
      <c r="B15" s="174" t="s">
        <v>1376</v>
      </c>
    </row>
    <row r="16" spans="1:11" ht="16.75" customHeight="1">
      <c r="A16" s="179" t="s">
        <v>1390</v>
      </c>
      <c r="B16" s="172" t="s">
        <v>1373</v>
      </c>
    </row>
    <row r="17" spans="1:27" ht="16.75" customHeight="1">
      <c r="A17" s="179" t="s">
        <v>1391</v>
      </c>
      <c r="B17" s="170" t="s">
        <v>1370</v>
      </c>
    </row>
    <row r="18" spans="1:27" ht="16.75" customHeight="1">
      <c r="A18" s="179" t="s">
        <v>1392</v>
      </c>
      <c r="B18" s="168" t="s">
        <v>1368</v>
      </c>
    </row>
    <row r="19" spans="1:27" ht="16.75" customHeight="1">
      <c r="A19" s="179" t="s">
        <v>1393</v>
      </c>
      <c r="B19" s="166" t="s">
        <v>1366</v>
      </c>
    </row>
    <row r="20" spans="1:27" ht="16.75" customHeight="1">
      <c r="A20" s="179" t="s">
        <v>1394</v>
      </c>
      <c r="B20" s="164" t="s">
        <v>1364</v>
      </c>
    </row>
    <row r="21" spans="1:27" ht="16.75" customHeight="1">
      <c r="A21" s="179" t="s">
        <v>1395</v>
      </c>
      <c r="B21" s="162" t="s">
        <v>1362</v>
      </c>
    </row>
    <row r="22" spans="1:27" ht="18.45" customHeight="1">
      <c r="A22" s="182" t="s">
        <v>1396</v>
      </c>
    </row>
    <row r="23" spans="1:27" ht="14.6" customHeight="1"/>
    <row r="24" spans="1:27" ht="14.6" customHeight="1"/>
    <row r="26" spans="1:27" ht="15.9" customHeight="1">
      <c r="A26" s="160"/>
    </row>
    <row r="27" spans="1:27" ht="17.25" customHeight="1">
      <c r="A27" s="160" t="s">
        <v>1397</v>
      </c>
      <c r="B27" s="183" t="s">
        <v>1194</v>
      </c>
      <c r="C27" s="184" t="s">
        <v>1197</v>
      </c>
      <c r="D27" s="184" t="s">
        <v>1398</v>
      </c>
      <c r="E27" s="184" t="s">
        <v>1399</v>
      </c>
      <c r="F27" s="184" t="s">
        <v>1400</v>
      </c>
      <c r="G27" s="184" t="s">
        <v>1401</v>
      </c>
      <c r="H27" s="184" t="s">
        <v>1402</v>
      </c>
      <c r="I27" s="184" t="s">
        <v>1403</v>
      </c>
      <c r="J27" s="184" t="s">
        <v>1404</v>
      </c>
      <c r="K27" s="185" t="s">
        <v>1405</v>
      </c>
      <c r="M27" s="186" t="s">
        <v>1406</v>
      </c>
      <c r="N27" s="186" t="s">
        <v>1406</v>
      </c>
      <c r="R27" s="187" t="str">
        <f t="shared" ref="R27:R52" si="0">CONCATENATE($A27, ": ", B27)</f>
        <v>Character name: Skeleton</v>
      </c>
      <c r="S27" s="158" t="str">
        <f t="shared" ref="S27:S52" si="1">CONCATENATE($A27, ": ", C27)</f>
        <v>Character name: Ghoul</v>
      </c>
      <c r="T27" s="158" t="str">
        <f t="shared" ref="T27:T52" si="2">CONCATENATE($A27, ": ", D27)</f>
        <v>Character name: Frostbitten Corpse</v>
      </c>
      <c r="U27" s="158" t="str">
        <f t="shared" ref="U27:U52" si="3">CONCATENATE($A27, ": ", E27)</f>
        <v>Character name: Bloomed Deceased</v>
      </c>
      <c r="V27" s="158" t="str">
        <f t="shared" ref="V27:V52" si="4">CONCATENATE($A27, ": ", F27)</f>
        <v>Character name: Mummified Remains</v>
      </c>
      <c r="W27" s="158" t="str">
        <f t="shared" ref="W27:W52" si="5">CONCATENATE($A27, ": ", G27)</f>
        <v>Character name: Walking Flesh</v>
      </c>
      <c r="X27" s="158" t="str">
        <f t="shared" ref="X27:X52" si="6">CONCATENATE($A27, ": ", H27)</f>
        <v>Character name: Charred Walker</v>
      </c>
      <c r="Y27" s="158" t="str">
        <f t="shared" ref="Y27:Y52" si="7">CONCATENATE($A27, ": ", I27)</f>
        <v>Character name: Stonehusk Skeleton</v>
      </c>
      <c r="Z27" s="158" t="str">
        <f t="shared" ref="Z27:Z52" si="8">CONCATENATE($A27, ": ", J27)</f>
        <v>Character name: Corrupted Corpse</v>
      </c>
      <c r="AA27" s="158" t="str">
        <f t="shared" ref="AA27:AA52" si="9">CONCATENATE($A27, ": ", K27)</f>
        <v>Character name: Lost Soul</v>
      </c>
    </row>
    <row r="28" spans="1:27" ht="18" customHeight="1">
      <c r="A28" s="160" t="s">
        <v>1407</v>
      </c>
      <c r="B28" s="188" t="s">
        <v>1363</v>
      </c>
      <c r="C28" s="167" t="s">
        <v>1367</v>
      </c>
      <c r="D28" s="169" t="s">
        <v>1369</v>
      </c>
      <c r="E28" s="171" t="s">
        <v>1371</v>
      </c>
      <c r="F28" s="189" t="s">
        <v>1374</v>
      </c>
      <c r="G28" s="175" t="s">
        <v>1377</v>
      </c>
      <c r="H28" s="176" t="s">
        <v>1379</v>
      </c>
      <c r="I28" s="177" t="s">
        <v>1381</v>
      </c>
      <c r="J28" s="178" t="s">
        <v>1383</v>
      </c>
      <c r="K28" s="190" t="s">
        <v>1385</v>
      </c>
      <c r="M28" s="165" t="s">
        <v>1365</v>
      </c>
      <c r="N28" s="181" t="s">
        <v>1387</v>
      </c>
      <c r="R28" s="181" t="str">
        <f t="shared" si="0"/>
        <v>Location: Surface</v>
      </c>
      <c r="S28" s="158" t="str">
        <f t="shared" si="1"/>
        <v>Location: Grasslands</v>
      </c>
      <c r="T28" s="158" t="str">
        <f t="shared" si="2"/>
        <v>Location: Frostreach</v>
      </c>
      <c r="U28" s="158" t="str">
        <f t="shared" si="3"/>
        <v>Location: Sakura</v>
      </c>
      <c r="V28" s="158" t="str">
        <f t="shared" si="4"/>
        <v>Location: Sundune</v>
      </c>
      <c r="W28" s="158" t="str">
        <f t="shared" si="5"/>
        <v>Location: Bloodgrounds</v>
      </c>
      <c r="X28" s="158" t="str">
        <f t="shared" si="6"/>
        <v>Location: Volcanica</v>
      </c>
      <c r="Y28" s="158" t="str">
        <f t="shared" si="7"/>
        <v>Location: Desolation</v>
      </c>
      <c r="Z28" s="158" t="str">
        <f t="shared" si="8"/>
        <v>Location: Grimwall</v>
      </c>
      <c r="AA28" s="158" t="str">
        <f t="shared" si="9"/>
        <v>Location: Elysian</v>
      </c>
    </row>
    <row r="29" spans="1:27" ht="15.9" customHeight="1">
      <c r="A29" s="160" t="s">
        <v>1408</v>
      </c>
      <c r="B29" s="191" t="s">
        <v>1366</v>
      </c>
      <c r="C29" s="192" t="s">
        <v>1366</v>
      </c>
      <c r="D29" s="192" t="s">
        <v>1366</v>
      </c>
      <c r="E29" s="192" t="s">
        <v>1366</v>
      </c>
      <c r="F29" s="192" t="s">
        <v>1366</v>
      </c>
      <c r="G29" s="192" t="s">
        <v>1366</v>
      </c>
      <c r="H29" s="192" t="s">
        <v>1366</v>
      </c>
      <c r="I29" s="192" t="s">
        <v>1366</v>
      </c>
      <c r="J29" s="192" t="s">
        <v>1366</v>
      </c>
      <c r="K29" s="193" t="s">
        <v>1366</v>
      </c>
      <c r="M29" s="192" t="s">
        <v>1366</v>
      </c>
      <c r="N29" s="192" t="s">
        <v>1366</v>
      </c>
      <c r="R29" s="192" t="str">
        <f t="shared" si="0"/>
        <v>Kin: Undead</v>
      </c>
      <c r="S29" s="158" t="str">
        <f t="shared" si="1"/>
        <v>Kin: Undead</v>
      </c>
      <c r="T29" s="158" t="str">
        <f t="shared" si="2"/>
        <v>Kin: Undead</v>
      </c>
      <c r="U29" s="158" t="str">
        <f t="shared" si="3"/>
        <v>Kin: Undead</v>
      </c>
      <c r="V29" s="158" t="str">
        <f t="shared" si="4"/>
        <v>Kin: Undead</v>
      </c>
      <c r="W29" s="158" t="str">
        <f t="shared" si="5"/>
        <v>Kin: Undead</v>
      </c>
      <c r="X29" s="158" t="str">
        <f t="shared" si="6"/>
        <v>Kin: Undead</v>
      </c>
      <c r="Y29" s="158" t="str">
        <f t="shared" si="7"/>
        <v>Kin: Undead</v>
      </c>
      <c r="Z29" s="158" t="str">
        <f t="shared" si="8"/>
        <v>Kin: Undead</v>
      </c>
      <c r="AA29" s="158" t="str">
        <f t="shared" si="9"/>
        <v>Kin: Undead</v>
      </c>
    </row>
    <row r="30" spans="1:27" ht="15.9" customHeight="1">
      <c r="A30" s="194" t="s">
        <v>542</v>
      </c>
      <c r="B30" s="195" t="s">
        <v>1409</v>
      </c>
      <c r="C30" s="196" t="s">
        <v>1409</v>
      </c>
      <c r="D30" s="196" t="s">
        <v>1409</v>
      </c>
      <c r="E30" s="196" t="s">
        <v>1409</v>
      </c>
      <c r="F30" s="196" t="s">
        <v>1409</v>
      </c>
      <c r="G30" s="196" t="s">
        <v>1409</v>
      </c>
      <c r="H30" s="196" t="s">
        <v>1409</v>
      </c>
      <c r="I30" s="196" t="s">
        <v>1409</v>
      </c>
      <c r="J30" s="196" t="s">
        <v>1409</v>
      </c>
      <c r="K30" s="197" t="s">
        <v>1409</v>
      </c>
      <c r="M30" s="196" t="s">
        <v>1409</v>
      </c>
      <c r="N30" s="196" t="s">
        <v>1409</v>
      </c>
      <c r="R30" s="196" t="str">
        <f t="shared" si="0"/>
        <v>Health: 25/25</v>
      </c>
      <c r="S30" s="158" t="str">
        <f t="shared" si="1"/>
        <v>Health: 25/25</v>
      </c>
      <c r="T30" s="158" t="str">
        <f t="shared" si="2"/>
        <v>Health: 25/25</v>
      </c>
      <c r="U30" s="158" t="str">
        <f t="shared" si="3"/>
        <v>Health: 25/25</v>
      </c>
      <c r="V30" s="158" t="str">
        <f t="shared" si="4"/>
        <v>Health: 25/25</v>
      </c>
      <c r="W30" s="158" t="str">
        <f t="shared" si="5"/>
        <v>Health: 25/25</v>
      </c>
      <c r="X30" s="158" t="str">
        <f t="shared" si="6"/>
        <v>Health: 25/25</v>
      </c>
      <c r="Y30" s="158" t="str">
        <f t="shared" si="7"/>
        <v>Health: 25/25</v>
      </c>
      <c r="Z30" s="158" t="str">
        <f t="shared" si="8"/>
        <v>Health: 25/25</v>
      </c>
      <c r="AA30" s="158" t="str">
        <f t="shared" si="9"/>
        <v>Health: 25/25</v>
      </c>
    </row>
    <row r="31" spans="1:27" ht="15.9" customHeight="1">
      <c r="A31" s="198" t="s">
        <v>1410</v>
      </c>
      <c r="B31" s="199" t="s">
        <v>1411</v>
      </c>
      <c r="C31" s="200" t="s">
        <v>1411</v>
      </c>
      <c r="D31" s="200" t="s">
        <v>1411</v>
      </c>
      <c r="E31" s="200" t="s">
        <v>1411</v>
      </c>
      <c r="F31" s="200" t="s">
        <v>1411</v>
      </c>
      <c r="G31" s="200" t="s">
        <v>1411</v>
      </c>
      <c r="H31" s="200" t="s">
        <v>1411</v>
      </c>
      <c r="I31" s="200" t="s">
        <v>1411</v>
      </c>
      <c r="J31" s="200" t="s">
        <v>1411</v>
      </c>
      <c r="K31" s="201" t="s">
        <v>1411</v>
      </c>
      <c r="M31" s="200" t="s">
        <v>1411</v>
      </c>
      <c r="N31" s="200" t="s">
        <v>1411</v>
      </c>
      <c r="R31" s="200" t="str">
        <f t="shared" si="0"/>
        <v>Mana/Resource: 50/50</v>
      </c>
      <c r="S31" s="158" t="str">
        <f t="shared" si="1"/>
        <v>Mana/Resource: 50/50</v>
      </c>
      <c r="T31" s="158" t="str">
        <f t="shared" si="2"/>
        <v>Mana/Resource: 50/50</v>
      </c>
      <c r="U31" s="158" t="str">
        <f t="shared" si="3"/>
        <v>Mana/Resource: 50/50</v>
      </c>
      <c r="V31" s="158" t="str">
        <f t="shared" si="4"/>
        <v>Mana/Resource: 50/50</v>
      </c>
      <c r="W31" s="158" t="str">
        <f t="shared" si="5"/>
        <v>Mana/Resource: 50/50</v>
      </c>
      <c r="X31" s="158" t="str">
        <f t="shared" si="6"/>
        <v>Mana/Resource: 50/50</v>
      </c>
      <c r="Y31" s="158" t="str">
        <f t="shared" si="7"/>
        <v>Mana/Resource: 50/50</v>
      </c>
      <c r="Z31" s="158" t="str">
        <f t="shared" si="8"/>
        <v>Mana/Resource: 50/50</v>
      </c>
      <c r="AA31" s="158" t="str">
        <f t="shared" si="9"/>
        <v>Mana/Resource: 50/50</v>
      </c>
    </row>
    <row r="32" spans="1:27" ht="15.9" customHeight="1">
      <c r="A32" s="202" t="s">
        <v>546</v>
      </c>
      <c r="B32" s="203">
        <v>1</v>
      </c>
      <c r="C32" s="204">
        <v>1</v>
      </c>
      <c r="D32" s="204">
        <v>1</v>
      </c>
      <c r="E32" s="204">
        <v>1</v>
      </c>
      <c r="F32" s="204">
        <v>1</v>
      </c>
      <c r="G32" s="204">
        <v>1</v>
      </c>
      <c r="H32" s="204">
        <v>1</v>
      </c>
      <c r="I32" s="204">
        <v>1</v>
      </c>
      <c r="J32" s="204">
        <v>1</v>
      </c>
      <c r="K32" s="205">
        <v>1</v>
      </c>
      <c r="M32" s="204">
        <v>1</v>
      </c>
      <c r="N32" s="204">
        <v>1</v>
      </c>
      <c r="R32" s="204" t="str">
        <f t="shared" si="0"/>
        <v>Defense: 1</v>
      </c>
      <c r="S32" s="158" t="str">
        <f t="shared" si="1"/>
        <v>Defense: 1</v>
      </c>
      <c r="T32" s="158" t="str">
        <f t="shared" si="2"/>
        <v>Defense: 1</v>
      </c>
      <c r="U32" s="158" t="str">
        <f t="shared" si="3"/>
        <v>Defense: 1</v>
      </c>
      <c r="V32" s="158" t="str">
        <f t="shared" si="4"/>
        <v>Defense: 1</v>
      </c>
      <c r="W32" s="158" t="str">
        <f t="shared" si="5"/>
        <v>Defense: 1</v>
      </c>
      <c r="X32" s="158" t="str">
        <f t="shared" si="6"/>
        <v>Defense: 1</v>
      </c>
      <c r="Y32" s="158" t="str">
        <f t="shared" si="7"/>
        <v>Defense: 1</v>
      </c>
      <c r="Z32" s="158" t="str">
        <f t="shared" si="8"/>
        <v>Defense: 1</v>
      </c>
      <c r="AA32" s="158" t="str">
        <f t="shared" si="9"/>
        <v>Defense: 1</v>
      </c>
    </row>
    <row r="33" spans="1:27" ht="15.9" customHeight="1">
      <c r="A33" s="206" t="s">
        <v>548</v>
      </c>
      <c r="B33" s="207">
        <v>1</v>
      </c>
      <c r="C33" s="208">
        <v>1</v>
      </c>
      <c r="D33" s="208">
        <v>1</v>
      </c>
      <c r="E33" s="208">
        <v>1</v>
      </c>
      <c r="F33" s="208">
        <v>1</v>
      </c>
      <c r="G33" s="208">
        <v>1</v>
      </c>
      <c r="H33" s="208">
        <v>1</v>
      </c>
      <c r="I33" s="208">
        <v>1</v>
      </c>
      <c r="J33" s="208">
        <v>1</v>
      </c>
      <c r="K33" s="209">
        <v>1</v>
      </c>
      <c r="M33" s="208">
        <v>1</v>
      </c>
      <c r="N33" s="208">
        <v>1</v>
      </c>
      <c r="R33" s="208" t="str">
        <f t="shared" si="0"/>
        <v>Dispersion: 1</v>
      </c>
      <c r="S33" s="158" t="str">
        <f t="shared" si="1"/>
        <v>Dispersion: 1</v>
      </c>
      <c r="T33" s="158" t="str">
        <f t="shared" si="2"/>
        <v>Dispersion: 1</v>
      </c>
      <c r="U33" s="158" t="str">
        <f t="shared" si="3"/>
        <v>Dispersion: 1</v>
      </c>
      <c r="V33" s="158" t="str">
        <f t="shared" si="4"/>
        <v>Dispersion: 1</v>
      </c>
      <c r="W33" s="158" t="str">
        <f t="shared" si="5"/>
        <v>Dispersion: 1</v>
      </c>
      <c r="X33" s="158" t="str">
        <f t="shared" si="6"/>
        <v>Dispersion: 1</v>
      </c>
      <c r="Y33" s="158" t="str">
        <f t="shared" si="7"/>
        <v>Dispersion: 1</v>
      </c>
      <c r="Z33" s="158" t="str">
        <f t="shared" si="8"/>
        <v>Dispersion: 1</v>
      </c>
      <c r="AA33" s="158" t="str">
        <f t="shared" si="9"/>
        <v>Dispersion: 1</v>
      </c>
    </row>
    <row r="34" spans="1:27" ht="15.9" customHeight="1">
      <c r="A34" s="160" t="s">
        <v>1412</v>
      </c>
      <c r="B34" s="210">
        <v>0</v>
      </c>
      <c r="C34" s="211">
        <v>0</v>
      </c>
      <c r="D34" s="211">
        <v>0</v>
      </c>
      <c r="E34" s="211">
        <v>0</v>
      </c>
      <c r="F34" s="211">
        <v>0</v>
      </c>
      <c r="G34" s="211">
        <v>0</v>
      </c>
      <c r="H34" s="211">
        <v>0</v>
      </c>
      <c r="I34" s="211">
        <v>0</v>
      </c>
      <c r="J34" s="211">
        <v>0</v>
      </c>
      <c r="K34" s="212">
        <v>1</v>
      </c>
      <c r="M34" s="211">
        <v>0</v>
      </c>
      <c r="N34" s="211">
        <v>0</v>
      </c>
      <c r="R34" s="211" t="str">
        <f t="shared" si="0"/>
        <v>Light R: 0</v>
      </c>
      <c r="S34" s="158" t="str">
        <f t="shared" si="1"/>
        <v>Light R: 0</v>
      </c>
      <c r="T34" s="158" t="str">
        <f t="shared" si="2"/>
        <v>Light R: 0</v>
      </c>
      <c r="U34" s="158" t="str">
        <f t="shared" si="3"/>
        <v>Light R: 0</v>
      </c>
      <c r="V34" s="158" t="str">
        <f t="shared" si="4"/>
        <v>Light R: 0</v>
      </c>
      <c r="W34" s="158" t="str">
        <f t="shared" si="5"/>
        <v>Light R: 0</v>
      </c>
      <c r="X34" s="158" t="str">
        <f t="shared" si="6"/>
        <v>Light R: 0</v>
      </c>
      <c r="Y34" s="158" t="str">
        <f t="shared" si="7"/>
        <v>Light R: 0</v>
      </c>
      <c r="Z34" s="158" t="str">
        <f t="shared" si="8"/>
        <v>Light R: 0</v>
      </c>
      <c r="AA34" s="158" t="str">
        <f t="shared" si="9"/>
        <v>Light R: 1</v>
      </c>
    </row>
    <row r="35" spans="1:27" ht="15.9" customHeight="1">
      <c r="A35" s="160" t="s">
        <v>1413</v>
      </c>
      <c r="B35" s="213">
        <v>0</v>
      </c>
      <c r="C35" s="214">
        <v>0</v>
      </c>
      <c r="D35" s="214">
        <v>0</v>
      </c>
      <c r="E35" s="214">
        <v>0</v>
      </c>
      <c r="F35" s="214">
        <v>0</v>
      </c>
      <c r="G35" s="214">
        <v>0</v>
      </c>
      <c r="H35" s="214">
        <v>0</v>
      </c>
      <c r="I35" s="214">
        <v>0</v>
      </c>
      <c r="J35" s="214">
        <v>1</v>
      </c>
      <c r="K35" s="215">
        <v>0</v>
      </c>
      <c r="M35" s="214">
        <v>1</v>
      </c>
      <c r="N35" s="214">
        <v>1</v>
      </c>
      <c r="R35" s="214" t="str">
        <f t="shared" si="0"/>
        <v>Dark R: 0</v>
      </c>
      <c r="S35" s="158" t="str">
        <f t="shared" si="1"/>
        <v>Dark R: 0</v>
      </c>
      <c r="T35" s="158" t="str">
        <f t="shared" si="2"/>
        <v>Dark R: 0</v>
      </c>
      <c r="U35" s="158" t="str">
        <f t="shared" si="3"/>
        <v>Dark R: 0</v>
      </c>
      <c r="V35" s="158" t="str">
        <f t="shared" si="4"/>
        <v>Dark R: 0</v>
      </c>
      <c r="W35" s="158" t="str">
        <f t="shared" si="5"/>
        <v>Dark R: 0</v>
      </c>
      <c r="X35" s="158" t="str">
        <f t="shared" si="6"/>
        <v>Dark R: 0</v>
      </c>
      <c r="Y35" s="158" t="str">
        <f t="shared" si="7"/>
        <v>Dark R: 0</v>
      </c>
      <c r="Z35" s="158" t="str">
        <f t="shared" si="8"/>
        <v>Dark R: 1</v>
      </c>
      <c r="AA35" s="158" t="str">
        <f t="shared" si="9"/>
        <v>Dark R: 0</v>
      </c>
    </row>
    <row r="36" spans="1:27" ht="15.9" customHeight="1">
      <c r="A36" s="160" t="s">
        <v>1414</v>
      </c>
      <c r="B36" s="216">
        <v>0</v>
      </c>
      <c r="C36" s="217">
        <v>0</v>
      </c>
      <c r="D36" s="217">
        <v>0</v>
      </c>
      <c r="E36" s="217">
        <v>0</v>
      </c>
      <c r="F36" s="217">
        <v>0</v>
      </c>
      <c r="G36" s="217">
        <v>0</v>
      </c>
      <c r="H36" s="217">
        <v>1</v>
      </c>
      <c r="I36" s="217">
        <v>0</v>
      </c>
      <c r="J36" s="217">
        <v>0</v>
      </c>
      <c r="K36" s="218">
        <v>0</v>
      </c>
      <c r="M36" s="217">
        <v>0</v>
      </c>
      <c r="N36" s="217">
        <v>0</v>
      </c>
      <c r="R36" s="217" t="str">
        <f t="shared" si="0"/>
        <v>Fire R: 0</v>
      </c>
      <c r="S36" s="158" t="str">
        <f t="shared" si="1"/>
        <v>Fire R: 0</v>
      </c>
      <c r="T36" s="158" t="str">
        <f t="shared" si="2"/>
        <v>Fire R: 0</v>
      </c>
      <c r="U36" s="158" t="str">
        <f t="shared" si="3"/>
        <v>Fire R: 0</v>
      </c>
      <c r="V36" s="158" t="str">
        <f t="shared" si="4"/>
        <v>Fire R: 0</v>
      </c>
      <c r="W36" s="158" t="str">
        <f t="shared" si="5"/>
        <v>Fire R: 0</v>
      </c>
      <c r="X36" s="158" t="str">
        <f t="shared" si="6"/>
        <v>Fire R: 1</v>
      </c>
      <c r="Y36" s="158" t="str">
        <f t="shared" si="7"/>
        <v>Fire R: 0</v>
      </c>
      <c r="Z36" s="158" t="str">
        <f t="shared" si="8"/>
        <v>Fire R: 0</v>
      </c>
      <c r="AA36" s="158" t="str">
        <f t="shared" si="9"/>
        <v>Fire R: 0</v>
      </c>
    </row>
    <row r="37" spans="1:27" ht="15.9" customHeight="1">
      <c r="A37" s="160" t="s">
        <v>1415</v>
      </c>
      <c r="B37" s="219">
        <v>0</v>
      </c>
      <c r="C37" s="220">
        <v>0</v>
      </c>
      <c r="D37" s="220">
        <v>1</v>
      </c>
      <c r="E37" s="220">
        <v>0</v>
      </c>
      <c r="F37" s="220">
        <v>0</v>
      </c>
      <c r="G37" s="220">
        <v>0</v>
      </c>
      <c r="H37" s="220">
        <v>0</v>
      </c>
      <c r="I37" s="220">
        <v>0</v>
      </c>
      <c r="J37" s="220">
        <v>0</v>
      </c>
      <c r="K37" s="221">
        <v>0</v>
      </c>
      <c r="M37" s="220">
        <v>0</v>
      </c>
      <c r="N37" s="220">
        <v>0</v>
      </c>
      <c r="R37" s="220" t="str">
        <f t="shared" si="0"/>
        <v>Frost R: 0</v>
      </c>
      <c r="S37" s="158" t="str">
        <f t="shared" si="1"/>
        <v>Frost R: 0</v>
      </c>
      <c r="T37" s="158" t="str">
        <f t="shared" si="2"/>
        <v>Frost R: 1</v>
      </c>
      <c r="U37" s="158" t="str">
        <f t="shared" si="3"/>
        <v>Frost R: 0</v>
      </c>
      <c r="V37" s="158" t="str">
        <f t="shared" si="4"/>
        <v>Frost R: 0</v>
      </c>
      <c r="W37" s="158" t="str">
        <f t="shared" si="5"/>
        <v>Frost R: 0</v>
      </c>
      <c r="X37" s="158" t="str">
        <f t="shared" si="6"/>
        <v>Frost R: 0</v>
      </c>
      <c r="Y37" s="158" t="str">
        <f t="shared" si="7"/>
        <v>Frost R: 0</v>
      </c>
      <c r="Z37" s="158" t="str">
        <f t="shared" si="8"/>
        <v>Frost R: 0</v>
      </c>
      <c r="AA37" s="158" t="str">
        <f t="shared" si="9"/>
        <v>Frost R: 0</v>
      </c>
    </row>
    <row r="38" spans="1:27" ht="15.9" customHeight="1">
      <c r="A38" s="222" t="s">
        <v>1416</v>
      </c>
      <c r="B38" s="223">
        <v>0</v>
      </c>
      <c r="C38" s="224">
        <v>0</v>
      </c>
      <c r="D38" s="224">
        <v>0</v>
      </c>
      <c r="E38" s="224">
        <v>0</v>
      </c>
      <c r="F38" s="224">
        <v>1</v>
      </c>
      <c r="G38" s="224">
        <v>0</v>
      </c>
      <c r="H38" s="224">
        <v>0</v>
      </c>
      <c r="I38" s="224">
        <v>0</v>
      </c>
      <c r="J38" s="224">
        <v>0</v>
      </c>
      <c r="K38" s="225">
        <v>0</v>
      </c>
      <c r="M38" s="224">
        <v>0</v>
      </c>
      <c r="N38" s="224">
        <v>0</v>
      </c>
      <c r="R38" s="224" t="str">
        <f t="shared" si="0"/>
        <v>Wind R: 0</v>
      </c>
      <c r="S38" s="158" t="str">
        <f t="shared" si="1"/>
        <v>Wind R: 0</v>
      </c>
      <c r="T38" s="158" t="str">
        <f t="shared" si="2"/>
        <v>Wind R: 0</v>
      </c>
      <c r="U38" s="158" t="str">
        <f t="shared" si="3"/>
        <v>Wind R: 0</v>
      </c>
      <c r="V38" s="158" t="str">
        <f t="shared" si="4"/>
        <v>Wind R: 1</v>
      </c>
      <c r="W38" s="158" t="str">
        <f t="shared" si="5"/>
        <v>Wind R: 0</v>
      </c>
      <c r="X38" s="158" t="str">
        <f t="shared" si="6"/>
        <v>Wind R: 0</v>
      </c>
      <c r="Y38" s="158" t="str">
        <f t="shared" si="7"/>
        <v>Wind R: 0</v>
      </c>
      <c r="Z38" s="158" t="str">
        <f t="shared" si="8"/>
        <v>Wind R: 0</v>
      </c>
      <c r="AA38" s="158" t="str">
        <f t="shared" si="9"/>
        <v>Wind R: 0</v>
      </c>
    </row>
    <row r="39" spans="1:27" ht="15.9" customHeight="1">
      <c r="A39" s="160" t="s">
        <v>1417</v>
      </c>
      <c r="B39" s="226">
        <v>0</v>
      </c>
      <c r="C39" s="227">
        <v>0</v>
      </c>
      <c r="D39" s="227">
        <v>0</v>
      </c>
      <c r="E39" s="227">
        <v>0</v>
      </c>
      <c r="F39" s="227">
        <v>0</v>
      </c>
      <c r="G39" s="227">
        <v>0</v>
      </c>
      <c r="H39" s="227">
        <v>0</v>
      </c>
      <c r="I39" s="227">
        <v>1</v>
      </c>
      <c r="J39" s="227">
        <v>0</v>
      </c>
      <c r="K39" s="228">
        <v>0</v>
      </c>
      <c r="M39" s="227">
        <v>0</v>
      </c>
      <c r="N39" s="227">
        <v>0</v>
      </c>
      <c r="R39" s="227" t="str">
        <f t="shared" si="0"/>
        <v>Earth R: 0</v>
      </c>
      <c r="S39" s="158" t="str">
        <f t="shared" si="1"/>
        <v>Earth R: 0</v>
      </c>
      <c r="T39" s="158" t="str">
        <f t="shared" si="2"/>
        <v>Earth R: 0</v>
      </c>
      <c r="U39" s="158" t="str">
        <f t="shared" si="3"/>
        <v>Earth R: 0</v>
      </c>
      <c r="V39" s="158" t="str">
        <f t="shared" si="4"/>
        <v>Earth R: 0</v>
      </c>
      <c r="W39" s="158" t="str">
        <f t="shared" si="5"/>
        <v>Earth R: 0</v>
      </c>
      <c r="X39" s="158" t="str">
        <f t="shared" si="6"/>
        <v>Earth R: 0</v>
      </c>
      <c r="Y39" s="158" t="str">
        <f t="shared" si="7"/>
        <v>Earth R: 1</v>
      </c>
      <c r="Z39" s="158" t="str">
        <f t="shared" si="8"/>
        <v>Earth R: 0</v>
      </c>
      <c r="AA39" s="158" t="str">
        <f t="shared" si="9"/>
        <v>Earth R: 0</v>
      </c>
    </row>
    <row r="40" spans="1:27" ht="15.9" customHeight="1">
      <c r="A40" s="160" t="s">
        <v>1418</v>
      </c>
      <c r="B40" s="229">
        <v>0</v>
      </c>
      <c r="C40" s="230">
        <v>0</v>
      </c>
      <c r="D40" s="230">
        <v>0</v>
      </c>
      <c r="E40" s="230">
        <v>1</v>
      </c>
      <c r="F40" s="230">
        <v>0</v>
      </c>
      <c r="G40" s="230">
        <v>0</v>
      </c>
      <c r="H40" s="230">
        <v>0</v>
      </c>
      <c r="I40" s="230">
        <v>0</v>
      </c>
      <c r="J40" s="230">
        <v>0</v>
      </c>
      <c r="K40" s="231">
        <v>0</v>
      </c>
      <c r="M40" s="230">
        <v>0</v>
      </c>
      <c r="N40" s="230">
        <v>0</v>
      </c>
      <c r="R40" s="230" t="str">
        <f t="shared" si="0"/>
        <v>Lightning R: 0</v>
      </c>
      <c r="S40" s="158" t="str">
        <f t="shared" si="1"/>
        <v>Lightning R: 0</v>
      </c>
      <c r="T40" s="158" t="str">
        <f t="shared" si="2"/>
        <v>Lightning R: 0</v>
      </c>
      <c r="U40" s="158" t="str">
        <f t="shared" si="3"/>
        <v>Lightning R: 1</v>
      </c>
      <c r="V40" s="158" t="str">
        <f t="shared" si="4"/>
        <v>Lightning R: 0</v>
      </c>
      <c r="W40" s="158" t="str">
        <f t="shared" si="5"/>
        <v>Lightning R: 0</v>
      </c>
      <c r="X40" s="158" t="str">
        <f t="shared" si="6"/>
        <v>Lightning R: 0</v>
      </c>
      <c r="Y40" s="158" t="str">
        <f t="shared" si="7"/>
        <v>Lightning R: 0</v>
      </c>
      <c r="Z40" s="158" t="str">
        <f t="shared" si="8"/>
        <v>Lightning R: 0</v>
      </c>
      <c r="AA40" s="158" t="str">
        <f t="shared" si="9"/>
        <v>Lightning R: 0</v>
      </c>
    </row>
    <row r="41" spans="1:27" ht="15.9" customHeight="1">
      <c r="A41" s="160" t="s">
        <v>1419</v>
      </c>
      <c r="B41" s="232">
        <v>1</v>
      </c>
      <c r="C41" s="233">
        <v>0</v>
      </c>
      <c r="D41" s="233">
        <v>0</v>
      </c>
      <c r="E41" s="233">
        <v>0</v>
      </c>
      <c r="F41" s="233">
        <v>0</v>
      </c>
      <c r="G41" s="233">
        <v>1</v>
      </c>
      <c r="H41" s="233">
        <v>0</v>
      </c>
      <c r="I41" s="233">
        <v>0</v>
      </c>
      <c r="J41" s="233">
        <v>0</v>
      </c>
      <c r="K41" s="234">
        <v>0</v>
      </c>
      <c r="M41" s="233">
        <v>0</v>
      </c>
      <c r="N41" s="233">
        <v>0</v>
      </c>
      <c r="R41" s="233" t="str">
        <f t="shared" si="0"/>
        <v>Bleed R: 1</v>
      </c>
      <c r="S41" s="158" t="str">
        <f t="shared" si="1"/>
        <v>Bleed R: 0</v>
      </c>
      <c r="T41" s="158" t="str">
        <f t="shared" si="2"/>
        <v>Bleed R: 0</v>
      </c>
      <c r="U41" s="158" t="str">
        <f t="shared" si="3"/>
        <v>Bleed R: 0</v>
      </c>
      <c r="V41" s="158" t="str">
        <f t="shared" si="4"/>
        <v>Bleed R: 0</v>
      </c>
      <c r="W41" s="158" t="str">
        <f t="shared" si="5"/>
        <v>Bleed R: 1</v>
      </c>
      <c r="X41" s="158" t="str">
        <f t="shared" si="6"/>
        <v>Bleed R: 0</v>
      </c>
      <c r="Y41" s="158" t="str">
        <f t="shared" si="7"/>
        <v>Bleed R: 0</v>
      </c>
      <c r="Z41" s="158" t="str">
        <f t="shared" si="8"/>
        <v>Bleed R: 0</v>
      </c>
      <c r="AA41" s="158" t="str">
        <f t="shared" si="9"/>
        <v>Bleed R: 0</v>
      </c>
    </row>
    <row r="42" spans="1:27" ht="15.9" customHeight="1">
      <c r="A42" s="160" t="s">
        <v>1420</v>
      </c>
      <c r="B42" s="235">
        <v>1</v>
      </c>
      <c r="C42" s="236">
        <v>1</v>
      </c>
      <c r="D42" s="236">
        <v>0</v>
      </c>
      <c r="E42" s="236">
        <v>0</v>
      </c>
      <c r="F42" s="236">
        <v>0</v>
      </c>
      <c r="G42" s="236">
        <v>0</v>
      </c>
      <c r="H42" s="236">
        <v>0</v>
      </c>
      <c r="I42" s="236">
        <v>0</v>
      </c>
      <c r="J42" s="236">
        <v>0</v>
      </c>
      <c r="K42" s="237">
        <v>0</v>
      </c>
      <c r="M42" s="236">
        <v>0</v>
      </c>
      <c r="N42" s="236">
        <v>0</v>
      </c>
      <c r="R42" s="236" t="str">
        <f t="shared" si="0"/>
        <v>Poison R: 1</v>
      </c>
      <c r="S42" s="158" t="str">
        <f t="shared" si="1"/>
        <v>Poison R: 1</v>
      </c>
      <c r="T42" s="158" t="str">
        <f t="shared" si="2"/>
        <v>Poison R: 0</v>
      </c>
      <c r="U42" s="158" t="str">
        <f t="shared" si="3"/>
        <v>Poison R: 0</v>
      </c>
      <c r="V42" s="158" t="str">
        <f t="shared" si="4"/>
        <v>Poison R: 0</v>
      </c>
      <c r="W42" s="158" t="str">
        <f t="shared" si="5"/>
        <v>Poison R: 0</v>
      </c>
      <c r="X42" s="158" t="str">
        <f t="shared" si="6"/>
        <v>Poison R: 0</v>
      </c>
      <c r="Y42" s="158" t="str">
        <f t="shared" si="7"/>
        <v>Poison R: 0</v>
      </c>
      <c r="Z42" s="158" t="str">
        <f t="shared" si="8"/>
        <v>Poison R: 0</v>
      </c>
      <c r="AA42" s="158" t="str">
        <f t="shared" si="9"/>
        <v>Poison R: 0</v>
      </c>
    </row>
    <row r="43" spans="1:27" ht="15.9" customHeight="1">
      <c r="A43" s="160" t="s">
        <v>570</v>
      </c>
      <c r="B43" s="203">
        <v>1</v>
      </c>
      <c r="C43" s="204">
        <v>1</v>
      </c>
      <c r="D43" s="204">
        <v>1</v>
      </c>
      <c r="E43" s="204">
        <v>1</v>
      </c>
      <c r="F43" s="204">
        <v>1</v>
      </c>
      <c r="G43" s="204">
        <v>1</v>
      </c>
      <c r="H43" s="204">
        <v>1</v>
      </c>
      <c r="I43" s="204">
        <v>1</v>
      </c>
      <c r="J43" s="204">
        <v>1</v>
      </c>
      <c r="K43" s="238">
        <v>1</v>
      </c>
      <c r="M43" s="204">
        <v>1</v>
      </c>
      <c r="N43" s="204">
        <v>1</v>
      </c>
      <c r="R43" s="204" t="str">
        <f t="shared" si="0"/>
        <v>Strength: 1</v>
      </c>
      <c r="S43" s="158" t="str">
        <f t="shared" si="1"/>
        <v>Strength: 1</v>
      </c>
      <c r="T43" s="158" t="str">
        <f t="shared" si="2"/>
        <v>Strength: 1</v>
      </c>
      <c r="U43" s="158" t="str">
        <f t="shared" si="3"/>
        <v>Strength: 1</v>
      </c>
      <c r="V43" s="158" t="str">
        <f t="shared" si="4"/>
        <v>Strength: 1</v>
      </c>
      <c r="W43" s="158" t="str">
        <f t="shared" si="5"/>
        <v>Strength: 1</v>
      </c>
      <c r="X43" s="158" t="str">
        <f t="shared" si="6"/>
        <v>Strength: 1</v>
      </c>
      <c r="Y43" s="158" t="str">
        <f t="shared" si="7"/>
        <v>Strength: 1</v>
      </c>
      <c r="Z43" s="158" t="str">
        <f t="shared" si="8"/>
        <v>Strength: 1</v>
      </c>
      <c r="AA43" s="158" t="str">
        <f t="shared" si="9"/>
        <v>Strength: 1</v>
      </c>
    </row>
    <row r="44" spans="1:27" ht="15.9" customHeight="1">
      <c r="A44" s="160" t="s">
        <v>572</v>
      </c>
      <c r="B44" s="203">
        <v>1</v>
      </c>
      <c r="C44" s="204">
        <v>1</v>
      </c>
      <c r="D44" s="204">
        <v>1</v>
      </c>
      <c r="E44" s="204">
        <v>1</v>
      </c>
      <c r="F44" s="204">
        <v>1</v>
      </c>
      <c r="G44" s="204">
        <v>1</v>
      </c>
      <c r="H44" s="204">
        <v>1</v>
      </c>
      <c r="I44" s="204">
        <v>1</v>
      </c>
      <c r="J44" s="204">
        <v>1</v>
      </c>
      <c r="K44" s="238">
        <v>1</v>
      </c>
      <c r="M44" s="204">
        <v>1</v>
      </c>
      <c r="N44" s="204">
        <v>1</v>
      </c>
      <c r="R44" s="204" t="str">
        <f t="shared" si="0"/>
        <v>Dexterity: 1</v>
      </c>
      <c r="S44" s="158" t="str">
        <f t="shared" si="1"/>
        <v>Dexterity: 1</v>
      </c>
      <c r="T44" s="158" t="str">
        <f t="shared" si="2"/>
        <v>Dexterity: 1</v>
      </c>
      <c r="U44" s="158" t="str">
        <f t="shared" si="3"/>
        <v>Dexterity: 1</v>
      </c>
      <c r="V44" s="158" t="str">
        <f t="shared" si="4"/>
        <v>Dexterity: 1</v>
      </c>
      <c r="W44" s="158" t="str">
        <f t="shared" si="5"/>
        <v>Dexterity: 1</v>
      </c>
      <c r="X44" s="158" t="str">
        <f t="shared" si="6"/>
        <v>Dexterity: 1</v>
      </c>
      <c r="Y44" s="158" t="str">
        <f t="shared" si="7"/>
        <v>Dexterity: 1</v>
      </c>
      <c r="Z44" s="158" t="str">
        <f t="shared" si="8"/>
        <v>Dexterity: 1</v>
      </c>
      <c r="AA44" s="158" t="str">
        <f t="shared" si="9"/>
        <v>Dexterity: 1</v>
      </c>
    </row>
    <row r="45" spans="1:27" ht="15.9" customHeight="1">
      <c r="A45" s="160" t="s">
        <v>573</v>
      </c>
      <c r="B45" s="239">
        <v>1</v>
      </c>
      <c r="C45" s="240">
        <v>1</v>
      </c>
      <c r="D45" s="240">
        <v>1</v>
      </c>
      <c r="E45" s="240">
        <v>1</v>
      </c>
      <c r="F45" s="240">
        <v>1</v>
      </c>
      <c r="G45" s="240">
        <v>1</v>
      </c>
      <c r="H45" s="240">
        <v>1</v>
      </c>
      <c r="I45" s="240">
        <v>1</v>
      </c>
      <c r="J45" s="240">
        <v>1</v>
      </c>
      <c r="K45" s="241">
        <v>1</v>
      </c>
      <c r="M45" s="240">
        <v>1</v>
      </c>
      <c r="N45" s="240">
        <v>1</v>
      </c>
      <c r="R45" s="240" t="str">
        <f t="shared" si="0"/>
        <v>Power: 1</v>
      </c>
      <c r="S45" s="158" t="str">
        <f t="shared" si="1"/>
        <v>Power: 1</v>
      </c>
      <c r="T45" s="158" t="str">
        <f t="shared" si="2"/>
        <v>Power: 1</v>
      </c>
      <c r="U45" s="158" t="str">
        <f t="shared" si="3"/>
        <v>Power: 1</v>
      </c>
      <c r="V45" s="158" t="str">
        <f t="shared" si="4"/>
        <v>Power: 1</v>
      </c>
      <c r="W45" s="158" t="str">
        <f t="shared" si="5"/>
        <v>Power: 1</v>
      </c>
      <c r="X45" s="158" t="str">
        <f t="shared" si="6"/>
        <v>Power: 1</v>
      </c>
      <c r="Y45" s="158" t="str">
        <f t="shared" si="7"/>
        <v>Power: 1</v>
      </c>
      <c r="Z45" s="158" t="str">
        <f t="shared" si="8"/>
        <v>Power: 1</v>
      </c>
      <c r="AA45" s="158" t="str">
        <f t="shared" si="9"/>
        <v>Power: 1</v>
      </c>
    </row>
    <row r="46" spans="1:27" ht="15.9" customHeight="1">
      <c r="A46" s="160" t="s">
        <v>14</v>
      </c>
      <c r="B46" s="203" t="s">
        <v>1421</v>
      </c>
      <c r="C46" s="204" t="s">
        <v>1421</v>
      </c>
      <c r="D46" s="204" t="s">
        <v>1421</v>
      </c>
      <c r="E46" s="204" t="s">
        <v>1421</v>
      </c>
      <c r="F46" s="204" t="s">
        <v>1421</v>
      </c>
      <c r="G46" s="204" t="s">
        <v>1421</v>
      </c>
      <c r="H46" s="204" t="s">
        <v>1421</v>
      </c>
      <c r="I46" s="204" t="s">
        <v>1421</v>
      </c>
      <c r="J46" s="204" t="s">
        <v>1421</v>
      </c>
      <c r="K46" s="238" t="s">
        <v>1421</v>
      </c>
      <c r="M46" s="204" t="s">
        <v>1421</v>
      </c>
      <c r="N46" s="204" t="s">
        <v>1421</v>
      </c>
      <c r="R46" s="204" t="str">
        <f t="shared" si="0"/>
        <v>Basic Attack: Claws 12 P.D. (16 Crit)</v>
      </c>
      <c r="S46" s="158" t="str">
        <f t="shared" si="1"/>
        <v>Basic Attack: Claws 12 P.D. (16 Crit)</v>
      </c>
      <c r="T46" s="158" t="str">
        <f t="shared" si="2"/>
        <v>Basic Attack: Claws 12 P.D. (16 Crit)</v>
      </c>
      <c r="U46" s="158" t="str">
        <f t="shared" si="3"/>
        <v>Basic Attack: Claws 12 P.D. (16 Crit)</v>
      </c>
      <c r="V46" s="158" t="str">
        <f t="shared" si="4"/>
        <v>Basic Attack: Claws 12 P.D. (16 Crit)</v>
      </c>
      <c r="W46" s="158" t="str">
        <f t="shared" si="5"/>
        <v>Basic Attack: Claws 12 P.D. (16 Crit)</v>
      </c>
      <c r="X46" s="158" t="str">
        <f t="shared" si="6"/>
        <v>Basic Attack: Claws 12 P.D. (16 Crit)</v>
      </c>
      <c r="Y46" s="158" t="str">
        <f t="shared" si="7"/>
        <v>Basic Attack: Claws 12 P.D. (16 Crit)</v>
      </c>
      <c r="Z46" s="158" t="str">
        <f t="shared" si="8"/>
        <v>Basic Attack: Claws 12 P.D. (16 Crit)</v>
      </c>
      <c r="AA46" s="158" t="str">
        <f t="shared" si="9"/>
        <v>Basic Attack: Claws 12 P.D. (16 Crit)</v>
      </c>
    </row>
    <row r="47" spans="1:27" ht="15.9" customHeight="1">
      <c r="A47" s="242" t="s">
        <v>584</v>
      </c>
      <c r="B47" s="243" t="s">
        <v>1422</v>
      </c>
      <c r="C47" s="243" t="s">
        <v>1422</v>
      </c>
      <c r="D47" s="243" t="s">
        <v>1422</v>
      </c>
      <c r="E47" s="243" t="s">
        <v>1422</v>
      </c>
      <c r="F47" s="243" t="s">
        <v>1422</v>
      </c>
      <c r="G47" s="243" t="s">
        <v>1422</v>
      </c>
      <c r="H47" s="243" t="s">
        <v>1422</v>
      </c>
      <c r="I47" s="243" t="s">
        <v>1422</v>
      </c>
      <c r="J47" s="243" t="s">
        <v>1422</v>
      </c>
      <c r="K47" s="243" t="s">
        <v>1422</v>
      </c>
      <c r="M47" s="244" t="s">
        <v>1423</v>
      </c>
      <c r="N47" s="244" t="s">
        <v>1423</v>
      </c>
      <c r="R47" s="244" t="str">
        <f t="shared" si="0"/>
        <v>Stamina: 3/3</v>
      </c>
      <c r="S47" s="158" t="str">
        <f t="shared" si="1"/>
        <v>Stamina: 3/3</v>
      </c>
      <c r="T47" s="158" t="str">
        <f t="shared" si="2"/>
        <v>Stamina: 3/3</v>
      </c>
      <c r="U47" s="158" t="str">
        <f t="shared" si="3"/>
        <v>Stamina: 3/3</v>
      </c>
      <c r="V47" s="158" t="str">
        <f t="shared" si="4"/>
        <v>Stamina: 3/3</v>
      </c>
      <c r="W47" s="158" t="str">
        <f t="shared" si="5"/>
        <v>Stamina: 3/3</v>
      </c>
      <c r="X47" s="158" t="str">
        <f t="shared" si="6"/>
        <v>Stamina: 3/3</v>
      </c>
      <c r="Y47" s="158" t="str">
        <f t="shared" si="7"/>
        <v>Stamina: 3/3</v>
      </c>
      <c r="Z47" s="158" t="str">
        <f t="shared" si="8"/>
        <v>Stamina: 3/3</v>
      </c>
      <c r="AA47" s="158" t="str">
        <f t="shared" si="9"/>
        <v>Stamina: 3/3</v>
      </c>
    </row>
    <row r="48" spans="1:27" ht="15.9" customHeight="1">
      <c r="A48" s="160" t="s">
        <v>1424</v>
      </c>
      <c r="B48" s="213">
        <v>0</v>
      </c>
      <c r="C48" s="214">
        <v>0</v>
      </c>
      <c r="D48" s="214">
        <v>0</v>
      </c>
      <c r="E48" s="214">
        <v>0</v>
      </c>
      <c r="F48" s="214">
        <v>0</v>
      </c>
      <c r="G48" s="214">
        <v>0</v>
      </c>
      <c r="H48" s="214">
        <v>0</v>
      </c>
      <c r="I48" s="214">
        <v>0</v>
      </c>
      <c r="J48" s="214">
        <v>0</v>
      </c>
      <c r="K48" s="245">
        <v>0</v>
      </c>
      <c r="M48" s="214">
        <v>0</v>
      </c>
      <c r="N48" s="214">
        <v>0</v>
      </c>
      <c r="R48" s="214" t="str">
        <f t="shared" si="0"/>
        <v>Deflect: 0</v>
      </c>
      <c r="S48" s="158" t="str">
        <f t="shared" si="1"/>
        <v>Deflect: 0</v>
      </c>
      <c r="T48" s="158" t="str">
        <f t="shared" si="2"/>
        <v>Deflect: 0</v>
      </c>
      <c r="U48" s="158" t="str">
        <f t="shared" si="3"/>
        <v>Deflect: 0</v>
      </c>
      <c r="V48" s="158" t="str">
        <f t="shared" si="4"/>
        <v>Deflect: 0</v>
      </c>
      <c r="W48" s="158" t="str">
        <f t="shared" si="5"/>
        <v>Deflect: 0</v>
      </c>
      <c r="X48" s="158" t="str">
        <f t="shared" si="6"/>
        <v>Deflect: 0</v>
      </c>
      <c r="Y48" s="158" t="str">
        <f t="shared" si="7"/>
        <v>Deflect: 0</v>
      </c>
      <c r="Z48" s="158" t="str">
        <f t="shared" si="8"/>
        <v>Deflect: 0</v>
      </c>
      <c r="AA48" s="158" t="str">
        <f t="shared" si="9"/>
        <v>Deflect: 0</v>
      </c>
    </row>
    <row r="49" spans="1:27" ht="15.9" customHeight="1">
      <c r="A49" s="160" t="s">
        <v>36</v>
      </c>
      <c r="B49" s="246" t="s">
        <v>1425</v>
      </c>
      <c r="C49" s="247" t="s">
        <v>1425</v>
      </c>
      <c r="D49" s="247" t="s">
        <v>1425</v>
      </c>
      <c r="E49" s="247" t="s">
        <v>1425</v>
      </c>
      <c r="F49" s="247" t="s">
        <v>1426</v>
      </c>
      <c r="G49" s="247" t="s">
        <v>1425</v>
      </c>
      <c r="H49" s="247" t="s">
        <v>1425</v>
      </c>
      <c r="I49" s="247" t="s">
        <v>1425</v>
      </c>
      <c r="J49" s="247" t="s">
        <v>1425</v>
      </c>
      <c r="K49" s="248" t="s">
        <v>1425</v>
      </c>
      <c r="M49" s="247" t="s">
        <v>1427</v>
      </c>
      <c r="N49" s="247" t="s">
        <v>1427</v>
      </c>
      <c r="R49" s="247" t="str">
        <f t="shared" si="0"/>
        <v>Loot: Bone Marrow + Common Ore</v>
      </c>
      <c r="S49" s="158" t="str">
        <f t="shared" si="1"/>
        <v>Loot: Bone Marrow + Common Ore</v>
      </c>
      <c r="T49" s="158" t="str">
        <f t="shared" si="2"/>
        <v>Loot: Bone Marrow + Common Ore</v>
      </c>
      <c r="U49" s="158" t="str">
        <f t="shared" si="3"/>
        <v>Loot: Bone Marrow + Common Ore</v>
      </c>
      <c r="V49" s="158" t="str">
        <f t="shared" si="4"/>
        <v>Loot: Bone Marrow + Whistling Sap + Common Ore</v>
      </c>
      <c r="W49" s="158" t="str">
        <f t="shared" si="5"/>
        <v>Loot: Bone Marrow + Common Ore</v>
      </c>
      <c r="X49" s="158" t="str">
        <f t="shared" si="6"/>
        <v>Loot: Bone Marrow + Common Ore</v>
      </c>
      <c r="Y49" s="158" t="str">
        <f t="shared" si="7"/>
        <v>Loot: Bone Marrow + Common Ore</v>
      </c>
      <c r="Z49" s="158" t="str">
        <f t="shared" si="8"/>
        <v>Loot: Bone Marrow + Common Ore</v>
      </c>
      <c r="AA49" s="158" t="str">
        <f t="shared" si="9"/>
        <v>Loot: Bone Marrow + Common Ore</v>
      </c>
    </row>
    <row r="50" spans="1:27" ht="15.9" customHeight="1">
      <c r="A50" s="160" t="s">
        <v>1428</v>
      </c>
      <c r="B50" s="249">
        <v>100</v>
      </c>
      <c r="C50" s="249">
        <v>100</v>
      </c>
      <c r="D50" s="249">
        <v>100</v>
      </c>
      <c r="E50" s="249">
        <v>100</v>
      </c>
      <c r="F50" s="249">
        <v>100</v>
      </c>
      <c r="G50" s="249">
        <v>100</v>
      </c>
      <c r="H50" s="249">
        <v>100</v>
      </c>
      <c r="I50" s="249">
        <v>100</v>
      </c>
      <c r="J50" s="249">
        <v>100</v>
      </c>
      <c r="K50" s="249">
        <v>100</v>
      </c>
      <c r="M50" s="250">
        <v>100</v>
      </c>
      <c r="N50" s="250">
        <v>100</v>
      </c>
      <c r="R50" s="250" t="str">
        <f t="shared" si="0"/>
        <v>Experience Gained: 100</v>
      </c>
      <c r="S50" s="158" t="str">
        <f t="shared" si="1"/>
        <v>Experience Gained: 100</v>
      </c>
      <c r="T50" s="158" t="str">
        <f t="shared" si="2"/>
        <v>Experience Gained: 100</v>
      </c>
      <c r="U50" s="158" t="str">
        <f t="shared" si="3"/>
        <v>Experience Gained: 100</v>
      </c>
      <c r="V50" s="158" t="str">
        <f t="shared" si="4"/>
        <v>Experience Gained: 100</v>
      </c>
      <c r="W50" s="158" t="str">
        <f t="shared" si="5"/>
        <v>Experience Gained: 100</v>
      </c>
      <c r="X50" s="158" t="str">
        <f t="shared" si="6"/>
        <v>Experience Gained: 100</v>
      </c>
      <c r="Y50" s="158" t="str">
        <f t="shared" si="7"/>
        <v>Experience Gained: 100</v>
      </c>
      <c r="Z50" s="158" t="str">
        <f t="shared" si="8"/>
        <v>Experience Gained: 100</v>
      </c>
      <c r="AA50" s="158" t="str">
        <f t="shared" si="9"/>
        <v>Experience Gained: 100</v>
      </c>
    </row>
    <row r="51" spans="1:27" ht="15.9" customHeight="1">
      <c r="A51" s="160" t="s">
        <v>1429</v>
      </c>
      <c r="B51" s="249" t="s">
        <v>1430</v>
      </c>
      <c r="C51" s="250" t="s">
        <v>1431</v>
      </c>
      <c r="D51" s="250" t="s">
        <v>1432</v>
      </c>
      <c r="E51" s="250" t="s">
        <v>1433</v>
      </c>
      <c r="F51" s="250" t="s">
        <v>1434</v>
      </c>
      <c r="G51" s="250" t="s">
        <v>1435</v>
      </c>
      <c r="H51" s="250" t="s">
        <v>1430</v>
      </c>
      <c r="I51" s="250" t="s">
        <v>1436</v>
      </c>
      <c r="J51" s="250" t="s">
        <v>1437</v>
      </c>
      <c r="K51" s="251" t="s">
        <v>1438</v>
      </c>
      <c r="M51" s="250" t="s">
        <v>1439</v>
      </c>
      <c r="N51" s="250" t="s">
        <v>1439</v>
      </c>
      <c r="R51" s="250" t="str">
        <f t="shared" si="0"/>
        <v>Passive: (P) Immune to Bleed/Poison</v>
      </c>
      <c r="S51" s="158" t="str">
        <f t="shared" si="1"/>
        <v>Passive: (P) Immune to Poison</v>
      </c>
      <c r="T51" s="158" t="str">
        <f t="shared" si="2"/>
        <v>Passive: (P) Immune to Frost</v>
      </c>
      <c r="U51" s="158" t="str">
        <f t="shared" si="3"/>
        <v>Passive: (P) Immune to Lightning</v>
      </c>
      <c r="V51" s="158" t="str">
        <f t="shared" si="4"/>
        <v>Passive: (P) Immune to Wind</v>
      </c>
      <c r="W51" s="158" t="str">
        <f t="shared" si="5"/>
        <v>Passive: (P) Immune to Bleed</v>
      </c>
      <c r="X51" s="158" t="str">
        <f t="shared" si="6"/>
        <v>Passive: (P) Immune to Bleed/Poison</v>
      </c>
      <c r="Y51" s="158" t="str">
        <f t="shared" si="7"/>
        <v>Passive: (P) Immune to Earth</v>
      </c>
      <c r="Z51" s="158" t="str">
        <f t="shared" si="8"/>
        <v>Passive: (P) Immune to Darkness</v>
      </c>
      <c r="AA51" s="158" t="str">
        <f t="shared" si="9"/>
        <v>Passive: (P) Immune to Light</v>
      </c>
    </row>
    <row r="52" spans="1:27" ht="15.9" customHeight="1">
      <c r="A52" s="160" t="s">
        <v>1440</v>
      </c>
      <c r="B52" s="249"/>
      <c r="C52" s="250" t="s">
        <v>1441</v>
      </c>
      <c r="D52" s="250" t="s">
        <v>1442</v>
      </c>
      <c r="E52" s="250" t="s">
        <v>1443</v>
      </c>
      <c r="F52" s="250" t="s">
        <v>1444</v>
      </c>
      <c r="G52" s="250" t="s">
        <v>1445</v>
      </c>
      <c r="H52" s="250" t="s">
        <v>1446</v>
      </c>
      <c r="I52" s="250" t="s">
        <v>1447</v>
      </c>
      <c r="J52" s="250" t="s">
        <v>1448</v>
      </c>
      <c r="K52" s="251" t="s">
        <v>1449</v>
      </c>
      <c r="M52" s="250" t="s">
        <v>1450</v>
      </c>
      <c r="N52" s="250" t="s">
        <v>1450</v>
      </c>
      <c r="R52" s="250" t="str">
        <f t="shared" si="0"/>
        <v xml:space="preserve">Tier I: </v>
      </c>
      <c r="S52" s="158" t="str">
        <f t="shared" si="1"/>
        <v>Tier I: (≈) Bite: 10 Poison Damage (50 mana)</v>
      </c>
      <c r="T52" s="158" t="str">
        <f t="shared" si="2"/>
        <v>Tier I: (≈) Bite: 10 Frost Damage (50 mana)</v>
      </c>
      <c r="U52" s="158" t="str">
        <f t="shared" si="3"/>
        <v>Tier I: (≈) Bite: 10 Lightning Damage (50 mana)</v>
      </c>
      <c r="V52" s="158" t="str">
        <f t="shared" si="4"/>
        <v>Tier I: (≈) Bite: 10 Wind Damage (50 mana)</v>
      </c>
      <c r="W52" s="158" t="str">
        <f t="shared" si="5"/>
        <v>Tier I: (≈) Bite: 10 Bleed Damage (50 mana)</v>
      </c>
      <c r="X52" s="158" t="str">
        <f t="shared" si="6"/>
        <v>Tier I: (≈) Bite: 10 Fire Damage (50 mana)</v>
      </c>
      <c r="Y52" s="158" t="str">
        <f t="shared" si="7"/>
        <v>Tier I: (≈) Bite: 10 Earth Damage (50 mana)</v>
      </c>
      <c r="Z52" s="158" t="str">
        <f t="shared" si="8"/>
        <v>Tier I: (≈) Bite: 10 Dark Damage (50 mana)</v>
      </c>
      <c r="AA52" s="158" t="str">
        <f t="shared" si="9"/>
        <v>Tier I: (≈) Bite: 10 Light Damage (50 mana)</v>
      </c>
    </row>
    <row r="53" spans="1:27" ht="15.9" customHeight="1">
      <c r="B53" s="252"/>
      <c r="K53" s="253"/>
    </row>
    <row r="54" spans="1:27" ht="15.9" customHeight="1">
      <c r="A54" s="160" t="s">
        <v>1397</v>
      </c>
      <c r="B54" s="254" t="s">
        <v>1451</v>
      </c>
      <c r="C54" s="255" t="s">
        <v>1452</v>
      </c>
      <c r="D54" s="255" t="s">
        <v>1453</v>
      </c>
      <c r="E54" s="255" t="s">
        <v>1454</v>
      </c>
      <c r="F54" s="255" t="s">
        <v>1455</v>
      </c>
      <c r="G54" s="255" t="s">
        <v>1456</v>
      </c>
      <c r="H54" s="255" t="s">
        <v>1457</v>
      </c>
      <c r="I54" s="255" t="s">
        <v>1458</v>
      </c>
      <c r="J54" s="255" t="s">
        <v>1459</v>
      </c>
      <c r="K54" s="256" t="s">
        <v>1460</v>
      </c>
      <c r="M54" s="255" t="s">
        <v>1461</v>
      </c>
      <c r="N54" s="255" t="s">
        <v>1461</v>
      </c>
    </row>
    <row r="55" spans="1:27" ht="15.9" customHeight="1">
      <c r="A55" s="160" t="s">
        <v>1407</v>
      </c>
      <c r="B55" s="188" t="s">
        <v>1363</v>
      </c>
      <c r="C55" s="167" t="s">
        <v>1367</v>
      </c>
      <c r="D55" s="169" t="s">
        <v>1369</v>
      </c>
      <c r="E55" s="171" t="s">
        <v>1371</v>
      </c>
      <c r="F55" s="189" t="s">
        <v>1374</v>
      </c>
      <c r="G55" s="175" t="s">
        <v>1377</v>
      </c>
      <c r="H55" s="176" t="s">
        <v>1379</v>
      </c>
      <c r="I55" s="177" t="s">
        <v>1381</v>
      </c>
      <c r="J55" s="178" t="s">
        <v>1383</v>
      </c>
      <c r="K55" s="257" t="s">
        <v>1385</v>
      </c>
      <c r="M55" s="165" t="s">
        <v>1365</v>
      </c>
      <c r="N55" s="181" t="s">
        <v>1387</v>
      </c>
    </row>
    <row r="56" spans="1:27" ht="15.9" customHeight="1">
      <c r="A56" s="160" t="s">
        <v>1408</v>
      </c>
      <c r="B56" s="252" t="s">
        <v>1376</v>
      </c>
      <c r="C56" s="160" t="s">
        <v>1376</v>
      </c>
      <c r="D56" s="160" t="s">
        <v>1376</v>
      </c>
      <c r="E56" s="160" t="s">
        <v>1376</v>
      </c>
      <c r="F56" s="160" t="s">
        <v>1376</v>
      </c>
      <c r="G56" s="160" t="s">
        <v>1376</v>
      </c>
      <c r="H56" s="160" t="s">
        <v>1376</v>
      </c>
      <c r="I56" s="160" t="s">
        <v>1376</v>
      </c>
      <c r="J56" s="160" t="s">
        <v>1376</v>
      </c>
      <c r="K56" s="258" t="s">
        <v>1376</v>
      </c>
      <c r="M56" s="160" t="s">
        <v>1376</v>
      </c>
      <c r="N56" s="160" t="s">
        <v>1376</v>
      </c>
    </row>
    <row r="57" spans="1:27" ht="15.9" customHeight="1">
      <c r="A57" s="194" t="s">
        <v>542</v>
      </c>
      <c r="B57" s="195" t="s">
        <v>1462</v>
      </c>
      <c r="C57" s="196" t="s">
        <v>1411</v>
      </c>
      <c r="D57" s="196" t="s">
        <v>1411</v>
      </c>
      <c r="E57" s="196" t="s">
        <v>1411</v>
      </c>
      <c r="F57" s="196" t="s">
        <v>1411</v>
      </c>
      <c r="G57" s="196" t="s">
        <v>1411</v>
      </c>
      <c r="H57" s="196" t="s">
        <v>1411</v>
      </c>
      <c r="I57" s="196" t="s">
        <v>1411</v>
      </c>
      <c r="J57" s="196" t="s">
        <v>1411</v>
      </c>
      <c r="K57" s="197" t="s">
        <v>1411</v>
      </c>
      <c r="M57" s="196" t="s">
        <v>1411</v>
      </c>
      <c r="N57" s="196" t="s">
        <v>1411</v>
      </c>
    </row>
    <row r="58" spans="1:27" ht="15.9" customHeight="1">
      <c r="A58" s="198" t="s">
        <v>1410</v>
      </c>
      <c r="B58" s="199" t="s">
        <v>1411</v>
      </c>
      <c r="C58" s="200" t="s">
        <v>1411</v>
      </c>
      <c r="D58" s="200" t="s">
        <v>1411</v>
      </c>
      <c r="E58" s="200" t="s">
        <v>1411</v>
      </c>
      <c r="F58" s="200" t="s">
        <v>1411</v>
      </c>
      <c r="G58" s="200" t="s">
        <v>1411</v>
      </c>
      <c r="H58" s="200" t="s">
        <v>1411</v>
      </c>
      <c r="I58" s="200" t="s">
        <v>1411</v>
      </c>
      <c r="J58" s="200" t="s">
        <v>1411</v>
      </c>
      <c r="K58" s="201" t="s">
        <v>1411</v>
      </c>
      <c r="M58" s="200" t="s">
        <v>1411</v>
      </c>
      <c r="N58" s="200" t="s">
        <v>1411</v>
      </c>
    </row>
    <row r="59" spans="1:27" ht="15.9" customHeight="1">
      <c r="A59" s="202" t="s">
        <v>546</v>
      </c>
      <c r="B59" s="203">
        <v>3</v>
      </c>
      <c r="C59" s="204">
        <v>2</v>
      </c>
      <c r="D59" s="204">
        <v>2</v>
      </c>
      <c r="E59" s="204">
        <v>1</v>
      </c>
      <c r="F59" s="204">
        <v>2</v>
      </c>
      <c r="G59" s="204">
        <v>2</v>
      </c>
      <c r="H59" s="204">
        <v>2</v>
      </c>
      <c r="I59" s="204">
        <v>2</v>
      </c>
      <c r="J59" s="204">
        <v>2</v>
      </c>
      <c r="K59" s="205">
        <v>2</v>
      </c>
      <c r="M59" s="204">
        <v>2</v>
      </c>
      <c r="N59" s="204">
        <v>2</v>
      </c>
    </row>
    <row r="60" spans="1:27" ht="15.9" customHeight="1">
      <c r="A60" s="206" t="s">
        <v>548</v>
      </c>
      <c r="B60" s="207">
        <v>3</v>
      </c>
      <c r="C60" s="208">
        <v>1</v>
      </c>
      <c r="D60" s="208">
        <v>1</v>
      </c>
      <c r="E60" s="208">
        <v>1</v>
      </c>
      <c r="F60" s="208">
        <v>1</v>
      </c>
      <c r="G60" s="208">
        <v>1</v>
      </c>
      <c r="H60" s="208">
        <v>1</v>
      </c>
      <c r="I60" s="208">
        <v>4</v>
      </c>
      <c r="J60" s="208">
        <v>1</v>
      </c>
      <c r="K60" s="209">
        <v>1</v>
      </c>
      <c r="M60" s="208">
        <v>1</v>
      </c>
      <c r="N60" s="208">
        <v>1</v>
      </c>
    </row>
    <row r="61" spans="1:27" ht="15.9" customHeight="1">
      <c r="A61" s="160" t="s">
        <v>1412</v>
      </c>
      <c r="B61" s="210">
        <v>0</v>
      </c>
      <c r="C61" s="211">
        <v>0</v>
      </c>
      <c r="D61" s="211">
        <v>0</v>
      </c>
      <c r="E61" s="211">
        <v>0</v>
      </c>
      <c r="F61" s="211">
        <v>0</v>
      </c>
      <c r="G61" s="211">
        <v>0</v>
      </c>
      <c r="H61" s="211">
        <v>0</v>
      </c>
      <c r="I61" s="211">
        <v>0</v>
      </c>
      <c r="J61" s="211">
        <v>0</v>
      </c>
      <c r="K61" s="212">
        <v>0.5</v>
      </c>
      <c r="M61" s="211">
        <v>0</v>
      </c>
      <c r="N61" s="211">
        <v>0</v>
      </c>
    </row>
    <row r="62" spans="1:27" ht="15.9" customHeight="1">
      <c r="A62" s="160" t="s">
        <v>1413</v>
      </c>
      <c r="B62" s="213">
        <v>0</v>
      </c>
      <c r="C62" s="214">
        <v>0</v>
      </c>
      <c r="D62" s="214">
        <v>0</v>
      </c>
      <c r="E62" s="214">
        <v>0</v>
      </c>
      <c r="F62" s="214">
        <v>0</v>
      </c>
      <c r="G62" s="214">
        <v>0</v>
      </c>
      <c r="H62" s="214">
        <v>0</v>
      </c>
      <c r="I62" s="214">
        <v>0</v>
      </c>
      <c r="J62" s="214">
        <v>0.5</v>
      </c>
      <c r="K62" s="215">
        <v>0</v>
      </c>
      <c r="M62" s="214">
        <v>0.5</v>
      </c>
      <c r="N62" s="214">
        <v>0.5</v>
      </c>
    </row>
    <row r="63" spans="1:27" ht="15.9" customHeight="1">
      <c r="A63" s="160" t="s">
        <v>1414</v>
      </c>
      <c r="B63" s="216">
        <v>0</v>
      </c>
      <c r="C63" s="217">
        <v>0</v>
      </c>
      <c r="D63" s="217">
        <v>0</v>
      </c>
      <c r="E63" s="217">
        <v>0</v>
      </c>
      <c r="F63" s="217">
        <v>0</v>
      </c>
      <c r="G63" s="217">
        <v>0</v>
      </c>
      <c r="H63" s="217">
        <v>0.5</v>
      </c>
      <c r="I63" s="217">
        <v>0</v>
      </c>
      <c r="J63" s="217">
        <v>0</v>
      </c>
      <c r="K63" s="218">
        <v>0</v>
      </c>
      <c r="M63" s="217">
        <v>0</v>
      </c>
      <c r="N63" s="217">
        <v>0</v>
      </c>
    </row>
    <row r="64" spans="1:27" ht="15.9" customHeight="1">
      <c r="A64" s="160" t="s">
        <v>1415</v>
      </c>
      <c r="B64" s="219">
        <v>0</v>
      </c>
      <c r="C64" s="220">
        <v>0</v>
      </c>
      <c r="D64" s="220">
        <v>0.5</v>
      </c>
      <c r="E64" s="220">
        <v>0</v>
      </c>
      <c r="F64" s="220">
        <v>0</v>
      </c>
      <c r="G64" s="220">
        <v>0</v>
      </c>
      <c r="H64" s="220">
        <v>0</v>
      </c>
      <c r="I64" s="220">
        <v>0</v>
      </c>
      <c r="J64" s="220">
        <v>0</v>
      </c>
      <c r="K64" s="221">
        <v>0</v>
      </c>
      <c r="M64" s="220">
        <v>0</v>
      </c>
      <c r="N64" s="220">
        <v>0</v>
      </c>
    </row>
    <row r="65" spans="1:14" ht="15.9" customHeight="1">
      <c r="A65" s="222" t="s">
        <v>1416</v>
      </c>
      <c r="B65" s="223">
        <v>0</v>
      </c>
      <c r="C65" s="224">
        <v>0</v>
      </c>
      <c r="D65" s="224">
        <v>0</v>
      </c>
      <c r="E65" s="224">
        <v>0</v>
      </c>
      <c r="F65" s="224">
        <v>0.5</v>
      </c>
      <c r="G65" s="224">
        <v>0</v>
      </c>
      <c r="H65" s="224">
        <v>0</v>
      </c>
      <c r="I65" s="224">
        <v>0</v>
      </c>
      <c r="J65" s="224">
        <v>0</v>
      </c>
      <c r="K65" s="225">
        <v>0</v>
      </c>
      <c r="M65" s="224">
        <v>0</v>
      </c>
      <c r="N65" s="224">
        <v>0</v>
      </c>
    </row>
    <row r="66" spans="1:14" ht="15.9" customHeight="1">
      <c r="A66" s="160" t="s">
        <v>1417</v>
      </c>
      <c r="B66" s="226">
        <v>0</v>
      </c>
      <c r="C66" s="227">
        <v>0</v>
      </c>
      <c r="D66" s="227">
        <v>0</v>
      </c>
      <c r="E66" s="227">
        <v>0</v>
      </c>
      <c r="F66" s="227">
        <v>0</v>
      </c>
      <c r="G66" s="227">
        <v>0</v>
      </c>
      <c r="H66" s="227">
        <v>0</v>
      </c>
      <c r="I66" s="227">
        <v>0.5</v>
      </c>
      <c r="J66" s="227">
        <v>0</v>
      </c>
      <c r="K66" s="228">
        <v>0</v>
      </c>
      <c r="M66" s="227">
        <v>0</v>
      </c>
      <c r="N66" s="227">
        <v>0</v>
      </c>
    </row>
    <row r="67" spans="1:14" ht="15.9" customHeight="1">
      <c r="A67" s="160" t="s">
        <v>1418</v>
      </c>
      <c r="B67" s="229">
        <v>0</v>
      </c>
      <c r="C67" s="230">
        <v>0</v>
      </c>
      <c r="D67" s="230">
        <v>0</v>
      </c>
      <c r="E67" s="230">
        <v>0.5</v>
      </c>
      <c r="F67" s="230">
        <v>0</v>
      </c>
      <c r="G67" s="230">
        <v>0</v>
      </c>
      <c r="H67" s="230">
        <v>0</v>
      </c>
      <c r="I67" s="230">
        <v>0</v>
      </c>
      <c r="J67" s="230">
        <v>0</v>
      </c>
      <c r="K67" s="259">
        <v>0</v>
      </c>
      <c r="M67" s="230">
        <v>0</v>
      </c>
      <c r="N67" s="230">
        <v>0</v>
      </c>
    </row>
    <row r="68" spans="1:14" ht="15.9" customHeight="1">
      <c r="A68" s="160" t="s">
        <v>1419</v>
      </c>
      <c r="B68" s="232">
        <v>0</v>
      </c>
      <c r="C68" s="233">
        <v>0</v>
      </c>
      <c r="D68" s="233">
        <v>0</v>
      </c>
      <c r="E68" s="233">
        <v>0</v>
      </c>
      <c r="F68" s="233">
        <v>0</v>
      </c>
      <c r="G68" s="233">
        <v>0.5</v>
      </c>
      <c r="H68" s="233">
        <v>0</v>
      </c>
      <c r="I68" s="233">
        <v>0</v>
      </c>
      <c r="J68" s="233">
        <v>0</v>
      </c>
      <c r="K68" s="260">
        <v>0</v>
      </c>
      <c r="M68" s="233">
        <v>0</v>
      </c>
      <c r="N68" s="233">
        <v>0</v>
      </c>
    </row>
    <row r="69" spans="1:14" ht="15.9" customHeight="1">
      <c r="A69" s="160" t="s">
        <v>1420</v>
      </c>
      <c r="B69" s="235">
        <v>0</v>
      </c>
      <c r="C69" s="236">
        <v>0.5</v>
      </c>
      <c r="D69" s="236">
        <v>0</v>
      </c>
      <c r="E69" s="236">
        <v>0</v>
      </c>
      <c r="F69" s="236">
        <v>0</v>
      </c>
      <c r="G69" s="236">
        <v>0</v>
      </c>
      <c r="H69" s="236">
        <v>0</v>
      </c>
      <c r="I69" s="236">
        <v>0</v>
      </c>
      <c r="J69" s="236">
        <v>0</v>
      </c>
      <c r="K69" s="261">
        <v>0</v>
      </c>
      <c r="M69" s="236">
        <v>0</v>
      </c>
      <c r="N69" s="236">
        <v>0</v>
      </c>
    </row>
    <row r="70" spans="1:14" ht="15.9" customHeight="1">
      <c r="A70" s="160" t="s">
        <v>570</v>
      </c>
      <c r="B70" s="203">
        <v>1</v>
      </c>
      <c r="C70" s="204">
        <v>1</v>
      </c>
      <c r="D70" s="204">
        <v>1</v>
      </c>
      <c r="E70" s="204">
        <v>1</v>
      </c>
      <c r="F70" s="204">
        <v>1</v>
      </c>
      <c r="G70" s="204">
        <v>1</v>
      </c>
      <c r="H70" s="204">
        <v>1</v>
      </c>
      <c r="I70" s="204">
        <v>2</v>
      </c>
      <c r="J70" s="204">
        <v>1</v>
      </c>
      <c r="K70" s="205">
        <v>1</v>
      </c>
      <c r="M70" s="204">
        <v>1</v>
      </c>
      <c r="N70" s="204">
        <v>1</v>
      </c>
    </row>
    <row r="71" spans="1:14" ht="15.9" customHeight="1">
      <c r="A71" s="160" t="s">
        <v>572</v>
      </c>
      <c r="B71" s="203">
        <v>1</v>
      </c>
      <c r="C71" s="204">
        <v>1</v>
      </c>
      <c r="D71" s="204">
        <v>1</v>
      </c>
      <c r="E71" s="204">
        <v>1</v>
      </c>
      <c r="F71" s="204">
        <v>1</v>
      </c>
      <c r="G71" s="204">
        <v>1</v>
      </c>
      <c r="H71" s="204">
        <v>1</v>
      </c>
      <c r="I71" s="204">
        <v>1</v>
      </c>
      <c r="J71" s="204">
        <v>1</v>
      </c>
      <c r="K71" s="205">
        <v>1</v>
      </c>
      <c r="M71" s="204">
        <v>1</v>
      </c>
      <c r="N71" s="204">
        <v>1</v>
      </c>
    </row>
    <row r="72" spans="1:14" ht="15.9" customHeight="1">
      <c r="A72" s="160" t="s">
        <v>573</v>
      </c>
      <c r="B72" s="239">
        <v>1</v>
      </c>
      <c r="C72" s="240">
        <v>1</v>
      </c>
      <c r="D72" s="240">
        <v>1</v>
      </c>
      <c r="E72" s="240">
        <v>1</v>
      </c>
      <c r="F72" s="240">
        <v>1</v>
      </c>
      <c r="G72" s="240">
        <v>1</v>
      </c>
      <c r="H72" s="240">
        <v>1</v>
      </c>
      <c r="I72" s="240">
        <v>1</v>
      </c>
      <c r="J72" s="240">
        <v>1</v>
      </c>
      <c r="K72" s="262">
        <v>1</v>
      </c>
      <c r="M72" s="240">
        <v>1</v>
      </c>
      <c r="N72" s="240">
        <v>1</v>
      </c>
    </row>
    <row r="73" spans="1:14" ht="15.9" customHeight="1">
      <c r="A73" s="160" t="s">
        <v>14</v>
      </c>
      <c r="B73" s="204" t="s">
        <v>1463</v>
      </c>
      <c r="C73" s="204" t="s">
        <v>1463</v>
      </c>
      <c r="D73" s="204" t="s">
        <v>1463</v>
      </c>
      <c r="E73" s="204" t="s">
        <v>1463</v>
      </c>
      <c r="F73" s="204" t="s">
        <v>1464</v>
      </c>
      <c r="G73" s="204" t="s">
        <v>1463</v>
      </c>
      <c r="H73" s="204" t="s">
        <v>1463</v>
      </c>
      <c r="I73" s="204" t="s">
        <v>1463</v>
      </c>
      <c r="J73" s="204" t="s">
        <v>1463</v>
      </c>
      <c r="K73" s="204" t="s">
        <v>1463</v>
      </c>
      <c r="M73" s="204" t="s">
        <v>1465</v>
      </c>
      <c r="N73" s="204" t="s">
        <v>1465</v>
      </c>
    </row>
    <row r="74" spans="1:14" ht="15.9" customHeight="1">
      <c r="A74" s="242" t="s">
        <v>584</v>
      </c>
      <c r="B74" s="243" t="s">
        <v>1423</v>
      </c>
      <c r="C74" s="243" t="s">
        <v>1422</v>
      </c>
      <c r="D74" s="243" t="s">
        <v>1422</v>
      </c>
      <c r="E74" s="243" t="s">
        <v>1422</v>
      </c>
      <c r="F74" s="243" t="s">
        <v>1422</v>
      </c>
      <c r="G74" s="243" t="s">
        <v>1422</v>
      </c>
      <c r="H74" s="243" t="s">
        <v>1422</v>
      </c>
      <c r="I74" s="243" t="s">
        <v>1422</v>
      </c>
      <c r="J74" s="243" t="s">
        <v>1422</v>
      </c>
      <c r="K74" s="243" t="s">
        <v>1422</v>
      </c>
      <c r="M74" s="244" t="s">
        <v>1423</v>
      </c>
      <c r="N74" s="244" t="s">
        <v>1423</v>
      </c>
    </row>
    <row r="75" spans="1:14" ht="15.9" customHeight="1">
      <c r="A75" s="160" t="s">
        <v>1424</v>
      </c>
      <c r="B75" s="213">
        <v>0</v>
      </c>
      <c r="C75" s="214">
        <v>0</v>
      </c>
      <c r="D75" s="214">
        <v>0</v>
      </c>
      <c r="E75" s="214">
        <v>0</v>
      </c>
      <c r="F75" s="214">
        <v>0</v>
      </c>
      <c r="G75" s="214">
        <v>0</v>
      </c>
      <c r="H75" s="214">
        <v>0</v>
      </c>
      <c r="I75" s="214">
        <v>0</v>
      </c>
      <c r="J75" s="214">
        <v>0</v>
      </c>
      <c r="K75" s="215">
        <v>0</v>
      </c>
      <c r="M75" s="214">
        <v>0</v>
      </c>
      <c r="N75" s="214">
        <v>0</v>
      </c>
    </row>
    <row r="76" spans="1:14" ht="15.9" customHeight="1">
      <c r="A76" s="160" t="s">
        <v>36</v>
      </c>
      <c r="B76" s="246" t="s">
        <v>1466</v>
      </c>
      <c r="C76" s="246" t="s">
        <v>1466</v>
      </c>
      <c r="D76" s="246" t="s">
        <v>1466</v>
      </c>
      <c r="E76" s="246" t="s">
        <v>1466</v>
      </c>
      <c r="F76" s="246" t="s">
        <v>1466</v>
      </c>
      <c r="G76" s="246" t="s">
        <v>1466</v>
      </c>
      <c r="H76" s="246" t="s">
        <v>1466</v>
      </c>
      <c r="I76" s="246" t="s">
        <v>1466</v>
      </c>
      <c r="J76" s="246" t="s">
        <v>1466</v>
      </c>
      <c r="K76" s="246" t="s">
        <v>1466</v>
      </c>
      <c r="M76" s="247" t="s">
        <v>1467</v>
      </c>
      <c r="N76" s="247" t="s">
        <v>1467</v>
      </c>
    </row>
    <row r="77" spans="1:14" ht="15.9" customHeight="1">
      <c r="A77" s="160" t="s">
        <v>1428</v>
      </c>
      <c r="B77" s="249">
        <v>100</v>
      </c>
      <c r="C77" s="249">
        <v>100</v>
      </c>
      <c r="D77" s="249">
        <v>100</v>
      </c>
      <c r="E77" s="249">
        <v>100</v>
      </c>
      <c r="F77" s="249">
        <v>100</v>
      </c>
      <c r="G77" s="249">
        <v>100</v>
      </c>
      <c r="H77" s="249">
        <v>100</v>
      </c>
      <c r="I77" s="249">
        <v>100</v>
      </c>
      <c r="J77" s="249">
        <v>100</v>
      </c>
      <c r="K77" s="249">
        <v>100</v>
      </c>
      <c r="M77" s="250">
        <v>100</v>
      </c>
      <c r="N77" s="250">
        <v>100</v>
      </c>
    </row>
    <row r="78" spans="1:14" ht="15.9" customHeight="1">
      <c r="A78" s="160" t="s">
        <v>1429</v>
      </c>
      <c r="B78" s="263" t="s">
        <v>726</v>
      </c>
      <c r="C78" s="263" t="s">
        <v>726</v>
      </c>
      <c r="D78" s="263" t="s">
        <v>726</v>
      </c>
      <c r="E78" s="250" t="s">
        <v>726</v>
      </c>
      <c r="F78" s="263" t="s">
        <v>726</v>
      </c>
      <c r="G78" s="263" t="s">
        <v>726</v>
      </c>
      <c r="H78" s="263" t="s">
        <v>726</v>
      </c>
      <c r="I78" s="263" t="s">
        <v>726</v>
      </c>
      <c r="J78" s="263" t="s">
        <v>726</v>
      </c>
      <c r="K78" s="263" t="s">
        <v>726</v>
      </c>
      <c r="M78" s="250" t="s">
        <v>1468</v>
      </c>
      <c r="N78" s="250" t="s">
        <v>1468</v>
      </c>
    </row>
    <row r="79" spans="1:14" ht="15.9" customHeight="1">
      <c r="A79" s="160" t="s">
        <v>1440</v>
      </c>
      <c r="B79" s="249" t="s">
        <v>726</v>
      </c>
      <c r="C79" s="250" t="s">
        <v>1469</v>
      </c>
      <c r="D79" s="250" t="s">
        <v>1469</v>
      </c>
      <c r="E79" s="250" t="s">
        <v>1470</v>
      </c>
      <c r="F79" s="263" t="s">
        <v>726</v>
      </c>
      <c r="G79" s="158" t="s">
        <v>1469</v>
      </c>
      <c r="H79" s="158" t="s">
        <v>1469</v>
      </c>
      <c r="I79" s="263" t="s">
        <v>726</v>
      </c>
      <c r="J79" s="158" t="s">
        <v>1469</v>
      </c>
      <c r="K79" s="264" t="s">
        <v>1469</v>
      </c>
    </row>
    <row r="80" spans="1:14" ht="14.6" customHeight="1">
      <c r="B80" s="265"/>
      <c r="K80" s="264"/>
    </row>
    <row r="81" spans="1:14" ht="15.9" customHeight="1">
      <c r="A81" s="160" t="s">
        <v>1397</v>
      </c>
      <c r="B81" s="254" t="s">
        <v>1471</v>
      </c>
      <c r="C81" s="255" t="s">
        <v>1472</v>
      </c>
      <c r="D81" s="255" t="s">
        <v>1473</v>
      </c>
      <c r="E81" s="255" t="s">
        <v>1474</v>
      </c>
      <c r="F81" s="255" t="s">
        <v>1475</v>
      </c>
      <c r="G81" s="255" t="s">
        <v>1476</v>
      </c>
      <c r="H81" s="255" t="s">
        <v>1477</v>
      </c>
      <c r="I81" s="255" t="s">
        <v>1478</v>
      </c>
      <c r="J81" s="255" t="s">
        <v>1479</v>
      </c>
      <c r="K81" s="266" t="s">
        <v>1480</v>
      </c>
      <c r="M81" s="255" t="s">
        <v>1481</v>
      </c>
      <c r="N81" s="255" t="s">
        <v>1481</v>
      </c>
    </row>
    <row r="82" spans="1:14" ht="15.9" customHeight="1">
      <c r="A82" s="160" t="s">
        <v>1407</v>
      </c>
      <c r="B82" s="188" t="s">
        <v>1363</v>
      </c>
      <c r="C82" s="167" t="s">
        <v>1367</v>
      </c>
      <c r="D82" s="169" t="s">
        <v>1369</v>
      </c>
      <c r="E82" s="171" t="s">
        <v>1371</v>
      </c>
      <c r="F82" s="189" t="s">
        <v>1374</v>
      </c>
      <c r="G82" s="175" t="s">
        <v>1377</v>
      </c>
      <c r="H82" s="176" t="s">
        <v>1379</v>
      </c>
      <c r="I82" s="177" t="s">
        <v>1381</v>
      </c>
      <c r="J82" s="178" t="s">
        <v>1383</v>
      </c>
      <c r="K82" s="190" t="s">
        <v>1385</v>
      </c>
      <c r="M82" s="165" t="s">
        <v>1365</v>
      </c>
      <c r="N82" s="181" t="s">
        <v>1387</v>
      </c>
    </row>
    <row r="83" spans="1:14" ht="15.9" customHeight="1">
      <c r="A83" s="160" t="s">
        <v>1408</v>
      </c>
      <c r="B83" s="191" t="s">
        <v>1376</v>
      </c>
      <c r="C83" s="192" t="s">
        <v>1376</v>
      </c>
      <c r="D83" s="192" t="s">
        <v>1376</v>
      </c>
      <c r="E83" s="192" t="s">
        <v>1376</v>
      </c>
      <c r="F83" s="192" t="s">
        <v>1376</v>
      </c>
      <c r="G83" s="192" t="s">
        <v>1376</v>
      </c>
      <c r="H83" s="192" t="s">
        <v>1376</v>
      </c>
      <c r="I83" s="192" t="s">
        <v>1376</v>
      </c>
      <c r="J83" s="192" t="s">
        <v>1376</v>
      </c>
      <c r="K83" s="193" t="s">
        <v>1376</v>
      </c>
      <c r="M83" s="192" t="s">
        <v>1376</v>
      </c>
      <c r="N83" s="192" t="s">
        <v>1376</v>
      </c>
    </row>
    <row r="84" spans="1:14" ht="15.9" customHeight="1">
      <c r="A84" s="194" t="s">
        <v>542</v>
      </c>
      <c r="B84" s="195" t="s">
        <v>1482</v>
      </c>
      <c r="C84" s="196" t="s">
        <v>1409</v>
      </c>
      <c r="D84" s="196" t="s">
        <v>1409</v>
      </c>
      <c r="E84" s="196" t="s">
        <v>1409</v>
      </c>
      <c r="F84" s="196" t="s">
        <v>1409</v>
      </c>
      <c r="G84" s="196" t="s">
        <v>1409</v>
      </c>
      <c r="H84" s="196" t="s">
        <v>1409</v>
      </c>
      <c r="I84" s="196" t="s">
        <v>1409</v>
      </c>
      <c r="J84" s="196" t="s">
        <v>1409</v>
      </c>
      <c r="K84" s="197" t="s">
        <v>1409</v>
      </c>
      <c r="M84" s="196" t="s">
        <v>1409</v>
      </c>
      <c r="N84" s="196" t="s">
        <v>1409</v>
      </c>
    </row>
    <row r="85" spans="1:14" ht="15.9" customHeight="1">
      <c r="A85" s="198" t="s">
        <v>1410</v>
      </c>
      <c r="B85" s="199" t="s">
        <v>726</v>
      </c>
      <c r="C85" s="200" t="s">
        <v>726</v>
      </c>
      <c r="D85" s="200" t="s">
        <v>726</v>
      </c>
      <c r="E85" s="200" t="s">
        <v>1411</v>
      </c>
      <c r="F85" s="200" t="s">
        <v>726</v>
      </c>
      <c r="G85" s="200" t="s">
        <v>726</v>
      </c>
      <c r="H85" s="200" t="s">
        <v>726</v>
      </c>
      <c r="I85" s="200" t="s">
        <v>726</v>
      </c>
      <c r="J85" s="200" t="s">
        <v>726</v>
      </c>
      <c r="K85" s="201" t="s">
        <v>1411</v>
      </c>
      <c r="M85" s="200" t="s">
        <v>726</v>
      </c>
      <c r="N85" s="200" t="s">
        <v>726</v>
      </c>
    </row>
    <row r="86" spans="1:14" ht="15.9" customHeight="1">
      <c r="A86" s="202" t="s">
        <v>546</v>
      </c>
      <c r="B86" s="203">
        <v>1</v>
      </c>
      <c r="C86" s="204">
        <v>1</v>
      </c>
      <c r="D86" s="204">
        <v>1</v>
      </c>
      <c r="E86" s="204">
        <v>1</v>
      </c>
      <c r="F86" s="204">
        <v>1</v>
      </c>
      <c r="G86" s="204">
        <v>1</v>
      </c>
      <c r="H86" s="204">
        <v>1</v>
      </c>
      <c r="I86" s="204">
        <v>1</v>
      </c>
      <c r="J86" s="204">
        <v>1</v>
      </c>
      <c r="K86" s="205">
        <v>1</v>
      </c>
      <c r="M86" s="204">
        <v>1</v>
      </c>
      <c r="N86" s="204">
        <v>1</v>
      </c>
    </row>
    <row r="87" spans="1:14" ht="15.9" customHeight="1">
      <c r="A87" s="206" t="s">
        <v>548</v>
      </c>
      <c r="B87" s="207">
        <v>1</v>
      </c>
      <c r="C87" s="208">
        <v>1</v>
      </c>
      <c r="D87" s="208">
        <v>1</v>
      </c>
      <c r="E87" s="208">
        <v>1</v>
      </c>
      <c r="F87" s="208">
        <v>1</v>
      </c>
      <c r="G87" s="208">
        <v>1</v>
      </c>
      <c r="H87" s="208">
        <v>1</v>
      </c>
      <c r="I87" s="208">
        <v>1</v>
      </c>
      <c r="J87" s="208">
        <v>1</v>
      </c>
      <c r="K87" s="209">
        <v>1</v>
      </c>
      <c r="M87" s="208">
        <v>1</v>
      </c>
      <c r="N87" s="208">
        <v>1</v>
      </c>
    </row>
    <row r="88" spans="1:14" ht="15.9" customHeight="1">
      <c r="A88" s="160" t="s">
        <v>1412</v>
      </c>
      <c r="B88" s="210">
        <v>0</v>
      </c>
      <c r="C88" s="211">
        <v>0</v>
      </c>
      <c r="D88" s="211">
        <v>0</v>
      </c>
      <c r="E88" s="211">
        <v>0.1</v>
      </c>
      <c r="F88" s="211">
        <v>0</v>
      </c>
      <c r="G88" s="211">
        <v>0</v>
      </c>
      <c r="H88" s="211">
        <v>0</v>
      </c>
      <c r="I88" s="211">
        <v>0</v>
      </c>
      <c r="J88" s="211">
        <v>0</v>
      </c>
      <c r="K88" s="212">
        <v>0</v>
      </c>
      <c r="M88" s="211">
        <v>0</v>
      </c>
      <c r="N88" s="211">
        <v>0</v>
      </c>
    </row>
    <row r="89" spans="1:14" ht="15.9" customHeight="1">
      <c r="A89" s="160" t="s">
        <v>1413</v>
      </c>
      <c r="B89" s="213">
        <v>0</v>
      </c>
      <c r="C89" s="214">
        <v>0</v>
      </c>
      <c r="D89" s="214">
        <v>0</v>
      </c>
      <c r="E89" s="214">
        <v>0.1</v>
      </c>
      <c r="F89" s="214">
        <v>0</v>
      </c>
      <c r="G89" s="214">
        <v>0</v>
      </c>
      <c r="H89" s="214">
        <v>0</v>
      </c>
      <c r="I89" s="214">
        <v>0</v>
      </c>
      <c r="J89" s="214">
        <v>0.5</v>
      </c>
      <c r="K89" s="215">
        <v>0</v>
      </c>
      <c r="M89" s="214">
        <v>0.5</v>
      </c>
      <c r="N89" s="214">
        <v>0.5</v>
      </c>
    </row>
    <row r="90" spans="1:14" ht="15.9" customHeight="1">
      <c r="A90" s="160" t="s">
        <v>1414</v>
      </c>
      <c r="B90" s="216">
        <v>-0.5</v>
      </c>
      <c r="C90" s="217">
        <v>0</v>
      </c>
      <c r="D90" s="217">
        <v>0</v>
      </c>
      <c r="E90" s="217">
        <v>0.1</v>
      </c>
      <c r="F90" s="217">
        <v>0</v>
      </c>
      <c r="G90" s="217">
        <v>0</v>
      </c>
      <c r="H90" s="217">
        <v>0.5</v>
      </c>
      <c r="I90" s="217">
        <v>0</v>
      </c>
      <c r="J90" s="217">
        <v>0</v>
      </c>
      <c r="K90" s="218">
        <v>0</v>
      </c>
      <c r="M90" s="217">
        <v>0</v>
      </c>
      <c r="N90" s="217">
        <v>0</v>
      </c>
    </row>
    <row r="91" spans="1:14" ht="15.9" customHeight="1">
      <c r="A91" s="160" t="s">
        <v>1415</v>
      </c>
      <c r="B91" s="219">
        <v>-0.5</v>
      </c>
      <c r="C91" s="220">
        <v>-1</v>
      </c>
      <c r="D91" s="220">
        <v>0.5</v>
      </c>
      <c r="E91" s="220">
        <v>0.1</v>
      </c>
      <c r="F91" s="220">
        <v>-1</v>
      </c>
      <c r="G91" s="220">
        <v>-1</v>
      </c>
      <c r="H91" s="220">
        <v>-1</v>
      </c>
      <c r="I91" s="220">
        <v>0</v>
      </c>
      <c r="J91" s="220">
        <v>0</v>
      </c>
      <c r="K91" s="221">
        <v>0</v>
      </c>
      <c r="M91" s="220">
        <v>0</v>
      </c>
      <c r="N91" s="220">
        <v>0</v>
      </c>
    </row>
    <row r="92" spans="1:14" ht="15.9" customHeight="1">
      <c r="A92" s="222" t="s">
        <v>1416</v>
      </c>
      <c r="B92" s="223">
        <v>0.5</v>
      </c>
      <c r="C92" s="224">
        <v>0</v>
      </c>
      <c r="D92" s="224">
        <v>0</v>
      </c>
      <c r="E92" s="224">
        <v>0.1</v>
      </c>
      <c r="F92" s="224">
        <v>0.5</v>
      </c>
      <c r="G92" s="224">
        <v>0.5</v>
      </c>
      <c r="H92" s="224">
        <v>-0.5</v>
      </c>
      <c r="I92" s="224">
        <v>0</v>
      </c>
      <c r="J92" s="224">
        <v>0</v>
      </c>
      <c r="K92" s="225">
        <v>0</v>
      </c>
      <c r="M92" s="224">
        <v>0</v>
      </c>
      <c r="N92" s="224">
        <v>0</v>
      </c>
    </row>
    <row r="93" spans="1:14" ht="15.9" customHeight="1">
      <c r="A93" s="160" t="s">
        <v>1417</v>
      </c>
      <c r="B93" s="226">
        <v>-0.5</v>
      </c>
      <c r="C93" s="227">
        <v>0</v>
      </c>
      <c r="D93" s="227">
        <v>0</v>
      </c>
      <c r="E93" s="227">
        <v>0.1</v>
      </c>
      <c r="F93" s="227">
        <v>0</v>
      </c>
      <c r="G93" s="227">
        <v>0</v>
      </c>
      <c r="H93" s="227">
        <v>0</v>
      </c>
      <c r="I93" s="227">
        <v>0</v>
      </c>
      <c r="J93" s="227">
        <v>0</v>
      </c>
      <c r="K93" s="228">
        <v>0</v>
      </c>
      <c r="M93" s="227">
        <v>0</v>
      </c>
      <c r="N93" s="227">
        <v>0</v>
      </c>
    </row>
    <row r="94" spans="1:14" ht="15.9" customHeight="1">
      <c r="A94" s="160" t="s">
        <v>1418</v>
      </c>
      <c r="B94" s="229">
        <v>0</v>
      </c>
      <c r="C94" s="230">
        <v>0</v>
      </c>
      <c r="D94" s="230">
        <v>0</v>
      </c>
      <c r="E94" s="230">
        <v>0.1</v>
      </c>
      <c r="F94" s="230">
        <v>0</v>
      </c>
      <c r="G94" s="230">
        <v>0</v>
      </c>
      <c r="H94" s="230">
        <v>0</v>
      </c>
      <c r="I94" s="230">
        <v>0</v>
      </c>
      <c r="J94" s="230">
        <v>0</v>
      </c>
      <c r="K94" s="259">
        <v>0</v>
      </c>
      <c r="M94" s="230">
        <v>0</v>
      </c>
      <c r="N94" s="230">
        <v>0</v>
      </c>
    </row>
    <row r="95" spans="1:14" ht="15.9" customHeight="1">
      <c r="A95" s="160" t="s">
        <v>1419</v>
      </c>
      <c r="B95" s="232">
        <v>0</v>
      </c>
      <c r="C95" s="233">
        <v>0</v>
      </c>
      <c r="D95" s="233">
        <v>0</v>
      </c>
      <c r="E95" s="233">
        <v>0.1</v>
      </c>
      <c r="F95" s="233">
        <v>0</v>
      </c>
      <c r="G95" s="233">
        <v>0.5</v>
      </c>
      <c r="H95" s="233">
        <v>0</v>
      </c>
      <c r="I95" s="233">
        <v>0</v>
      </c>
      <c r="J95" s="233">
        <v>0</v>
      </c>
      <c r="K95" s="260">
        <v>0</v>
      </c>
      <c r="M95" s="233">
        <v>0</v>
      </c>
      <c r="N95" s="233">
        <v>0</v>
      </c>
    </row>
    <row r="96" spans="1:14" ht="15.9" customHeight="1">
      <c r="A96" s="160" t="s">
        <v>1420</v>
      </c>
      <c r="B96" s="235">
        <v>0</v>
      </c>
      <c r="C96" s="236">
        <v>0.5</v>
      </c>
      <c r="D96" s="236">
        <v>0</v>
      </c>
      <c r="E96" s="236">
        <v>0.1</v>
      </c>
      <c r="F96" s="236">
        <v>0</v>
      </c>
      <c r="G96" s="236">
        <v>0</v>
      </c>
      <c r="H96" s="236">
        <v>0</v>
      </c>
      <c r="I96" s="236">
        <v>0</v>
      </c>
      <c r="J96" s="236">
        <v>0.5</v>
      </c>
      <c r="K96" s="261">
        <v>0</v>
      </c>
      <c r="M96" s="236">
        <v>0.5</v>
      </c>
      <c r="N96" s="236">
        <v>0.5</v>
      </c>
    </row>
    <row r="97" spans="1:14" ht="15.9" customHeight="1">
      <c r="A97" s="160" t="s">
        <v>570</v>
      </c>
      <c r="B97" s="203">
        <v>1</v>
      </c>
      <c r="C97" s="204">
        <v>1</v>
      </c>
      <c r="D97" s="204">
        <v>1</v>
      </c>
      <c r="E97" s="204">
        <v>1</v>
      </c>
      <c r="F97" s="204">
        <v>1</v>
      </c>
      <c r="G97" s="204">
        <v>1</v>
      </c>
      <c r="H97" s="204">
        <v>1</v>
      </c>
      <c r="I97" s="204">
        <v>1</v>
      </c>
      <c r="J97" s="204">
        <v>1</v>
      </c>
      <c r="K97" s="205">
        <v>1</v>
      </c>
      <c r="M97" s="204">
        <v>1</v>
      </c>
      <c r="N97" s="204">
        <v>1</v>
      </c>
    </row>
    <row r="98" spans="1:14" ht="15.9" customHeight="1">
      <c r="A98" s="160" t="s">
        <v>572</v>
      </c>
      <c r="B98" s="203">
        <v>1</v>
      </c>
      <c r="C98" s="204">
        <v>1</v>
      </c>
      <c r="D98" s="204">
        <v>1</v>
      </c>
      <c r="E98" s="204">
        <v>1</v>
      </c>
      <c r="F98" s="204">
        <v>1</v>
      </c>
      <c r="G98" s="204">
        <v>1</v>
      </c>
      <c r="H98" s="204">
        <v>1</v>
      </c>
      <c r="I98" s="204">
        <v>1</v>
      </c>
      <c r="J98" s="204">
        <v>1</v>
      </c>
      <c r="K98" s="205">
        <v>1</v>
      </c>
      <c r="M98" s="204">
        <v>1</v>
      </c>
      <c r="N98" s="204">
        <v>1</v>
      </c>
    </row>
    <row r="99" spans="1:14" ht="15.9" customHeight="1">
      <c r="A99" s="160" t="s">
        <v>573</v>
      </c>
      <c r="B99" s="239">
        <v>1</v>
      </c>
      <c r="C99" s="240">
        <v>1</v>
      </c>
      <c r="D99" s="240">
        <v>1</v>
      </c>
      <c r="E99" s="240">
        <v>1</v>
      </c>
      <c r="F99" s="240">
        <v>1</v>
      </c>
      <c r="G99" s="240">
        <v>1</v>
      </c>
      <c r="H99" s="240">
        <v>1</v>
      </c>
      <c r="I99" s="240">
        <v>1</v>
      </c>
      <c r="J99" s="240">
        <v>1</v>
      </c>
      <c r="K99" s="262">
        <v>1</v>
      </c>
      <c r="M99" s="240">
        <v>1</v>
      </c>
      <c r="N99" s="240">
        <v>1</v>
      </c>
    </row>
    <row r="100" spans="1:14" ht="15.9" customHeight="1">
      <c r="A100" s="160" t="s">
        <v>14</v>
      </c>
      <c r="B100" s="203" t="s">
        <v>1483</v>
      </c>
      <c r="C100" s="204" t="s">
        <v>1483</v>
      </c>
      <c r="D100" s="204" t="s">
        <v>1483</v>
      </c>
      <c r="E100" s="204" t="s">
        <v>1484</v>
      </c>
      <c r="F100" s="204" t="s">
        <v>1483</v>
      </c>
      <c r="G100" s="204" t="s">
        <v>1483</v>
      </c>
      <c r="H100" s="204" t="s">
        <v>1483</v>
      </c>
      <c r="I100" s="204" t="s">
        <v>1485</v>
      </c>
      <c r="J100" s="204" t="s">
        <v>1483</v>
      </c>
      <c r="K100" s="205" t="s">
        <v>1486</v>
      </c>
      <c r="M100" s="204" t="s">
        <v>1483</v>
      </c>
      <c r="N100" s="204" t="s">
        <v>1483</v>
      </c>
    </row>
    <row r="101" spans="1:14" ht="15.9" customHeight="1">
      <c r="A101" s="242" t="s">
        <v>584</v>
      </c>
      <c r="B101" s="243" t="s">
        <v>1423</v>
      </c>
      <c r="C101" s="243" t="s">
        <v>1422</v>
      </c>
      <c r="D101" s="243" t="s">
        <v>1422</v>
      </c>
      <c r="E101" s="243" t="s">
        <v>1422</v>
      </c>
      <c r="F101" s="243" t="s">
        <v>1422</v>
      </c>
      <c r="G101" s="243" t="s">
        <v>1422</v>
      </c>
      <c r="H101" s="243" t="s">
        <v>1422</v>
      </c>
      <c r="I101" s="243" t="s">
        <v>1422</v>
      </c>
      <c r="J101" s="243" t="s">
        <v>1422</v>
      </c>
      <c r="K101" s="243" t="s">
        <v>1422</v>
      </c>
      <c r="M101" s="244" t="s">
        <v>1423</v>
      </c>
      <c r="N101" s="244" t="s">
        <v>1423</v>
      </c>
    </row>
    <row r="102" spans="1:14" ht="15.9" customHeight="1">
      <c r="A102" s="160" t="s">
        <v>1424</v>
      </c>
      <c r="B102" s="213">
        <v>0</v>
      </c>
      <c r="C102" s="214">
        <v>0</v>
      </c>
      <c r="D102" s="214">
        <v>0</v>
      </c>
      <c r="E102" s="214">
        <v>0</v>
      </c>
      <c r="F102" s="214">
        <v>0</v>
      </c>
      <c r="G102" s="214">
        <v>0</v>
      </c>
      <c r="H102" s="214">
        <v>0</v>
      </c>
      <c r="I102" s="214">
        <v>0</v>
      </c>
      <c r="J102" s="214">
        <v>0</v>
      </c>
      <c r="K102" s="215">
        <v>0</v>
      </c>
      <c r="M102" s="214">
        <v>0</v>
      </c>
      <c r="N102" s="214">
        <v>0</v>
      </c>
    </row>
    <row r="103" spans="1:14" ht="15.9" customHeight="1">
      <c r="A103" s="160" t="s">
        <v>36</v>
      </c>
      <c r="B103" s="246" t="s">
        <v>1487</v>
      </c>
      <c r="C103" s="247" t="s">
        <v>1487</v>
      </c>
      <c r="D103" s="247" t="s">
        <v>1487</v>
      </c>
      <c r="E103" s="247" t="s">
        <v>1487</v>
      </c>
      <c r="F103" s="247" t="s">
        <v>1487</v>
      </c>
      <c r="G103" s="247" t="s">
        <v>1487</v>
      </c>
      <c r="H103" s="247" t="s">
        <v>1487</v>
      </c>
      <c r="I103" s="247" t="s">
        <v>1487</v>
      </c>
      <c r="J103" s="247" t="s">
        <v>1487</v>
      </c>
      <c r="K103" s="267" t="s">
        <v>1487</v>
      </c>
      <c r="M103" s="247" t="s">
        <v>1488</v>
      </c>
      <c r="N103" s="247" t="s">
        <v>1488</v>
      </c>
    </row>
    <row r="104" spans="1:14" ht="15.9" customHeight="1">
      <c r="A104" s="160" t="s">
        <v>1428</v>
      </c>
      <c r="B104" s="249">
        <v>100</v>
      </c>
      <c r="C104" s="249">
        <v>100</v>
      </c>
      <c r="D104" s="249">
        <v>100</v>
      </c>
      <c r="E104" s="249">
        <v>100</v>
      </c>
      <c r="F104" s="249">
        <v>100</v>
      </c>
      <c r="G104" s="249">
        <v>100</v>
      </c>
      <c r="H104" s="249">
        <v>100</v>
      </c>
      <c r="I104" s="249">
        <v>100</v>
      </c>
      <c r="J104" s="249">
        <v>100</v>
      </c>
      <c r="K104" s="249">
        <v>100</v>
      </c>
      <c r="M104" s="250">
        <v>100</v>
      </c>
      <c r="N104" s="250">
        <v>100</v>
      </c>
    </row>
    <row r="105" spans="1:14" ht="15.9" customHeight="1">
      <c r="A105" s="160" t="s">
        <v>1429</v>
      </c>
      <c r="B105" s="249" t="s">
        <v>1489</v>
      </c>
      <c r="C105" s="250" t="s">
        <v>1490</v>
      </c>
      <c r="D105" s="250" t="s">
        <v>1491</v>
      </c>
      <c r="E105" s="250" t="s">
        <v>1492</v>
      </c>
      <c r="F105" s="250" t="s">
        <v>1493</v>
      </c>
      <c r="G105" s="250" t="s">
        <v>1494</v>
      </c>
      <c r="H105" s="250" t="s">
        <v>1495</v>
      </c>
      <c r="I105" s="250" t="s">
        <v>726</v>
      </c>
      <c r="J105" s="250" t="s">
        <v>1496</v>
      </c>
      <c r="K105" s="250" t="s">
        <v>1492</v>
      </c>
      <c r="M105" s="250" t="s">
        <v>1497</v>
      </c>
      <c r="N105" s="250" t="s">
        <v>1497</v>
      </c>
    </row>
    <row r="106" spans="1:14" ht="15.9" customHeight="1">
      <c r="A106" s="160" t="s">
        <v>1440</v>
      </c>
      <c r="B106" s="203" t="s">
        <v>726</v>
      </c>
      <c r="C106" s="204" t="s">
        <v>726</v>
      </c>
      <c r="D106" s="204" t="s">
        <v>726</v>
      </c>
      <c r="E106" s="204" t="s">
        <v>1498</v>
      </c>
      <c r="F106" s="204" t="s">
        <v>1499</v>
      </c>
      <c r="G106" s="204" t="s">
        <v>726</v>
      </c>
      <c r="H106" s="204" t="s">
        <v>726</v>
      </c>
      <c r="I106" s="204" t="s">
        <v>726</v>
      </c>
      <c r="J106" s="204" t="s">
        <v>726</v>
      </c>
      <c r="K106" s="204" t="s">
        <v>1498</v>
      </c>
      <c r="M106" s="204" t="s">
        <v>726</v>
      </c>
      <c r="N106" s="204" t="s">
        <v>726</v>
      </c>
    </row>
    <row r="107" spans="1:14" ht="14.6" customHeight="1">
      <c r="B107" s="265"/>
      <c r="K107" s="264"/>
    </row>
    <row r="108" spans="1:14" ht="15.9" customHeight="1">
      <c r="A108" s="160" t="s">
        <v>1397</v>
      </c>
      <c r="B108" s="268" t="s">
        <v>1500</v>
      </c>
      <c r="C108" s="269" t="s">
        <v>1501</v>
      </c>
      <c r="D108" s="269" t="s">
        <v>1502</v>
      </c>
      <c r="E108" s="269" t="s">
        <v>1503</v>
      </c>
      <c r="F108" s="269" t="s">
        <v>1504</v>
      </c>
      <c r="G108" s="269" t="s">
        <v>1505</v>
      </c>
      <c r="H108" s="269" t="s">
        <v>1506</v>
      </c>
      <c r="I108" s="269" t="s">
        <v>1507</v>
      </c>
      <c r="J108" s="269" t="s">
        <v>1508</v>
      </c>
      <c r="K108" s="270" t="s">
        <v>1509</v>
      </c>
      <c r="M108" s="269" t="s">
        <v>1510</v>
      </c>
      <c r="N108" s="269" t="s">
        <v>1510</v>
      </c>
    </row>
    <row r="109" spans="1:14" ht="15.9" customHeight="1">
      <c r="A109" s="160" t="s">
        <v>1407</v>
      </c>
      <c r="B109" s="188" t="s">
        <v>1363</v>
      </c>
      <c r="C109" s="167" t="s">
        <v>1367</v>
      </c>
      <c r="D109" s="169" t="s">
        <v>1369</v>
      </c>
      <c r="E109" s="171" t="s">
        <v>1371</v>
      </c>
      <c r="F109" s="189" t="s">
        <v>1374</v>
      </c>
      <c r="G109" s="175" t="s">
        <v>1377</v>
      </c>
      <c r="H109" s="176" t="s">
        <v>1379</v>
      </c>
      <c r="I109" s="177" t="s">
        <v>1381</v>
      </c>
      <c r="J109" s="178" t="s">
        <v>1383</v>
      </c>
      <c r="K109" s="190" t="s">
        <v>1385</v>
      </c>
      <c r="M109" s="165" t="s">
        <v>1365</v>
      </c>
      <c r="N109" s="181" t="s">
        <v>1387</v>
      </c>
    </row>
    <row r="110" spans="1:14" ht="15.9" customHeight="1">
      <c r="A110" s="160" t="s">
        <v>1408</v>
      </c>
      <c r="B110" s="191" t="s">
        <v>1368</v>
      </c>
      <c r="C110" s="192" t="s">
        <v>1368</v>
      </c>
      <c r="D110" s="192" t="s">
        <v>1368</v>
      </c>
      <c r="E110" s="192" t="s">
        <v>1368</v>
      </c>
      <c r="F110" s="192" t="s">
        <v>1368</v>
      </c>
      <c r="G110" s="192" t="s">
        <v>1368</v>
      </c>
      <c r="H110" s="192" t="s">
        <v>1368</v>
      </c>
      <c r="I110" s="192" t="s">
        <v>1368</v>
      </c>
      <c r="J110" s="192" t="s">
        <v>1368</v>
      </c>
      <c r="K110" s="193" t="s">
        <v>1368</v>
      </c>
      <c r="M110" s="192" t="s">
        <v>1368</v>
      </c>
      <c r="N110" s="192" t="s">
        <v>1368</v>
      </c>
    </row>
    <row r="111" spans="1:14" ht="15.9" customHeight="1">
      <c r="A111" s="194" t="s">
        <v>542</v>
      </c>
      <c r="B111" s="195" t="s">
        <v>1511</v>
      </c>
      <c r="C111" s="196" t="s">
        <v>1511</v>
      </c>
      <c r="D111" s="196" t="s">
        <v>1511</v>
      </c>
      <c r="E111" s="196" t="s">
        <v>1511</v>
      </c>
      <c r="F111" s="196" t="s">
        <v>1511</v>
      </c>
      <c r="G111" s="196" t="s">
        <v>1511</v>
      </c>
      <c r="H111" s="196" t="s">
        <v>1511</v>
      </c>
      <c r="I111" s="196" t="s">
        <v>1511</v>
      </c>
      <c r="J111" s="196" t="s">
        <v>1511</v>
      </c>
      <c r="K111" s="197" t="s">
        <v>1511</v>
      </c>
      <c r="M111" s="196" t="s">
        <v>1512</v>
      </c>
      <c r="N111" s="196" t="s">
        <v>1512</v>
      </c>
    </row>
    <row r="112" spans="1:14" ht="15.9" customHeight="1">
      <c r="A112" s="198" t="s">
        <v>1410</v>
      </c>
      <c r="B112" s="199" t="s">
        <v>726</v>
      </c>
      <c r="C112" s="200" t="s">
        <v>726</v>
      </c>
      <c r="D112" s="200" t="s">
        <v>726</v>
      </c>
      <c r="E112" s="200" t="s">
        <v>726</v>
      </c>
      <c r="F112" s="200" t="s">
        <v>726</v>
      </c>
      <c r="G112" s="200" t="s">
        <v>726</v>
      </c>
      <c r="H112" s="200" t="s">
        <v>726</v>
      </c>
      <c r="I112" s="200" t="s">
        <v>726</v>
      </c>
      <c r="J112" s="200" t="s">
        <v>726</v>
      </c>
      <c r="K112" s="201" t="s">
        <v>726</v>
      </c>
      <c r="M112" s="200" t="s">
        <v>1512</v>
      </c>
      <c r="N112" s="200" t="s">
        <v>1512</v>
      </c>
    </row>
    <row r="113" spans="1:14" ht="15.9" customHeight="1">
      <c r="A113" s="202" t="s">
        <v>546</v>
      </c>
      <c r="B113" s="203">
        <v>1</v>
      </c>
      <c r="C113" s="204">
        <v>1</v>
      </c>
      <c r="D113" s="204">
        <v>1</v>
      </c>
      <c r="E113" s="204">
        <v>1</v>
      </c>
      <c r="F113" s="204">
        <v>1</v>
      </c>
      <c r="G113" s="204">
        <v>1</v>
      </c>
      <c r="H113" s="204">
        <v>1</v>
      </c>
      <c r="I113" s="204">
        <v>1</v>
      </c>
      <c r="J113" s="204">
        <v>1</v>
      </c>
      <c r="K113" s="205">
        <v>1</v>
      </c>
      <c r="M113" s="204">
        <v>1</v>
      </c>
      <c r="N113" s="204">
        <v>1</v>
      </c>
    </row>
    <row r="114" spans="1:14" ht="15.9" customHeight="1">
      <c r="A114" s="206" t="s">
        <v>548</v>
      </c>
      <c r="B114" s="207">
        <v>1</v>
      </c>
      <c r="C114" s="208">
        <v>1</v>
      </c>
      <c r="D114" s="208">
        <v>1</v>
      </c>
      <c r="E114" s="208">
        <v>1</v>
      </c>
      <c r="F114" s="208">
        <v>1</v>
      </c>
      <c r="G114" s="208">
        <v>1</v>
      </c>
      <c r="H114" s="208">
        <v>1</v>
      </c>
      <c r="I114" s="208">
        <v>1</v>
      </c>
      <c r="J114" s="208">
        <v>1</v>
      </c>
      <c r="K114" s="209">
        <v>1</v>
      </c>
      <c r="M114" s="208">
        <v>1</v>
      </c>
      <c r="N114" s="208">
        <v>1</v>
      </c>
    </row>
    <row r="115" spans="1:14" ht="15.9" customHeight="1">
      <c r="A115" s="160" t="s">
        <v>1412</v>
      </c>
      <c r="B115" s="210">
        <v>0</v>
      </c>
      <c r="C115" s="211">
        <v>0</v>
      </c>
      <c r="D115" s="211">
        <v>0</v>
      </c>
      <c r="E115" s="211">
        <v>0</v>
      </c>
      <c r="F115" s="211">
        <v>0</v>
      </c>
      <c r="G115" s="211">
        <v>0</v>
      </c>
      <c r="H115" s="211">
        <v>0</v>
      </c>
      <c r="I115" s="211">
        <v>0</v>
      </c>
      <c r="J115" s="211">
        <v>0</v>
      </c>
      <c r="K115" s="212">
        <v>0.5</v>
      </c>
      <c r="M115" s="211">
        <v>0</v>
      </c>
      <c r="N115" s="211">
        <v>0</v>
      </c>
    </row>
    <row r="116" spans="1:14" ht="15.9" customHeight="1">
      <c r="A116" s="160" t="s">
        <v>1413</v>
      </c>
      <c r="B116" s="213">
        <v>0</v>
      </c>
      <c r="C116" s="214">
        <v>0</v>
      </c>
      <c r="D116" s="214">
        <v>0</v>
      </c>
      <c r="E116" s="214">
        <v>0</v>
      </c>
      <c r="F116" s="214">
        <v>0</v>
      </c>
      <c r="G116" s="214">
        <v>0</v>
      </c>
      <c r="H116" s="214">
        <v>0</v>
      </c>
      <c r="I116" s="214">
        <v>0</v>
      </c>
      <c r="J116" s="214">
        <v>0.5</v>
      </c>
      <c r="K116" s="215">
        <v>0</v>
      </c>
      <c r="M116" s="214">
        <v>0</v>
      </c>
      <c r="N116" s="214">
        <v>0</v>
      </c>
    </row>
    <row r="117" spans="1:14" ht="15.9" customHeight="1">
      <c r="A117" s="160" t="s">
        <v>1414</v>
      </c>
      <c r="B117" s="216">
        <v>0</v>
      </c>
      <c r="C117" s="217">
        <v>0</v>
      </c>
      <c r="D117" s="217">
        <v>0</v>
      </c>
      <c r="E117" s="217">
        <v>0</v>
      </c>
      <c r="F117" s="217">
        <v>0</v>
      </c>
      <c r="G117" s="217">
        <v>0</v>
      </c>
      <c r="H117" s="217">
        <v>0.5</v>
      </c>
      <c r="I117" s="217">
        <v>0</v>
      </c>
      <c r="J117" s="217">
        <v>0</v>
      </c>
      <c r="K117" s="218">
        <v>0</v>
      </c>
      <c r="M117" s="217">
        <v>0</v>
      </c>
      <c r="N117" s="217">
        <v>0</v>
      </c>
    </row>
    <row r="118" spans="1:14" ht="15.9" customHeight="1">
      <c r="A118" s="160" t="s">
        <v>1415</v>
      </c>
      <c r="B118" s="219">
        <v>0</v>
      </c>
      <c r="C118" s="220">
        <v>0</v>
      </c>
      <c r="D118" s="220">
        <v>0.5</v>
      </c>
      <c r="E118" s="220">
        <v>0</v>
      </c>
      <c r="F118" s="220">
        <v>0</v>
      </c>
      <c r="G118" s="220">
        <v>0</v>
      </c>
      <c r="H118" s="220">
        <v>0</v>
      </c>
      <c r="I118" s="220">
        <v>0</v>
      </c>
      <c r="J118" s="220">
        <v>0</v>
      </c>
      <c r="K118" s="221">
        <v>0</v>
      </c>
      <c r="M118" s="220">
        <v>0</v>
      </c>
      <c r="N118" s="220">
        <v>0</v>
      </c>
    </row>
    <row r="119" spans="1:14" ht="15.9" customHeight="1">
      <c r="A119" s="222" t="s">
        <v>1416</v>
      </c>
      <c r="B119" s="223">
        <v>0</v>
      </c>
      <c r="C119" s="224">
        <v>0</v>
      </c>
      <c r="D119" s="224">
        <v>0</v>
      </c>
      <c r="E119" s="224">
        <v>0</v>
      </c>
      <c r="F119" s="224">
        <v>0.5</v>
      </c>
      <c r="G119" s="224">
        <v>0</v>
      </c>
      <c r="H119" s="224">
        <v>0</v>
      </c>
      <c r="I119" s="224">
        <v>0</v>
      </c>
      <c r="J119" s="224">
        <v>0</v>
      </c>
      <c r="K119" s="225">
        <v>0</v>
      </c>
      <c r="M119" s="224">
        <v>0</v>
      </c>
      <c r="N119" s="224">
        <v>0</v>
      </c>
    </row>
    <row r="120" spans="1:14" ht="15.9" customHeight="1">
      <c r="A120" s="160" t="s">
        <v>1417</v>
      </c>
      <c r="B120" s="226">
        <v>0</v>
      </c>
      <c r="C120" s="227">
        <v>0</v>
      </c>
      <c r="D120" s="227">
        <v>0</v>
      </c>
      <c r="E120" s="227">
        <v>0</v>
      </c>
      <c r="F120" s="227">
        <v>0</v>
      </c>
      <c r="G120" s="227">
        <v>0</v>
      </c>
      <c r="H120" s="227">
        <v>0</v>
      </c>
      <c r="I120" s="227">
        <v>0.5</v>
      </c>
      <c r="J120" s="227">
        <v>0</v>
      </c>
      <c r="K120" s="228">
        <v>0</v>
      </c>
      <c r="M120" s="227">
        <v>0</v>
      </c>
      <c r="N120" s="227">
        <v>0</v>
      </c>
    </row>
    <row r="121" spans="1:14" ht="15.9" customHeight="1">
      <c r="A121" s="160" t="s">
        <v>1418</v>
      </c>
      <c r="B121" s="229">
        <v>0</v>
      </c>
      <c r="C121" s="230">
        <v>0</v>
      </c>
      <c r="D121" s="230">
        <v>0</v>
      </c>
      <c r="E121" s="230">
        <v>0.5</v>
      </c>
      <c r="F121" s="230">
        <v>0</v>
      </c>
      <c r="G121" s="230">
        <v>0</v>
      </c>
      <c r="H121" s="230">
        <v>0</v>
      </c>
      <c r="I121" s="230">
        <v>0</v>
      </c>
      <c r="J121" s="230">
        <v>0</v>
      </c>
      <c r="K121" s="259">
        <v>0</v>
      </c>
      <c r="M121" s="230">
        <v>0</v>
      </c>
      <c r="N121" s="230">
        <v>0</v>
      </c>
    </row>
    <row r="122" spans="1:14" ht="15.9" customHeight="1">
      <c r="A122" s="160" t="s">
        <v>1419</v>
      </c>
      <c r="B122" s="232">
        <v>0</v>
      </c>
      <c r="C122" s="233">
        <v>0</v>
      </c>
      <c r="D122" s="233">
        <v>0</v>
      </c>
      <c r="E122" s="233">
        <v>0</v>
      </c>
      <c r="F122" s="233">
        <v>0</v>
      </c>
      <c r="G122" s="233">
        <v>0.5</v>
      </c>
      <c r="H122" s="233">
        <v>0</v>
      </c>
      <c r="I122" s="233">
        <v>0</v>
      </c>
      <c r="J122" s="233">
        <v>0</v>
      </c>
      <c r="K122" s="260">
        <v>0</v>
      </c>
      <c r="M122" s="233">
        <v>0</v>
      </c>
      <c r="N122" s="233">
        <v>0</v>
      </c>
    </row>
    <row r="123" spans="1:14" ht="15.9" customHeight="1">
      <c r="A123" s="160" t="s">
        <v>1420</v>
      </c>
      <c r="B123" s="235">
        <v>0</v>
      </c>
      <c r="C123" s="236">
        <v>0.5</v>
      </c>
      <c r="D123" s="236">
        <v>0</v>
      </c>
      <c r="E123" s="236">
        <v>0</v>
      </c>
      <c r="F123" s="236">
        <v>0</v>
      </c>
      <c r="G123" s="236">
        <v>0</v>
      </c>
      <c r="H123" s="236">
        <v>0</v>
      </c>
      <c r="I123" s="236">
        <v>0</v>
      </c>
      <c r="J123" s="236">
        <v>0</v>
      </c>
      <c r="K123" s="261">
        <v>0</v>
      </c>
      <c r="M123" s="236">
        <v>0</v>
      </c>
      <c r="N123" s="236">
        <v>0</v>
      </c>
    </row>
    <row r="124" spans="1:14" ht="15.9" customHeight="1">
      <c r="A124" s="160" t="s">
        <v>570</v>
      </c>
      <c r="B124" s="203">
        <v>1</v>
      </c>
      <c r="C124" s="204">
        <v>1</v>
      </c>
      <c r="D124" s="204">
        <v>1</v>
      </c>
      <c r="E124" s="204">
        <v>1</v>
      </c>
      <c r="F124" s="204">
        <v>1</v>
      </c>
      <c r="G124" s="204">
        <v>1</v>
      </c>
      <c r="H124" s="204">
        <v>1</v>
      </c>
      <c r="I124" s="204">
        <v>1</v>
      </c>
      <c r="J124" s="204">
        <v>1</v>
      </c>
      <c r="K124" s="205">
        <v>1</v>
      </c>
      <c r="M124" s="204">
        <v>1</v>
      </c>
      <c r="N124" s="204">
        <v>1</v>
      </c>
    </row>
    <row r="125" spans="1:14" ht="15.9" customHeight="1">
      <c r="A125" s="160" t="s">
        <v>572</v>
      </c>
      <c r="B125" s="203">
        <v>1</v>
      </c>
      <c r="C125" s="204">
        <v>1</v>
      </c>
      <c r="D125" s="204">
        <v>1</v>
      </c>
      <c r="E125" s="204">
        <v>1</v>
      </c>
      <c r="F125" s="204">
        <v>1</v>
      </c>
      <c r="G125" s="204">
        <v>1</v>
      </c>
      <c r="H125" s="204">
        <v>1</v>
      </c>
      <c r="I125" s="204">
        <v>1</v>
      </c>
      <c r="J125" s="204">
        <v>1</v>
      </c>
      <c r="K125" s="205">
        <v>1</v>
      </c>
      <c r="M125" s="204">
        <v>1</v>
      </c>
      <c r="N125" s="204">
        <v>1</v>
      </c>
    </row>
    <row r="126" spans="1:14" ht="15.9" customHeight="1">
      <c r="A126" s="160" t="s">
        <v>573</v>
      </c>
      <c r="B126" s="239">
        <v>1</v>
      </c>
      <c r="C126" s="240">
        <v>1</v>
      </c>
      <c r="D126" s="240">
        <v>1</v>
      </c>
      <c r="E126" s="240">
        <v>1</v>
      </c>
      <c r="F126" s="240">
        <v>1</v>
      </c>
      <c r="G126" s="240">
        <v>1</v>
      </c>
      <c r="H126" s="240">
        <v>1</v>
      </c>
      <c r="I126" s="240">
        <v>1</v>
      </c>
      <c r="J126" s="240">
        <v>1</v>
      </c>
      <c r="K126" s="262">
        <v>1</v>
      </c>
      <c r="M126" s="240">
        <v>1</v>
      </c>
      <c r="N126" s="240">
        <v>1</v>
      </c>
    </row>
    <row r="127" spans="1:14" ht="15.9" customHeight="1">
      <c r="A127" s="160" t="s">
        <v>14</v>
      </c>
      <c r="B127" s="203" t="s">
        <v>726</v>
      </c>
      <c r="C127" s="204" t="s">
        <v>726</v>
      </c>
      <c r="D127" s="204" t="s">
        <v>726</v>
      </c>
      <c r="E127" s="204" t="s">
        <v>726</v>
      </c>
      <c r="F127" s="204" t="s">
        <v>726</v>
      </c>
      <c r="G127" s="204" t="s">
        <v>726</v>
      </c>
      <c r="H127" s="204" t="s">
        <v>726</v>
      </c>
      <c r="I127" s="204" t="s">
        <v>726</v>
      </c>
      <c r="J127" s="204" t="s">
        <v>726</v>
      </c>
      <c r="K127" s="205" t="s">
        <v>726</v>
      </c>
      <c r="M127" s="204" t="s">
        <v>726</v>
      </c>
      <c r="N127" s="204" t="s">
        <v>726</v>
      </c>
    </row>
    <row r="128" spans="1:14" ht="15.9" customHeight="1">
      <c r="A128" s="242" t="s">
        <v>584</v>
      </c>
      <c r="B128" s="243" t="s">
        <v>1423</v>
      </c>
      <c r="C128" s="243" t="s">
        <v>1422</v>
      </c>
      <c r="D128" s="243" t="s">
        <v>1422</v>
      </c>
      <c r="E128" s="243" t="s">
        <v>1422</v>
      </c>
      <c r="F128" s="243" t="s">
        <v>1422</v>
      </c>
      <c r="G128" s="243" t="s">
        <v>1422</v>
      </c>
      <c r="H128" s="243" t="s">
        <v>1422</v>
      </c>
      <c r="I128" s="243" t="s">
        <v>1422</v>
      </c>
      <c r="J128" s="243" t="s">
        <v>1422</v>
      </c>
      <c r="K128" s="243" t="s">
        <v>1422</v>
      </c>
      <c r="M128" s="244" t="s">
        <v>1423</v>
      </c>
      <c r="N128" s="244" t="s">
        <v>1423</v>
      </c>
    </row>
    <row r="129" spans="1:14" ht="15.9" customHeight="1">
      <c r="A129" s="160" t="s">
        <v>1424</v>
      </c>
      <c r="B129" s="213">
        <v>0</v>
      </c>
      <c r="C129" s="214">
        <v>0</v>
      </c>
      <c r="D129" s="214">
        <v>0</v>
      </c>
      <c r="E129" s="214">
        <v>0</v>
      </c>
      <c r="F129" s="214">
        <v>0</v>
      </c>
      <c r="G129" s="214">
        <v>0</v>
      </c>
      <c r="H129" s="214">
        <v>0</v>
      </c>
      <c r="I129" s="214">
        <v>0</v>
      </c>
      <c r="J129" s="214">
        <v>0</v>
      </c>
      <c r="K129" s="215">
        <v>0</v>
      </c>
      <c r="M129" s="214">
        <v>0</v>
      </c>
      <c r="N129" s="214">
        <v>0</v>
      </c>
    </row>
    <row r="130" spans="1:14" ht="15.9" customHeight="1">
      <c r="A130" s="160" t="s">
        <v>36</v>
      </c>
      <c r="B130" s="246" t="s">
        <v>1513</v>
      </c>
      <c r="C130" s="246" t="s">
        <v>1513</v>
      </c>
      <c r="D130" s="246" t="s">
        <v>1513</v>
      </c>
      <c r="E130" s="246" t="s">
        <v>1513</v>
      </c>
      <c r="F130" s="246" t="s">
        <v>1513</v>
      </c>
      <c r="G130" s="246" t="s">
        <v>1513</v>
      </c>
      <c r="H130" s="246" t="s">
        <v>1513</v>
      </c>
      <c r="I130" s="246" t="s">
        <v>1513</v>
      </c>
      <c r="J130" s="246" t="s">
        <v>1513</v>
      </c>
      <c r="K130" s="246" t="s">
        <v>1513</v>
      </c>
      <c r="M130" s="247" t="s">
        <v>1514</v>
      </c>
      <c r="N130" s="247" t="s">
        <v>1514</v>
      </c>
    </row>
    <row r="131" spans="1:14" ht="15.9" customHeight="1">
      <c r="A131" s="160" t="s">
        <v>1428</v>
      </c>
      <c r="B131" s="249">
        <v>100</v>
      </c>
      <c r="C131" s="249">
        <v>100</v>
      </c>
      <c r="D131" s="249">
        <v>100</v>
      </c>
      <c r="E131" s="249">
        <v>100</v>
      </c>
      <c r="F131" s="249">
        <v>100</v>
      </c>
      <c r="G131" s="249">
        <v>100</v>
      </c>
      <c r="H131" s="249">
        <v>100</v>
      </c>
      <c r="I131" s="249">
        <v>100</v>
      </c>
      <c r="J131" s="249">
        <v>100</v>
      </c>
      <c r="K131" s="249">
        <v>100</v>
      </c>
      <c r="M131" s="250">
        <v>100</v>
      </c>
      <c r="N131" s="250">
        <v>100</v>
      </c>
    </row>
    <row r="132" spans="1:14" ht="15.9" customHeight="1">
      <c r="A132" s="160" t="s">
        <v>1429</v>
      </c>
      <c r="B132" s="249" t="s">
        <v>1515</v>
      </c>
      <c r="C132" s="250" t="s">
        <v>1516</v>
      </c>
      <c r="D132" s="250" t="s">
        <v>1517</v>
      </c>
      <c r="E132" s="250" t="s">
        <v>1518</v>
      </c>
      <c r="F132" s="250" t="s">
        <v>1519</v>
      </c>
      <c r="G132" s="250" t="s">
        <v>1520</v>
      </c>
      <c r="H132" s="250" t="s">
        <v>1521</v>
      </c>
      <c r="I132" s="250" t="s">
        <v>1522</v>
      </c>
      <c r="J132" s="250" t="s">
        <v>1523</v>
      </c>
      <c r="K132" s="263" t="s">
        <v>1524</v>
      </c>
      <c r="M132" s="250" t="s">
        <v>1525</v>
      </c>
      <c r="N132" s="250" t="s">
        <v>1525</v>
      </c>
    </row>
    <row r="133" spans="1:14" ht="15.9" customHeight="1">
      <c r="A133" s="160" t="s">
        <v>1440</v>
      </c>
      <c r="B133" s="203" t="s">
        <v>726</v>
      </c>
      <c r="C133" s="204" t="s">
        <v>726</v>
      </c>
      <c r="D133" s="204" t="s">
        <v>726</v>
      </c>
      <c r="E133" s="204" t="s">
        <v>726</v>
      </c>
      <c r="F133" s="204" t="s">
        <v>726</v>
      </c>
      <c r="G133" s="204" t="s">
        <v>726</v>
      </c>
      <c r="H133" s="204" t="s">
        <v>726</v>
      </c>
      <c r="I133" s="204" t="s">
        <v>726</v>
      </c>
      <c r="J133" s="204" t="s">
        <v>726</v>
      </c>
      <c r="K133" s="205" t="s">
        <v>726</v>
      </c>
      <c r="M133" s="204" t="s">
        <v>1526</v>
      </c>
      <c r="N133" s="204" t="s">
        <v>1526</v>
      </c>
    </row>
    <row r="134" spans="1:14" ht="14.6" customHeight="1">
      <c r="B134" s="265"/>
      <c r="K134" s="264"/>
    </row>
    <row r="135" spans="1:14" ht="15.9" customHeight="1">
      <c r="A135" s="160" t="s">
        <v>1397</v>
      </c>
      <c r="B135" s="271" t="s">
        <v>1527</v>
      </c>
      <c r="C135" s="272" t="s">
        <v>1528</v>
      </c>
      <c r="D135" s="272" t="s">
        <v>1529</v>
      </c>
      <c r="E135" s="272" t="s">
        <v>1530</v>
      </c>
      <c r="F135" s="272" t="s">
        <v>1531</v>
      </c>
      <c r="G135" s="272" t="s">
        <v>1532</v>
      </c>
      <c r="H135" s="272" t="s">
        <v>1533</v>
      </c>
      <c r="I135" s="272" t="s">
        <v>1534</v>
      </c>
      <c r="J135" s="272" t="s">
        <v>1535</v>
      </c>
      <c r="K135" s="273" t="s">
        <v>1536</v>
      </c>
      <c r="M135" s="272" t="s">
        <v>1537</v>
      </c>
      <c r="N135" s="272" t="s">
        <v>1537</v>
      </c>
    </row>
    <row r="136" spans="1:14" ht="15.9" customHeight="1">
      <c r="A136" s="160" t="s">
        <v>1407</v>
      </c>
      <c r="B136" s="188" t="s">
        <v>1363</v>
      </c>
      <c r="C136" s="167" t="s">
        <v>1367</v>
      </c>
      <c r="D136" s="169" t="s">
        <v>1369</v>
      </c>
      <c r="E136" s="171" t="s">
        <v>1371</v>
      </c>
      <c r="F136" s="189" t="s">
        <v>1374</v>
      </c>
      <c r="G136" s="175" t="s">
        <v>1377</v>
      </c>
      <c r="H136" s="176" t="s">
        <v>1379</v>
      </c>
      <c r="I136" s="177" t="s">
        <v>1381</v>
      </c>
      <c r="J136" s="178" t="s">
        <v>1383</v>
      </c>
      <c r="K136" s="190" t="s">
        <v>1385</v>
      </c>
      <c r="M136" s="165" t="s">
        <v>1365</v>
      </c>
      <c r="N136" s="181" t="s">
        <v>1387</v>
      </c>
    </row>
    <row r="137" spans="1:14" ht="15.9" customHeight="1">
      <c r="A137" s="160" t="s">
        <v>1408</v>
      </c>
      <c r="B137" s="191" t="s">
        <v>1373</v>
      </c>
      <c r="C137" s="192" t="s">
        <v>1373</v>
      </c>
      <c r="D137" s="192" t="s">
        <v>1373</v>
      </c>
      <c r="E137" s="192" t="s">
        <v>1373</v>
      </c>
      <c r="F137" s="192" t="s">
        <v>1373</v>
      </c>
      <c r="G137" s="192" t="s">
        <v>1373</v>
      </c>
      <c r="H137" s="192" t="s">
        <v>1373</v>
      </c>
      <c r="I137" s="192" t="s">
        <v>1373</v>
      </c>
      <c r="J137" s="192" t="s">
        <v>1373</v>
      </c>
      <c r="K137" s="193" t="s">
        <v>1373</v>
      </c>
      <c r="M137" s="192" t="s">
        <v>1373</v>
      </c>
      <c r="N137" s="192" t="s">
        <v>1373</v>
      </c>
    </row>
    <row r="138" spans="1:14" ht="15.9" customHeight="1">
      <c r="A138" s="194" t="s">
        <v>542</v>
      </c>
      <c r="B138" s="195" t="s">
        <v>1512</v>
      </c>
      <c r="C138" s="196" t="s">
        <v>1512</v>
      </c>
      <c r="D138" s="196" t="s">
        <v>1512</v>
      </c>
      <c r="E138" s="196" t="s">
        <v>1512</v>
      </c>
      <c r="F138" s="196" t="s">
        <v>1512</v>
      </c>
      <c r="G138" s="196" t="s">
        <v>1512</v>
      </c>
      <c r="H138" s="196" t="s">
        <v>1512</v>
      </c>
      <c r="I138" s="196" t="s">
        <v>1512</v>
      </c>
      <c r="J138" s="196" t="s">
        <v>1512</v>
      </c>
      <c r="K138" s="197" t="s">
        <v>1512</v>
      </c>
      <c r="M138" s="196" t="s">
        <v>1512</v>
      </c>
      <c r="N138" s="196" t="s">
        <v>1512</v>
      </c>
    </row>
    <row r="139" spans="1:14" ht="15.9" customHeight="1">
      <c r="A139" s="198" t="s">
        <v>1410</v>
      </c>
      <c r="B139" s="199" t="s">
        <v>1538</v>
      </c>
      <c r="C139" s="200" t="s">
        <v>1538</v>
      </c>
      <c r="D139" s="200" t="s">
        <v>1538</v>
      </c>
      <c r="E139" s="200" t="s">
        <v>1538</v>
      </c>
      <c r="F139" s="200" t="s">
        <v>1538</v>
      </c>
      <c r="G139" s="200" t="s">
        <v>1538</v>
      </c>
      <c r="H139" s="200" t="s">
        <v>1538</v>
      </c>
      <c r="I139" s="200" t="s">
        <v>1538</v>
      </c>
      <c r="J139" s="200" t="s">
        <v>1538</v>
      </c>
      <c r="K139" s="201" t="s">
        <v>1538</v>
      </c>
      <c r="M139" s="200" t="s">
        <v>1538</v>
      </c>
      <c r="N139" s="200" t="s">
        <v>1538</v>
      </c>
    </row>
    <row r="140" spans="1:14" ht="15.9" customHeight="1">
      <c r="A140" s="202" t="s">
        <v>546</v>
      </c>
      <c r="B140" s="203">
        <v>3</v>
      </c>
      <c r="C140" s="204">
        <v>2</v>
      </c>
      <c r="D140" s="204">
        <v>2</v>
      </c>
      <c r="E140" s="204">
        <v>2</v>
      </c>
      <c r="F140" s="204">
        <v>2</v>
      </c>
      <c r="G140" s="204">
        <v>2</v>
      </c>
      <c r="H140" s="204">
        <v>2</v>
      </c>
      <c r="I140" s="204">
        <v>2</v>
      </c>
      <c r="J140" s="204">
        <v>2</v>
      </c>
      <c r="K140" s="205">
        <v>2</v>
      </c>
      <c r="M140" s="204">
        <v>2</v>
      </c>
      <c r="N140" s="204">
        <v>2</v>
      </c>
    </row>
    <row r="141" spans="1:14" ht="15.9" customHeight="1">
      <c r="A141" s="206" t="s">
        <v>548</v>
      </c>
      <c r="B141" s="207">
        <v>3</v>
      </c>
      <c r="C141" s="208">
        <v>2</v>
      </c>
      <c r="D141" s="208">
        <v>2</v>
      </c>
      <c r="E141" s="208">
        <v>2</v>
      </c>
      <c r="F141" s="208">
        <v>2</v>
      </c>
      <c r="G141" s="208">
        <v>2</v>
      </c>
      <c r="H141" s="208">
        <v>2</v>
      </c>
      <c r="I141" s="208">
        <v>2</v>
      </c>
      <c r="J141" s="208">
        <v>2</v>
      </c>
      <c r="K141" s="209">
        <v>2</v>
      </c>
      <c r="M141" s="208">
        <v>2</v>
      </c>
      <c r="N141" s="208">
        <v>2</v>
      </c>
    </row>
    <row r="142" spans="1:14" ht="15.9" customHeight="1">
      <c r="A142" s="160" t="s">
        <v>1412</v>
      </c>
      <c r="B142" s="210">
        <v>0</v>
      </c>
      <c r="C142" s="211">
        <v>0</v>
      </c>
      <c r="D142" s="211">
        <v>0</v>
      </c>
      <c r="E142" s="211">
        <v>0</v>
      </c>
      <c r="F142" s="211">
        <v>0</v>
      </c>
      <c r="G142" s="211">
        <v>0</v>
      </c>
      <c r="H142" s="211">
        <v>0</v>
      </c>
      <c r="I142" s="211">
        <v>0</v>
      </c>
      <c r="J142" s="211">
        <v>0</v>
      </c>
      <c r="K142" s="212">
        <v>0.5</v>
      </c>
      <c r="M142" s="211">
        <v>0</v>
      </c>
      <c r="N142" s="211">
        <v>0</v>
      </c>
    </row>
    <row r="143" spans="1:14" ht="15.9" customHeight="1">
      <c r="A143" s="160" t="s">
        <v>1413</v>
      </c>
      <c r="B143" s="213">
        <v>0</v>
      </c>
      <c r="C143" s="214">
        <v>0</v>
      </c>
      <c r="D143" s="214">
        <v>0</v>
      </c>
      <c r="E143" s="214">
        <v>0</v>
      </c>
      <c r="F143" s="214">
        <v>0</v>
      </c>
      <c r="G143" s="214">
        <v>0</v>
      </c>
      <c r="H143" s="214">
        <v>0</v>
      </c>
      <c r="I143" s="214">
        <v>0</v>
      </c>
      <c r="J143" s="214">
        <v>0.5</v>
      </c>
      <c r="K143" s="215">
        <v>0</v>
      </c>
      <c r="M143" s="214">
        <v>0.5</v>
      </c>
      <c r="N143" s="214">
        <v>0.5</v>
      </c>
    </row>
    <row r="144" spans="1:14" ht="15.9" customHeight="1">
      <c r="A144" s="160" t="s">
        <v>1414</v>
      </c>
      <c r="B144" s="216">
        <v>0</v>
      </c>
      <c r="C144" s="217">
        <v>0</v>
      </c>
      <c r="D144" s="217">
        <v>0</v>
      </c>
      <c r="E144" s="217">
        <v>0</v>
      </c>
      <c r="F144" s="217">
        <v>0</v>
      </c>
      <c r="G144" s="217">
        <v>0</v>
      </c>
      <c r="H144" s="217">
        <v>0.5</v>
      </c>
      <c r="I144" s="217">
        <v>0</v>
      </c>
      <c r="J144" s="217">
        <v>0</v>
      </c>
      <c r="K144" s="218">
        <v>0</v>
      </c>
      <c r="M144" s="217">
        <v>0</v>
      </c>
      <c r="N144" s="217">
        <v>0</v>
      </c>
    </row>
    <row r="145" spans="1:14" ht="15.9" customHeight="1">
      <c r="A145" s="160" t="s">
        <v>1415</v>
      </c>
      <c r="B145" s="219">
        <v>0</v>
      </c>
      <c r="C145" s="220">
        <v>0</v>
      </c>
      <c r="D145" s="220">
        <v>0.5</v>
      </c>
      <c r="E145" s="220">
        <v>0</v>
      </c>
      <c r="F145" s="220">
        <v>0</v>
      </c>
      <c r="G145" s="220">
        <v>0</v>
      </c>
      <c r="H145" s="220">
        <v>0</v>
      </c>
      <c r="I145" s="220">
        <v>0</v>
      </c>
      <c r="J145" s="220">
        <v>0</v>
      </c>
      <c r="K145" s="221">
        <v>0</v>
      </c>
      <c r="M145" s="220">
        <v>0</v>
      </c>
      <c r="N145" s="220">
        <v>0</v>
      </c>
    </row>
    <row r="146" spans="1:14" ht="15.9" customHeight="1">
      <c r="A146" s="222" t="s">
        <v>1416</v>
      </c>
      <c r="B146" s="223">
        <v>0</v>
      </c>
      <c r="C146" s="224">
        <v>0</v>
      </c>
      <c r="D146" s="224">
        <v>0</v>
      </c>
      <c r="E146" s="224">
        <v>0</v>
      </c>
      <c r="F146" s="224">
        <v>0.5</v>
      </c>
      <c r="G146" s="224">
        <v>0</v>
      </c>
      <c r="H146" s="224">
        <v>0</v>
      </c>
      <c r="I146" s="224">
        <v>0</v>
      </c>
      <c r="J146" s="224">
        <v>0</v>
      </c>
      <c r="K146" s="225">
        <v>0</v>
      </c>
      <c r="M146" s="224">
        <v>0</v>
      </c>
      <c r="N146" s="224">
        <v>0</v>
      </c>
    </row>
    <row r="147" spans="1:14" ht="15.9" customHeight="1">
      <c r="A147" s="160" t="s">
        <v>1417</v>
      </c>
      <c r="B147" s="226">
        <v>0</v>
      </c>
      <c r="C147" s="227">
        <v>0</v>
      </c>
      <c r="D147" s="227">
        <v>0</v>
      </c>
      <c r="E147" s="227">
        <v>0</v>
      </c>
      <c r="F147" s="227">
        <v>0</v>
      </c>
      <c r="G147" s="227">
        <v>0</v>
      </c>
      <c r="H147" s="227">
        <v>0</v>
      </c>
      <c r="I147" s="227">
        <v>0.5</v>
      </c>
      <c r="J147" s="227">
        <v>0</v>
      </c>
      <c r="K147" s="228">
        <v>0</v>
      </c>
      <c r="M147" s="227">
        <v>0</v>
      </c>
      <c r="N147" s="227">
        <v>0</v>
      </c>
    </row>
    <row r="148" spans="1:14" ht="15.9" customHeight="1">
      <c r="A148" s="160" t="s">
        <v>1418</v>
      </c>
      <c r="B148" s="229">
        <v>0</v>
      </c>
      <c r="C148" s="230">
        <v>0</v>
      </c>
      <c r="D148" s="230">
        <v>0</v>
      </c>
      <c r="E148" s="230">
        <v>0.5</v>
      </c>
      <c r="F148" s="230">
        <v>0</v>
      </c>
      <c r="G148" s="230">
        <v>0</v>
      </c>
      <c r="H148" s="230">
        <v>0</v>
      </c>
      <c r="I148" s="230">
        <v>0</v>
      </c>
      <c r="J148" s="230">
        <v>0</v>
      </c>
      <c r="K148" s="259">
        <v>0</v>
      </c>
      <c r="M148" s="230">
        <v>0</v>
      </c>
      <c r="N148" s="230">
        <v>0</v>
      </c>
    </row>
    <row r="149" spans="1:14" ht="15.9" customHeight="1">
      <c r="A149" s="160" t="s">
        <v>1419</v>
      </c>
      <c r="B149" s="232">
        <v>0</v>
      </c>
      <c r="C149" s="233">
        <v>0</v>
      </c>
      <c r="D149" s="233">
        <v>0</v>
      </c>
      <c r="E149" s="233">
        <v>0</v>
      </c>
      <c r="F149" s="233">
        <v>0</v>
      </c>
      <c r="G149" s="233">
        <v>0.5</v>
      </c>
      <c r="H149" s="233">
        <v>0</v>
      </c>
      <c r="I149" s="233">
        <v>0</v>
      </c>
      <c r="J149" s="233">
        <v>0</v>
      </c>
      <c r="K149" s="260">
        <v>0</v>
      </c>
      <c r="M149" s="233">
        <v>0</v>
      </c>
      <c r="N149" s="233">
        <v>0</v>
      </c>
    </row>
    <row r="150" spans="1:14" ht="15.9" customHeight="1">
      <c r="A150" s="160" t="s">
        <v>1420</v>
      </c>
      <c r="B150" s="235">
        <v>0</v>
      </c>
      <c r="C150" s="236">
        <v>0.5</v>
      </c>
      <c r="D150" s="236">
        <v>0</v>
      </c>
      <c r="E150" s="236">
        <v>0</v>
      </c>
      <c r="F150" s="236">
        <v>0</v>
      </c>
      <c r="G150" s="236">
        <v>0</v>
      </c>
      <c r="H150" s="236">
        <v>0</v>
      </c>
      <c r="I150" s="236">
        <v>0</v>
      </c>
      <c r="J150" s="236">
        <v>0</v>
      </c>
      <c r="K150" s="261">
        <v>0</v>
      </c>
      <c r="M150" s="236">
        <v>0</v>
      </c>
      <c r="N150" s="236">
        <v>0</v>
      </c>
    </row>
    <row r="151" spans="1:14" ht="15.9" customHeight="1">
      <c r="A151" s="160" t="s">
        <v>570</v>
      </c>
      <c r="B151" s="203">
        <v>1</v>
      </c>
      <c r="C151" s="204">
        <v>1</v>
      </c>
      <c r="D151" s="204">
        <v>1</v>
      </c>
      <c r="E151" s="204">
        <v>1</v>
      </c>
      <c r="F151" s="204">
        <v>1</v>
      </c>
      <c r="G151" s="204">
        <v>1</v>
      </c>
      <c r="H151" s="204">
        <v>1</v>
      </c>
      <c r="I151" s="204">
        <v>1</v>
      </c>
      <c r="J151" s="204">
        <v>1</v>
      </c>
      <c r="K151" s="205">
        <v>1</v>
      </c>
      <c r="M151" s="204">
        <v>1</v>
      </c>
      <c r="N151" s="204">
        <v>1</v>
      </c>
    </row>
    <row r="152" spans="1:14" ht="15.9" customHeight="1">
      <c r="A152" s="160" t="s">
        <v>572</v>
      </c>
      <c r="B152" s="203">
        <v>1</v>
      </c>
      <c r="C152" s="204">
        <v>1</v>
      </c>
      <c r="D152" s="204">
        <v>1</v>
      </c>
      <c r="E152" s="204">
        <v>1</v>
      </c>
      <c r="F152" s="204">
        <v>1</v>
      </c>
      <c r="G152" s="204">
        <v>1</v>
      </c>
      <c r="H152" s="204">
        <v>1</v>
      </c>
      <c r="I152" s="204">
        <v>1</v>
      </c>
      <c r="J152" s="204">
        <v>1</v>
      </c>
      <c r="K152" s="205">
        <v>1</v>
      </c>
      <c r="M152" s="204">
        <v>1</v>
      </c>
      <c r="N152" s="204">
        <v>1</v>
      </c>
    </row>
    <row r="153" spans="1:14" ht="15.9" customHeight="1">
      <c r="A153" s="160" t="s">
        <v>573</v>
      </c>
      <c r="B153" s="239">
        <v>1</v>
      </c>
      <c r="C153" s="240">
        <v>1</v>
      </c>
      <c r="D153" s="240">
        <v>1</v>
      </c>
      <c r="E153" s="240">
        <v>1</v>
      </c>
      <c r="F153" s="240">
        <v>1</v>
      </c>
      <c r="G153" s="240">
        <v>1</v>
      </c>
      <c r="H153" s="240">
        <v>1</v>
      </c>
      <c r="I153" s="240">
        <v>1</v>
      </c>
      <c r="J153" s="240">
        <v>1</v>
      </c>
      <c r="K153" s="262">
        <v>1</v>
      </c>
      <c r="M153" s="240">
        <v>1</v>
      </c>
      <c r="N153" s="240">
        <v>1</v>
      </c>
    </row>
    <row r="154" spans="1:14" ht="15.9" customHeight="1">
      <c r="A154" s="160" t="s">
        <v>14</v>
      </c>
      <c r="B154" s="203" t="s">
        <v>1539</v>
      </c>
      <c r="C154" s="204" t="s">
        <v>1539</v>
      </c>
      <c r="D154" s="204" t="s">
        <v>1539</v>
      </c>
      <c r="E154" s="204" t="s">
        <v>1539</v>
      </c>
      <c r="F154" s="204" t="s">
        <v>1539</v>
      </c>
      <c r="G154" s="204" t="s">
        <v>1539</v>
      </c>
      <c r="H154" s="204" t="s">
        <v>1539</v>
      </c>
      <c r="I154" s="204" t="s">
        <v>1539</v>
      </c>
      <c r="J154" s="204" t="s">
        <v>1539</v>
      </c>
      <c r="K154" s="205" t="s">
        <v>1539</v>
      </c>
      <c r="M154" s="204" t="s">
        <v>1539</v>
      </c>
      <c r="N154" s="204" t="s">
        <v>1539</v>
      </c>
    </row>
    <row r="155" spans="1:14" ht="15.9" customHeight="1">
      <c r="A155" s="242" t="s">
        <v>584</v>
      </c>
      <c r="B155" s="243" t="s">
        <v>1540</v>
      </c>
      <c r="C155" s="243" t="s">
        <v>1422</v>
      </c>
      <c r="D155" s="243" t="s">
        <v>1422</v>
      </c>
      <c r="E155" s="243" t="s">
        <v>1422</v>
      </c>
      <c r="F155" s="243" t="s">
        <v>1422</v>
      </c>
      <c r="G155" s="243" t="s">
        <v>1422</v>
      </c>
      <c r="H155" s="243" t="s">
        <v>1422</v>
      </c>
      <c r="I155" s="243" t="s">
        <v>1422</v>
      </c>
      <c r="J155" s="243" t="s">
        <v>1422</v>
      </c>
      <c r="K155" s="243" t="s">
        <v>1422</v>
      </c>
      <c r="M155" s="244" t="s">
        <v>1540</v>
      </c>
      <c r="N155" s="244" t="s">
        <v>1540</v>
      </c>
    </row>
    <row r="156" spans="1:14" ht="15.9" customHeight="1">
      <c r="A156" s="160" t="s">
        <v>1424</v>
      </c>
      <c r="B156" s="213">
        <v>0</v>
      </c>
      <c r="C156" s="214">
        <v>0</v>
      </c>
      <c r="D156" s="214">
        <v>0</v>
      </c>
      <c r="E156" s="214">
        <v>0</v>
      </c>
      <c r="F156" s="214">
        <v>0</v>
      </c>
      <c r="G156" s="214">
        <v>0</v>
      </c>
      <c r="H156" s="214">
        <v>0</v>
      </c>
      <c r="I156" s="214">
        <v>0</v>
      </c>
      <c r="J156" s="214">
        <v>0</v>
      </c>
      <c r="K156" s="215">
        <v>0</v>
      </c>
      <c r="M156" s="214">
        <v>0</v>
      </c>
      <c r="N156" s="214">
        <v>0</v>
      </c>
    </row>
    <row r="157" spans="1:14" ht="15.9" customHeight="1">
      <c r="A157" s="160" t="s">
        <v>36</v>
      </c>
      <c r="B157" s="246" t="s">
        <v>1541</v>
      </c>
      <c r="C157" s="246" t="s">
        <v>1541</v>
      </c>
      <c r="D157" s="246" t="s">
        <v>1541</v>
      </c>
      <c r="E157" s="246" t="s">
        <v>1541</v>
      </c>
      <c r="F157" s="246" t="s">
        <v>1541</v>
      </c>
      <c r="G157" s="246" t="s">
        <v>1541</v>
      </c>
      <c r="H157" s="246" t="s">
        <v>1541</v>
      </c>
      <c r="I157" s="246" t="s">
        <v>1541</v>
      </c>
      <c r="J157" s="246" t="s">
        <v>1541</v>
      </c>
      <c r="K157" s="246" t="s">
        <v>1541</v>
      </c>
      <c r="M157" s="247" t="s">
        <v>1542</v>
      </c>
      <c r="N157" s="247" t="s">
        <v>1542</v>
      </c>
    </row>
    <row r="158" spans="1:14" ht="15.9" customHeight="1">
      <c r="A158" s="160" t="s">
        <v>1428</v>
      </c>
      <c r="B158" s="249">
        <v>100</v>
      </c>
      <c r="C158" s="249">
        <v>100</v>
      </c>
      <c r="D158" s="249">
        <v>100</v>
      </c>
      <c r="E158" s="249">
        <v>100</v>
      </c>
      <c r="F158" s="249">
        <v>100</v>
      </c>
      <c r="G158" s="249">
        <v>100</v>
      </c>
      <c r="H158" s="249">
        <v>100</v>
      </c>
      <c r="I158" s="249">
        <v>100</v>
      </c>
      <c r="J158" s="249">
        <v>100</v>
      </c>
      <c r="K158" s="249">
        <v>100</v>
      </c>
      <c r="M158" s="250">
        <v>100</v>
      </c>
      <c r="N158" s="250">
        <v>100</v>
      </c>
    </row>
    <row r="159" spans="1:14" ht="15.9" customHeight="1">
      <c r="A159" s="160" t="s">
        <v>1429</v>
      </c>
      <c r="B159" s="249" t="s">
        <v>1543</v>
      </c>
      <c r="C159" s="249" t="s">
        <v>1543</v>
      </c>
      <c r="D159" s="249" t="s">
        <v>1543</v>
      </c>
      <c r="E159" s="249" t="s">
        <v>1543</v>
      </c>
      <c r="F159" s="249" t="s">
        <v>1543</v>
      </c>
      <c r="G159" s="249" t="s">
        <v>1543</v>
      </c>
      <c r="H159" s="249" t="s">
        <v>1543</v>
      </c>
      <c r="I159" s="249" t="s">
        <v>1543</v>
      </c>
      <c r="J159" s="249" t="s">
        <v>1543</v>
      </c>
      <c r="K159" s="249" t="s">
        <v>1543</v>
      </c>
      <c r="M159" s="250" t="s">
        <v>1544</v>
      </c>
      <c r="N159" s="250" t="s">
        <v>1544</v>
      </c>
    </row>
    <row r="160" spans="1:14" ht="15.9" customHeight="1">
      <c r="A160" s="160" t="s">
        <v>1440</v>
      </c>
      <c r="B160" s="203" t="s">
        <v>1545</v>
      </c>
      <c r="C160" s="203" t="s">
        <v>1545</v>
      </c>
      <c r="D160" s="203" t="s">
        <v>1545</v>
      </c>
      <c r="E160" s="203" t="s">
        <v>1545</v>
      </c>
      <c r="F160" s="203" t="s">
        <v>1545</v>
      </c>
      <c r="G160" s="203" t="s">
        <v>1545</v>
      </c>
      <c r="H160" s="203" t="s">
        <v>1545</v>
      </c>
      <c r="I160" s="203" t="s">
        <v>1545</v>
      </c>
      <c r="J160" s="203" t="s">
        <v>1545</v>
      </c>
      <c r="K160" s="203" t="s">
        <v>1545</v>
      </c>
      <c r="M160" s="204" t="s">
        <v>726</v>
      </c>
      <c r="N160" s="204" t="s">
        <v>726</v>
      </c>
    </row>
    <row r="161" spans="1:14" ht="14.6" customHeight="1">
      <c r="B161" s="265"/>
      <c r="K161" s="264"/>
    </row>
    <row r="162" spans="1:14" ht="15.9" customHeight="1">
      <c r="A162" s="160" t="s">
        <v>1397</v>
      </c>
      <c r="B162" s="274" t="s">
        <v>1546</v>
      </c>
      <c r="C162" s="275" t="s">
        <v>1547</v>
      </c>
      <c r="D162" s="275" t="s">
        <v>1548</v>
      </c>
      <c r="E162" s="275" t="s">
        <v>1549</v>
      </c>
      <c r="F162" s="275" t="s">
        <v>1550</v>
      </c>
      <c r="G162" s="275" t="s">
        <v>1551</v>
      </c>
      <c r="H162" s="275" t="s">
        <v>1552</v>
      </c>
      <c r="I162" s="275" t="s">
        <v>1553</v>
      </c>
      <c r="J162" s="275" t="s">
        <v>1554</v>
      </c>
      <c r="K162" s="276" t="s">
        <v>1555</v>
      </c>
      <c r="M162" s="275" t="s">
        <v>1556</v>
      </c>
      <c r="N162" s="275" t="s">
        <v>1556</v>
      </c>
    </row>
    <row r="163" spans="1:14" ht="15.9" customHeight="1">
      <c r="A163" s="160" t="s">
        <v>1407</v>
      </c>
      <c r="B163" s="188" t="s">
        <v>1363</v>
      </c>
      <c r="C163" s="167" t="s">
        <v>1367</v>
      </c>
      <c r="D163" s="169" t="s">
        <v>1369</v>
      </c>
      <c r="E163" s="171" t="s">
        <v>1371</v>
      </c>
      <c r="F163" s="189" t="s">
        <v>1374</v>
      </c>
      <c r="G163" s="175" t="s">
        <v>1377</v>
      </c>
      <c r="H163" s="176" t="s">
        <v>1379</v>
      </c>
      <c r="I163" s="177" t="s">
        <v>1381</v>
      </c>
      <c r="J163" s="178" t="s">
        <v>1383</v>
      </c>
      <c r="K163" s="190" t="s">
        <v>1385</v>
      </c>
      <c r="M163" s="165" t="s">
        <v>1365</v>
      </c>
      <c r="N163" s="181" t="s">
        <v>1387</v>
      </c>
    </row>
    <row r="164" spans="1:14" ht="15.9" customHeight="1">
      <c r="A164" s="160" t="s">
        <v>1408</v>
      </c>
      <c r="B164" s="191" t="s">
        <v>1364</v>
      </c>
      <c r="C164" s="192" t="s">
        <v>1364</v>
      </c>
      <c r="D164" s="192" t="s">
        <v>1364</v>
      </c>
      <c r="E164" s="192" t="s">
        <v>1364</v>
      </c>
      <c r="F164" s="192" t="s">
        <v>1364</v>
      </c>
      <c r="G164" s="192" t="s">
        <v>1364</v>
      </c>
      <c r="H164" s="192" t="s">
        <v>1364</v>
      </c>
      <c r="I164" s="192" t="s">
        <v>1364</v>
      </c>
      <c r="J164" s="192" t="s">
        <v>1364</v>
      </c>
      <c r="K164" s="193" t="s">
        <v>1364</v>
      </c>
      <c r="M164" s="192" t="s">
        <v>1364</v>
      </c>
      <c r="N164" s="192" t="s">
        <v>1364</v>
      </c>
    </row>
    <row r="165" spans="1:14" ht="15.9" customHeight="1">
      <c r="A165" s="194" t="s">
        <v>542</v>
      </c>
      <c r="B165" s="195" t="s">
        <v>1557</v>
      </c>
      <c r="C165" s="196" t="s">
        <v>1558</v>
      </c>
      <c r="D165" s="196" t="s">
        <v>1557</v>
      </c>
      <c r="E165" s="196" t="s">
        <v>1411</v>
      </c>
      <c r="F165" s="196" t="s">
        <v>1482</v>
      </c>
      <c r="G165" s="196" t="s">
        <v>1559</v>
      </c>
      <c r="H165" s="196" t="s">
        <v>1557</v>
      </c>
      <c r="I165" s="196" t="s">
        <v>1411</v>
      </c>
      <c r="J165" s="196" t="s">
        <v>1511</v>
      </c>
      <c r="K165" s="197" t="s">
        <v>1557</v>
      </c>
      <c r="M165" s="196" t="s">
        <v>1512</v>
      </c>
      <c r="N165" s="196" t="s">
        <v>1512</v>
      </c>
    </row>
    <row r="166" spans="1:14" ht="15.9" customHeight="1">
      <c r="A166" s="198" t="s">
        <v>1410</v>
      </c>
      <c r="B166" s="199" t="s">
        <v>1411</v>
      </c>
      <c r="C166" s="200" t="s">
        <v>1482</v>
      </c>
      <c r="D166" s="200" t="s">
        <v>1411</v>
      </c>
      <c r="E166" s="200" t="s">
        <v>1411</v>
      </c>
      <c r="F166" s="200" t="s">
        <v>1411</v>
      </c>
      <c r="G166" s="200" t="s">
        <v>1482</v>
      </c>
      <c r="H166" s="200" t="s">
        <v>1411</v>
      </c>
      <c r="I166" s="200" t="s">
        <v>1411</v>
      </c>
      <c r="J166" s="200" t="s">
        <v>1560</v>
      </c>
      <c r="K166" s="201" t="s">
        <v>1411</v>
      </c>
      <c r="M166" s="200" t="s">
        <v>1512</v>
      </c>
      <c r="N166" s="200" t="s">
        <v>1512</v>
      </c>
    </row>
    <row r="167" spans="1:14" ht="15.9" customHeight="1">
      <c r="A167" s="202" t="s">
        <v>546</v>
      </c>
      <c r="B167" s="203">
        <v>1</v>
      </c>
      <c r="C167" s="204">
        <v>1</v>
      </c>
      <c r="D167" s="204">
        <v>1</v>
      </c>
      <c r="E167" s="204">
        <v>1</v>
      </c>
      <c r="F167" s="204">
        <v>1</v>
      </c>
      <c r="G167" s="204">
        <v>1</v>
      </c>
      <c r="H167" s="204">
        <v>1</v>
      </c>
      <c r="I167" s="204">
        <v>2</v>
      </c>
      <c r="J167" s="204">
        <v>2</v>
      </c>
      <c r="K167" s="205">
        <v>1</v>
      </c>
      <c r="M167" s="204">
        <v>1</v>
      </c>
      <c r="N167" s="204">
        <v>1</v>
      </c>
    </row>
    <row r="168" spans="1:14" ht="15.9" customHeight="1">
      <c r="A168" s="206" t="s">
        <v>548</v>
      </c>
      <c r="B168" s="207">
        <v>2</v>
      </c>
      <c r="C168" s="208">
        <v>2</v>
      </c>
      <c r="D168" s="208">
        <v>2</v>
      </c>
      <c r="E168" s="208">
        <v>1</v>
      </c>
      <c r="F168" s="208">
        <v>2</v>
      </c>
      <c r="G168" s="208">
        <v>2</v>
      </c>
      <c r="H168" s="208">
        <v>2</v>
      </c>
      <c r="I168" s="208">
        <v>2</v>
      </c>
      <c r="J168" s="208">
        <v>2</v>
      </c>
      <c r="K168" s="209">
        <v>2</v>
      </c>
      <c r="M168" s="208">
        <v>1</v>
      </c>
      <c r="N168" s="208">
        <v>1</v>
      </c>
    </row>
    <row r="169" spans="1:14" ht="15.9" customHeight="1">
      <c r="A169" s="160" t="s">
        <v>1412</v>
      </c>
      <c r="B169" s="210">
        <v>0.1</v>
      </c>
      <c r="C169" s="211">
        <v>0</v>
      </c>
      <c r="D169" s="211">
        <v>0</v>
      </c>
      <c r="E169" s="211">
        <v>0</v>
      </c>
      <c r="F169" s="211">
        <v>0</v>
      </c>
      <c r="G169" s="211">
        <v>0</v>
      </c>
      <c r="H169" s="211">
        <v>0</v>
      </c>
      <c r="I169" s="211">
        <v>0.1</v>
      </c>
      <c r="J169" s="211">
        <v>0</v>
      </c>
      <c r="K169" s="212">
        <v>0.5</v>
      </c>
      <c r="M169" s="211">
        <v>0</v>
      </c>
      <c r="N169" s="211">
        <v>0</v>
      </c>
    </row>
    <row r="170" spans="1:14" ht="15.9" customHeight="1">
      <c r="A170" s="160" t="s">
        <v>1413</v>
      </c>
      <c r="B170" s="213">
        <v>0.1</v>
      </c>
      <c r="C170" s="214">
        <v>0</v>
      </c>
      <c r="D170" s="214">
        <v>0.2</v>
      </c>
      <c r="E170" s="214">
        <v>0</v>
      </c>
      <c r="F170" s="214">
        <v>0</v>
      </c>
      <c r="G170" s="214">
        <v>0</v>
      </c>
      <c r="H170" s="214">
        <v>0.2</v>
      </c>
      <c r="I170" s="214">
        <v>0.1</v>
      </c>
      <c r="J170" s="214">
        <v>0.5</v>
      </c>
      <c r="K170" s="215">
        <v>0</v>
      </c>
      <c r="M170" s="214">
        <v>0</v>
      </c>
      <c r="N170" s="214">
        <v>0</v>
      </c>
    </row>
    <row r="171" spans="1:14" ht="15.9" customHeight="1">
      <c r="A171" s="160" t="s">
        <v>1414</v>
      </c>
      <c r="B171" s="216">
        <v>0.1</v>
      </c>
      <c r="C171" s="217">
        <v>0.1</v>
      </c>
      <c r="D171" s="217">
        <v>0</v>
      </c>
      <c r="E171" s="217">
        <v>0.2</v>
      </c>
      <c r="F171" s="217">
        <v>0</v>
      </c>
      <c r="G171" s="217">
        <v>0</v>
      </c>
      <c r="H171" s="217">
        <v>0.5</v>
      </c>
      <c r="I171" s="217">
        <v>0.1</v>
      </c>
      <c r="J171" s="217">
        <v>0</v>
      </c>
      <c r="K171" s="218">
        <v>0.2</v>
      </c>
      <c r="M171" s="217">
        <v>0</v>
      </c>
      <c r="N171" s="217">
        <v>0</v>
      </c>
    </row>
    <row r="172" spans="1:14" ht="15.9" customHeight="1">
      <c r="A172" s="160" t="s">
        <v>1415</v>
      </c>
      <c r="B172" s="219">
        <v>0.1</v>
      </c>
      <c r="C172" s="220">
        <v>0</v>
      </c>
      <c r="D172" s="220">
        <v>0.5</v>
      </c>
      <c r="E172" s="220">
        <v>0</v>
      </c>
      <c r="F172" s="220">
        <v>0</v>
      </c>
      <c r="G172" s="220">
        <v>0</v>
      </c>
      <c r="H172" s="220">
        <v>0</v>
      </c>
      <c r="I172" s="220">
        <v>0.1</v>
      </c>
      <c r="J172" s="220">
        <v>0</v>
      </c>
      <c r="K172" s="221">
        <v>0</v>
      </c>
      <c r="M172" s="220">
        <v>0</v>
      </c>
      <c r="N172" s="220">
        <v>0</v>
      </c>
    </row>
    <row r="173" spans="1:14" ht="15.9" customHeight="1">
      <c r="A173" s="222" t="s">
        <v>1416</v>
      </c>
      <c r="B173" s="223">
        <v>0.1</v>
      </c>
      <c r="C173" s="224">
        <v>0</v>
      </c>
      <c r="D173" s="224">
        <v>0</v>
      </c>
      <c r="E173" s="224">
        <v>0</v>
      </c>
      <c r="F173" s="224">
        <v>0.5</v>
      </c>
      <c r="G173" s="224">
        <v>0</v>
      </c>
      <c r="H173" s="224">
        <v>0</v>
      </c>
      <c r="I173" s="224">
        <v>0.1</v>
      </c>
      <c r="J173" s="224">
        <v>0</v>
      </c>
      <c r="K173" s="225">
        <v>0</v>
      </c>
      <c r="M173" s="224">
        <v>0</v>
      </c>
      <c r="N173" s="224">
        <v>0</v>
      </c>
    </row>
    <row r="174" spans="1:14" ht="15.9" customHeight="1">
      <c r="A174" s="160" t="s">
        <v>1417</v>
      </c>
      <c r="B174" s="226">
        <v>0.1</v>
      </c>
      <c r="C174" s="227">
        <v>0</v>
      </c>
      <c r="D174" s="227">
        <v>0</v>
      </c>
      <c r="E174" s="227">
        <v>0</v>
      </c>
      <c r="F174" s="227">
        <v>0</v>
      </c>
      <c r="G174" s="227">
        <v>0</v>
      </c>
      <c r="H174" s="227">
        <v>0</v>
      </c>
      <c r="I174" s="227">
        <v>0.3</v>
      </c>
      <c r="J174" s="227">
        <v>0</v>
      </c>
      <c r="K174" s="228">
        <v>0</v>
      </c>
      <c r="M174" s="227">
        <v>0</v>
      </c>
      <c r="N174" s="227">
        <v>0</v>
      </c>
    </row>
    <row r="175" spans="1:14" ht="15.9" customHeight="1">
      <c r="A175" s="160" t="s">
        <v>1418</v>
      </c>
      <c r="B175" s="229">
        <v>0.1</v>
      </c>
      <c r="C175" s="230">
        <v>0</v>
      </c>
      <c r="D175" s="230">
        <v>0</v>
      </c>
      <c r="E175" s="230">
        <v>0.5</v>
      </c>
      <c r="F175" s="230">
        <v>0</v>
      </c>
      <c r="G175" s="230">
        <v>0</v>
      </c>
      <c r="H175" s="230">
        <v>0</v>
      </c>
      <c r="I175" s="230">
        <v>0.1</v>
      </c>
      <c r="J175" s="230">
        <v>0</v>
      </c>
      <c r="K175" s="259">
        <v>0</v>
      </c>
      <c r="M175" s="230">
        <v>0</v>
      </c>
      <c r="N175" s="230">
        <v>0</v>
      </c>
    </row>
    <row r="176" spans="1:14" ht="15.9" customHeight="1">
      <c r="A176" s="160" t="s">
        <v>1419</v>
      </c>
      <c r="B176" s="232">
        <v>0.1</v>
      </c>
      <c r="C176" s="233">
        <v>0</v>
      </c>
      <c r="D176" s="233">
        <v>0</v>
      </c>
      <c r="E176" s="233">
        <v>0</v>
      </c>
      <c r="F176" s="233">
        <v>0</v>
      </c>
      <c r="G176" s="233">
        <v>0.5</v>
      </c>
      <c r="H176" s="233">
        <v>0</v>
      </c>
      <c r="I176" s="233">
        <v>0.1</v>
      </c>
      <c r="J176" s="233">
        <v>0</v>
      </c>
      <c r="K176" s="260">
        <v>0</v>
      </c>
      <c r="M176" s="233">
        <v>0</v>
      </c>
      <c r="N176" s="233">
        <v>0</v>
      </c>
    </row>
    <row r="177" spans="1:14" ht="15.9" customHeight="1">
      <c r="A177" s="160" t="s">
        <v>1420</v>
      </c>
      <c r="B177" s="235">
        <v>0.1</v>
      </c>
      <c r="C177" s="236">
        <v>0.5</v>
      </c>
      <c r="D177" s="236">
        <v>0</v>
      </c>
      <c r="E177" s="236">
        <v>0</v>
      </c>
      <c r="F177" s="236">
        <v>0</v>
      </c>
      <c r="G177" s="236">
        <v>0</v>
      </c>
      <c r="H177" s="236">
        <v>0</v>
      </c>
      <c r="I177" s="236">
        <v>0.1</v>
      </c>
      <c r="J177" s="236">
        <v>0</v>
      </c>
      <c r="K177" s="261">
        <v>0</v>
      </c>
      <c r="M177" s="236">
        <v>0</v>
      </c>
      <c r="N177" s="236">
        <v>0</v>
      </c>
    </row>
    <row r="178" spans="1:14" ht="15.9" customHeight="1">
      <c r="A178" s="160" t="s">
        <v>570</v>
      </c>
      <c r="B178" s="203">
        <v>1</v>
      </c>
      <c r="C178" s="204">
        <v>1</v>
      </c>
      <c r="D178" s="204">
        <v>1</v>
      </c>
      <c r="E178" s="204">
        <v>1</v>
      </c>
      <c r="F178" s="204">
        <v>1</v>
      </c>
      <c r="G178" s="204">
        <v>1</v>
      </c>
      <c r="H178" s="204">
        <v>1</v>
      </c>
      <c r="I178" s="204">
        <v>1</v>
      </c>
      <c r="J178" s="204">
        <v>1</v>
      </c>
      <c r="K178" s="205">
        <v>1</v>
      </c>
      <c r="M178" s="204">
        <v>1</v>
      </c>
      <c r="N178" s="204">
        <v>1</v>
      </c>
    </row>
    <row r="179" spans="1:14" ht="15.9" customHeight="1">
      <c r="A179" s="160" t="s">
        <v>572</v>
      </c>
      <c r="B179" s="203">
        <v>1</v>
      </c>
      <c r="C179" s="204">
        <v>1</v>
      </c>
      <c r="D179" s="204">
        <v>1</v>
      </c>
      <c r="E179" s="204">
        <v>1</v>
      </c>
      <c r="F179" s="204">
        <v>1</v>
      </c>
      <c r="G179" s="204">
        <v>1</v>
      </c>
      <c r="H179" s="204">
        <v>1</v>
      </c>
      <c r="I179" s="204">
        <v>1</v>
      </c>
      <c r="J179" s="204">
        <v>1</v>
      </c>
      <c r="K179" s="205">
        <v>1</v>
      </c>
      <c r="M179" s="204">
        <v>1</v>
      </c>
      <c r="N179" s="204">
        <v>1</v>
      </c>
    </row>
    <row r="180" spans="1:14" ht="15.9" customHeight="1">
      <c r="A180" s="160" t="s">
        <v>573</v>
      </c>
      <c r="B180" s="239">
        <v>1</v>
      </c>
      <c r="C180" s="240">
        <v>1</v>
      </c>
      <c r="D180" s="240">
        <v>1</v>
      </c>
      <c r="E180" s="240">
        <v>1</v>
      </c>
      <c r="F180" s="240">
        <v>1</v>
      </c>
      <c r="G180" s="240">
        <v>1</v>
      </c>
      <c r="H180" s="240">
        <v>1</v>
      </c>
      <c r="I180" s="240">
        <v>1</v>
      </c>
      <c r="J180" s="240">
        <v>1</v>
      </c>
      <c r="K180" s="262">
        <v>1</v>
      </c>
      <c r="M180" s="240">
        <v>1</v>
      </c>
      <c r="N180" s="240">
        <v>1</v>
      </c>
    </row>
    <row r="181" spans="1:14" ht="15.9" customHeight="1">
      <c r="A181" s="160" t="s">
        <v>14</v>
      </c>
      <c r="B181" s="203" t="s">
        <v>1561</v>
      </c>
      <c r="C181" s="204" t="s">
        <v>1562</v>
      </c>
      <c r="D181" s="204" t="s">
        <v>1561</v>
      </c>
      <c r="E181" s="204" t="s">
        <v>1563</v>
      </c>
      <c r="F181" s="204" t="s">
        <v>1564</v>
      </c>
      <c r="G181" s="204" t="s">
        <v>726</v>
      </c>
      <c r="H181" s="204" t="s">
        <v>1561</v>
      </c>
      <c r="I181" s="204" t="s">
        <v>1564</v>
      </c>
      <c r="J181" s="204" t="s">
        <v>1565</v>
      </c>
      <c r="K181" s="205" t="s">
        <v>1561</v>
      </c>
      <c r="M181" s="204" t="s">
        <v>1566</v>
      </c>
      <c r="N181" s="204" t="s">
        <v>1566</v>
      </c>
    </row>
    <row r="182" spans="1:14" ht="15.9" customHeight="1">
      <c r="A182" s="242" t="s">
        <v>584</v>
      </c>
      <c r="B182" s="243" t="s">
        <v>1423</v>
      </c>
      <c r="C182" s="243" t="s">
        <v>1422</v>
      </c>
      <c r="D182" s="243" t="s">
        <v>1422</v>
      </c>
      <c r="E182" s="243" t="s">
        <v>1422</v>
      </c>
      <c r="F182" s="243" t="s">
        <v>1422</v>
      </c>
      <c r="G182" s="243" t="s">
        <v>1422</v>
      </c>
      <c r="H182" s="243" t="s">
        <v>1422</v>
      </c>
      <c r="I182" s="243" t="s">
        <v>1422</v>
      </c>
      <c r="J182" s="243" t="s">
        <v>1422</v>
      </c>
      <c r="K182" s="243" t="s">
        <v>1422</v>
      </c>
      <c r="M182" s="244" t="s">
        <v>1423</v>
      </c>
      <c r="N182" s="244" t="s">
        <v>1423</v>
      </c>
    </row>
    <row r="183" spans="1:14" ht="15.9" customHeight="1">
      <c r="A183" s="160" t="s">
        <v>1424</v>
      </c>
      <c r="B183" s="213">
        <v>0</v>
      </c>
      <c r="C183" s="214">
        <v>0</v>
      </c>
      <c r="D183" s="214">
        <v>0</v>
      </c>
      <c r="E183" s="214">
        <v>0</v>
      </c>
      <c r="F183" s="214">
        <v>0</v>
      </c>
      <c r="G183" s="214">
        <v>0</v>
      </c>
      <c r="H183" s="214">
        <v>0</v>
      </c>
      <c r="I183" s="214">
        <v>0</v>
      </c>
      <c r="J183" s="214">
        <v>0</v>
      </c>
      <c r="K183" s="215">
        <v>0</v>
      </c>
      <c r="M183" s="214">
        <v>0</v>
      </c>
      <c r="N183" s="214">
        <v>0</v>
      </c>
    </row>
    <row r="184" spans="1:14" ht="15.9" customHeight="1">
      <c r="A184" s="160" t="s">
        <v>36</v>
      </c>
      <c r="B184" s="246" t="s">
        <v>1567</v>
      </c>
      <c r="C184" s="247" t="s">
        <v>1567</v>
      </c>
      <c r="D184" s="247" t="s">
        <v>1567</v>
      </c>
      <c r="E184" s="247" t="s">
        <v>1567</v>
      </c>
      <c r="F184" s="247" t="s">
        <v>1567</v>
      </c>
      <c r="G184" s="247" t="s">
        <v>1567</v>
      </c>
      <c r="H184" s="247" t="s">
        <v>1567</v>
      </c>
      <c r="I184" s="247" t="s">
        <v>1567</v>
      </c>
      <c r="J184" s="247" t="s">
        <v>1567</v>
      </c>
      <c r="K184" s="247" t="s">
        <v>1567</v>
      </c>
      <c r="M184" s="247" t="s">
        <v>1514</v>
      </c>
      <c r="N184" s="247" t="s">
        <v>1514</v>
      </c>
    </row>
    <row r="185" spans="1:14" ht="15.9" customHeight="1">
      <c r="A185" s="160" t="s">
        <v>1428</v>
      </c>
      <c r="B185" s="249">
        <v>100</v>
      </c>
      <c r="C185" s="249">
        <v>100</v>
      </c>
      <c r="D185" s="249">
        <v>100</v>
      </c>
      <c r="E185" s="249">
        <v>100</v>
      </c>
      <c r="F185" s="249">
        <v>100</v>
      </c>
      <c r="G185" s="249">
        <v>100</v>
      </c>
      <c r="H185" s="249">
        <v>100</v>
      </c>
      <c r="I185" s="249">
        <v>100</v>
      </c>
      <c r="J185" s="249">
        <v>100</v>
      </c>
      <c r="K185" s="249">
        <v>100</v>
      </c>
      <c r="M185" s="250">
        <v>100</v>
      </c>
      <c r="N185" s="250">
        <v>100</v>
      </c>
    </row>
    <row r="186" spans="1:14" ht="31.75" customHeight="1">
      <c r="A186" s="160" t="s">
        <v>1429</v>
      </c>
      <c r="B186" s="249" t="s">
        <v>726</v>
      </c>
      <c r="C186" s="250" t="s">
        <v>1568</v>
      </c>
      <c r="D186" s="250" t="s">
        <v>726</v>
      </c>
      <c r="E186" s="250" t="s">
        <v>726</v>
      </c>
      <c r="F186" s="250" t="s">
        <v>1569</v>
      </c>
      <c r="G186" s="277" t="s">
        <v>1570</v>
      </c>
      <c r="H186" s="250" t="s">
        <v>1571</v>
      </c>
      <c r="I186" s="250" t="s">
        <v>1572</v>
      </c>
      <c r="J186" s="250" t="s">
        <v>726</v>
      </c>
      <c r="K186" s="263" t="s">
        <v>726</v>
      </c>
      <c r="M186" s="250" t="s">
        <v>726</v>
      </c>
      <c r="N186" s="250" t="s">
        <v>726</v>
      </c>
    </row>
    <row r="187" spans="1:14" ht="15.9" customHeight="1">
      <c r="A187" s="160" t="s">
        <v>1440</v>
      </c>
      <c r="B187" s="203" t="s">
        <v>1573</v>
      </c>
      <c r="C187" s="204" t="s">
        <v>726</v>
      </c>
      <c r="D187" s="204" t="s">
        <v>1574</v>
      </c>
      <c r="E187" s="250" t="s">
        <v>1575</v>
      </c>
      <c r="F187" s="204" t="s">
        <v>726</v>
      </c>
      <c r="G187" s="204" t="s">
        <v>726</v>
      </c>
      <c r="H187" s="204" t="s">
        <v>1576</v>
      </c>
      <c r="I187" s="204" t="s">
        <v>726</v>
      </c>
      <c r="J187" s="204" t="s">
        <v>726</v>
      </c>
      <c r="K187" s="205" t="s">
        <v>1577</v>
      </c>
      <c r="M187" s="204" t="s">
        <v>726</v>
      </c>
      <c r="N187" s="204" t="s">
        <v>726</v>
      </c>
    </row>
    <row r="188" spans="1:14" ht="14.6" customHeight="1">
      <c r="B188" s="265"/>
      <c r="K188" s="264"/>
    </row>
    <row r="189" spans="1:14" ht="15.9" customHeight="1">
      <c r="A189" s="160" t="s">
        <v>1397</v>
      </c>
      <c r="B189" s="278" t="s">
        <v>1578</v>
      </c>
      <c r="C189" s="278" t="s">
        <v>597</v>
      </c>
      <c r="D189" s="278" t="s">
        <v>1579</v>
      </c>
      <c r="E189" s="278" t="s">
        <v>1580</v>
      </c>
      <c r="F189" s="278" t="s">
        <v>1581</v>
      </c>
      <c r="G189" s="278" t="s">
        <v>1582</v>
      </c>
      <c r="H189" s="278" t="s">
        <v>1583</v>
      </c>
      <c r="I189" s="278" t="s">
        <v>1584</v>
      </c>
      <c r="J189" s="278" t="s">
        <v>1585</v>
      </c>
      <c r="K189" s="278" t="s">
        <v>1586</v>
      </c>
      <c r="M189" s="278" t="s">
        <v>1587</v>
      </c>
      <c r="N189" s="278" t="s">
        <v>1587</v>
      </c>
    </row>
    <row r="190" spans="1:14" ht="15.9" customHeight="1">
      <c r="A190" s="160" t="s">
        <v>1407</v>
      </c>
      <c r="B190" s="188" t="s">
        <v>1363</v>
      </c>
      <c r="C190" s="167" t="s">
        <v>1367</v>
      </c>
      <c r="D190" s="169" t="s">
        <v>1369</v>
      </c>
      <c r="E190" s="171" t="s">
        <v>1371</v>
      </c>
      <c r="F190" s="189" t="s">
        <v>1374</v>
      </c>
      <c r="G190" s="175" t="s">
        <v>1377</v>
      </c>
      <c r="H190" s="176" t="s">
        <v>1379</v>
      </c>
      <c r="I190" s="177" t="s">
        <v>1381</v>
      </c>
      <c r="J190" s="178" t="s">
        <v>1383</v>
      </c>
      <c r="K190" s="190" t="s">
        <v>1385</v>
      </c>
      <c r="M190" s="165" t="s">
        <v>1365</v>
      </c>
      <c r="N190" s="181" t="s">
        <v>1387</v>
      </c>
    </row>
    <row r="191" spans="1:14" ht="15.9" customHeight="1">
      <c r="A191" s="160" t="s">
        <v>1408</v>
      </c>
      <c r="B191" s="191" t="s">
        <v>1370</v>
      </c>
      <c r="C191" s="192" t="s">
        <v>1370</v>
      </c>
      <c r="D191" s="192" t="s">
        <v>1370</v>
      </c>
      <c r="E191" s="192" t="s">
        <v>1370</v>
      </c>
      <c r="F191" s="192" t="s">
        <v>1370</v>
      </c>
      <c r="G191" s="192" t="s">
        <v>1370</v>
      </c>
      <c r="H191" s="192" t="s">
        <v>1370</v>
      </c>
      <c r="I191" s="192" t="s">
        <v>1370</v>
      </c>
      <c r="J191" s="192" t="s">
        <v>1370</v>
      </c>
      <c r="K191" s="193" t="s">
        <v>1370</v>
      </c>
      <c r="M191" s="192" t="s">
        <v>1370</v>
      </c>
      <c r="N191" s="192" t="s">
        <v>1370</v>
      </c>
    </row>
    <row r="192" spans="1:14" ht="15.9" customHeight="1">
      <c r="A192" s="194" t="s">
        <v>542</v>
      </c>
      <c r="B192" s="195" t="s">
        <v>1511</v>
      </c>
      <c r="C192" s="195" t="s">
        <v>1588</v>
      </c>
      <c r="D192" s="196" t="s">
        <v>1557</v>
      </c>
      <c r="E192" s="196" t="s">
        <v>1589</v>
      </c>
      <c r="F192" s="196" t="s">
        <v>1560</v>
      </c>
      <c r="G192" s="196" t="s">
        <v>1411</v>
      </c>
      <c r="H192" s="196" t="s">
        <v>1409</v>
      </c>
      <c r="I192" s="196" t="s">
        <v>1557</v>
      </c>
      <c r="J192" s="196" t="s">
        <v>1409</v>
      </c>
      <c r="K192" s="196" t="s">
        <v>1557</v>
      </c>
      <c r="M192" s="196" t="s">
        <v>1409</v>
      </c>
      <c r="N192" s="196" t="s">
        <v>1409</v>
      </c>
    </row>
    <row r="193" spans="1:14" ht="15.9" customHeight="1">
      <c r="A193" s="198" t="s">
        <v>1410</v>
      </c>
      <c r="B193" s="199" t="s">
        <v>1411</v>
      </c>
      <c r="C193" s="199" t="s">
        <v>1411</v>
      </c>
      <c r="D193" s="199" t="s">
        <v>1411</v>
      </c>
      <c r="E193" s="200" t="s">
        <v>726</v>
      </c>
      <c r="F193" s="199" t="s">
        <v>1411</v>
      </c>
      <c r="G193" s="199" t="s">
        <v>1411</v>
      </c>
      <c r="H193" s="200" t="s">
        <v>1409</v>
      </c>
      <c r="I193" s="199" t="s">
        <v>1411</v>
      </c>
      <c r="J193" s="199" t="s">
        <v>1409</v>
      </c>
      <c r="K193" s="199" t="s">
        <v>1409</v>
      </c>
      <c r="M193" s="199" t="s">
        <v>726</v>
      </c>
      <c r="N193" s="199" t="s">
        <v>726</v>
      </c>
    </row>
    <row r="194" spans="1:14" ht="15.9" customHeight="1">
      <c r="A194" s="202" t="s">
        <v>546</v>
      </c>
      <c r="B194" s="203">
        <v>1</v>
      </c>
      <c r="C194" s="203">
        <v>1</v>
      </c>
      <c r="D194" s="203">
        <v>1</v>
      </c>
      <c r="E194" s="203">
        <v>1</v>
      </c>
      <c r="F194" s="203">
        <v>2</v>
      </c>
      <c r="G194" s="203">
        <v>1</v>
      </c>
      <c r="H194" s="203">
        <v>1</v>
      </c>
      <c r="I194" s="203">
        <v>1</v>
      </c>
      <c r="J194" s="203">
        <v>1</v>
      </c>
      <c r="K194" s="203">
        <v>1</v>
      </c>
      <c r="M194" s="203">
        <v>1</v>
      </c>
      <c r="N194" s="203">
        <v>1</v>
      </c>
    </row>
    <row r="195" spans="1:14" ht="15.9" customHeight="1">
      <c r="A195" s="206" t="s">
        <v>548</v>
      </c>
      <c r="B195" s="207">
        <v>1</v>
      </c>
      <c r="C195" s="207">
        <v>1</v>
      </c>
      <c r="D195" s="207">
        <v>3</v>
      </c>
      <c r="E195" s="207">
        <v>1</v>
      </c>
      <c r="F195" s="207">
        <v>1</v>
      </c>
      <c r="G195" s="207">
        <v>1</v>
      </c>
      <c r="H195" s="207">
        <v>1</v>
      </c>
      <c r="I195" s="207">
        <v>1</v>
      </c>
      <c r="J195" s="207">
        <v>1</v>
      </c>
      <c r="K195" s="207">
        <v>1</v>
      </c>
      <c r="M195" s="207">
        <v>1</v>
      </c>
      <c r="N195" s="207">
        <v>1</v>
      </c>
    </row>
    <row r="196" spans="1:14" ht="15.9" customHeight="1">
      <c r="A196" s="160" t="s">
        <v>1412</v>
      </c>
      <c r="B196" s="210">
        <v>0</v>
      </c>
      <c r="C196" s="210">
        <v>0</v>
      </c>
      <c r="D196" s="210">
        <v>0</v>
      </c>
      <c r="E196" s="210">
        <v>0</v>
      </c>
      <c r="F196" s="210">
        <v>0</v>
      </c>
      <c r="G196" s="210">
        <v>-0.5</v>
      </c>
      <c r="H196" s="210">
        <v>0</v>
      </c>
      <c r="I196" s="210">
        <v>0</v>
      </c>
      <c r="J196" s="210">
        <v>0</v>
      </c>
      <c r="K196" s="210">
        <v>0</v>
      </c>
      <c r="M196" s="210">
        <v>0</v>
      </c>
      <c r="N196" s="210">
        <v>0</v>
      </c>
    </row>
    <row r="197" spans="1:14" ht="15.9" customHeight="1">
      <c r="A197" s="160" t="s">
        <v>1413</v>
      </c>
      <c r="B197" s="213">
        <v>0</v>
      </c>
      <c r="C197" s="213">
        <v>0</v>
      </c>
      <c r="D197" s="213">
        <v>0</v>
      </c>
      <c r="E197" s="213">
        <v>0</v>
      </c>
      <c r="F197" s="213">
        <v>0</v>
      </c>
      <c r="G197" s="213">
        <v>0.5</v>
      </c>
      <c r="H197" s="213">
        <v>0</v>
      </c>
      <c r="I197" s="213">
        <v>0</v>
      </c>
      <c r="J197" s="213">
        <v>0</v>
      </c>
      <c r="K197" s="213">
        <v>0</v>
      </c>
      <c r="M197" s="213">
        <v>0</v>
      </c>
      <c r="N197" s="213">
        <v>0</v>
      </c>
    </row>
    <row r="198" spans="1:14" ht="15.9" customHeight="1">
      <c r="A198" s="160" t="s">
        <v>1414</v>
      </c>
      <c r="B198" s="216">
        <v>0</v>
      </c>
      <c r="C198" s="216">
        <v>0</v>
      </c>
      <c r="D198" s="216">
        <v>-1</v>
      </c>
      <c r="E198" s="216">
        <v>0</v>
      </c>
      <c r="F198" s="216">
        <v>0</v>
      </c>
      <c r="G198" s="216">
        <v>0</v>
      </c>
      <c r="H198" s="216">
        <v>0</v>
      </c>
      <c r="I198" s="216">
        <v>0</v>
      </c>
      <c r="J198" s="216">
        <v>0</v>
      </c>
      <c r="K198" s="216">
        <v>0</v>
      </c>
      <c r="M198" s="216">
        <v>0</v>
      </c>
      <c r="N198" s="216">
        <v>0</v>
      </c>
    </row>
    <row r="199" spans="1:14" ht="15.9" customHeight="1">
      <c r="A199" s="160" t="s">
        <v>1415</v>
      </c>
      <c r="B199" s="219">
        <v>0</v>
      </c>
      <c r="C199" s="219">
        <v>0</v>
      </c>
      <c r="D199" s="219">
        <v>1</v>
      </c>
      <c r="E199" s="219">
        <v>0</v>
      </c>
      <c r="F199" s="219">
        <v>0</v>
      </c>
      <c r="G199" s="219">
        <v>0</v>
      </c>
      <c r="H199" s="219">
        <v>0</v>
      </c>
      <c r="I199" s="219">
        <v>0</v>
      </c>
      <c r="J199" s="219">
        <v>0</v>
      </c>
      <c r="K199" s="219">
        <v>0</v>
      </c>
      <c r="M199" s="219">
        <v>0</v>
      </c>
      <c r="N199" s="219">
        <v>0</v>
      </c>
    </row>
    <row r="200" spans="1:14" ht="15.9" customHeight="1">
      <c r="A200" s="222" t="s">
        <v>1416</v>
      </c>
      <c r="B200" s="279">
        <v>0</v>
      </c>
      <c r="C200" s="279">
        <v>0</v>
      </c>
      <c r="D200" s="279">
        <v>-1</v>
      </c>
      <c r="E200" s="279">
        <v>0</v>
      </c>
      <c r="F200" s="279">
        <v>0</v>
      </c>
      <c r="G200" s="279">
        <v>0</v>
      </c>
      <c r="H200" s="279">
        <v>0</v>
      </c>
      <c r="I200" s="279">
        <v>0</v>
      </c>
      <c r="J200" s="279">
        <v>0</v>
      </c>
      <c r="K200" s="279">
        <v>0</v>
      </c>
      <c r="M200" s="279">
        <v>0</v>
      </c>
      <c r="N200" s="279">
        <v>0</v>
      </c>
    </row>
    <row r="201" spans="1:14" ht="15.9" customHeight="1">
      <c r="A201" s="160" t="s">
        <v>1417</v>
      </c>
      <c r="B201" s="226">
        <v>0</v>
      </c>
      <c r="C201" s="226">
        <v>0</v>
      </c>
      <c r="D201" s="226">
        <v>0</v>
      </c>
      <c r="E201" s="226">
        <v>0</v>
      </c>
      <c r="F201" s="226">
        <v>0.5</v>
      </c>
      <c r="G201" s="226">
        <v>0</v>
      </c>
      <c r="H201" s="226">
        <v>0</v>
      </c>
      <c r="I201" s="226">
        <v>0</v>
      </c>
      <c r="J201" s="226">
        <v>0</v>
      </c>
      <c r="K201" s="226">
        <v>0</v>
      </c>
      <c r="M201" s="226">
        <v>0</v>
      </c>
      <c r="N201" s="226">
        <v>0</v>
      </c>
    </row>
    <row r="202" spans="1:14" ht="15.9" customHeight="1">
      <c r="A202" s="160" t="s">
        <v>1418</v>
      </c>
      <c r="B202" s="229">
        <v>0</v>
      </c>
      <c r="C202" s="229">
        <v>0</v>
      </c>
      <c r="D202" s="229">
        <v>0</v>
      </c>
      <c r="E202" s="229">
        <v>0</v>
      </c>
      <c r="F202" s="229">
        <v>-0.5</v>
      </c>
      <c r="G202" s="229">
        <v>-0.5</v>
      </c>
      <c r="H202" s="229">
        <v>0</v>
      </c>
      <c r="I202" s="229">
        <v>0</v>
      </c>
      <c r="J202" s="229">
        <v>0</v>
      </c>
      <c r="K202" s="229">
        <v>0</v>
      </c>
      <c r="M202" s="229">
        <v>0</v>
      </c>
      <c r="N202" s="229">
        <v>0</v>
      </c>
    </row>
    <row r="203" spans="1:14" ht="15.9" customHeight="1">
      <c r="A203" s="160" t="s">
        <v>1419</v>
      </c>
      <c r="B203" s="232">
        <v>0</v>
      </c>
      <c r="C203" s="232">
        <v>0</v>
      </c>
      <c r="D203" s="232">
        <v>-0.5</v>
      </c>
      <c r="E203" s="232">
        <v>0</v>
      </c>
      <c r="F203" s="232">
        <v>0</v>
      </c>
      <c r="G203" s="232">
        <v>0.5</v>
      </c>
      <c r="H203" s="232">
        <v>0</v>
      </c>
      <c r="I203" s="232">
        <v>0</v>
      </c>
      <c r="J203" s="232">
        <v>0</v>
      </c>
      <c r="K203" s="232">
        <v>0</v>
      </c>
      <c r="M203" s="232">
        <v>0</v>
      </c>
      <c r="N203" s="232">
        <v>0</v>
      </c>
    </row>
    <row r="204" spans="1:14" ht="15.9" customHeight="1">
      <c r="A204" s="160" t="s">
        <v>1420</v>
      </c>
      <c r="B204" s="235">
        <v>0</v>
      </c>
      <c r="C204" s="235">
        <v>0</v>
      </c>
      <c r="D204" s="235">
        <v>0.5</v>
      </c>
      <c r="E204" s="235">
        <v>0</v>
      </c>
      <c r="F204" s="235">
        <v>0.5</v>
      </c>
      <c r="G204" s="235">
        <v>0</v>
      </c>
      <c r="H204" s="235">
        <v>0</v>
      </c>
      <c r="I204" s="235">
        <v>0</v>
      </c>
      <c r="J204" s="235">
        <v>0</v>
      </c>
      <c r="K204" s="235">
        <v>0</v>
      </c>
      <c r="M204" s="235">
        <v>0</v>
      </c>
      <c r="N204" s="235">
        <v>0</v>
      </c>
    </row>
    <row r="205" spans="1:14" ht="15.9" customHeight="1">
      <c r="A205" s="160" t="s">
        <v>570</v>
      </c>
      <c r="B205" s="203">
        <v>1</v>
      </c>
      <c r="C205" s="203">
        <v>1</v>
      </c>
      <c r="D205" s="203">
        <v>1</v>
      </c>
      <c r="E205" s="203">
        <v>1</v>
      </c>
      <c r="F205" s="203">
        <v>1</v>
      </c>
      <c r="G205" s="203">
        <v>1</v>
      </c>
      <c r="H205" s="203">
        <v>1</v>
      </c>
      <c r="I205" s="203">
        <v>1</v>
      </c>
      <c r="J205" s="203">
        <v>1</v>
      </c>
      <c r="K205" s="203">
        <v>1</v>
      </c>
      <c r="M205" s="203">
        <v>1</v>
      </c>
      <c r="N205" s="203">
        <v>1</v>
      </c>
    </row>
    <row r="206" spans="1:14" ht="15.9" customHeight="1">
      <c r="A206" s="160" t="s">
        <v>572</v>
      </c>
      <c r="B206" s="203">
        <v>1</v>
      </c>
      <c r="C206" s="203">
        <v>1</v>
      </c>
      <c r="D206" s="203">
        <v>1</v>
      </c>
      <c r="E206" s="203">
        <v>1</v>
      </c>
      <c r="F206" s="203">
        <v>1</v>
      </c>
      <c r="G206" s="203">
        <v>1</v>
      </c>
      <c r="H206" s="203">
        <v>1</v>
      </c>
      <c r="I206" s="203">
        <v>1</v>
      </c>
      <c r="J206" s="203">
        <v>1</v>
      </c>
      <c r="K206" s="203">
        <v>1</v>
      </c>
      <c r="M206" s="203">
        <v>1</v>
      </c>
      <c r="N206" s="203">
        <v>1</v>
      </c>
    </row>
    <row r="207" spans="1:14" ht="15" customHeight="1">
      <c r="A207" s="160" t="s">
        <v>573</v>
      </c>
      <c r="B207" s="239">
        <v>1</v>
      </c>
      <c r="C207" s="239">
        <v>1</v>
      </c>
      <c r="D207" s="239">
        <v>1</v>
      </c>
      <c r="E207" s="239">
        <v>1</v>
      </c>
      <c r="F207" s="239">
        <v>1</v>
      </c>
      <c r="G207" s="239">
        <v>1</v>
      </c>
      <c r="H207" s="239">
        <v>1</v>
      </c>
      <c r="I207" s="239">
        <v>1</v>
      </c>
      <c r="J207" s="239">
        <v>1</v>
      </c>
      <c r="K207" s="239">
        <v>1</v>
      </c>
      <c r="M207" s="239">
        <v>1</v>
      </c>
      <c r="N207" s="239">
        <v>1</v>
      </c>
    </row>
    <row r="208" spans="1:14" ht="15.75" customHeight="1">
      <c r="A208" s="160" t="s">
        <v>14</v>
      </c>
      <c r="B208" s="280" t="s">
        <v>1590</v>
      </c>
      <c r="C208" s="280" t="s">
        <v>1591</v>
      </c>
      <c r="D208" s="204" t="s">
        <v>1592</v>
      </c>
      <c r="E208" s="280" t="s">
        <v>1593</v>
      </c>
      <c r="F208" s="280" t="s">
        <v>1594</v>
      </c>
      <c r="G208" s="280" t="s">
        <v>1595</v>
      </c>
      <c r="H208" s="204" t="s">
        <v>1596</v>
      </c>
      <c r="I208" s="280" t="s">
        <v>1597</v>
      </c>
      <c r="J208" s="204" t="s">
        <v>1598</v>
      </c>
      <c r="K208" s="205" t="s">
        <v>1599</v>
      </c>
      <c r="M208" s="280" t="s">
        <v>1600</v>
      </c>
      <c r="N208" s="280" t="s">
        <v>1600</v>
      </c>
    </row>
    <row r="209" spans="1:17" ht="15.9" customHeight="1">
      <c r="A209" s="242" t="s">
        <v>584</v>
      </c>
      <c r="B209" s="243" t="s">
        <v>1423</v>
      </c>
      <c r="C209" s="243" t="s">
        <v>1422</v>
      </c>
      <c r="D209" s="243" t="s">
        <v>1422</v>
      </c>
      <c r="E209" s="243" t="s">
        <v>1422</v>
      </c>
      <c r="F209" s="243" t="s">
        <v>1422</v>
      </c>
      <c r="G209" s="243" t="s">
        <v>1422</v>
      </c>
      <c r="H209" s="243" t="s">
        <v>1422</v>
      </c>
      <c r="I209" s="243" t="s">
        <v>1422</v>
      </c>
      <c r="J209" s="243" t="s">
        <v>1422</v>
      </c>
      <c r="K209" s="243" t="s">
        <v>1422</v>
      </c>
      <c r="M209" s="243" t="s">
        <v>1423</v>
      </c>
      <c r="N209" s="243" t="s">
        <v>1423</v>
      </c>
    </row>
    <row r="210" spans="1:17" ht="15.9" customHeight="1">
      <c r="A210" s="160" t="s">
        <v>1424</v>
      </c>
      <c r="B210" s="213">
        <v>0</v>
      </c>
      <c r="C210" s="213">
        <v>0</v>
      </c>
      <c r="D210" s="213">
        <v>0</v>
      </c>
      <c r="E210" s="213">
        <v>0</v>
      </c>
      <c r="F210" s="213">
        <v>0</v>
      </c>
      <c r="G210" s="213">
        <v>0</v>
      </c>
      <c r="H210" s="213">
        <v>0</v>
      </c>
      <c r="I210" s="213">
        <v>0</v>
      </c>
      <c r="J210" s="213">
        <v>0</v>
      </c>
      <c r="K210" s="213">
        <v>0</v>
      </c>
      <c r="M210" s="213">
        <v>0</v>
      </c>
      <c r="N210" s="213">
        <v>0</v>
      </c>
    </row>
    <row r="211" spans="1:17" ht="15.9" customHeight="1">
      <c r="A211" s="160" t="s">
        <v>36</v>
      </c>
      <c r="B211" s="246" t="s">
        <v>1601</v>
      </c>
      <c r="C211" s="246" t="s">
        <v>1601</v>
      </c>
      <c r="D211" s="246" t="s">
        <v>1602</v>
      </c>
      <c r="E211" s="246" t="s">
        <v>1601</v>
      </c>
      <c r="F211" s="246" t="s">
        <v>1601</v>
      </c>
      <c r="G211" s="246" t="s">
        <v>1601</v>
      </c>
      <c r="H211" s="246" t="s">
        <v>1602</v>
      </c>
      <c r="I211" s="246" t="s">
        <v>1602</v>
      </c>
      <c r="J211" s="246" t="s">
        <v>1602</v>
      </c>
      <c r="K211" s="246" t="s">
        <v>1601</v>
      </c>
      <c r="M211" s="246" t="s">
        <v>1603</v>
      </c>
      <c r="N211" s="246" t="s">
        <v>1603</v>
      </c>
    </row>
    <row r="212" spans="1:17" ht="15.9" customHeight="1">
      <c r="A212" s="160" t="s">
        <v>1428</v>
      </c>
      <c r="B212" s="249">
        <v>100</v>
      </c>
      <c r="C212" s="249">
        <v>100</v>
      </c>
      <c r="D212" s="249">
        <v>100</v>
      </c>
      <c r="E212" s="249">
        <v>100</v>
      </c>
      <c r="F212" s="249">
        <v>100</v>
      </c>
      <c r="G212" s="249">
        <v>100</v>
      </c>
      <c r="H212" s="249">
        <v>100</v>
      </c>
      <c r="I212" s="249">
        <v>100</v>
      </c>
      <c r="J212" s="249">
        <v>100</v>
      </c>
      <c r="K212" s="249">
        <v>100</v>
      </c>
      <c r="M212" s="250">
        <v>100</v>
      </c>
      <c r="N212" s="250">
        <v>100</v>
      </c>
    </row>
    <row r="213" spans="1:17" ht="47.6" customHeight="1">
      <c r="A213" s="160" t="s">
        <v>1429</v>
      </c>
      <c r="B213" s="250" t="s">
        <v>726</v>
      </c>
      <c r="C213" s="250" t="s">
        <v>1604</v>
      </c>
      <c r="D213" s="250" t="s">
        <v>1605</v>
      </c>
      <c r="E213" s="249" t="s">
        <v>1606</v>
      </c>
      <c r="F213" s="277" t="s">
        <v>1607</v>
      </c>
      <c r="G213" s="250" t="s">
        <v>726</v>
      </c>
      <c r="H213" s="250" t="s">
        <v>1608</v>
      </c>
      <c r="I213" s="250" t="s">
        <v>1609</v>
      </c>
      <c r="J213" s="250" t="s">
        <v>726</v>
      </c>
      <c r="K213" s="250" t="s">
        <v>1609</v>
      </c>
      <c r="M213" s="250" t="s">
        <v>1610</v>
      </c>
      <c r="N213" s="250" t="s">
        <v>1610</v>
      </c>
    </row>
    <row r="214" spans="1:17" ht="18.75" customHeight="1">
      <c r="A214" s="160" t="s">
        <v>1440</v>
      </c>
      <c r="B214" s="277" t="s">
        <v>1611</v>
      </c>
      <c r="C214" s="250" t="s">
        <v>1612</v>
      </c>
      <c r="D214" s="281" t="s">
        <v>1613</v>
      </c>
      <c r="E214" s="250" t="s">
        <v>726</v>
      </c>
      <c r="F214" s="250"/>
      <c r="G214" s="250" t="s">
        <v>726</v>
      </c>
      <c r="H214" s="250" t="s">
        <v>726</v>
      </c>
      <c r="I214" s="250" t="s">
        <v>1614</v>
      </c>
      <c r="J214" s="277" t="s">
        <v>1615</v>
      </c>
      <c r="K214" s="250" t="s">
        <v>1616</v>
      </c>
      <c r="M214" s="250" t="s">
        <v>1617</v>
      </c>
      <c r="N214" s="250" t="s">
        <v>1617</v>
      </c>
    </row>
    <row r="215" spans="1:17" ht="15.9" customHeight="1">
      <c r="B215" s="250"/>
      <c r="F215" s="250"/>
    </row>
    <row r="216" spans="1:17" ht="15.9" customHeight="1">
      <c r="A216" s="160" t="s">
        <v>1397</v>
      </c>
      <c r="B216" s="282" t="s">
        <v>1618</v>
      </c>
      <c r="C216" s="282" t="s">
        <v>1619</v>
      </c>
      <c r="D216" s="282" t="s">
        <v>1620</v>
      </c>
      <c r="E216" s="282" t="s">
        <v>1621</v>
      </c>
      <c r="F216" s="282" t="s">
        <v>1622</v>
      </c>
      <c r="G216" s="282" t="s">
        <v>1623</v>
      </c>
      <c r="H216" s="282" t="s">
        <v>1624</v>
      </c>
      <c r="I216" s="282" t="s">
        <v>1625</v>
      </c>
      <c r="J216" s="282" t="s">
        <v>1626</v>
      </c>
      <c r="K216" s="282" t="s">
        <v>1627</v>
      </c>
      <c r="M216" s="283" t="s">
        <v>1628</v>
      </c>
      <c r="N216" s="283" t="s">
        <v>1629</v>
      </c>
      <c r="O216" s="283" t="s">
        <v>1630</v>
      </c>
      <c r="P216" s="284" t="s">
        <v>1631</v>
      </c>
      <c r="Q216" s="284"/>
    </row>
    <row r="217" spans="1:17" ht="15.9" customHeight="1">
      <c r="A217" s="160" t="s">
        <v>1407</v>
      </c>
      <c r="B217" s="188" t="s">
        <v>1363</v>
      </c>
      <c r="C217" s="167" t="s">
        <v>1367</v>
      </c>
      <c r="D217" s="169" t="s">
        <v>1369</v>
      </c>
      <c r="E217" s="171" t="s">
        <v>1371</v>
      </c>
      <c r="F217" s="189" t="s">
        <v>1374</v>
      </c>
      <c r="G217" s="175" t="s">
        <v>1363</v>
      </c>
      <c r="H217" s="176" t="s">
        <v>1379</v>
      </c>
      <c r="I217" s="177" t="s">
        <v>1381</v>
      </c>
      <c r="J217" s="178" t="s">
        <v>1383</v>
      </c>
      <c r="K217" s="190" t="s">
        <v>1385</v>
      </c>
      <c r="M217" s="165" t="s">
        <v>1365</v>
      </c>
      <c r="N217" s="181" t="s">
        <v>1387</v>
      </c>
      <c r="O217" s="181"/>
      <c r="P217" s="181"/>
      <c r="Q217" s="181"/>
    </row>
    <row r="218" spans="1:17" ht="15.9" customHeight="1">
      <c r="A218" s="160" t="s">
        <v>1408</v>
      </c>
      <c r="B218" s="191" t="s">
        <v>1366</v>
      </c>
      <c r="C218" s="192" t="s">
        <v>1376</v>
      </c>
      <c r="D218" s="192" t="s">
        <v>1376</v>
      </c>
      <c r="E218" s="192" t="s">
        <v>1368</v>
      </c>
      <c r="F218" s="192" t="s">
        <v>1376</v>
      </c>
      <c r="G218" s="191" t="s">
        <v>1366</v>
      </c>
      <c r="H218" s="192" t="s">
        <v>1364</v>
      </c>
      <c r="I218" s="192" t="s">
        <v>1373</v>
      </c>
      <c r="J218" s="192" t="s">
        <v>1373</v>
      </c>
      <c r="K218" s="193" t="s">
        <v>1370</v>
      </c>
      <c r="M218" s="285" t="s">
        <v>1376</v>
      </c>
      <c r="N218" s="192" t="s">
        <v>1376</v>
      </c>
      <c r="O218" s="285" t="s">
        <v>1376</v>
      </c>
      <c r="P218" s="285" t="s">
        <v>1632</v>
      </c>
    </row>
    <row r="219" spans="1:17" ht="15.9" customHeight="1">
      <c r="A219" s="194" t="s">
        <v>542</v>
      </c>
      <c r="B219" s="195" t="s">
        <v>1558</v>
      </c>
      <c r="C219" s="196" t="s">
        <v>1411</v>
      </c>
      <c r="D219" s="196" t="s">
        <v>1633</v>
      </c>
      <c r="E219" s="196" t="s">
        <v>1411</v>
      </c>
      <c r="F219" s="196" t="s">
        <v>1482</v>
      </c>
      <c r="G219" s="195" t="s">
        <v>1511</v>
      </c>
      <c r="H219" s="196" t="s">
        <v>1409</v>
      </c>
      <c r="I219" s="196" t="s">
        <v>1511</v>
      </c>
      <c r="J219" s="196" t="s">
        <v>1411</v>
      </c>
      <c r="K219" s="197" t="s">
        <v>1411</v>
      </c>
      <c r="M219" s="286" t="s">
        <v>1633</v>
      </c>
      <c r="N219" s="196" t="s">
        <v>1411</v>
      </c>
      <c r="O219" s="286" t="s">
        <v>1634</v>
      </c>
      <c r="P219" s="286" t="s">
        <v>1560</v>
      </c>
    </row>
    <row r="220" spans="1:17" ht="15.9" customHeight="1">
      <c r="A220" s="198" t="s">
        <v>1410</v>
      </c>
      <c r="B220" s="199" t="s">
        <v>726</v>
      </c>
      <c r="C220" s="200" t="s">
        <v>1411</v>
      </c>
      <c r="D220" s="200" t="s">
        <v>1411</v>
      </c>
      <c r="E220" s="200" t="s">
        <v>1411</v>
      </c>
      <c r="F220" s="200" t="s">
        <v>1411</v>
      </c>
      <c r="G220" s="199" t="s">
        <v>726</v>
      </c>
      <c r="H220" s="200" t="s">
        <v>726</v>
      </c>
      <c r="I220" s="200" t="s">
        <v>1411</v>
      </c>
      <c r="J220" s="200" t="s">
        <v>1411</v>
      </c>
      <c r="K220" s="201" t="s">
        <v>726</v>
      </c>
      <c r="M220" s="287" t="s">
        <v>726</v>
      </c>
      <c r="N220" s="200" t="s">
        <v>1411</v>
      </c>
      <c r="O220" s="287" t="s">
        <v>726</v>
      </c>
      <c r="P220" s="287" t="s">
        <v>726</v>
      </c>
    </row>
    <row r="221" spans="1:17" ht="15.9" customHeight="1">
      <c r="A221" s="202" t="s">
        <v>546</v>
      </c>
      <c r="B221" s="203">
        <v>-5</v>
      </c>
      <c r="C221" s="204">
        <v>3</v>
      </c>
      <c r="D221" s="204">
        <v>1</v>
      </c>
      <c r="E221" s="204">
        <v>0</v>
      </c>
      <c r="F221" s="204">
        <v>0</v>
      </c>
      <c r="G221" s="203">
        <v>1</v>
      </c>
      <c r="H221" s="204">
        <v>2</v>
      </c>
      <c r="I221" s="204">
        <v>2</v>
      </c>
      <c r="J221" s="204">
        <v>4</v>
      </c>
      <c r="K221" s="205">
        <v>5</v>
      </c>
      <c r="M221" s="288">
        <v>1</v>
      </c>
      <c r="N221" s="204">
        <v>4</v>
      </c>
      <c r="O221" s="288">
        <v>1</v>
      </c>
      <c r="P221" s="288">
        <v>1</v>
      </c>
    </row>
    <row r="222" spans="1:17" ht="15.9" customHeight="1">
      <c r="A222" s="206" t="s">
        <v>548</v>
      </c>
      <c r="B222" s="207">
        <v>-5</v>
      </c>
      <c r="C222" s="208">
        <v>3</v>
      </c>
      <c r="D222" s="208">
        <v>1</v>
      </c>
      <c r="E222" s="208">
        <v>10</v>
      </c>
      <c r="F222" s="208">
        <v>0</v>
      </c>
      <c r="G222" s="207">
        <v>1</v>
      </c>
      <c r="H222" s="208">
        <v>2</v>
      </c>
      <c r="I222" s="208">
        <v>2</v>
      </c>
      <c r="J222" s="208">
        <v>4</v>
      </c>
      <c r="K222" s="209">
        <v>5</v>
      </c>
      <c r="M222" s="289">
        <v>1</v>
      </c>
      <c r="N222" s="208">
        <v>4</v>
      </c>
      <c r="O222" s="289">
        <v>1</v>
      </c>
      <c r="P222" s="289">
        <v>1</v>
      </c>
    </row>
    <row r="223" spans="1:17" ht="15.9" customHeight="1">
      <c r="A223" s="160" t="s">
        <v>1412</v>
      </c>
      <c r="B223" s="210">
        <v>-0.5</v>
      </c>
      <c r="C223" s="211">
        <v>0</v>
      </c>
      <c r="D223" s="211">
        <v>0.2</v>
      </c>
      <c r="E223" s="211">
        <v>-0.2</v>
      </c>
      <c r="F223" s="211">
        <v>0</v>
      </c>
      <c r="G223" s="210">
        <v>-0.5</v>
      </c>
      <c r="H223" s="211">
        <v>0</v>
      </c>
      <c r="I223" s="211">
        <v>0</v>
      </c>
      <c r="J223" s="211">
        <v>0</v>
      </c>
      <c r="K223" s="212">
        <v>0.8</v>
      </c>
      <c r="M223" s="290">
        <v>-0.5</v>
      </c>
      <c r="N223" s="211">
        <v>0</v>
      </c>
      <c r="O223" s="290">
        <v>-0.5</v>
      </c>
      <c r="P223" s="290">
        <v>-0.5</v>
      </c>
    </row>
    <row r="224" spans="1:17" ht="15.9" customHeight="1">
      <c r="A224" s="160" t="s">
        <v>1413</v>
      </c>
      <c r="B224" s="213">
        <v>-0.5</v>
      </c>
      <c r="C224" s="214">
        <v>0</v>
      </c>
      <c r="D224" s="214">
        <v>0</v>
      </c>
      <c r="E224" s="214">
        <v>-0.2</v>
      </c>
      <c r="F224" s="214">
        <v>0</v>
      </c>
      <c r="G224" s="213">
        <v>0.5</v>
      </c>
      <c r="H224" s="214">
        <v>0</v>
      </c>
      <c r="I224" s="214">
        <v>0</v>
      </c>
      <c r="J224" s="214">
        <v>1</v>
      </c>
      <c r="K224" s="215">
        <v>0</v>
      </c>
      <c r="M224" s="291">
        <v>0</v>
      </c>
      <c r="N224" s="214">
        <v>0</v>
      </c>
      <c r="O224" s="291">
        <v>0.5</v>
      </c>
      <c r="P224" s="291">
        <v>0</v>
      </c>
    </row>
    <row r="225" spans="1:16" ht="15.9" customHeight="1">
      <c r="A225" s="160" t="s">
        <v>1414</v>
      </c>
      <c r="B225" s="216">
        <v>-0.5</v>
      </c>
      <c r="C225" s="217">
        <v>0</v>
      </c>
      <c r="D225" s="217">
        <v>0</v>
      </c>
      <c r="E225" s="217">
        <v>-0.2</v>
      </c>
      <c r="F225" s="217">
        <v>0</v>
      </c>
      <c r="G225" s="216">
        <v>-0.5</v>
      </c>
      <c r="H225" s="217">
        <v>2</v>
      </c>
      <c r="I225" s="217">
        <v>0</v>
      </c>
      <c r="J225" s="217">
        <v>0</v>
      </c>
      <c r="K225" s="218">
        <v>0</v>
      </c>
      <c r="M225" s="292">
        <v>-0.5</v>
      </c>
      <c r="N225" s="217">
        <v>0</v>
      </c>
      <c r="O225" s="292">
        <v>0.5</v>
      </c>
      <c r="P225" s="292">
        <v>-0.5</v>
      </c>
    </row>
    <row r="226" spans="1:16" ht="15.9" customHeight="1">
      <c r="A226" s="160" t="s">
        <v>1415</v>
      </c>
      <c r="B226" s="219">
        <v>-0.5</v>
      </c>
      <c r="C226" s="220">
        <v>0</v>
      </c>
      <c r="D226" s="220">
        <v>0.4</v>
      </c>
      <c r="E226" s="220">
        <v>-0.2</v>
      </c>
      <c r="F226" s="220">
        <v>0</v>
      </c>
      <c r="G226" s="219">
        <v>-0.5</v>
      </c>
      <c r="H226" s="220">
        <v>0</v>
      </c>
      <c r="I226" s="220">
        <v>0</v>
      </c>
      <c r="J226" s="220">
        <v>0</v>
      </c>
      <c r="K226" s="221">
        <v>0</v>
      </c>
      <c r="M226" s="293">
        <v>0.5</v>
      </c>
      <c r="N226" s="220">
        <v>0</v>
      </c>
      <c r="O226" s="293">
        <v>-0.5</v>
      </c>
      <c r="P226" s="293">
        <v>0</v>
      </c>
    </row>
    <row r="227" spans="1:16" ht="15.9" customHeight="1">
      <c r="A227" s="222" t="s">
        <v>1416</v>
      </c>
      <c r="B227" s="224">
        <v>-0.5</v>
      </c>
      <c r="C227" s="224">
        <v>0.2</v>
      </c>
      <c r="D227" s="294">
        <v>0</v>
      </c>
      <c r="E227" s="294">
        <v>-0.2</v>
      </c>
      <c r="F227" s="224">
        <v>0.9</v>
      </c>
      <c r="G227" s="279">
        <v>0</v>
      </c>
      <c r="H227" s="224">
        <v>0</v>
      </c>
      <c r="I227" s="224">
        <v>0</v>
      </c>
      <c r="J227" s="224">
        <v>0</v>
      </c>
      <c r="K227" s="225">
        <v>0</v>
      </c>
      <c r="M227" s="295">
        <v>0</v>
      </c>
      <c r="N227" s="224">
        <v>0</v>
      </c>
      <c r="O227" s="295">
        <v>0</v>
      </c>
      <c r="P227" s="295">
        <v>0</v>
      </c>
    </row>
    <row r="228" spans="1:16" ht="15.9" customHeight="1">
      <c r="A228" s="160" t="s">
        <v>1417</v>
      </c>
      <c r="B228" s="226">
        <v>-0.5</v>
      </c>
      <c r="C228" s="227">
        <v>0.2</v>
      </c>
      <c r="D228" s="227">
        <v>0</v>
      </c>
      <c r="E228" s="227">
        <v>-0.2</v>
      </c>
      <c r="F228" s="227">
        <v>0</v>
      </c>
      <c r="G228" s="226">
        <v>0</v>
      </c>
      <c r="H228" s="227">
        <v>0</v>
      </c>
      <c r="I228" s="227">
        <v>0</v>
      </c>
      <c r="J228" s="227">
        <v>0</v>
      </c>
      <c r="K228" s="228">
        <v>0</v>
      </c>
      <c r="M228" s="296">
        <v>0</v>
      </c>
      <c r="N228" s="227">
        <v>0</v>
      </c>
      <c r="O228" s="296">
        <v>0</v>
      </c>
      <c r="P228" s="296">
        <v>0</v>
      </c>
    </row>
    <row r="229" spans="1:16" ht="15.9" customHeight="1">
      <c r="A229" s="160" t="s">
        <v>1418</v>
      </c>
      <c r="B229" s="229">
        <v>-0.5</v>
      </c>
      <c r="C229" s="230">
        <v>0.2</v>
      </c>
      <c r="D229" s="230">
        <v>0</v>
      </c>
      <c r="E229" s="230">
        <v>-0.2</v>
      </c>
      <c r="F229" s="230">
        <v>0</v>
      </c>
      <c r="G229" s="229">
        <v>0</v>
      </c>
      <c r="H229" s="230">
        <v>0</v>
      </c>
      <c r="I229" s="230">
        <v>0</v>
      </c>
      <c r="J229" s="230">
        <v>0</v>
      </c>
      <c r="K229" s="259">
        <v>0</v>
      </c>
      <c r="M229" s="297">
        <v>0</v>
      </c>
      <c r="N229" s="230">
        <v>0</v>
      </c>
      <c r="O229" s="297">
        <v>-0.5</v>
      </c>
      <c r="P229" s="297">
        <v>0.5</v>
      </c>
    </row>
    <row r="230" spans="1:16" ht="15.9" customHeight="1">
      <c r="A230" s="160" t="s">
        <v>1419</v>
      </c>
      <c r="B230" s="232">
        <v>-0.5</v>
      </c>
      <c r="C230" s="233" t="s">
        <v>1635</v>
      </c>
      <c r="D230" s="233">
        <v>0</v>
      </c>
      <c r="E230" s="233">
        <v>-0.2</v>
      </c>
      <c r="F230" s="233">
        <v>0</v>
      </c>
      <c r="G230" s="232">
        <v>0.5</v>
      </c>
      <c r="H230" s="233">
        <v>0</v>
      </c>
      <c r="I230" s="233">
        <v>0</v>
      </c>
      <c r="J230" s="233">
        <v>0</v>
      </c>
      <c r="K230" s="260">
        <v>0</v>
      </c>
      <c r="M230" s="298">
        <v>0</v>
      </c>
      <c r="N230" s="233">
        <v>0</v>
      </c>
      <c r="O230" s="298">
        <v>0</v>
      </c>
      <c r="P230" s="298">
        <v>0</v>
      </c>
    </row>
    <row r="231" spans="1:16" ht="15.9" customHeight="1">
      <c r="A231" s="160" t="s">
        <v>1420</v>
      </c>
      <c r="B231" s="235">
        <v>-0.5</v>
      </c>
      <c r="C231" s="236">
        <v>0.5</v>
      </c>
      <c r="D231" s="236">
        <v>0</v>
      </c>
      <c r="E231" s="236">
        <v>-0.2</v>
      </c>
      <c r="F231" s="236">
        <v>0</v>
      </c>
      <c r="G231" s="235">
        <v>0.5</v>
      </c>
      <c r="H231" s="236">
        <v>0</v>
      </c>
      <c r="I231" s="236">
        <v>0</v>
      </c>
      <c r="J231" s="236">
        <v>0</v>
      </c>
      <c r="K231" s="261">
        <v>0</v>
      </c>
      <c r="M231" s="299">
        <v>0</v>
      </c>
      <c r="N231" s="236">
        <v>0.3</v>
      </c>
      <c r="O231" s="299">
        <v>0</v>
      </c>
      <c r="P231" s="299">
        <v>0</v>
      </c>
    </row>
    <row r="232" spans="1:16" ht="15.9" customHeight="1">
      <c r="A232" s="160" t="s">
        <v>570</v>
      </c>
      <c r="B232" s="203">
        <v>1</v>
      </c>
      <c r="C232" s="204">
        <v>1</v>
      </c>
      <c r="D232" s="204">
        <v>1</v>
      </c>
      <c r="E232" s="204">
        <v>1</v>
      </c>
      <c r="F232" s="204">
        <v>1</v>
      </c>
      <c r="G232" s="203">
        <v>1</v>
      </c>
      <c r="H232" s="204">
        <v>1</v>
      </c>
      <c r="I232" s="204">
        <v>1</v>
      </c>
      <c r="J232" s="204">
        <v>1</v>
      </c>
      <c r="K232" s="205">
        <v>1</v>
      </c>
      <c r="M232" s="288">
        <v>1</v>
      </c>
      <c r="N232" s="204">
        <v>1</v>
      </c>
      <c r="O232" s="288">
        <v>1</v>
      </c>
      <c r="P232" s="288">
        <v>1</v>
      </c>
    </row>
    <row r="233" spans="1:16" ht="15.9" customHeight="1">
      <c r="A233" s="160" t="s">
        <v>572</v>
      </c>
      <c r="B233" s="203">
        <v>1</v>
      </c>
      <c r="C233" s="204">
        <v>1</v>
      </c>
      <c r="D233" s="204">
        <v>1</v>
      </c>
      <c r="E233" s="204">
        <v>1</v>
      </c>
      <c r="F233" s="204">
        <v>1</v>
      </c>
      <c r="G233" s="203">
        <v>1</v>
      </c>
      <c r="H233" s="204">
        <v>1</v>
      </c>
      <c r="I233" s="204">
        <v>1</v>
      </c>
      <c r="J233" s="204">
        <v>1</v>
      </c>
      <c r="K233" s="205">
        <v>1</v>
      </c>
      <c r="M233" s="288">
        <v>1</v>
      </c>
      <c r="N233" s="204">
        <v>1</v>
      </c>
      <c r="O233" s="288">
        <v>1</v>
      </c>
      <c r="P233" s="288">
        <v>1</v>
      </c>
    </row>
    <row r="234" spans="1:16" ht="15.9" customHeight="1">
      <c r="A234" s="160" t="s">
        <v>573</v>
      </c>
      <c r="B234" s="239">
        <v>1</v>
      </c>
      <c r="C234" s="240">
        <v>1</v>
      </c>
      <c r="D234" s="240">
        <v>1</v>
      </c>
      <c r="E234" s="240">
        <v>1</v>
      </c>
      <c r="F234" s="240">
        <v>1</v>
      </c>
      <c r="G234" s="239">
        <v>1</v>
      </c>
      <c r="H234" s="240">
        <v>1</v>
      </c>
      <c r="I234" s="240">
        <v>1</v>
      </c>
      <c r="J234" s="240">
        <v>1</v>
      </c>
      <c r="K234" s="262">
        <v>1</v>
      </c>
      <c r="M234" s="300">
        <v>1</v>
      </c>
      <c r="N234" s="240">
        <v>1</v>
      </c>
      <c r="O234" s="300">
        <v>1</v>
      </c>
      <c r="P234" s="300">
        <v>1</v>
      </c>
    </row>
    <row r="235" spans="1:16" ht="15.9" customHeight="1">
      <c r="A235" s="160" t="s">
        <v>14</v>
      </c>
      <c r="B235" s="203" t="s">
        <v>1636</v>
      </c>
      <c r="C235" s="204" t="s">
        <v>1637</v>
      </c>
      <c r="D235" s="204" t="s">
        <v>1638</v>
      </c>
      <c r="E235" s="204" t="s">
        <v>1639</v>
      </c>
      <c r="F235" s="204" t="s">
        <v>1640</v>
      </c>
      <c r="G235" s="203" t="s">
        <v>1641</v>
      </c>
      <c r="H235" s="204" t="s">
        <v>726</v>
      </c>
      <c r="I235" s="204" t="s">
        <v>1642</v>
      </c>
      <c r="J235" s="204" t="s">
        <v>1643</v>
      </c>
      <c r="K235" s="205" t="s">
        <v>1644</v>
      </c>
      <c r="M235" s="288" t="s">
        <v>1645</v>
      </c>
      <c r="N235" s="204" t="s">
        <v>1646</v>
      </c>
      <c r="O235" s="288" t="s">
        <v>1647</v>
      </c>
      <c r="P235" s="301" t="s">
        <v>1648</v>
      </c>
    </row>
    <row r="236" spans="1:16" ht="15.9" customHeight="1">
      <c r="A236" s="242" t="s">
        <v>584</v>
      </c>
      <c r="B236" s="243" t="s">
        <v>1423</v>
      </c>
      <c r="C236" s="243" t="s">
        <v>1422</v>
      </c>
      <c r="D236" s="243" t="s">
        <v>1422</v>
      </c>
      <c r="E236" s="243" t="s">
        <v>1422</v>
      </c>
      <c r="F236" s="243" t="s">
        <v>1422</v>
      </c>
      <c r="G236" s="243" t="s">
        <v>1423</v>
      </c>
      <c r="H236" s="243" t="s">
        <v>1422</v>
      </c>
      <c r="I236" s="243" t="s">
        <v>1422</v>
      </c>
      <c r="J236" s="243" t="s">
        <v>1422</v>
      </c>
      <c r="K236" s="243" t="s">
        <v>1422</v>
      </c>
      <c r="M236" s="302" t="s">
        <v>1423</v>
      </c>
      <c r="N236" s="244" t="s">
        <v>1423</v>
      </c>
      <c r="O236" s="302" t="s">
        <v>1423</v>
      </c>
      <c r="P236" s="302" t="s">
        <v>1423</v>
      </c>
    </row>
    <row r="237" spans="1:16" ht="15.9" customHeight="1">
      <c r="A237" s="160" t="s">
        <v>1424</v>
      </c>
      <c r="B237" s="213">
        <v>0</v>
      </c>
      <c r="C237" s="214">
        <v>0.3</v>
      </c>
      <c r="D237" s="214">
        <v>0.2</v>
      </c>
      <c r="E237" s="214">
        <v>0</v>
      </c>
      <c r="F237" s="214">
        <v>0</v>
      </c>
      <c r="G237" s="213">
        <v>0</v>
      </c>
      <c r="H237" s="214">
        <v>0</v>
      </c>
      <c r="I237" s="214">
        <v>0</v>
      </c>
      <c r="J237" s="214">
        <v>0</v>
      </c>
      <c r="K237" s="215">
        <v>0</v>
      </c>
      <c r="M237" s="291">
        <v>0</v>
      </c>
      <c r="N237" s="214">
        <v>0</v>
      </c>
      <c r="O237" s="291">
        <v>0</v>
      </c>
      <c r="P237" s="291">
        <v>0</v>
      </c>
    </row>
    <row r="238" spans="1:16" ht="15.9" customHeight="1">
      <c r="A238" s="160" t="s">
        <v>36</v>
      </c>
      <c r="B238" s="246" t="s">
        <v>1649</v>
      </c>
      <c r="C238" s="247" t="s">
        <v>1650</v>
      </c>
      <c r="D238" s="247" t="s">
        <v>1651</v>
      </c>
      <c r="E238" s="247" t="s">
        <v>1652</v>
      </c>
      <c r="F238" s="247" t="s">
        <v>1653</v>
      </c>
      <c r="G238" s="246" t="s">
        <v>1654</v>
      </c>
      <c r="H238" s="247" t="s">
        <v>1655</v>
      </c>
      <c r="I238" s="247" t="s">
        <v>1656</v>
      </c>
      <c r="J238" s="247" t="s">
        <v>1657</v>
      </c>
      <c r="K238" s="267" t="s">
        <v>1658</v>
      </c>
      <c r="M238" s="247" t="s">
        <v>1659</v>
      </c>
      <c r="N238" s="247" t="s">
        <v>1660</v>
      </c>
      <c r="O238" s="303" t="s">
        <v>1660</v>
      </c>
      <c r="P238" s="303" t="s">
        <v>1660</v>
      </c>
    </row>
    <row r="239" spans="1:16" ht="15.9" customHeight="1">
      <c r="A239" s="160" t="s">
        <v>1428</v>
      </c>
      <c r="B239" s="249">
        <v>200</v>
      </c>
      <c r="C239" s="250">
        <v>200</v>
      </c>
      <c r="D239" s="250">
        <v>200</v>
      </c>
      <c r="E239" s="250">
        <v>200</v>
      </c>
      <c r="F239" s="250">
        <v>200</v>
      </c>
      <c r="G239" s="249">
        <v>200</v>
      </c>
      <c r="H239" s="250">
        <v>200</v>
      </c>
      <c r="I239" s="250">
        <v>200</v>
      </c>
      <c r="J239" s="250">
        <v>200</v>
      </c>
      <c r="K239" s="263">
        <v>200</v>
      </c>
      <c r="M239" s="304">
        <v>200</v>
      </c>
      <c r="N239" s="250">
        <v>200</v>
      </c>
      <c r="O239" s="304">
        <v>200</v>
      </c>
      <c r="P239" s="304">
        <v>200</v>
      </c>
    </row>
    <row r="240" spans="1:16" ht="31.75" customHeight="1">
      <c r="A240" s="160" t="s">
        <v>1429</v>
      </c>
      <c r="B240" s="305" t="s">
        <v>1661</v>
      </c>
      <c r="C240" s="250" t="s">
        <v>726</v>
      </c>
      <c r="D240" s="250" t="s">
        <v>1662</v>
      </c>
      <c r="E240" s="250" t="s">
        <v>1663</v>
      </c>
      <c r="F240" s="250" t="s">
        <v>1664</v>
      </c>
      <c r="G240" s="249" t="s">
        <v>1665</v>
      </c>
      <c r="H240" s="277" t="s">
        <v>1666</v>
      </c>
      <c r="I240" s="250" t="s">
        <v>1545</v>
      </c>
      <c r="J240" s="250" t="s">
        <v>1667</v>
      </c>
      <c r="K240" s="263" t="s">
        <v>1668</v>
      </c>
      <c r="M240" s="304" t="s">
        <v>1669</v>
      </c>
      <c r="N240" s="250" t="s">
        <v>726</v>
      </c>
      <c r="O240" s="304" t="s">
        <v>1670</v>
      </c>
      <c r="P240" s="304" t="s">
        <v>1670</v>
      </c>
    </row>
    <row r="241" spans="1:16" ht="31.75" customHeight="1">
      <c r="A241" s="160" t="s">
        <v>1440</v>
      </c>
      <c r="B241" s="306" t="s">
        <v>1671</v>
      </c>
      <c r="C241" s="307" t="s">
        <v>1672</v>
      </c>
      <c r="D241" s="281" t="s">
        <v>1673</v>
      </c>
      <c r="E241" s="281" t="s">
        <v>1674</v>
      </c>
      <c r="F241" s="281" t="s">
        <v>1675</v>
      </c>
      <c r="G241" s="308" t="s">
        <v>1676</v>
      </c>
      <c r="H241" s="281" t="s">
        <v>726</v>
      </c>
      <c r="I241" s="307" t="s">
        <v>1677</v>
      </c>
      <c r="J241" s="309" t="s">
        <v>1678</v>
      </c>
      <c r="K241" s="310" t="s">
        <v>1679</v>
      </c>
      <c r="M241" s="304" t="s">
        <v>1680</v>
      </c>
      <c r="N241" s="250" t="s">
        <v>1681</v>
      </c>
      <c r="O241" s="304" t="s">
        <v>1682</v>
      </c>
      <c r="P241" s="311" t="s">
        <v>1683</v>
      </c>
    </row>
    <row r="242" spans="1:16" ht="15.9" customHeight="1">
      <c r="O242" s="304"/>
      <c r="P242" s="304"/>
    </row>
    <row r="243" spans="1:16" ht="12.75" customHeight="1">
      <c r="B243" s="800" t="s">
        <v>1684</v>
      </c>
      <c r="C243" s="801"/>
      <c r="D243" s="801"/>
      <c r="E243" s="801"/>
      <c r="F243" s="801"/>
      <c r="G243" s="801"/>
      <c r="H243" s="801"/>
      <c r="I243" s="801"/>
      <c r="J243" s="801"/>
      <c r="K243" s="801"/>
    </row>
    <row r="244" spans="1:16" ht="12.75" customHeight="1">
      <c r="B244" s="801"/>
      <c r="C244" s="801"/>
      <c r="D244" s="801"/>
      <c r="E244" s="801"/>
      <c r="F244" s="801"/>
      <c r="G244" s="801"/>
      <c r="H244" s="801"/>
      <c r="I244" s="801"/>
      <c r="J244" s="801"/>
      <c r="K244" s="801"/>
    </row>
    <row r="245" spans="1:16" ht="12.75" customHeight="1">
      <c r="B245" s="801"/>
      <c r="C245" s="801"/>
      <c r="D245" s="801"/>
      <c r="E245" s="801"/>
      <c r="F245" s="801"/>
      <c r="G245" s="801"/>
      <c r="H245" s="801"/>
      <c r="I245" s="801"/>
      <c r="J245" s="801"/>
      <c r="K245" s="801"/>
    </row>
    <row r="246" spans="1:16" ht="12.75" customHeight="1">
      <c r="B246" s="801"/>
      <c r="C246" s="801"/>
      <c r="D246" s="801"/>
      <c r="E246" s="801"/>
      <c r="F246" s="801"/>
      <c r="G246" s="801"/>
      <c r="H246" s="801"/>
      <c r="I246" s="801"/>
      <c r="J246" s="801"/>
      <c r="K246" s="801"/>
    </row>
    <row r="247" spans="1:16" ht="12.75" customHeight="1">
      <c r="B247" s="801"/>
      <c r="C247" s="801"/>
      <c r="D247" s="801"/>
      <c r="E247" s="801"/>
      <c r="F247" s="801"/>
      <c r="G247" s="801"/>
      <c r="H247" s="801"/>
      <c r="I247" s="801"/>
      <c r="J247" s="801"/>
      <c r="K247" s="801"/>
    </row>
    <row r="248" spans="1:16" ht="12.75" customHeight="1">
      <c r="B248" s="801"/>
      <c r="C248" s="801"/>
      <c r="D248" s="801"/>
      <c r="E248" s="801"/>
      <c r="F248" s="801"/>
      <c r="G248" s="801"/>
      <c r="H248" s="801"/>
      <c r="I248" s="801"/>
      <c r="J248" s="801"/>
      <c r="K248" s="801"/>
    </row>
    <row r="249" spans="1:16" ht="14.6" customHeight="1"/>
    <row r="250" spans="1:16" ht="15.9" customHeight="1">
      <c r="A250" s="160" t="s">
        <v>1397</v>
      </c>
      <c r="B250" s="186" t="s">
        <v>1685</v>
      </c>
      <c r="C250" s="186" t="s">
        <v>1686</v>
      </c>
      <c r="D250" s="186" t="s">
        <v>1687</v>
      </c>
      <c r="E250" s="186" t="s">
        <v>1688</v>
      </c>
      <c r="F250" s="186" t="s">
        <v>1689</v>
      </c>
      <c r="G250" s="186" t="s">
        <v>1690</v>
      </c>
      <c r="H250" s="186" t="s">
        <v>1691</v>
      </c>
      <c r="I250" s="186" t="s">
        <v>1692</v>
      </c>
      <c r="J250" s="186" t="s">
        <v>1693</v>
      </c>
      <c r="K250" s="186" t="s">
        <v>1694</v>
      </c>
      <c r="M250" s="186" t="s">
        <v>1695</v>
      </c>
      <c r="N250" s="186" t="s">
        <v>1695</v>
      </c>
    </row>
    <row r="251" spans="1:16" ht="15.9" customHeight="1">
      <c r="A251" s="160" t="s">
        <v>1407</v>
      </c>
      <c r="B251" s="163" t="s">
        <v>1363</v>
      </c>
      <c r="C251" s="167" t="s">
        <v>1367</v>
      </c>
      <c r="D251" s="169" t="s">
        <v>1369</v>
      </c>
      <c r="E251" s="171" t="s">
        <v>1371</v>
      </c>
      <c r="F251" s="189" t="s">
        <v>1374</v>
      </c>
      <c r="G251" s="175" t="s">
        <v>1377</v>
      </c>
      <c r="H251" s="176" t="s">
        <v>1379</v>
      </c>
      <c r="I251" s="177" t="s">
        <v>1381</v>
      </c>
      <c r="J251" s="178" t="s">
        <v>1383</v>
      </c>
      <c r="K251" s="180" t="s">
        <v>1385</v>
      </c>
      <c r="M251" s="165" t="s">
        <v>1365</v>
      </c>
      <c r="N251" s="181" t="s">
        <v>1387</v>
      </c>
    </row>
    <row r="252" spans="1:16" ht="15.9" customHeight="1">
      <c r="A252" s="160" t="s">
        <v>1408</v>
      </c>
      <c r="B252" s="192" t="s">
        <v>1366</v>
      </c>
      <c r="C252" s="192" t="s">
        <v>1366</v>
      </c>
      <c r="D252" s="192" t="s">
        <v>1366</v>
      </c>
      <c r="E252" s="192" t="s">
        <v>1366</v>
      </c>
      <c r="F252" s="192" t="s">
        <v>1366</v>
      </c>
      <c r="G252" s="192" t="s">
        <v>1366</v>
      </c>
      <c r="H252" s="192" t="s">
        <v>1366</v>
      </c>
      <c r="I252" s="192" t="s">
        <v>1366</v>
      </c>
      <c r="J252" s="192" t="s">
        <v>1366</v>
      </c>
      <c r="K252" s="192" t="s">
        <v>1366</v>
      </c>
      <c r="M252" s="192" t="s">
        <v>1366</v>
      </c>
      <c r="N252" s="192" t="s">
        <v>1366</v>
      </c>
    </row>
    <row r="253" spans="1:16" ht="15.9" customHeight="1">
      <c r="A253" s="194" t="s">
        <v>542</v>
      </c>
      <c r="B253" s="312" t="s">
        <v>1696</v>
      </c>
      <c r="C253" s="312" t="s">
        <v>1697</v>
      </c>
      <c r="D253" s="312" t="s">
        <v>1697</v>
      </c>
      <c r="E253" s="312" t="s">
        <v>1697</v>
      </c>
      <c r="F253" s="312" t="s">
        <v>1697</v>
      </c>
      <c r="G253" s="312" t="s">
        <v>1698</v>
      </c>
      <c r="H253" s="312" t="s">
        <v>1697</v>
      </c>
      <c r="I253" s="312" t="s">
        <v>1697</v>
      </c>
      <c r="J253" s="312" t="s">
        <v>1697</v>
      </c>
      <c r="K253" s="312" t="s">
        <v>1559</v>
      </c>
      <c r="M253" s="312" t="s">
        <v>1697</v>
      </c>
      <c r="N253" s="312" t="s">
        <v>1697</v>
      </c>
    </row>
    <row r="254" spans="1:16" ht="15.9" customHeight="1">
      <c r="A254" s="198" t="s">
        <v>1410</v>
      </c>
      <c r="B254" s="200" t="s">
        <v>726</v>
      </c>
      <c r="C254" s="200" t="s">
        <v>726</v>
      </c>
      <c r="D254" s="200" t="s">
        <v>726</v>
      </c>
      <c r="E254" s="200" t="s">
        <v>726</v>
      </c>
      <c r="F254" s="200" t="s">
        <v>726</v>
      </c>
      <c r="G254" s="200" t="s">
        <v>726</v>
      </c>
      <c r="H254" s="200" t="s">
        <v>726</v>
      </c>
      <c r="I254" s="200" t="s">
        <v>726</v>
      </c>
      <c r="J254" s="200" t="s">
        <v>726</v>
      </c>
      <c r="K254" s="200" t="s">
        <v>726</v>
      </c>
      <c r="M254" s="200" t="s">
        <v>726</v>
      </c>
      <c r="N254" s="200" t="s">
        <v>726</v>
      </c>
    </row>
    <row r="255" spans="1:16" ht="15.9" customHeight="1">
      <c r="A255" s="202" t="s">
        <v>546</v>
      </c>
      <c r="B255" s="204">
        <v>4</v>
      </c>
      <c r="C255" s="204">
        <v>4</v>
      </c>
      <c r="D255" s="204">
        <v>4</v>
      </c>
      <c r="E255" s="204">
        <v>4</v>
      </c>
      <c r="F255" s="204">
        <v>4</v>
      </c>
      <c r="G255" s="204">
        <v>4</v>
      </c>
      <c r="H255" s="204">
        <v>4</v>
      </c>
      <c r="I255" s="204">
        <v>4</v>
      </c>
      <c r="J255" s="204">
        <v>4</v>
      </c>
      <c r="K255" s="204">
        <v>0</v>
      </c>
      <c r="M255" s="204">
        <v>4</v>
      </c>
      <c r="N255" s="204">
        <v>4</v>
      </c>
    </row>
    <row r="256" spans="1:16" ht="15.9" customHeight="1">
      <c r="A256" s="206" t="s">
        <v>548</v>
      </c>
      <c r="B256" s="208">
        <v>4</v>
      </c>
      <c r="C256" s="208">
        <v>4</v>
      </c>
      <c r="D256" s="208">
        <v>4</v>
      </c>
      <c r="E256" s="208">
        <v>4</v>
      </c>
      <c r="F256" s="208">
        <v>4</v>
      </c>
      <c r="G256" s="208">
        <v>4</v>
      </c>
      <c r="H256" s="208">
        <v>4</v>
      </c>
      <c r="I256" s="208">
        <v>4</v>
      </c>
      <c r="J256" s="208">
        <v>4</v>
      </c>
      <c r="K256" s="208">
        <v>0</v>
      </c>
      <c r="M256" s="208">
        <v>4</v>
      </c>
      <c r="N256" s="208">
        <v>4</v>
      </c>
    </row>
    <row r="257" spans="1:14" ht="15.9" customHeight="1">
      <c r="A257" s="160" t="s">
        <v>1412</v>
      </c>
      <c r="B257" s="211">
        <v>0</v>
      </c>
      <c r="C257" s="211">
        <v>0</v>
      </c>
      <c r="D257" s="211">
        <v>0</v>
      </c>
      <c r="E257" s="211">
        <v>0</v>
      </c>
      <c r="F257" s="211">
        <v>0</v>
      </c>
      <c r="G257" s="211">
        <v>0</v>
      </c>
      <c r="H257" s="211">
        <v>0</v>
      </c>
      <c r="I257" s="211">
        <v>0</v>
      </c>
      <c r="J257" s="211">
        <v>0</v>
      </c>
      <c r="K257" s="211">
        <v>1</v>
      </c>
      <c r="M257" s="211">
        <v>0</v>
      </c>
      <c r="N257" s="211">
        <v>0</v>
      </c>
    </row>
    <row r="258" spans="1:14" ht="15.9" customHeight="1">
      <c r="A258" s="160" t="s">
        <v>1413</v>
      </c>
      <c r="B258" s="214">
        <v>0</v>
      </c>
      <c r="C258" s="214">
        <v>0</v>
      </c>
      <c r="D258" s="214">
        <v>0</v>
      </c>
      <c r="E258" s="214">
        <v>0</v>
      </c>
      <c r="F258" s="214">
        <v>0</v>
      </c>
      <c r="G258" s="214">
        <v>0</v>
      </c>
      <c r="H258" s="214">
        <v>0</v>
      </c>
      <c r="I258" s="214">
        <v>0</v>
      </c>
      <c r="J258" s="214">
        <v>1</v>
      </c>
      <c r="K258" s="214">
        <v>0</v>
      </c>
      <c r="M258" s="214">
        <v>1</v>
      </c>
      <c r="N258" s="214">
        <v>1</v>
      </c>
    </row>
    <row r="259" spans="1:14" ht="15.9" customHeight="1">
      <c r="A259" s="160" t="s">
        <v>1414</v>
      </c>
      <c r="B259" s="217">
        <v>0</v>
      </c>
      <c r="C259" s="217">
        <v>0</v>
      </c>
      <c r="D259" s="217">
        <v>0</v>
      </c>
      <c r="E259" s="217">
        <v>0</v>
      </c>
      <c r="F259" s="217">
        <v>0</v>
      </c>
      <c r="G259" s="217">
        <v>0</v>
      </c>
      <c r="H259" s="217">
        <v>1</v>
      </c>
      <c r="I259" s="217">
        <v>0</v>
      </c>
      <c r="J259" s="217">
        <v>0</v>
      </c>
      <c r="K259" s="217">
        <v>0</v>
      </c>
      <c r="M259" s="217">
        <v>0</v>
      </c>
      <c r="N259" s="217">
        <v>0</v>
      </c>
    </row>
    <row r="260" spans="1:14" ht="15.9" customHeight="1">
      <c r="A260" s="160" t="s">
        <v>1415</v>
      </c>
      <c r="B260" s="220">
        <v>0</v>
      </c>
      <c r="C260" s="220">
        <v>0</v>
      </c>
      <c r="D260" s="220">
        <v>1</v>
      </c>
      <c r="E260" s="220">
        <v>0</v>
      </c>
      <c r="F260" s="220">
        <v>0</v>
      </c>
      <c r="G260" s="220">
        <v>0</v>
      </c>
      <c r="H260" s="220">
        <v>0</v>
      </c>
      <c r="I260" s="220">
        <v>0</v>
      </c>
      <c r="J260" s="220">
        <v>0</v>
      </c>
      <c r="K260" s="220">
        <v>0</v>
      </c>
      <c r="M260" s="220">
        <v>0</v>
      </c>
      <c r="N260" s="220">
        <v>0</v>
      </c>
    </row>
    <row r="261" spans="1:14" ht="15.9" customHeight="1">
      <c r="A261" s="313" t="s">
        <v>1416</v>
      </c>
      <c r="B261" s="224">
        <v>0</v>
      </c>
      <c r="C261" s="224">
        <v>0</v>
      </c>
      <c r="D261" s="224">
        <v>0</v>
      </c>
      <c r="E261" s="224">
        <v>0</v>
      </c>
      <c r="F261" s="224">
        <v>1</v>
      </c>
      <c r="G261" s="224">
        <v>0</v>
      </c>
      <c r="H261" s="224">
        <v>0</v>
      </c>
      <c r="I261" s="224">
        <v>0</v>
      </c>
      <c r="J261" s="224">
        <v>0</v>
      </c>
      <c r="K261" s="224">
        <v>0</v>
      </c>
      <c r="M261" s="224">
        <v>0</v>
      </c>
      <c r="N261" s="224">
        <v>0</v>
      </c>
    </row>
    <row r="262" spans="1:14" ht="15.9" customHeight="1">
      <c r="A262" s="160" t="s">
        <v>1417</v>
      </c>
      <c r="B262" s="227">
        <v>0</v>
      </c>
      <c r="C262" s="227">
        <v>0</v>
      </c>
      <c r="D262" s="227">
        <v>0</v>
      </c>
      <c r="E262" s="227">
        <v>0</v>
      </c>
      <c r="F262" s="227">
        <v>0</v>
      </c>
      <c r="G262" s="227">
        <v>0</v>
      </c>
      <c r="H262" s="227">
        <v>0</v>
      </c>
      <c r="I262" s="227">
        <v>1</v>
      </c>
      <c r="J262" s="227">
        <v>0</v>
      </c>
      <c r="K262" s="227">
        <v>0</v>
      </c>
      <c r="M262" s="227">
        <v>0</v>
      </c>
      <c r="N262" s="227">
        <v>0</v>
      </c>
    </row>
    <row r="263" spans="1:14" ht="15.9" customHeight="1">
      <c r="A263" s="160" t="s">
        <v>1418</v>
      </c>
      <c r="B263" s="230">
        <v>0</v>
      </c>
      <c r="C263" s="230">
        <v>0</v>
      </c>
      <c r="D263" s="230">
        <v>0</v>
      </c>
      <c r="E263" s="230">
        <v>1</v>
      </c>
      <c r="F263" s="230">
        <v>0</v>
      </c>
      <c r="G263" s="230">
        <v>0</v>
      </c>
      <c r="H263" s="230">
        <v>0</v>
      </c>
      <c r="I263" s="230">
        <v>0</v>
      </c>
      <c r="J263" s="230">
        <v>0</v>
      </c>
      <c r="K263" s="230">
        <v>0</v>
      </c>
      <c r="M263" s="230">
        <v>0</v>
      </c>
      <c r="N263" s="230">
        <v>0</v>
      </c>
    </row>
    <row r="264" spans="1:14" ht="15.9" customHeight="1">
      <c r="A264" s="160" t="s">
        <v>1419</v>
      </c>
      <c r="B264" s="233">
        <v>1</v>
      </c>
      <c r="C264" s="233">
        <v>0</v>
      </c>
      <c r="D264" s="233">
        <v>0</v>
      </c>
      <c r="E264" s="233">
        <v>0</v>
      </c>
      <c r="F264" s="233">
        <v>0</v>
      </c>
      <c r="G264" s="233">
        <v>1</v>
      </c>
      <c r="H264" s="233">
        <v>0</v>
      </c>
      <c r="I264" s="233">
        <v>0</v>
      </c>
      <c r="J264" s="233">
        <v>0</v>
      </c>
      <c r="K264" s="233">
        <v>0</v>
      </c>
      <c r="M264" s="233">
        <v>0</v>
      </c>
      <c r="N264" s="233">
        <v>0</v>
      </c>
    </row>
    <row r="265" spans="1:14" ht="15.9" customHeight="1">
      <c r="A265" s="160" t="s">
        <v>1420</v>
      </c>
      <c r="B265" s="236">
        <v>1</v>
      </c>
      <c r="C265" s="236">
        <v>1</v>
      </c>
      <c r="D265" s="236">
        <v>0</v>
      </c>
      <c r="E265" s="236">
        <v>0</v>
      </c>
      <c r="F265" s="236">
        <v>0</v>
      </c>
      <c r="G265" s="236">
        <v>0</v>
      </c>
      <c r="H265" s="236">
        <v>0</v>
      </c>
      <c r="I265" s="236">
        <v>0</v>
      </c>
      <c r="J265" s="236">
        <v>0</v>
      </c>
      <c r="K265" s="236">
        <v>0</v>
      </c>
      <c r="M265" s="236">
        <v>0</v>
      </c>
      <c r="N265" s="236">
        <v>0</v>
      </c>
    </row>
    <row r="266" spans="1:14" ht="15.9" customHeight="1">
      <c r="A266" s="160" t="s">
        <v>570</v>
      </c>
      <c r="B266" s="204">
        <v>4</v>
      </c>
      <c r="C266" s="204">
        <v>4</v>
      </c>
      <c r="D266" s="204">
        <v>4</v>
      </c>
      <c r="E266" s="204">
        <v>4</v>
      </c>
      <c r="F266" s="204">
        <v>4</v>
      </c>
      <c r="G266" s="204" t="s">
        <v>1699</v>
      </c>
      <c r="H266" s="204">
        <v>4</v>
      </c>
      <c r="I266" s="204">
        <v>4</v>
      </c>
      <c r="J266" s="204">
        <v>4</v>
      </c>
      <c r="K266" s="204">
        <v>4</v>
      </c>
      <c r="M266" s="204">
        <v>1</v>
      </c>
      <c r="N266" s="204">
        <v>1</v>
      </c>
    </row>
    <row r="267" spans="1:14" ht="15.9" customHeight="1">
      <c r="A267" s="160" t="s">
        <v>572</v>
      </c>
      <c r="B267" s="204">
        <v>4</v>
      </c>
      <c r="C267" s="204">
        <v>4</v>
      </c>
      <c r="D267" s="204">
        <v>4</v>
      </c>
      <c r="E267" s="204">
        <v>4</v>
      </c>
      <c r="F267" s="204">
        <v>4</v>
      </c>
      <c r="G267" s="204">
        <v>4</v>
      </c>
      <c r="H267" s="204">
        <v>4</v>
      </c>
      <c r="I267" s="204">
        <v>4</v>
      </c>
      <c r="J267" s="204">
        <v>4</v>
      </c>
      <c r="K267" s="204">
        <v>4</v>
      </c>
      <c r="M267" s="204">
        <v>1</v>
      </c>
      <c r="N267" s="204">
        <v>1</v>
      </c>
    </row>
    <row r="268" spans="1:14" ht="15.9" customHeight="1">
      <c r="A268" s="160" t="s">
        <v>573</v>
      </c>
      <c r="B268" s="240">
        <v>4</v>
      </c>
      <c r="C268" s="240">
        <v>4</v>
      </c>
      <c r="D268" s="240">
        <v>4</v>
      </c>
      <c r="E268" s="240">
        <v>4</v>
      </c>
      <c r="F268" s="240">
        <v>4</v>
      </c>
      <c r="G268" s="240">
        <v>4</v>
      </c>
      <c r="H268" s="240">
        <v>4</v>
      </c>
      <c r="I268" s="240">
        <v>4</v>
      </c>
      <c r="J268" s="240">
        <v>4</v>
      </c>
      <c r="K268" s="240">
        <v>4</v>
      </c>
      <c r="M268" s="240">
        <v>1</v>
      </c>
      <c r="N268" s="240">
        <v>1</v>
      </c>
    </row>
    <row r="269" spans="1:14" ht="15.9" customHeight="1">
      <c r="A269" s="160" t="s">
        <v>14</v>
      </c>
      <c r="B269" s="204" t="s">
        <v>1700</v>
      </c>
      <c r="C269" s="204" t="s">
        <v>1700</v>
      </c>
      <c r="D269" s="204" t="s">
        <v>1700</v>
      </c>
      <c r="E269" s="204" t="s">
        <v>1700</v>
      </c>
      <c r="F269" s="204" t="s">
        <v>1700</v>
      </c>
      <c r="G269" s="204" t="s">
        <v>1700</v>
      </c>
      <c r="H269" s="204" t="s">
        <v>1700</v>
      </c>
      <c r="I269" s="204" t="s">
        <v>1700</v>
      </c>
      <c r="J269" s="204" t="s">
        <v>1700</v>
      </c>
      <c r="K269" s="204" t="s">
        <v>1700</v>
      </c>
      <c r="M269" s="204" t="s">
        <v>1700</v>
      </c>
      <c r="N269" s="204" t="s">
        <v>1700</v>
      </c>
    </row>
    <row r="270" spans="1:14" ht="15.9" customHeight="1">
      <c r="A270" s="242" t="s">
        <v>584</v>
      </c>
      <c r="B270" s="244" t="s">
        <v>1422</v>
      </c>
      <c r="C270" s="244" t="s">
        <v>1422</v>
      </c>
      <c r="D270" s="244" t="s">
        <v>1422</v>
      </c>
      <c r="E270" s="244" t="s">
        <v>1422</v>
      </c>
      <c r="F270" s="244" t="s">
        <v>1422</v>
      </c>
      <c r="G270" s="244" t="s">
        <v>1422</v>
      </c>
      <c r="H270" s="244" t="s">
        <v>1422</v>
      </c>
      <c r="I270" s="244" t="s">
        <v>1422</v>
      </c>
      <c r="J270" s="244" t="s">
        <v>1422</v>
      </c>
      <c r="K270" s="244" t="s">
        <v>1422</v>
      </c>
      <c r="M270" s="244" t="s">
        <v>1422</v>
      </c>
      <c r="N270" s="244" t="s">
        <v>1422</v>
      </c>
    </row>
    <row r="271" spans="1:14" ht="15.9" customHeight="1">
      <c r="A271" s="160" t="s">
        <v>1701</v>
      </c>
      <c r="B271" s="214">
        <v>0</v>
      </c>
      <c r="C271" s="214">
        <v>0</v>
      </c>
      <c r="D271" s="214">
        <v>0</v>
      </c>
      <c r="E271" s="214">
        <v>0</v>
      </c>
      <c r="F271" s="214">
        <v>0</v>
      </c>
      <c r="G271" s="214">
        <v>0</v>
      </c>
      <c r="H271" s="214">
        <v>0</v>
      </c>
      <c r="I271" s="214">
        <v>0</v>
      </c>
      <c r="J271" s="214">
        <v>0</v>
      </c>
      <c r="K271" s="214">
        <v>0</v>
      </c>
      <c r="M271" s="214">
        <v>0</v>
      </c>
      <c r="N271" s="214">
        <v>0</v>
      </c>
    </row>
    <row r="272" spans="1:14" ht="15.9" customHeight="1">
      <c r="A272" s="160" t="s">
        <v>36</v>
      </c>
      <c r="B272" s="247" t="s">
        <v>1702</v>
      </c>
      <c r="C272" s="247" t="s">
        <v>1702</v>
      </c>
      <c r="D272" s="247" t="s">
        <v>1702</v>
      </c>
      <c r="E272" s="247" t="s">
        <v>1702</v>
      </c>
      <c r="F272" s="247" t="s">
        <v>1702</v>
      </c>
      <c r="G272" s="247" t="s">
        <v>1702</v>
      </c>
      <c r="H272" s="247" t="s">
        <v>1702</v>
      </c>
      <c r="I272" s="247" t="s">
        <v>1702</v>
      </c>
      <c r="J272" s="247" t="s">
        <v>1702</v>
      </c>
      <c r="K272" s="247" t="s">
        <v>1702</v>
      </c>
      <c r="M272" s="247" t="s">
        <v>1703</v>
      </c>
      <c r="N272" s="247" t="s">
        <v>1703</v>
      </c>
    </row>
    <row r="273" spans="1:14" ht="15.9" customHeight="1">
      <c r="A273" s="160" t="s">
        <v>1428</v>
      </c>
      <c r="B273" s="250">
        <v>400</v>
      </c>
      <c r="C273" s="250">
        <v>400</v>
      </c>
      <c r="D273" s="250">
        <v>400</v>
      </c>
      <c r="E273" s="250">
        <v>400</v>
      </c>
      <c r="F273" s="250">
        <v>400</v>
      </c>
      <c r="G273" s="250">
        <v>400</v>
      </c>
      <c r="H273" s="250">
        <v>400</v>
      </c>
      <c r="I273" s="250">
        <v>400</v>
      </c>
      <c r="J273" s="250">
        <v>400</v>
      </c>
      <c r="K273" s="250">
        <v>400</v>
      </c>
      <c r="M273" s="250">
        <v>400</v>
      </c>
      <c r="N273" s="250">
        <v>400</v>
      </c>
    </row>
    <row r="274" spans="1:14" ht="15.9" customHeight="1">
      <c r="A274" s="160" t="s">
        <v>593</v>
      </c>
      <c r="B274" s="250">
        <v>4</v>
      </c>
      <c r="C274" s="250">
        <v>4</v>
      </c>
      <c r="D274" s="250">
        <v>4</v>
      </c>
      <c r="E274" s="250">
        <v>4</v>
      </c>
      <c r="F274" s="250">
        <v>4</v>
      </c>
      <c r="G274" s="250">
        <v>4</v>
      </c>
      <c r="H274" s="250">
        <v>4</v>
      </c>
      <c r="I274" s="250">
        <v>4</v>
      </c>
      <c r="J274" s="250">
        <v>4</v>
      </c>
      <c r="K274" s="250">
        <v>4</v>
      </c>
      <c r="M274" s="250">
        <v>2</v>
      </c>
      <c r="N274" s="250">
        <v>2</v>
      </c>
    </row>
    <row r="275" spans="1:14" ht="15.9" customHeight="1">
      <c r="A275" s="160" t="s">
        <v>1429</v>
      </c>
      <c r="B275" s="250" t="s">
        <v>1430</v>
      </c>
      <c r="C275" s="250" t="s">
        <v>1431</v>
      </c>
      <c r="D275" s="250" t="s">
        <v>1432</v>
      </c>
      <c r="E275" s="250" t="s">
        <v>1433</v>
      </c>
      <c r="F275" s="250" t="s">
        <v>1434</v>
      </c>
      <c r="G275" s="250" t="s">
        <v>1435</v>
      </c>
      <c r="H275" s="250" t="s">
        <v>1430</v>
      </c>
      <c r="I275" s="250" t="s">
        <v>1436</v>
      </c>
      <c r="J275" s="250" t="s">
        <v>1437</v>
      </c>
      <c r="K275" s="250" t="s">
        <v>1438</v>
      </c>
      <c r="M275" s="250" t="s">
        <v>1704</v>
      </c>
      <c r="N275" s="250" t="s">
        <v>1704</v>
      </c>
    </row>
    <row r="276" spans="1:14" ht="15.9" customHeight="1">
      <c r="A276" s="160" t="s">
        <v>1440</v>
      </c>
      <c r="B276" s="158" t="s">
        <v>726</v>
      </c>
      <c r="C276" s="158" t="s">
        <v>1705</v>
      </c>
      <c r="D276" s="158" t="s">
        <v>1706</v>
      </c>
      <c r="E276" s="158" t="s">
        <v>1707</v>
      </c>
      <c r="F276" s="158" t="s">
        <v>1708</v>
      </c>
      <c r="G276" s="158" t="s">
        <v>726</v>
      </c>
      <c r="H276" s="158" t="s">
        <v>1709</v>
      </c>
      <c r="I276" s="158" t="s">
        <v>1710</v>
      </c>
      <c r="J276" s="158" t="s">
        <v>1711</v>
      </c>
      <c r="K276" s="158" t="s">
        <v>1569</v>
      </c>
      <c r="M276" s="158" t="s">
        <v>1712</v>
      </c>
      <c r="N276" s="158" t="s">
        <v>1712</v>
      </c>
    </row>
    <row r="277" spans="1:14" ht="29.15" customHeight="1">
      <c r="A277" s="160" t="s">
        <v>1713</v>
      </c>
      <c r="B277" s="158" t="s">
        <v>726</v>
      </c>
      <c r="C277" s="158" t="s">
        <v>726</v>
      </c>
      <c r="D277" s="158" t="s">
        <v>726</v>
      </c>
      <c r="E277" s="314" t="s">
        <v>1714</v>
      </c>
      <c r="F277" s="158" t="s">
        <v>726</v>
      </c>
      <c r="G277" s="158" t="s">
        <v>726</v>
      </c>
      <c r="H277" s="158" t="s">
        <v>726</v>
      </c>
      <c r="I277" s="158" t="s">
        <v>726</v>
      </c>
      <c r="J277" s="158" t="s">
        <v>726</v>
      </c>
      <c r="K277" s="158" t="s">
        <v>726</v>
      </c>
      <c r="M277" s="158" t="s">
        <v>726</v>
      </c>
      <c r="N277" s="158" t="s">
        <v>726</v>
      </c>
    </row>
    <row r="279" spans="1:14" ht="15.9" customHeight="1">
      <c r="A279" s="160" t="s">
        <v>1397</v>
      </c>
      <c r="B279" s="255" t="s">
        <v>1715</v>
      </c>
      <c r="C279" s="255" t="s">
        <v>1716</v>
      </c>
      <c r="D279" s="255" t="s">
        <v>1717</v>
      </c>
      <c r="E279" s="255" t="s">
        <v>1718</v>
      </c>
      <c r="F279" s="255" t="s">
        <v>1719</v>
      </c>
      <c r="G279" s="255" t="s">
        <v>1720</v>
      </c>
      <c r="H279" s="255" t="s">
        <v>1721</v>
      </c>
      <c r="I279" s="255" t="s">
        <v>1722</v>
      </c>
      <c r="J279" s="255" t="s">
        <v>1723</v>
      </c>
      <c r="K279" s="255" t="s">
        <v>1724</v>
      </c>
      <c r="M279" s="255" t="s">
        <v>1725</v>
      </c>
      <c r="N279" s="255" t="s">
        <v>1725</v>
      </c>
    </row>
    <row r="280" spans="1:14" ht="15.9" customHeight="1">
      <c r="A280" s="160" t="s">
        <v>1407</v>
      </c>
      <c r="B280" s="163" t="s">
        <v>1363</v>
      </c>
      <c r="C280" s="167" t="s">
        <v>1367</v>
      </c>
      <c r="D280" s="169" t="s">
        <v>1369</v>
      </c>
      <c r="E280" s="171" t="s">
        <v>1371</v>
      </c>
      <c r="F280" s="189" t="s">
        <v>1374</v>
      </c>
      <c r="G280" s="175" t="s">
        <v>1377</v>
      </c>
      <c r="H280" s="176" t="s">
        <v>1379</v>
      </c>
      <c r="I280" s="177" t="s">
        <v>1381</v>
      </c>
      <c r="J280" s="178" t="s">
        <v>1383</v>
      </c>
      <c r="K280" s="180" t="s">
        <v>1385</v>
      </c>
      <c r="M280" s="165" t="s">
        <v>1365</v>
      </c>
      <c r="N280" s="181" t="s">
        <v>1387</v>
      </c>
    </row>
    <row r="281" spans="1:14" ht="15.9" customHeight="1">
      <c r="A281" s="160" t="s">
        <v>1408</v>
      </c>
      <c r="B281" s="160" t="s">
        <v>1376</v>
      </c>
      <c r="C281" s="160" t="s">
        <v>1376</v>
      </c>
      <c r="D281" s="160" t="s">
        <v>1376</v>
      </c>
      <c r="E281" s="160" t="s">
        <v>1376</v>
      </c>
      <c r="F281" s="160" t="s">
        <v>1376</v>
      </c>
      <c r="G281" s="160" t="s">
        <v>1376</v>
      </c>
      <c r="H281" s="160" t="s">
        <v>1376</v>
      </c>
      <c r="I281" s="160" t="s">
        <v>1376</v>
      </c>
      <c r="J281" s="160" t="s">
        <v>1376</v>
      </c>
      <c r="K281" s="160" t="s">
        <v>1376</v>
      </c>
      <c r="M281" s="160" t="s">
        <v>1376</v>
      </c>
      <c r="N281" s="160" t="s">
        <v>1376</v>
      </c>
    </row>
    <row r="282" spans="1:14" ht="15.9" customHeight="1">
      <c r="A282" s="194" t="s">
        <v>542</v>
      </c>
      <c r="B282" s="196" t="s">
        <v>1697</v>
      </c>
      <c r="C282" s="196" t="s">
        <v>1559</v>
      </c>
      <c r="D282" s="196" t="s">
        <v>1559</v>
      </c>
      <c r="E282" s="196" t="s">
        <v>1559</v>
      </c>
      <c r="F282" s="196" t="s">
        <v>1559</v>
      </c>
      <c r="G282" s="196" t="s">
        <v>1559</v>
      </c>
      <c r="H282" s="196" t="s">
        <v>1559</v>
      </c>
      <c r="I282" s="196" t="s">
        <v>1559</v>
      </c>
      <c r="J282" s="196" t="s">
        <v>1511</v>
      </c>
      <c r="K282" s="196" t="s">
        <v>1559</v>
      </c>
      <c r="M282" s="196" t="s">
        <v>1511</v>
      </c>
      <c r="N282" s="196" t="s">
        <v>1511</v>
      </c>
    </row>
    <row r="283" spans="1:14" ht="15.9" customHeight="1">
      <c r="A283" s="198" t="s">
        <v>1410</v>
      </c>
      <c r="B283" s="200" t="s">
        <v>726</v>
      </c>
      <c r="C283" s="200" t="s">
        <v>726</v>
      </c>
      <c r="D283" s="200" t="s">
        <v>726</v>
      </c>
      <c r="E283" s="200" t="s">
        <v>1697</v>
      </c>
      <c r="F283" s="200" t="s">
        <v>1559</v>
      </c>
      <c r="G283" s="200" t="s">
        <v>1726</v>
      </c>
      <c r="H283" s="200" t="s">
        <v>726</v>
      </c>
      <c r="I283" s="200" t="s">
        <v>726</v>
      </c>
      <c r="J283" s="200" t="s">
        <v>726</v>
      </c>
      <c r="K283" s="200" t="s">
        <v>726</v>
      </c>
      <c r="M283" s="200" t="s">
        <v>726</v>
      </c>
      <c r="N283" s="200" t="s">
        <v>726</v>
      </c>
    </row>
    <row r="284" spans="1:14" ht="15.9" customHeight="1">
      <c r="A284" s="202" t="s">
        <v>546</v>
      </c>
      <c r="B284" s="204">
        <v>4</v>
      </c>
      <c r="C284" s="204">
        <v>4</v>
      </c>
      <c r="D284" s="204">
        <v>4</v>
      </c>
      <c r="E284" s="204">
        <v>4</v>
      </c>
      <c r="F284" s="204">
        <v>4</v>
      </c>
      <c r="G284" s="204">
        <v>4</v>
      </c>
      <c r="H284" s="204">
        <v>4</v>
      </c>
      <c r="I284" s="204">
        <v>6</v>
      </c>
      <c r="J284" s="204">
        <v>0</v>
      </c>
      <c r="K284" s="204">
        <v>4</v>
      </c>
      <c r="M284" s="204">
        <v>0</v>
      </c>
      <c r="N284" s="204">
        <v>0</v>
      </c>
    </row>
    <row r="285" spans="1:14" ht="15.9" customHeight="1">
      <c r="A285" s="206" t="s">
        <v>548</v>
      </c>
      <c r="B285" s="208">
        <v>4</v>
      </c>
      <c r="C285" s="208">
        <v>4</v>
      </c>
      <c r="D285" s="208">
        <v>4</v>
      </c>
      <c r="E285" s="208">
        <v>4</v>
      </c>
      <c r="F285" s="208">
        <v>4</v>
      </c>
      <c r="G285" s="208">
        <v>4</v>
      </c>
      <c r="H285" s="208">
        <v>4</v>
      </c>
      <c r="I285" s="208">
        <v>4</v>
      </c>
      <c r="J285" s="208">
        <v>0</v>
      </c>
      <c r="K285" s="208">
        <v>4</v>
      </c>
      <c r="M285" s="208">
        <v>0</v>
      </c>
      <c r="N285" s="208">
        <v>0</v>
      </c>
    </row>
    <row r="286" spans="1:14" ht="15.9" customHeight="1">
      <c r="A286" s="160" t="s">
        <v>1412</v>
      </c>
      <c r="B286" s="211">
        <v>0</v>
      </c>
      <c r="C286" s="211">
        <v>0</v>
      </c>
      <c r="D286" s="211">
        <v>0</v>
      </c>
      <c r="E286" s="211">
        <v>0</v>
      </c>
      <c r="F286" s="211">
        <v>0</v>
      </c>
      <c r="G286" s="211">
        <v>0</v>
      </c>
      <c r="H286" s="211">
        <v>0</v>
      </c>
      <c r="I286" s="211">
        <v>0</v>
      </c>
      <c r="J286" s="211">
        <v>0</v>
      </c>
      <c r="K286" s="211">
        <v>0.2</v>
      </c>
      <c r="M286" s="211">
        <v>0</v>
      </c>
      <c r="N286" s="211">
        <v>0</v>
      </c>
    </row>
    <row r="287" spans="1:14" ht="15.9" customHeight="1">
      <c r="A287" s="160" t="s">
        <v>1413</v>
      </c>
      <c r="B287" s="214">
        <v>0</v>
      </c>
      <c r="C287" s="214">
        <v>0</v>
      </c>
      <c r="D287" s="214">
        <v>0</v>
      </c>
      <c r="E287" s="214">
        <v>0</v>
      </c>
      <c r="F287" s="214">
        <v>0</v>
      </c>
      <c r="G287" s="214">
        <v>0</v>
      </c>
      <c r="H287" s="214">
        <v>0</v>
      </c>
      <c r="I287" s="214">
        <v>0</v>
      </c>
      <c r="J287" s="214">
        <v>0.2</v>
      </c>
      <c r="K287" s="214">
        <v>0</v>
      </c>
      <c r="M287" s="214">
        <v>0</v>
      </c>
      <c r="N287" s="214">
        <v>0</v>
      </c>
    </row>
    <row r="288" spans="1:14" ht="15.9" customHeight="1">
      <c r="A288" s="160" t="s">
        <v>1414</v>
      </c>
      <c r="B288" s="217">
        <v>0</v>
      </c>
      <c r="C288" s="217">
        <v>0</v>
      </c>
      <c r="D288" s="217">
        <v>0</v>
      </c>
      <c r="E288" s="217">
        <v>0</v>
      </c>
      <c r="F288" s="217">
        <v>0</v>
      </c>
      <c r="G288" s="217">
        <v>0</v>
      </c>
      <c r="H288" s="217">
        <v>0.2</v>
      </c>
      <c r="I288" s="217">
        <v>0</v>
      </c>
      <c r="J288" s="217">
        <v>0</v>
      </c>
      <c r="K288" s="217">
        <v>0</v>
      </c>
      <c r="M288" s="217">
        <v>0</v>
      </c>
      <c r="N288" s="217">
        <v>0</v>
      </c>
    </row>
    <row r="289" spans="1:14" ht="15.9" customHeight="1">
      <c r="A289" s="160" t="s">
        <v>1415</v>
      </c>
      <c r="B289" s="220">
        <v>0</v>
      </c>
      <c r="C289" s="220">
        <v>0</v>
      </c>
      <c r="D289" s="220">
        <v>0.2</v>
      </c>
      <c r="E289" s="220">
        <v>0</v>
      </c>
      <c r="F289" s="220">
        <v>0</v>
      </c>
      <c r="G289" s="220">
        <v>0</v>
      </c>
      <c r="H289" s="220">
        <v>0</v>
      </c>
      <c r="I289" s="220">
        <v>0</v>
      </c>
      <c r="J289" s="220">
        <v>0</v>
      </c>
      <c r="K289" s="220">
        <v>0</v>
      </c>
      <c r="M289" s="220">
        <v>0</v>
      </c>
      <c r="N289" s="220">
        <v>0</v>
      </c>
    </row>
    <row r="290" spans="1:14" ht="15.9" customHeight="1">
      <c r="A290" s="313" t="s">
        <v>1416</v>
      </c>
      <c r="B290" s="224">
        <v>0</v>
      </c>
      <c r="C290" s="224">
        <v>0</v>
      </c>
      <c r="D290" s="224">
        <v>0</v>
      </c>
      <c r="E290" s="224">
        <v>0</v>
      </c>
      <c r="F290" s="224">
        <v>0</v>
      </c>
      <c r="G290" s="224">
        <v>0</v>
      </c>
      <c r="H290" s="224">
        <v>0</v>
      </c>
      <c r="I290" s="224">
        <v>0</v>
      </c>
      <c r="J290" s="224">
        <v>0</v>
      </c>
      <c r="K290" s="224">
        <v>0</v>
      </c>
      <c r="M290" s="224">
        <v>0</v>
      </c>
      <c r="N290" s="224">
        <v>0</v>
      </c>
    </row>
    <row r="291" spans="1:14" ht="15.9" customHeight="1">
      <c r="A291" s="160" t="s">
        <v>1417</v>
      </c>
      <c r="B291" s="227">
        <v>0</v>
      </c>
      <c r="C291" s="227">
        <v>0</v>
      </c>
      <c r="D291" s="227">
        <v>0</v>
      </c>
      <c r="E291" s="227">
        <v>0</v>
      </c>
      <c r="F291" s="227">
        <v>0</v>
      </c>
      <c r="G291" s="227">
        <v>0</v>
      </c>
      <c r="H291" s="227">
        <v>0</v>
      </c>
      <c r="I291" s="227">
        <v>0.2</v>
      </c>
      <c r="J291" s="227">
        <v>0</v>
      </c>
      <c r="K291" s="227">
        <v>0</v>
      </c>
      <c r="M291" s="227">
        <v>0</v>
      </c>
      <c r="N291" s="227">
        <v>0</v>
      </c>
    </row>
    <row r="292" spans="1:14" ht="15.9" customHeight="1">
      <c r="A292" s="160" t="s">
        <v>1418</v>
      </c>
      <c r="B292" s="230">
        <v>0</v>
      </c>
      <c r="C292" s="230">
        <v>0</v>
      </c>
      <c r="D292" s="230">
        <v>0</v>
      </c>
      <c r="E292" s="230">
        <v>0.2</v>
      </c>
      <c r="F292" s="230">
        <v>0</v>
      </c>
      <c r="G292" s="230">
        <v>0</v>
      </c>
      <c r="H292" s="230">
        <v>0</v>
      </c>
      <c r="I292" s="230">
        <v>0</v>
      </c>
      <c r="J292" s="230">
        <v>0</v>
      </c>
      <c r="K292" s="230">
        <v>0</v>
      </c>
      <c r="M292" s="230">
        <v>0</v>
      </c>
      <c r="N292" s="230">
        <v>0</v>
      </c>
    </row>
    <row r="293" spans="1:14" ht="15.9" customHeight="1">
      <c r="A293" s="160" t="s">
        <v>1419</v>
      </c>
      <c r="B293" s="233">
        <v>0</v>
      </c>
      <c r="C293" s="233">
        <v>0</v>
      </c>
      <c r="D293" s="233">
        <v>0</v>
      </c>
      <c r="E293" s="233">
        <v>0</v>
      </c>
      <c r="F293" s="233">
        <v>0</v>
      </c>
      <c r="G293" s="233">
        <v>0.2</v>
      </c>
      <c r="H293" s="233">
        <v>0</v>
      </c>
      <c r="I293" s="233">
        <v>0</v>
      </c>
      <c r="J293" s="233">
        <v>0</v>
      </c>
      <c r="K293" s="233">
        <v>0</v>
      </c>
      <c r="M293" s="233">
        <v>0</v>
      </c>
      <c r="N293" s="233">
        <v>0</v>
      </c>
    </row>
    <row r="294" spans="1:14" ht="15.9" customHeight="1">
      <c r="A294" s="160" t="s">
        <v>1420</v>
      </c>
      <c r="B294" s="236">
        <v>0</v>
      </c>
      <c r="C294" s="236">
        <v>0.2</v>
      </c>
      <c r="D294" s="236">
        <v>0</v>
      </c>
      <c r="E294" s="236">
        <v>0</v>
      </c>
      <c r="F294" s="236">
        <v>0</v>
      </c>
      <c r="G294" s="236">
        <v>0</v>
      </c>
      <c r="H294" s="236">
        <v>0</v>
      </c>
      <c r="I294" s="236">
        <v>0</v>
      </c>
      <c r="J294" s="236">
        <v>0</v>
      </c>
      <c r="K294" s="236">
        <v>0</v>
      </c>
      <c r="M294" s="236">
        <v>0.2</v>
      </c>
      <c r="N294" s="236">
        <v>0.2</v>
      </c>
    </row>
    <row r="295" spans="1:14" ht="15.9" customHeight="1">
      <c r="A295" s="160" t="s">
        <v>570</v>
      </c>
      <c r="B295" s="204">
        <v>4</v>
      </c>
      <c r="C295" s="204">
        <v>4</v>
      </c>
      <c r="D295" s="204">
        <v>4</v>
      </c>
      <c r="E295" s="204">
        <v>4</v>
      </c>
      <c r="F295" s="204">
        <v>4</v>
      </c>
      <c r="G295" s="204">
        <v>4</v>
      </c>
      <c r="H295" s="204">
        <v>4</v>
      </c>
      <c r="I295" s="204">
        <v>4</v>
      </c>
      <c r="J295" s="204">
        <v>4</v>
      </c>
      <c r="K295" s="204">
        <v>4</v>
      </c>
      <c r="M295" s="204">
        <v>1</v>
      </c>
      <c r="N295" s="204">
        <v>1</v>
      </c>
    </row>
    <row r="296" spans="1:14" ht="15.9" customHeight="1">
      <c r="A296" s="160" t="s">
        <v>572</v>
      </c>
      <c r="B296" s="204">
        <v>4</v>
      </c>
      <c r="C296" s="204">
        <v>4</v>
      </c>
      <c r="D296" s="204">
        <v>4</v>
      </c>
      <c r="E296" s="204">
        <v>4</v>
      </c>
      <c r="F296" s="204">
        <v>4</v>
      </c>
      <c r="G296" s="204">
        <v>4</v>
      </c>
      <c r="H296" s="204">
        <v>4</v>
      </c>
      <c r="I296" s="204">
        <v>4</v>
      </c>
      <c r="J296" s="204">
        <v>4</v>
      </c>
      <c r="K296" s="204">
        <v>4</v>
      </c>
      <c r="M296" s="204">
        <v>1</v>
      </c>
      <c r="N296" s="204">
        <v>1</v>
      </c>
    </row>
    <row r="297" spans="1:14" ht="15.9" customHeight="1">
      <c r="A297" s="160" t="s">
        <v>573</v>
      </c>
      <c r="B297" s="240">
        <v>4</v>
      </c>
      <c r="C297" s="240">
        <v>4</v>
      </c>
      <c r="D297" s="240">
        <v>4</v>
      </c>
      <c r="E297" s="240">
        <v>4</v>
      </c>
      <c r="F297" s="240">
        <v>4</v>
      </c>
      <c r="G297" s="240">
        <v>4</v>
      </c>
      <c r="H297" s="240">
        <v>4</v>
      </c>
      <c r="I297" s="240">
        <v>4</v>
      </c>
      <c r="J297" s="240">
        <v>4</v>
      </c>
      <c r="K297" s="240">
        <v>4</v>
      </c>
      <c r="M297" s="240">
        <v>1</v>
      </c>
      <c r="N297" s="240">
        <v>1</v>
      </c>
    </row>
    <row r="298" spans="1:14" ht="15.9" customHeight="1">
      <c r="A298" s="160" t="s">
        <v>14</v>
      </c>
      <c r="B298" s="204" t="s">
        <v>1727</v>
      </c>
      <c r="C298" s="204" t="s">
        <v>1728</v>
      </c>
      <c r="D298" s="204" t="s">
        <v>1727</v>
      </c>
      <c r="E298" s="204" t="s">
        <v>1729</v>
      </c>
      <c r="F298" s="204" t="s">
        <v>1730</v>
      </c>
      <c r="G298" s="204" t="s">
        <v>726</v>
      </c>
      <c r="H298" s="204" t="s">
        <v>1727</v>
      </c>
      <c r="I298" s="204" t="s">
        <v>1727</v>
      </c>
      <c r="J298" s="204" t="s">
        <v>1727</v>
      </c>
      <c r="K298" s="204" t="s">
        <v>1727</v>
      </c>
      <c r="M298" s="204" t="s">
        <v>1727</v>
      </c>
      <c r="N298" s="204" t="s">
        <v>1727</v>
      </c>
    </row>
    <row r="299" spans="1:14" ht="15.9" customHeight="1">
      <c r="A299" s="242" t="s">
        <v>584</v>
      </c>
      <c r="B299" s="244" t="s">
        <v>1422</v>
      </c>
      <c r="C299" s="244" t="s">
        <v>1422</v>
      </c>
      <c r="D299" s="244" t="s">
        <v>1422</v>
      </c>
      <c r="E299" s="244" t="s">
        <v>1422</v>
      </c>
      <c r="F299" s="244" t="s">
        <v>1422</v>
      </c>
      <c r="G299" s="244" t="s">
        <v>1422</v>
      </c>
      <c r="H299" s="244" t="s">
        <v>1422</v>
      </c>
      <c r="I299" s="244" t="s">
        <v>1422</v>
      </c>
      <c r="J299" s="244" t="s">
        <v>1422</v>
      </c>
      <c r="K299" s="244" t="s">
        <v>1422</v>
      </c>
      <c r="M299" s="244" t="s">
        <v>1422</v>
      </c>
      <c r="N299" s="244" t="s">
        <v>1422</v>
      </c>
    </row>
    <row r="300" spans="1:14" ht="15.9" customHeight="1">
      <c r="A300" s="160" t="s">
        <v>1701</v>
      </c>
      <c r="B300" s="214">
        <v>0</v>
      </c>
      <c r="C300" s="214">
        <v>0</v>
      </c>
      <c r="D300" s="214">
        <v>0</v>
      </c>
      <c r="E300" s="214">
        <v>0</v>
      </c>
      <c r="F300" s="214">
        <v>0</v>
      </c>
      <c r="G300" s="214">
        <v>0</v>
      </c>
      <c r="H300" s="214">
        <v>0</v>
      </c>
      <c r="I300" s="214">
        <v>0</v>
      </c>
      <c r="J300" s="214">
        <v>0</v>
      </c>
      <c r="K300" s="214">
        <v>0</v>
      </c>
      <c r="M300" s="214">
        <v>0</v>
      </c>
      <c r="N300" s="214">
        <v>0</v>
      </c>
    </row>
    <row r="301" spans="1:14" ht="15.9" customHeight="1">
      <c r="A301" s="160" t="s">
        <v>36</v>
      </c>
      <c r="B301" s="247" t="s">
        <v>1731</v>
      </c>
      <c r="C301" s="247" t="s">
        <v>1732</v>
      </c>
      <c r="D301" s="247" t="s">
        <v>1733</v>
      </c>
      <c r="E301" s="247" t="s">
        <v>1734</v>
      </c>
      <c r="F301" s="247" t="s">
        <v>1735</v>
      </c>
      <c r="G301" s="247" t="s">
        <v>1736</v>
      </c>
      <c r="H301" s="247" t="s">
        <v>1737</v>
      </c>
      <c r="I301" s="247" t="s">
        <v>1738</v>
      </c>
      <c r="J301" s="247" t="s">
        <v>1739</v>
      </c>
      <c r="K301" s="247" t="s">
        <v>1740</v>
      </c>
      <c r="M301" s="247" t="s">
        <v>1732</v>
      </c>
      <c r="N301" s="247" t="s">
        <v>1732</v>
      </c>
    </row>
    <row r="302" spans="1:14" ht="15.9" customHeight="1">
      <c r="A302" s="160" t="s">
        <v>1428</v>
      </c>
      <c r="B302" s="250">
        <v>400</v>
      </c>
      <c r="C302" s="250">
        <v>400</v>
      </c>
      <c r="D302" s="250">
        <v>400</v>
      </c>
      <c r="E302" s="250">
        <v>400</v>
      </c>
      <c r="F302" s="250">
        <v>400</v>
      </c>
      <c r="G302" s="250">
        <v>400</v>
      </c>
      <c r="H302" s="250">
        <v>400</v>
      </c>
      <c r="I302" s="250">
        <v>400</v>
      </c>
      <c r="J302" s="250">
        <v>400</v>
      </c>
      <c r="K302" s="250">
        <v>400</v>
      </c>
      <c r="M302" s="250">
        <v>400</v>
      </c>
      <c r="N302" s="250">
        <v>400</v>
      </c>
    </row>
    <row r="303" spans="1:14" ht="15.9" customHeight="1">
      <c r="A303" s="160" t="s">
        <v>593</v>
      </c>
      <c r="B303" s="250">
        <v>4</v>
      </c>
      <c r="C303" s="250">
        <v>4</v>
      </c>
      <c r="D303" s="250">
        <v>4</v>
      </c>
      <c r="E303" s="250">
        <v>4</v>
      </c>
      <c r="F303" s="250">
        <v>4</v>
      </c>
      <c r="G303" s="250">
        <v>4</v>
      </c>
      <c r="H303" s="250">
        <v>4</v>
      </c>
      <c r="I303" s="250">
        <v>4</v>
      </c>
      <c r="J303" s="250">
        <v>4</v>
      </c>
      <c r="K303" s="250">
        <v>4</v>
      </c>
      <c r="M303" s="250">
        <v>2</v>
      </c>
      <c r="N303" s="250">
        <v>2</v>
      </c>
    </row>
    <row r="304" spans="1:14" ht="15.9" customHeight="1">
      <c r="A304" s="160" t="s">
        <v>1429</v>
      </c>
      <c r="B304" s="250" t="s">
        <v>726</v>
      </c>
      <c r="C304" s="250" t="s">
        <v>1741</v>
      </c>
      <c r="D304" s="250" t="s">
        <v>1742</v>
      </c>
      <c r="E304" s="250" t="s">
        <v>1662</v>
      </c>
      <c r="F304" s="250" t="s">
        <v>1743</v>
      </c>
      <c r="G304" s="250" t="s">
        <v>1744</v>
      </c>
      <c r="H304" s="250" t="s">
        <v>1745</v>
      </c>
      <c r="I304" s="250" t="s">
        <v>1746</v>
      </c>
      <c r="J304" s="250" t="s">
        <v>1747</v>
      </c>
      <c r="K304" s="250" t="s">
        <v>1569</v>
      </c>
      <c r="M304" s="250" t="s">
        <v>1748</v>
      </c>
      <c r="N304" s="250" t="s">
        <v>1748</v>
      </c>
    </row>
    <row r="305" spans="1:14" ht="29.15" customHeight="1">
      <c r="A305" s="160" t="s">
        <v>1440</v>
      </c>
      <c r="B305" s="158" t="s">
        <v>1749</v>
      </c>
      <c r="C305" s="158" t="s">
        <v>726</v>
      </c>
      <c r="D305" s="158" t="s">
        <v>1749</v>
      </c>
      <c r="E305" s="158" t="s">
        <v>1750</v>
      </c>
      <c r="F305" s="314" t="s">
        <v>1751</v>
      </c>
      <c r="G305" s="158" t="s">
        <v>1752</v>
      </c>
      <c r="H305" s="158" t="s">
        <v>1753</v>
      </c>
      <c r="I305" s="158" t="s">
        <v>1754</v>
      </c>
      <c r="J305" s="158" t="s">
        <v>726</v>
      </c>
      <c r="K305" s="158" t="s">
        <v>1749</v>
      </c>
      <c r="M305" s="158" t="s">
        <v>726</v>
      </c>
      <c r="N305" s="158" t="s">
        <v>726</v>
      </c>
    </row>
    <row r="306" spans="1:14" ht="15.9" customHeight="1">
      <c r="A306" s="160" t="s">
        <v>1713</v>
      </c>
      <c r="B306" s="315" t="s">
        <v>726</v>
      </c>
      <c r="C306" s="158" t="s">
        <v>726</v>
      </c>
      <c r="D306" s="158" t="s">
        <v>726</v>
      </c>
      <c r="E306" s="158" t="s">
        <v>1755</v>
      </c>
      <c r="F306" s="158" t="s">
        <v>1756</v>
      </c>
      <c r="G306" s="158" t="s">
        <v>1757</v>
      </c>
      <c r="H306" s="158" t="s">
        <v>726</v>
      </c>
      <c r="I306" s="158" t="s">
        <v>726</v>
      </c>
      <c r="J306" s="158" t="s">
        <v>726</v>
      </c>
      <c r="K306" s="158" t="s">
        <v>726</v>
      </c>
      <c r="M306" s="158" t="s">
        <v>726</v>
      </c>
      <c r="N306" s="158" t="s">
        <v>726</v>
      </c>
    </row>
    <row r="308" spans="1:14" ht="15.9" customHeight="1">
      <c r="A308" s="160" t="s">
        <v>1397</v>
      </c>
      <c r="B308" s="255" t="s">
        <v>1758</v>
      </c>
      <c r="C308" s="255" t="s">
        <v>1759</v>
      </c>
      <c r="D308" s="255" t="s">
        <v>1760</v>
      </c>
      <c r="E308" s="255" t="s">
        <v>1761</v>
      </c>
      <c r="F308" s="255" t="s">
        <v>1762</v>
      </c>
      <c r="G308" s="255" t="s">
        <v>1763</v>
      </c>
      <c r="H308" s="255" t="s">
        <v>1764</v>
      </c>
      <c r="I308" s="255" t="s">
        <v>1765</v>
      </c>
      <c r="J308" s="255" t="s">
        <v>1766</v>
      </c>
      <c r="K308" s="255" t="s">
        <v>1767</v>
      </c>
      <c r="M308" s="255" t="s">
        <v>1768</v>
      </c>
      <c r="N308" s="255" t="s">
        <v>1768</v>
      </c>
    </row>
    <row r="309" spans="1:14" ht="15.9" customHeight="1">
      <c r="A309" s="160" t="s">
        <v>1407</v>
      </c>
      <c r="B309" s="163" t="s">
        <v>1363</v>
      </c>
      <c r="C309" s="167" t="s">
        <v>1367</v>
      </c>
      <c r="D309" s="169" t="s">
        <v>1369</v>
      </c>
      <c r="E309" s="171" t="s">
        <v>1371</v>
      </c>
      <c r="F309" s="189" t="s">
        <v>1374</v>
      </c>
      <c r="G309" s="175" t="s">
        <v>1377</v>
      </c>
      <c r="H309" s="176" t="s">
        <v>1379</v>
      </c>
      <c r="I309" s="177" t="s">
        <v>1381</v>
      </c>
      <c r="J309" s="178" t="s">
        <v>1383</v>
      </c>
      <c r="K309" s="180" t="s">
        <v>1385</v>
      </c>
      <c r="M309" s="165" t="s">
        <v>1365</v>
      </c>
      <c r="N309" s="181" t="s">
        <v>1387</v>
      </c>
    </row>
    <row r="310" spans="1:14" ht="15.9" customHeight="1">
      <c r="A310" s="160" t="s">
        <v>1408</v>
      </c>
      <c r="B310" s="160" t="s">
        <v>1376</v>
      </c>
      <c r="C310" s="160" t="s">
        <v>1376</v>
      </c>
      <c r="D310" s="160" t="s">
        <v>1376</v>
      </c>
      <c r="E310" s="160" t="s">
        <v>1376</v>
      </c>
      <c r="F310" s="160" t="s">
        <v>1376</v>
      </c>
      <c r="G310" s="160" t="s">
        <v>1376</v>
      </c>
      <c r="H310" s="160" t="s">
        <v>1376</v>
      </c>
      <c r="I310" s="160" t="s">
        <v>1376</v>
      </c>
      <c r="J310" s="160" t="s">
        <v>1376</v>
      </c>
      <c r="K310" s="160" t="s">
        <v>1376</v>
      </c>
      <c r="M310" s="160" t="s">
        <v>1376</v>
      </c>
      <c r="N310" s="160" t="s">
        <v>1376</v>
      </c>
    </row>
    <row r="311" spans="1:14" ht="15.9" customHeight="1">
      <c r="A311" s="194" t="s">
        <v>542</v>
      </c>
      <c r="B311" s="196" t="s">
        <v>1769</v>
      </c>
      <c r="C311" s="196" t="s">
        <v>1698</v>
      </c>
      <c r="D311" s="196" t="s">
        <v>1697</v>
      </c>
      <c r="E311" s="196" t="s">
        <v>1697</v>
      </c>
      <c r="F311" s="196" t="s">
        <v>1697</v>
      </c>
      <c r="G311" s="196" t="s">
        <v>1697</v>
      </c>
      <c r="H311" s="196" t="s">
        <v>1697</v>
      </c>
      <c r="I311" s="196" t="s">
        <v>1770</v>
      </c>
      <c r="J311" s="196" t="s">
        <v>1697</v>
      </c>
      <c r="K311" s="196" t="s">
        <v>1769</v>
      </c>
      <c r="M311" s="196" t="s">
        <v>1697</v>
      </c>
      <c r="N311" s="196" t="s">
        <v>1697</v>
      </c>
    </row>
    <row r="312" spans="1:14" ht="15.9" customHeight="1">
      <c r="A312" s="198" t="s">
        <v>1410</v>
      </c>
      <c r="B312" s="200" t="s">
        <v>1697</v>
      </c>
      <c r="C312" s="200" t="s">
        <v>726</v>
      </c>
      <c r="D312" s="200" t="s">
        <v>1697</v>
      </c>
      <c r="E312" s="200" t="s">
        <v>1697</v>
      </c>
      <c r="F312" s="200" t="s">
        <v>1697</v>
      </c>
      <c r="G312" s="200" t="s">
        <v>1697</v>
      </c>
      <c r="H312" s="200" t="s">
        <v>1697</v>
      </c>
      <c r="I312" s="200" t="s">
        <v>726</v>
      </c>
      <c r="J312" s="200" t="s">
        <v>1697</v>
      </c>
      <c r="K312" s="200" t="s">
        <v>1697</v>
      </c>
      <c r="M312" s="200" t="s">
        <v>1697</v>
      </c>
      <c r="N312" s="200" t="s">
        <v>1697</v>
      </c>
    </row>
    <row r="313" spans="1:14" ht="15.9" customHeight="1">
      <c r="A313" s="202" t="s">
        <v>546</v>
      </c>
      <c r="B313" s="204">
        <v>4</v>
      </c>
      <c r="C313" s="204">
        <v>5</v>
      </c>
      <c r="D313" s="204">
        <v>4</v>
      </c>
      <c r="E313" s="204">
        <v>4</v>
      </c>
      <c r="F313" s="204">
        <v>4</v>
      </c>
      <c r="G313" s="204">
        <v>4</v>
      </c>
      <c r="H313" s="204">
        <v>4</v>
      </c>
      <c r="I313" s="204">
        <v>5</v>
      </c>
      <c r="J313" s="204">
        <v>4</v>
      </c>
      <c r="K313" s="204">
        <v>5</v>
      </c>
      <c r="L313" s="316"/>
      <c r="M313" s="204">
        <v>4</v>
      </c>
      <c r="N313" s="204">
        <v>4</v>
      </c>
    </row>
    <row r="314" spans="1:14" ht="15.9" customHeight="1">
      <c r="A314" s="206" t="s">
        <v>548</v>
      </c>
      <c r="B314" s="208">
        <v>4</v>
      </c>
      <c r="C314" s="208">
        <v>2</v>
      </c>
      <c r="D314" s="208">
        <v>4</v>
      </c>
      <c r="E314" s="208">
        <v>4</v>
      </c>
      <c r="F314" s="208">
        <v>4</v>
      </c>
      <c r="G314" s="208">
        <v>4</v>
      </c>
      <c r="H314" s="208">
        <v>4</v>
      </c>
      <c r="I314" s="208">
        <v>4</v>
      </c>
      <c r="J314" s="208">
        <v>4</v>
      </c>
      <c r="K314" s="208">
        <v>3</v>
      </c>
      <c r="L314" s="316"/>
      <c r="M314" s="208">
        <v>4</v>
      </c>
      <c r="N314" s="208">
        <v>4</v>
      </c>
    </row>
    <row r="315" spans="1:14" ht="15.9" customHeight="1">
      <c r="A315" s="160" t="s">
        <v>1412</v>
      </c>
      <c r="B315" s="211">
        <v>-0.4</v>
      </c>
      <c r="C315" s="211">
        <v>0</v>
      </c>
      <c r="D315" s="211">
        <v>0</v>
      </c>
      <c r="E315" s="211">
        <v>0</v>
      </c>
      <c r="F315" s="211">
        <v>0.2</v>
      </c>
      <c r="G315" s="211">
        <v>0</v>
      </c>
      <c r="H315" s="211">
        <v>0</v>
      </c>
      <c r="I315" s="211">
        <v>0</v>
      </c>
      <c r="J315" s="211">
        <v>0</v>
      </c>
      <c r="K315" s="211">
        <v>-0.5</v>
      </c>
      <c r="L315" s="316"/>
      <c r="M315" s="211">
        <v>0</v>
      </c>
      <c r="N315" s="211">
        <v>0</v>
      </c>
    </row>
    <row r="316" spans="1:14" ht="15.9" customHeight="1">
      <c r="A316" s="160" t="s">
        <v>1413</v>
      </c>
      <c r="B316" s="214">
        <v>0.4</v>
      </c>
      <c r="C316" s="214">
        <v>0</v>
      </c>
      <c r="D316" s="214">
        <v>0</v>
      </c>
      <c r="E316" s="214">
        <v>0</v>
      </c>
      <c r="F316" s="214">
        <v>0</v>
      </c>
      <c r="G316" s="214">
        <v>0</v>
      </c>
      <c r="H316" s="214">
        <v>0</v>
      </c>
      <c r="I316" s="214">
        <v>0</v>
      </c>
      <c r="J316" s="214">
        <v>0</v>
      </c>
      <c r="K316" s="214">
        <v>0.5</v>
      </c>
      <c r="L316" s="316"/>
      <c r="M316" s="214">
        <v>0</v>
      </c>
      <c r="N316" s="214">
        <v>0</v>
      </c>
    </row>
    <row r="317" spans="1:14" ht="15.9" customHeight="1">
      <c r="A317" s="160" t="s">
        <v>1414</v>
      </c>
      <c r="B317" s="217">
        <v>-0.3</v>
      </c>
      <c r="C317" s="217">
        <v>0</v>
      </c>
      <c r="D317" s="217">
        <v>-0.4</v>
      </c>
      <c r="E317" s="217">
        <v>0</v>
      </c>
      <c r="F317" s="217">
        <v>-0.1</v>
      </c>
      <c r="G317" s="217">
        <v>0</v>
      </c>
      <c r="H317" s="217">
        <v>0.8</v>
      </c>
      <c r="I317" s="217">
        <v>0</v>
      </c>
      <c r="J317" s="217">
        <v>-0.4</v>
      </c>
      <c r="K317" s="217">
        <v>0.5</v>
      </c>
      <c r="L317" s="316"/>
      <c r="M317" s="217">
        <v>-0.4</v>
      </c>
      <c r="N317" s="217">
        <v>-0.4</v>
      </c>
    </row>
    <row r="318" spans="1:14" ht="15.9" customHeight="1">
      <c r="A318" s="160" t="s">
        <v>1415</v>
      </c>
      <c r="B318" s="220">
        <v>-0.3</v>
      </c>
      <c r="C318" s="220">
        <v>0</v>
      </c>
      <c r="D318" s="220">
        <v>0.2</v>
      </c>
      <c r="E318" s="220">
        <v>-0.7</v>
      </c>
      <c r="F318" s="220">
        <v>-0.6</v>
      </c>
      <c r="G318" s="220">
        <v>0</v>
      </c>
      <c r="H318" s="220">
        <v>-0.8</v>
      </c>
      <c r="I318" s="220">
        <v>0</v>
      </c>
      <c r="J318" s="220">
        <v>0</v>
      </c>
      <c r="K318" s="220">
        <v>-0.5</v>
      </c>
      <c r="L318" s="316"/>
      <c r="M318" s="220">
        <v>0</v>
      </c>
      <c r="N318" s="220">
        <v>0</v>
      </c>
    </row>
    <row r="319" spans="1:14" ht="15.9" customHeight="1">
      <c r="A319" s="313" t="s">
        <v>1416</v>
      </c>
      <c r="B319" s="224">
        <v>0.3</v>
      </c>
      <c r="C319" s="224">
        <v>0</v>
      </c>
      <c r="D319" s="224">
        <v>0</v>
      </c>
      <c r="E319" s="224">
        <v>0</v>
      </c>
      <c r="F319" s="224">
        <v>0.2</v>
      </c>
      <c r="G319" s="224">
        <v>-0.8</v>
      </c>
      <c r="H319" s="224">
        <v>0.3</v>
      </c>
      <c r="I319" s="224">
        <v>0</v>
      </c>
      <c r="J319" s="224">
        <v>0</v>
      </c>
      <c r="K319" s="224">
        <v>0.5</v>
      </c>
      <c r="L319" s="316"/>
      <c r="M319" s="224">
        <v>0</v>
      </c>
      <c r="N319" s="224">
        <v>0</v>
      </c>
    </row>
    <row r="320" spans="1:14" ht="15.9" customHeight="1">
      <c r="A320" s="160" t="s">
        <v>1417</v>
      </c>
      <c r="B320" s="227">
        <v>-0.8</v>
      </c>
      <c r="C320" s="227">
        <v>0</v>
      </c>
      <c r="D320" s="227">
        <v>0</v>
      </c>
      <c r="E320" s="227">
        <v>0</v>
      </c>
      <c r="F320" s="227">
        <v>0.2</v>
      </c>
      <c r="G320" s="227">
        <v>0</v>
      </c>
      <c r="H320" s="227">
        <v>0</v>
      </c>
      <c r="I320" s="227">
        <v>0.2</v>
      </c>
      <c r="J320" s="227">
        <v>0</v>
      </c>
      <c r="K320" s="227">
        <v>0</v>
      </c>
      <c r="L320" s="316"/>
      <c r="M320" s="227">
        <v>0</v>
      </c>
      <c r="N320" s="227">
        <v>0</v>
      </c>
    </row>
    <row r="321" spans="1:14" ht="15.9" customHeight="1">
      <c r="A321" s="160" t="s">
        <v>1418</v>
      </c>
      <c r="B321" s="230">
        <v>0.6</v>
      </c>
      <c r="C321" s="230">
        <v>0</v>
      </c>
      <c r="D321" s="230">
        <v>0</v>
      </c>
      <c r="E321" s="230">
        <v>0.2</v>
      </c>
      <c r="F321" s="230">
        <v>-0.6</v>
      </c>
      <c r="G321" s="230">
        <v>0</v>
      </c>
      <c r="H321" s="230">
        <v>-0.2</v>
      </c>
      <c r="I321" s="230">
        <v>0</v>
      </c>
      <c r="J321" s="230">
        <v>0</v>
      </c>
      <c r="K321" s="230">
        <v>-0.2</v>
      </c>
      <c r="L321" s="316"/>
      <c r="M321" s="230">
        <v>0</v>
      </c>
      <c r="N321" s="230">
        <v>0</v>
      </c>
    </row>
    <row r="322" spans="1:14" ht="15.9" customHeight="1">
      <c r="A322" s="160" t="s">
        <v>1419</v>
      </c>
      <c r="B322" s="233">
        <v>-0.3</v>
      </c>
      <c r="C322" s="233">
        <v>0</v>
      </c>
      <c r="D322" s="233">
        <v>0</v>
      </c>
      <c r="E322" s="233">
        <v>0</v>
      </c>
      <c r="F322" s="233">
        <v>0</v>
      </c>
      <c r="G322" s="233">
        <v>0.3</v>
      </c>
      <c r="H322" s="233">
        <v>-0.2</v>
      </c>
      <c r="I322" s="233">
        <v>0</v>
      </c>
      <c r="J322" s="233">
        <v>0</v>
      </c>
      <c r="K322" s="233">
        <v>0</v>
      </c>
      <c r="L322" s="316"/>
      <c r="M322" s="233">
        <v>0</v>
      </c>
      <c r="N322" s="233">
        <v>0</v>
      </c>
    </row>
    <row r="323" spans="1:14" ht="15.9" customHeight="1">
      <c r="A323" s="160" t="s">
        <v>1420</v>
      </c>
      <c r="B323" s="236">
        <v>0</v>
      </c>
      <c r="C323" s="236">
        <v>0</v>
      </c>
      <c r="D323" s="236">
        <v>0</v>
      </c>
      <c r="E323" s="236">
        <v>0</v>
      </c>
      <c r="F323" s="236">
        <v>0.2</v>
      </c>
      <c r="G323" s="236">
        <v>0</v>
      </c>
      <c r="H323" s="236">
        <v>0</v>
      </c>
      <c r="I323" s="236">
        <v>0</v>
      </c>
      <c r="J323" s="236">
        <v>0.3</v>
      </c>
      <c r="K323" s="236">
        <v>0</v>
      </c>
      <c r="L323" s="316"/>
      <c r="M323" s="236">
        <v>0.3</v>
      </c>
      <c r="N323" s="236">
        <v>0.3</v>
      </c>
    </row>
    <row r="324" spans="1:14" ht="15.9" customHeight="1">
      <c r="A324" s="160" t="s">
        <v>570</v>
      </c>
      <c r="B324" s="204">
        <v>4</v>
      </c>
      <c r="C324" s="204">
        <v>4</v>
      </c>
      <c r="D324" s="204">
        <v>4</v>
      </c>
      <c r="E324" s="204">
        <v>4</v>
      </c>
      <c r="F324" s="204">
        <v>4</v>
      </c>
      <c r="G324" s="204">
        <v>4</v>
      </c>
      <c r="H324" s="204">
        <v>4</v>
      </c>
      <c r="I324" s="204">
        <v>4</v>
      </c>
      <c r="J324" s="204">
        <v>4</v>
      </c>
      <c r="K324" s="204">
        <v>4</v>
      </c>
      <c r="L324" s="316"/>
      <c r="M324" s="204">
        <v>1</v>
      </c>
      <c r="N324" s="204">
        <v>1</v>
      </c>
    </row>
    <row r="325" spans="1:14" ht="15.9" customHeight="1">
      <c r="A325" s="160" t="s">
        <v>572</v>
      </c>
      <c r="B325" s="204">
        <v>4</v>
      </c>
      <c r="C325" s="204">
        <v>4</v>
      </c>
      <c r="D325" s="204">
        <v>4</v>
      </c>
      <c r="E325" s="204">
        <v>4</v>
      </c>
      <c r="F325" s="204">
        <v>4</v>
      </c>
      <c r="G325" s="204">
        <v>4</v>
      </c>
      <c r="H325" s="204">
        <v>4</v>
      </c>
      <c r="I325" s="204">
        <v>4</v>
      </c>
      <c r="J325" s="204">
        <v>4</v>
      </c>
      <c r="K325" s="204">
        <v>4</v>
      </c>
      <c r="L325" s="317"/>
      <c r="M325" s="204">
        <v>1</v>
      </c>
      <c r="N325" s="204">
        <v>1</v>
      </c>
    </row>
    <row r="326" spans="1:14" ht="15.9" customHeight="1">
      <c r="A326" s="160" t="s">
        <v>573</v>
      </c>
      <c r="B326" s="240">
        <v>4</v>
      </c>
      <c r="C326" s="240">
        <v>4</v>
      </c>
      <c r="D326" s="240">
        <v>4</v>
      </c>
      <c r="E326" s="240">
        <v>4</v>
      </c>
      <c r="F326" s="240">
        <v>4</v>
      </c>
      <c r="G326" s="240">
        <v>4</v>
      </c>
      <c r="H326" s="240">
        <v>4</v>
      </c>
      <c r="I326" s="240">
        <v>4</v>
      </c>
      <c r="J326" s="240">
        <v>4</v>
      </c>
      <c r="K326" s="240">
        <v>4</v>
      </c>
      <c r="L326" s="317"/>
      <c r="M326" s="240">
        <v>1</v>
      </c>
      <c r="N326" s="240">
        <v>1</v>
      </c>
    </row>
    <row r="327" spans="1:14" ht="15.9" customHeight="1">
      <c r="A327" s="160" t="s">
        <v>14</v>
      </c>
      <c r="B327" s="204" t="s">
        <v>1771</v>
      </c>
      <c r="C327" s="204" t="s">
        <v>1772</v>
      </c>
      <c r="D327" s="250" t="s">
        <v>1773</v>
      </c>
      <c r="E327" s="250" t="s">
        <v>1773</v>
      </c>
      <c r="F327" s="250" t="s">
        <v>1774</v>
      </c>
      <c r="G327" s="250" t="s">
        <v>1773</v>
      </c>
      <c r="H327" s="250" t="s">
        <v>1775</v>
      </c>
      <c r="I327" s="250" t="s">
        <v>1776</v>
      </c>
      <c r="J327" s="250" t="s">
        <v>1773</v>
      </c>
      <c r="K327" s="250" t="s">
        <v>1777</v>
      </c>
      <c r="L327" s="317"/>
      <c r="M327" s="250" t="s">
        <v>1773</v>
      </c>
      <c r="N327" s="250" t="s">
        <v>1773</v>
      </c>
    </row>
    <row r="328" spans="1:14" ht="15.9" customHeight="1">
      <c r="A328" s="242" t="s">
        <v>584</v>
      </c>
      <c r="B328" s="244" t="s">
        <v>1422</v>
      </c>
      <c r="C328" s="244" t="s">
        <v>1422</v>
      </c>
      <c r="D328" s="244" t="s">
        <v>1422</v>
      </c>
      <c r="E328" s="244" t="s">
        <v>1422</v>
      </c>
      <c r="F328" s="244" t="s">
        <v>1422</v>
      </c>
      <c r="G328" s="244" t="s">
        <v>1422</v>
      </c>
      <c r="H328" s="244" t="s">
        <v>1422</v>
      </c>
      <c r="I328" s="244" t="s">
        <v>1422</v>
      </c>
      <c r="J328" s="244" t="s">
        <v>1422</v>
      </c>
      <c r="K328" s="244" t="s">
        <v>1422</v>
      </c>
      <c r="L328" s="317"/>
      <c r="M328" s="244" t="s">
        <v>1422</v>
      </c>
      <c r="N328" s="244" t="s">
        <v>1422</v>
      </c>
    </row>
    <row r="329" spans="1:14" ht="15.9" customHeight="1">
      <c r="A329" s="160" t="s">
        <v>1701</v>
      </c>
      <c r="B329" s="214">
        <v>0</v>
      </c>
      <c r="C329" s="214">
        <v>0</v>
      </c>
      <c r="D329" s="214">
        <v>0</v>
      </c>
      <c r="E329" s="214">
        <v>0</v>
      </c>
      <c r="F329" s="214">
        <v>0</v>
      </c>
      <c r="G329" s="214">
        <v>0</v>
      </c>
      <c r="H329" s="214">
        <v>0</v>
      </c>
      <c r="I329" s="214">
        <v>0</v>
      </c>
      <c r="J329" s="214">
        <v>0</v>
      </c>
      <c r="K329" s="214">
        <v>0</v>
      </c>
      <c r="L329" s="317"/>
      <c r="M329" s="214">
        <v>0</v>
      </c>
      <c r="N329" s="214">
        <v>0</v>
      </c>
    </row>
    <row r="330" spans="1:14" ht="15.9" customHeight="1">
      <c r="A330" s="160" t="s">
        <v>36</v>
      </c>
      <c r="B330" s="246" t="s">
        <v>1778</v>
      </c>
      <c r="C330" s="246" t="s">
        <v>1779</v>
      </c>
      <c r="D330" s="246" t="s">
        <v>1780</v>
      </c>
      <c r="E330" s="246" t="s">
        <v>1781</v>
      </c>
      <c r="F330" s="246" t="s">
        <v>1778</v>
      </c>
      <c r="G330" s="246" t="s">
        <v>1782</v>
      </c>
      <c r="H330" s="246" t="s">
        <v>1783</v>
      </c>
      <c r="I330" s="246" t="s">
        <v>1784</v>
      </c>
      <c r="J330" s="246" t="s">
        <v>1785</v>
      </c>
      <c r="K330" s="246" t="s">
        <v>1786</v>
      </c>
      <c r="L330" s="317"/>
      <c r="M330" s="247" t="s">
        <v>1787</v>
      </c>
      <c r="N330" s="247" t="s">
        <v>1787</v>
      </c>
    </row>
    <row r="331" spans="1:14" ht="15.9" customHeight="1">
      <c r="A331" s="160" t="s">
        <v>1428</v>
      </c>
      <c r="B331" s="250">
        <v>400</v>
      </c>
      <c r="C331" s="250">
        <v>400</v>
      </c>
      <c r="D331" s="250">
        <v>400</v>
      </c>
      <c r="E331" s="250">
        <v>400</v>
      </c>
      <c r="F331" s="250">
        <v>400</v>
      </c>
      <c r="G331" s="250">
        <v>400</v>
      </c>
      <c r="H331" s="250">
        <v>400</v>
      </c>
      <c r="I331" s="250">
        <v>400</v>
      </c>
      <c r="J331" s="250">
        <v>400</v>
      </c>
      <c r="K331" s="250">
        <v>400</v>
      </c>
      <c r="L331" s="317"/>
      <c r="M331" s="250">
        <v>400</v>
      </c>
      <c r="N331" s="250">
        <v>400</v>
      </c>
    </row>
    <row r="332" spans="1:14" ht="15.9" customHeight="1">
      <c r="A332" s="160" t="s">
        <v>593</v>
      </c>
      <c r="B332" s="250">
        <v>4</v>
      </c>
      <c r="C332" s="250">
        <v>4</v>
      </c>
      <c r="D332" s="250">
        <v>4</v>
      </c>
      <c r="E332" s="250">
        <v>4</v>
      </c>
      <c r="F332" s="250">
        <v>4</v>
      </c>
      <c r="G332" s="250">
        <v>4</v>
      </c>
      <c r="H332" s="250">
        <v>4</v>
      </c>
      <c r="I332" s="250">
        <v>4</v>
      </c>
      <c r="J332" s="250">
        <v>4</v>
      </c>
      <c r="K332" s="250">
        <v>4</v>
      </c>
      <c r="L332" s="317"/>
      <c r="M332" s="250">
        <v>2</v>
      </c>
      <c r="N332" s="250">
        <v>2</v>
      </c>
    </row>
    <row r="333" spans="1:14" ht="31.75" customHeight="1">
      <c r="A333" s="160" t="s">
        <v>1429</v>
      </c>
      <c r="B333" s="250" t="s">
        <v>1571</v>
      </c>
      <c r="C333" s="250" t="s">
        <v>1788</v>
      </c>
      <c r="D333" s="277" t="s">
        <v>1789</v>
      </c>
      <c r="E333" s="250" t="s">
        <v>1790</v>
      </c>
      <c r="F333" s="250" t="s">
        <v>1791</v>
      </c>
      <c r="G333" s="277" t="s">
        <v>1789</v>
      </c>
      <c r="H333" s="250" t="s">
        <v>1791</v>
      </c>
      <c r="I333" s="250" t="s">
        <v>726</v>
      </c>
      <c r="J333" s="250" t="s">
        <v>1792</v>
      </c>
      <c r="K333" s="204" t="s">
        <v>726</v>
      </c>
      <c r="L333" s="317"/>
      <c r="M333" s="250" t="s">
        <v>1793</v>
      </c>
      <c r="N333" s="250" t="s">
        <v>1793</v>
      </c>
    </row>
    <row r="334" spans="1:14" ht="31.75" customHeight="1">
      <c r="A334" s="160" t="s">
        <v>1440</v>
      </c>
      <c r="B334" s="277" t="s">
        <v>1794</v>
      </c>
      <c r="C334" s="158" t="s">
        <v>1795</v>
      </c>
      <c r="D334" s="250" t="s">
        <v>1796</v>
      </c>
      <c r="E334" s="277" t="s">
        <v>1797</v>
      </c>
      <c r="F334" s="250" t="s">
        <v>1798</v>
      </c>
      <c r="G334" s="277" t="s">
        <v>1799</v>
      </c>
      <c r="H334" s="277" t="s">
        <v>1800</v>
      </c>
      <c r="I334" s="250" t="s">
        <v>726</v>
      </c>
      <c r="J334" s="250" t="s">
        <v>1801</v>
      </c>
      <c r="K334" s="250" t="s">
        <v>1802</v>
      </c>
      <c r="L334" s="317"/>
      <c r="M334" s="250" t="s">
        <v>1803</v>
      </c>
      <c r="N334" s="250" t="s">
        <v>1803</v>
      </c>
    </row>
    <row r="335" spans="1:14" ht="15.9" customHeight="1">
      <c r="A335" s="160" t="s">
        <v>1713</v>
      </c>
      <c r="B335" s="158" t="s">
        <v>1804</v>
      </c>
      <c r="C335" s="158" t="s">
        <v>726</v>
      </c>
      <c r="D335" s="158" t="s">
        <v>726</v>
      </c>
      <c r="E335" s="158" t="s">
        <v>726</v>
      </c>
      <c r="F335" s="158" t="s">
        <v>726</v>
      </c>
      <c r="G335" s="158" t="s">
        <v>726</v>
      </c>
      <c r="H335" s="158" t="s">
        <v>726</v>
      </c>
      <c r="I335" s="158" t="s">
        <v>726</v>
      </c>
      <c r="J335" s="158" t="s">
        <v>726</v>
      </c>
      <c r="K335" s="250" t="s">
        <v>1805</v>
      </c>
      <c r="L335" s="317"/>
      <c r="M335" s="158" t="s">
        <v>726</v>
      </c>
      <c r="N335" s="158" t="s">
        <v>726</v>
      </c>
    </row>
    <row r="336" spans="1:14" ht="14.25" customHeight="1">
      <c r="L336" s="317"/>
    </row>
    <row r="337" spans="1:14" ht="15.9" customHeight="1">
      <c r="A337" s="160" t="s">
        <v>1397</v>
      </c>
      <c r="B337" s="269" t="s">
        <v>1806</v>
      </c>
      <c r="C337" s="269" t="s">
        <v>1807</v>
      </c>
      <c r="D337" s="269" t="s">
        <v>1808</v>
      </c>
      <c r="E337" s="269" t="s">
        <v>1809</v>
      </c>
      <c r="F337" s="269" t="s">
        <v>1810</v>
      </c>
      <c r="G337" s="269" t="s">
        <v>1811</v>
      </c>
      <c r="H337" s="269" t="s">
        <v>1812</v>
      </c>
      <c r="I337" s="269" t="s">
        <v>1813</v>
      </c>
      <c r="J337" s="269" t="s">
        <v>1814</v>
      </c>
      <c r="K337" s="269" t="s">
        <v>1815</v>
      </c>
      <c r="L337" s="317"/>
      <c r="M337" s="269" t="s">
        <v>1816</v>
      </c>
      <c r="N337" s="269" t="s">
        <v>1816</v>
      </c>
    </row>
    <row r="338" spans="1:14" ht="15.9" customHeight="1">
      <c r="A338" s="160" t="s">
        <v>1407</v>
      </c>
      <c r="B338" s="163" t="s">
        <v>1363</v>
      </c>
      <c r="C338" s="167" t="s">
        <v>1367</v>
      </c>
      <c r="D338" s="169" t="s">
        <v>1369</v>
      </c>
      <c r="E338" s="171" t="s">
        <v>1371</v>
      </c>
      <c r="F338" s="189" t="s">
        <v>1374</v>
      </c>
      <c r="G338" s="175" t="s">
        <v>1377</v>
      </c>
      <c r="H338" s="176" t="s">
        <v>1379</v>
      </c>
      <c r="I338" s="177" t="s">
        <v>1381</v>
      </c>
      <c r="J338" s="178" t="s">
        <v>1383</v>
      </c>
      <c r="K338" s="180" t="s">
        <v>1385</v>
      </c>
      <c r="L338" s="317"/>
      <c r="M338" s="165" t="s">
        <v>1365</v>
      </c>
      <c r="N338" s="181" t="s">
        <v>1387</v>
      </c>
    </row>
    <row r="339" spans="1:14" ht="15.9" customHeight="1">
      <c r="A339" s="160" t="s">
        <v>1408</v>
      </c>
      <c r="B339" s="160" t="s">
        <v>1368</v>
      </c>
      <c r="C339" s="160" t="s">
        <v>1368</v>
      </c>
      <c r="D339" s="160" t="s">
        <v>1368</v>
      </c>
      <c r="E339" s="160" t="s">
        <v>1368</v>
      </c>
      <c r="F339" s="160" t="s">
        <v>1368</v>
      </c>
      <c r="G339" s="160" t="s">
        <v>1368</v>
      </c>
      <c r="H339" s="160" t="s">
        <v>1368</v>
      </c>
      <c r="I339" s="160" t="s">
        <v>1368</v>
      </c>
      <c r="J339" s="160" t="s">
        <v>1368</v>
      </c>
      <c r="K339" s="160" t="s">
        <v>1368</v>
      </c>
      <c r="L339" s="317"/>
      <c r="M339" s="160" t="s">
        <v>1368</v>
      </c>
      <c r="N339" s="160" t="s">
        <v>1368</v>
      </c>
    </row>
    <row r="340" spans="1:14" ht="15.9" customHeight="1">
      <c r="A340" s="194" t="s">
        <v>542</v>
      </c>
      <c r="B340" s="196" t="s">
        <v>1696</v>
      </c>
      <c r="C340" s="196" t="s">
        <v>1769</v>
      </c>
      <c r="D340" s="312" t="s">
        <v>1817</v>
      </c>
      <c r="E340" s="196" t="s">
        <v>1769</v>
      </c>
      <c r="F340" s="196" t="s">
        <v>1558</v>
      </c>
      <c r="G340" s="196" t="s">
        <v>1697</v>
      </c>
      <c r="H340" s="196" t="s">
        <v>1769</v>
      </c>
      <c r="I340" s="196" t="s">
        <v>1696</v>
      </c>
      <c r="J340" s="196" t="s">
        <v>1770</v>
      </c>
      <c r="K340" s="196" t="s">
        <v>1769</v>
      </c>
      <c r="L340" s="318"/>
      <c r="M340" s="196" t="s">
        <v>1769</v>
      </c>
      <c r="N340" s="196" t="s">
        <v>1769</v>
      </c>
    </row>
    <row r="341" spans="1:14" ht="15.9" customHeight="1">
      <c r="A341" s="198" t="s">
        <v>1410</v>
      </c>
      <c r="B341" s="200" t="s">
        <v>1770</v>
      </c>
      <c r="C341" s="200" t="s">
        <v>1697</v>
      </c>
      <c r="D341" s="200" t="s">
        <v>1818</v>
      </c>
      <c r="E341" s="200" t="s">
        <v>1697</v>
      </c>
      <c r="F341" s="200" t="s">
        <v>1697</v>
      </c>
      <c r="G341" s="200" t="s">
        <v>1697</v>
      </c>
      <c r="H341" s="200" t="s">
        <v>1819</v>
      </c>
      <c r="I341" s="200" t="s">
        <v>1697</v>
      </c>
      <c r="J341" s="200" t="s">
        <v>1697</v>
      </c>
      <c r="K341" s="200" t="s">
        <v>1697</v>
      </c>
      <c r="L341" s="318"/>
      <c r="M341" s="200" t="s">
        <v>726</v>
      </c>
      <c r="N341" s="200" t="s">
        <v>726</v>
      </c>
    </row>
    <row r="342" spans="1:14" ht="15.9" customHeight="1">
      <c r="A342" s="202" t="s">
        <v>546</v>
      </c>
      <c r="B342" s="204">
        <v>3</v>
      </c>
      <c r="C342" s="204">
        <v>5</v>
      </c>
      <c r="D342" s="204">
        <v>0</v>
      </c>
      <c r="E342" s="204">
        <v>4</v>
      </c>
      <c r="F342" s="204">
        <v>2</v>
      </c>
      <c r="G342" s="204">
        <v>3</v>
      </c>
      <c r="H342" s="204">
        <v>5</v>
      </c>
      <c r="I342" s="204">
        <v>3</v>
      </c>
      <c r="J342" s="204">
        <v>3</v>
      </c>
      <c r="K342" s="204">
        <v>5</v>
      </c>
      <c r="L342" s="318"/>
      <c r="M342" s="204">
        <v>5</v>
      </c>
      <c r="N342" s="204">
        <v>5</v>
      </c>
    </row>
    <row r="343" spans="1:14" ht="15.9" customHeight="1">
      <c r="A343" s="206" t="s">
        <v>548</v>
      </c>
      <c r="B343" s="208">
        <v>3</v>
      </c>
      <c r="C343" s="208">
        <v>4</v>
      </c>
      <c r="D343" s="208">
        <v>0</v>
      </c>
      <c r="E343" s="208">
        <v>4</v>
      </c>
      <c r="F343" s="208">
        <v>5</v>
      </c>
      <c r="G343" s="208">
        <v>3</v>
      </c>
      <c r="H343" s="208">
        <v>5</v>
      </c>
      <c r="I343" s="208">
        <v>3</v>
      </c>
      <c r="J343" s="208">
        <v>3</v>
      </c>
      <c r="K343" s="208">
        <v>3</v>
      </c>
      <c r="L343" s="318"/>
      <c r="M343" s="208">
        <v>4</v>
      </c>
      <c r="N343" s="208">
        <v>4</v>
      </c>
    </row>
    <row r="344" spans="1:14" ht="15.9" customHeight="1">
      <c r="A344" s="160" t="s">
        <v>1412</v>
      </c>
      <c r="B344" s="211">
        <v>0.2</v>
      </c>
      <c r="C344" s="211">
        <v>0.2</v>
      </c>
      <c r="D344" s="211">
        <v>0.5</v>
      </c>
      <c r="E344" s="211">
        <v>0.2</v>
      </c>
      <c r="F344" s="211">
        <v>0.4</v>
      </c>
      <c r="G344" s="211">
        <v>0</v>
      </c>
      <c r="H344" s="211">
        <v>0.1</v>
      </c>
      <c r="I344" s="211">
        <v>0</v>
      </c>
      <c r="J344" s="211">
        <v>0.2</v>
      </c>
      <c r="K344" s="211">
        <v>0.5</v>
      </c>
      <c r="L344" s="318"/>
      <c r="M344" s="211">
        <v>-0.2</v>
      </c>
      <c r="N344" s="211">
        <v>-0.2</v>
      </c>
    </row>
    <row r="345" spans="1:14" ht="15.9" customHeight="1">
      <c r="A345" s="160" t="s">
        <v>1413</v>
      </c>
      <c r="B345" s="214">
        <v>0.2</v>
      </c>
      <c r="C345" s="214">
        <v>-0.2</v>
      </c>
      <c r="D345" s="214">
        <v>0.5</v>
      </c>
      <c r="E345" s="214">
        <v>-0.2</v>
      </c>
      <c r="F345" s="214">
        <v>-0.4</v>
      </c>
      <c r="G345" s="214">
        <v>0</v>
      </c>
      <c r="H345" s="214">
        <v>0.1</v>
      </c>
      <c r="I345" s="214">
        <v>0</v>
      </c>
      <c r="J345" s="214">
        <v>0.2</v>
      </c>
      <c r="K345" s="214">
        <v>0.5</v>
      </c>
      <c r="L345" s="318"/>
      <c r="M345" s="214">
        <v>0.2</v>
      </c>
      <c r="N345" s="214">
        <v>0.2</v>
      </c>
    </row>
    <row r="346" spans="1:14" ht="15.9" customHeight="1">
      <c r="A346" s="160" t="s">
        <v>1414</v>
      </c>
      <c r="B346" s="217">
        <v>0.2</v>
      </c>
      <c r="C346" s="217">
        <v>-1</v>
      </c>
      <c r="D346" s="217">
        <v>0.5</v>
      </c>
      <c r="E346" s="217">
        <v>-1</v>
      </c>
      <c r="F346" s="217">
        <v>0</v>
      </c>
      <c r="G346" s="217">
        <v>0</v>
      </c>
      <c r="H346" s="217">
        <v>0.1</v>
      </c>
      <c r="I346" s="217">
        <v>0</v>
      </c>
      <c r="J346" s="217">
        <v>0.2</v>
      </c>
      <c r="K346" s="217">
        <v>0.5</v>
      </c>
      <c r="L346" s="318"/>
      <c r="M346" s="217">
        <v>-1</v>
      </c>
      <c r="N346" s="217">
        <v>-1</v>
      </c>
    </row>
    <row r="347" spans="1:14" ht="15.9" customHeight="1">
      <c r="A347" s="160" t="s">
        <v>1415</v>
      </c>
      <c r="B347" s="220">
        <v>0.2</v>
      </c>
      <c r="C347" s="220">
        <v>0.2</v>
      </c>
      <c r="D347" s="220">
        <v>0.5</v>
      </c>
      <c r="E347" s="220">
        <v>0.2</v>
      </c>
      <c r="F347" s="220">
        <v>0</v>
      </c>
      <c r="G347" s="220">
        <v>0</v>
      </c>
      <c r="H347" s="220">
        <v>0.1</v>
      </c>
      <c r="I347" s="220">
        <v>0</v>
      </c>
      <c r="J347" s="220">
        <v>0.2</v>
      </c>
      <c r="K347" s="220">
        <v>-0.5</v>
      </c>
      <c r="L347" s="318"/>
      <c r="M347" s="220">
        <v>0.2</v>
      </c>
      <c r="N347" s="220">
        <v>0.2</v>
      </c>
    </row>
    <row r="348" spans="1:14" ht="15.9" customHeight="1">
      <c r="A348" s="313" t="s">
        <v>1416</v>
      </c>
      <c r="B348" s="224">
        <v>0.2</v>
      </c>
      <c r="C348" s="224">
        <v>0.8</v>
      </c>
      <c r="D348" s="224">
        <v>0.5</v>
      </c>
      <c r="E348" s="224">
        <v>0.8</v>
      </c>
      <c r="F348" s="224">
        <v>0.2</v>
      </c>
      <c r="G348" s="224">
        <v>0</v>
      </c>
      <c r="H348" s="224">
        <v>0.1</v>
      </c>
      <c r="I348" s="224">
        <v>0.5</v>
      </c>
      <c r="J348" s="224">
        <v>0.2</v>
      </c>
      <c r="K348" s="224">
        <v>0.5</v>
      </c>
      <c r="L348" s="318"/>
      <c r="M348" s="224">
        <v>0.8</v>
      </c>
      <c r="N348" s="224">
        <v>0.8</v>
      </c>
    </row>
    <row r="349" spans="1:14" ht="15.9" customHeight="1">
      <c r="A349" s="160" t="s">
        <v>1417</v>
      </c>
      <c r="B349" s="227">
        <v>0.2</v>
      </c>
      <c r="C349" s="227">
        <v>0.2</v>
      </c>
      <c r="D349" s="227">
        <v>0.5</v>
      </c>
      <c r="E349" s="227">
        <v>0.2</v>
      </c>
      <c r="F349" s="227">
        <v>-0.2</v>
      </c>
      <c r="G349" s="227">
        <v>0</v>
      </c>
      <c r="H349" s="227">
        <v>0.1</v>
      </c>
      <c r="I349" s="227">
        <v>-0.5</v>
      </c>
      <c r="J349" s="227">
        <v>0.2</v>
      </c>
      <c r="K349" s="227">
        <v>0</v>
      </c>
      <c r="M349" s="227">
        <v>0.2</v>
      </c>
      <c r="N349" s="227">
        <v>0.2</v>
      </c>
    </row>
    <row r="350" spans="1:14" ht="15.9" customHeight="1">
      <c r="A350" s="160" t="s">
        <v>1418</v>
      </c>
      <c r="B350" s="230">
        <v>0.2</v>
      </c>
      <c r="C350" s="230">
        <v>-0.8</v>
      </c>
      <c r="D350" s="230">
        <v>0.5</v>
      </c>
      <c r="E350" s="230">
        <v>-0.8</v>
      </c>
      <c r="F350" s="230">
        <v>0</v>
      </c>
      <c r="G350" s="230">
        <v>0</v>
      </c>
      <c r="H350" s="230">
        <v>0.1</v>
      </c>
      <c r="I350" s="230">
        <v>0.5</v>
      </c>
      <c r="J350" s="230">
        <v>0.2</v>
      </c>
      <c r="K350" s="230">
        <v>0.2</v>
      </c>
      <c r="M350" s="230">
        <v>-0.5</v>
      </c>
      <c r="N350" s="230">
        <v>-0.5</v>
      </c>
    </row>
    <row r="351" spans="1:14" ht="15.9" customHeight="1">
      <c r="A351" s="160" t="s">
        <v>1419</v>
      </c>
      <c r="B351" s="233">
        <v>0.2</v>
      </c>
      <c r="C351" s="233">
        <v>0.4</v>
      </c>
      <c r="D351" s="233">
        <v>0.5</v>
      </c>
      <c r="E351" s="233">
        <v>0.4</v>
      </c>
      <c r="F351" s="233">
        <v>0</v>
      </c>
      <c r="G351" s="233">
        <v>1</v>
      </c>
      <c r="H351" s="233">
        <v>0.1</v>
      </c>
      <c r="I351" s="233">
        <v>0</v>
      </c>
      <c r="J351" s="233">
        <v>0.2</v>
      </c>
      <c r="K351" s="233">
        <v>0.2</v>
      </c>
      <c r="M351" s="233">
        <v>0.5</v>
      </c>
      <c r="N351" s="233">
        <v>0.5</v>
      </c>
    </row>
    <row r="352" spans="1:14" ht="15.9" customHeight="1">
      <c r="A352" s="160" t="s">
        <v>1420</v>
      </c>
      <c r="B352" s="236">
        <v>0.2</v>
      </c>
      <c r="C352" s="236">
        <v>1</v>
      </c>
      <c r="D352" s="236">
        <v>0.5</v>
      </c>
      <c r="E352" s="236">
        <v>1</v>
      </c>
      <c r="F352" s="236">
        <v>0</v>
      </c>
      <c r="G352" s="236">
        <v>0</v>
      </c>
      <c r="H352" s="236">
        <v>0.1</v>
      </c>
      <c r="I352" s="236">
        <v>0</v>
      </c>
      <c r="J352" s="236">
        <v>0.2</v>
      </c>
      <c r="K352" s="236">
        <v>0</v>
      </c>
      <c r="M352" s="236">
        <v>1</v>
      </c>
      <c r="N352" s="236">
        <v>1</v>
      </c>
    </row>
    <row r="353" spans="1:17" ht="15.9" customHeight="1">
      <c r="A353" s="160" t="s">
        <v>570</v>
      </c>
      <c r="B353" s="204">
        <v>4</v>
      </c>
      <c r="C353" s="204">
        <v>4</v>
      </c>
      <c r="D353" s="204">
        <v>4</v>
      </c>
      <c r="E353" s="204">
        <v>4</v>
      </c>
      <c r="F353" s="204">
        <v>4</v>
      </c>
      <c r="G353" s="204">
        <v>4</v>
      </c>
      <c r="H353" s="204">
        <v>4</v>
      </c>
      <c r="I353" s="204">
        <v>4</v>
      </c>
      <c r="J353" s="204">
        <v>4</v>
      </c>
      <c r="K353" s="204">
        <v>4</v>
      </c>
      <c r="M353" s="204">
        <v>1</v>
      </c>
      <c r="N353" s="204">
        <v>1</v>
      </c>
    </row>
    <row r="354" spans="1:17" ht="15.9" customHeight="1">
      <c r="A354" s="160" t="s">
        <v>572</v>
      </c>
      <c r="B354" s="204">
        <v>4</v>
      </c>
      <c r="C354" s="204">
        <v>4</v>
      </c>
      <c r="D354" s="204">
        <v>4</v>
      </c>
      <c r="E354" s="204">
        <v>4</v>
      </c>
      <c r="F354" s="204">
        <v>4</v>
      </c>
      <c r="G354" s="204">
        <v>4</v>
      </c>
      <c r="H354" s="204">
        <v>4</v>
      </c>
      <c r="I354" s="204">
        <v>4</v>
      </c>
      <c r="J354" s="204">
        <v>4</v>
      </c>
      <c r="K354" s="204">
        <v>4</v>
      </c>
      <c r="M354" s="204">
        <v>1</v>
      </c>
      <c r="N354" s="204">
        <v>1</v>
      </c>
    </row>
    <row r="355" spans="1:17" ht="15.9" customHeight="1">
      <c r="A355" s="160" t="s">
        <v>573</v>
      </c>
      <c r="B355" s="240">
        <v>4</v>
      </c>
      <c r="C355" s="240">
        <v>4</v>
      </c>
      <c r="D355" s="240">
        <v>4</v>
      </c>
      <c r="E355" s="240">
        <v>4</v>
      </c>
      <c r="F355" s="240">
        <v>4</v>
      </c>
      <c r="G355" s="240">
        <v>4</v>
      </c>
      <c r="H355" s="240">
        <v>4</v>
      </c>
      <c r="I355" s="240">
        <v>4</v>
      </c>
      <c r="J355" s="240">
        <v>4</v>
      </c>
      <c r="K355" s="240">
        <v>4</v>
      </c>
      <c r="M355" s="240">
        <v>1</v>
      </c>
      <c r="N355" s="240">
        <v>1</v>
      </c>
    </row>
    <row r="356" spans="1:17" ht="15.9" customHeight="1">
      <c r="A356" s="160" t="s">
        <v>14</v>
      </c>
      <c r="B356" s="250" t="s">
        <v>1820</v>
      </c>
      <c r="C356" s="250" t="s">
        <v>1821</v>
      </c>
      <c r="D356" s="250" t="s">
        <v>726</v>
      </c>
      <c r="E356" s="250" t="s">
        <v>1821</v>
      </c>
      <c r="F356" s="250" t="s">
        <v>1822</v>
      </c>
      <c r="G356" s="250" t="s">
        <v>1823</v>
      </c>
      <c r="H356" s="250" t="s">
        <v>1824</v>
      </c>
      <c r="I356" s="250" t="s">
        <v>1825</v>
      </c>
      <c r="J356" s="250" t="s">
        <v>1826</v>
      </c>
      <c r="K356" s="250" t="s">
        <v>1777</v>
      </c>
      <c r="M356" s="250" t="s">
        <v>1821</v>
      </c>
      <c r="N356" s="250" t="s">
        <v>1821</v>
      </c>
    </row>
    <row r="357" spans="1:17" ht="15.9" customHeight="1">
      <c r="A357" s="242" t="s">
        <v>584</v>
      </c>
      <c r="B357" s="244" t="s">
        <v>1422</v>
      </c>
      <c r="C357" s="244" t="s">
        <v>1422</v>
      </c>
      <c r="D357" s="244" t="s">
        <v>1422</v>
      </c>
      <c r="E357" s="244" t="s">
        <v>1422</v>
      </c>
      <c r="F357" s="244" t="s">
        <v>1422</v>
      </c>
      <c r="G357" s="244" t="s">
        <v>1422</v>
      </c>
      <c r="H357" s="244" t="s">
        <v>1422</v>
      </c>
      <c r="I357" s="244" t="s">
        <v>1422</v>
      </c>
      <c r="J357" s="244" t="s">
        <v>1422</v>
      </c>
      <c r="K357" s="244" t="s">
        <v>1422</v>
      </c>
      <c r="M357" s="244" t="s">
        <v>1422</v>
      </c>
      <c r="N357" s="244" t="s">
        <v>1422</v>
      </c>
    </row>
    <row r="358" spans="1:17" ht="15.9" customHeight="1">
      <c r="A358" s="160" t="s">
        <v>1701</v>
      </c>
      <c r="B358" s="214">
        <v>0</v>
      </c>
      <c r="C358" s="214">
        <v>0</v>
      </c>
      <c r="D358" s="214">
        <v>0</v>
      </c>
      <c r="E358" s="214">
        <v>0</v>
      </c>
      <c r="F358" s="214">
        <v>0</v>
      </c>
      <c r="G358" s="214">
        <v>0</v>
      </c>
      <c r="H358" s="214">
        <v>0</v>
      </c>
      <c r="I358" s="214">
        <v>0</v>
      </c>
      <c r="J358" s="214">
        <v>0</v>
      </c>
      <c r="K358" s="214">
        <v>0</v>
      </c>
      <c r="M358" s="214">
        <v>0</v>
      </c>
      <c r="N358" s="214">
        <v>0</v>
      </c>
    </row>
    <row r="359" spans="1:17" ht="15.9" customHeight="1">
      <c r="A359" s="160" t="s">
        <v>36</v>
      </c>
      <c r="B359" s="246" t="s">
        <v>1827</v>
      </c>
      <c r="C359" s="246" t="s">
        <v>1828</v>
      </c>
      <c r="D359" s="246" t="s">
        <v>1829</v>
      </c>
      <c r="E359" s="246" t="s">
        <v>1830</v>
      </c>
      <c r="F359" s="246" t="s">
        <v>1831</v>
      </c>
      <c r="G359" s="246" t="s">
        <v>1832</v>
      </c>
      <c r="H359" s="246" t="s">
        <v>1827</v>
      </c>
      <c r="I359" s="246" t="s">
        <v>1833</v>
      </c>
      <c r="J359" s="246" t="s">
        <v>1834</v>
      </c>
      <c r="K359" s="246" t="s">
        <v>1835</v>
      </c>
      <c r="M359" s="247" t="s">
        <v>1836</v>
      </c>
      <c r="N359" s="247" t="s">
        <v>1836</v>
      </c>
    </row>
    <row r="360" spans="1:17" ht="15.9" customHeight="1">
      <c r="A360" s="160" t="s">
        <v>1428</v>
      </c>
      <c r="B360" s="250">
        <v>400</v>
      </c>
      <c r="C360" s="250">
        <v>400</v>
      </c>
      <c r="D360" s="250">
        <v>400</v>
      </c>
      <c r="E360" s="250">
        <v>400</v>
      </c>
      <c r="F360" s="250">
        <v>400</v>
      </c>
      <c r="G360" s="250">
        <v>400</v>
      </c>
      <c r="H360" s="250">
        <v>400</v>
      </c>
      <c r="I360" s="250">
        <v>400</v>
      </c>
      <c r="J360" s="250">
        <v>400</v>
      </c>
      <c r="K360" s="250">
        <v>400</v>
      </c>
      <c r="M360" s="250">
        <v>400</v>
      </c>
      <c r="N360" s="250">
        <v>400</v>
      </c>
    </row>
    <row r="361" spans="1:17" ht="15.9" customHeight="1">
      <c r="A361" s="160" t="s">
        <v>593</v>
      </c>
      <c r="B361" s="250">
        <v>4</v>
      </c>
      <c r="C361" s="250">
        <v>4</v>
      </c>
      <c r="D361" s="250">
        <v>4</v>
      </c>
      <c r="E361" s="250">
        <v>4</v>
      </c>
      <c r="F361" s="250">
        <v>4</v>
      </c>
      <c r="G361" s="250">
        <v>4</v>
      </c>
      <c r="H361" s="250">
        <v>4</v>
      </c>
      <c r="I361" s="250">
        <v>4</v>
      </c>
      <c r="J361" s="250">
        <v>4</v>
      </c>
      <c r="K361" s="250">
        <v>4</v>
      </c>
      <c r="M361" s="250">
        <v>2</v>
      </c>
      <c r="N361" s="250">
        <v>2</v>
      </c>
    </row>
    <row r="362" spans="1:17" ht="31.75" customHeight="1">
      <c r="A362" s="160" t="s">
        <v>1429</v>
      </c>
      <c r="B362" s="250" t="s">
        <v>1837</v>
      </c>
      <c r="C362" s="250" t="s">
        <v>1838</v>
      </c>
      <c r="D362" s="277" t="s">
        <v>1839</v>
      </c>
      <c r="E362" s="250" t="s">
        <v>1838</v>
      </c>
      <c r="F362" s="250" t="s">
        <v>1840</v>
      </c>
      <c r="G362" s="250" t="s">
        <v>1841</v>
      </c>
      <c r="H362" s="250"/>
      <c r="I362" s="250" t="s">
        <v>1840</v>
      </c>
      <c r="J362" s="250" t="s">
        <v>1842</v>
      </c>
      <c r="K362" s="204" t="s">
        <v>726</v>
      </c>
      <c r="M362" s="250" t="s">
        <v>1843</v>
      </c>
      <c r="N362" s="250" t="s">
        <v>1843</v>
      </c>
    </row>
    <row r="363" spans="1:17" ht="47.6" customHeight="1">
      <c r="A363" s="160" t="s">
        <v>1440</v>
      </c>
      <c r="B363" s="250" t="s">
        <v>1844</v>
      </c>
      <c r="C363" s="250" t="s">
        <v>1845</v>
      </c>
      <c r="D363" s="250" t="s">
        <v>1846</v>
      </c>
      <c r="E363" s="250" t="s">
        <v>1847</v>
      </c>
      <c r="F363" s="277" t="s">
        <v>1848</v>
      </c>
      <c r="G363" s="277" t="s">
        <v>1849</v>
      </c>
      <c r="H363" s="277" t="s">
        <v>1850</v>
      </c>
      <c r="I363" s="250" t="s">
        <v>1851</v>
      </c>
      <c r="J363" s="250" t="s">
        <v>1852</v>
      </c>
      <c r="K363" s="250" t="s">
        <v>1802</v>
      </c>
      <c r="M363" s="250" t="s">
        <v>1853</v>
      </c>
      <c r="N363" s="250" t="s">
        <v>1853</v>
      </c>
    </row>
    <row r="364" spans="1:17" ht="15.9" customHeight="1">
      <c r="A364" s="160" t="s">
        <v>1713</v>
      </c>
      <c r="B364" s="158" t="s">
        <v>726</v>
      </c>
      <c r="C364" s="158" t="s">
        <v>726</v>
      </c>
      <c r="D364" s="158" t="s">
        <v>1854</v>
      </c>
      <c r="E364" s="158" t="s">
        <v>726</v>
      </c>
      <c r="F364" s="158" t="s">
        <v>1855</v>
      </c>
      <c r="G364" s="158" t="s">
        <v>1856</v>
      </c>
      <c r="H364" s="158" t="s">
        <v>726</v>
      </c>
      <c r="I364" s="158" t="s">
        <v>726</v>
      </c>
      <c r="J364" s="158" t="s">
        <v>726</v>
      </c>
      <c r="K364" s="250" t="s">
        <v>1857</v>
      </c>
      <c r="M364" s="158" t="s">
        <v>726</v>
      </c>
      <c r="N364" s="158" t="s">
        <v>726</v>
      </c>
      <c r="O364" s="158" t="s">
        <v>1858</v>
      </c>
      <c r="P364" s="271" t="s">
        <v>1859</v>
      </c>
      <c r="Q364" s="271" t="s">
        <v>1859</v>
      </c>
    </row>
    <row r="365" spans="1:17" ht="15.9" customHeight="1">
      <c r="A365" s="160"/>
      <c r="P365" s="165" t="s">
        <v>1365</v>
      </c>
      <c r="Q365" s="181" t="s">
        <v>1387</v>
      </c>
    </row>
    <row r="366" spans="1:17" ht="15.9" customHeight="1">
      <c r="A366" s="160" t="s">
        <v>1397</v>
      </c>
      <c r="B366" s="271" t="s">
        <v>1860</v>
      </c>
      <c r="C366" s="271" t="s">
        <v>1861</v>
      </c>
      <c r="D366" s="271" t="s">
        <v>1862</v>
      </c>
      <c r="E366" s="271" t="s">
        <v>1863</v>
      </c>
      <c r="F366" s="271" t="s">
        <v>1864</v>
      </c>
      <c r="G366" s="271" t="s">
        <v>1865</v>
      </c>
      <c r="H366" s="271" t="s">
        <v>1866</v>
      </c>
      <c r="I366" s="271" t="s">
        <v>1867</v>
      </c>
      <c r="J366" s="271" t="s">
        <v>1868</v>
      </c>
      <c r="K366" s="271" t="s">
        <v>1869</v>
      </c>
      <c r="M366" s="271" t="s">
        <v>1859</v>
      </c>
      <c r="N366" s="271" t="s">
        <v>1859</v>
      </c>
      <c r="O366" s="319"/>
      <c r="P366" s="160" t="s">
        <v>1376</v>
      </c>
      <c r="Q366" s="160" t="s">
        <v>1373</v>
      </c>
    </row>
    <row r="367" spans="1:17" ht="15.9" customHeight="1">
      <c r="A367" s="160" t="s">
        <v>1407</v>
      </c>
      <c r="B367" s="163" t="s">
        <v>1363</v>
      </c>
      <c r="C367" s="167" t="s">
        <v>1367</v>
      </c>
      <c r="D367" s="169" t="s">
        <v>1369</v>
      </c>
      <c r="E367" s="171" t="s">
        <v>1371</v>
      </c>
      <c r="F367" s="189" t="s">
        <v>1374</v>
      </c>
      <c r="G367" s="175" t="s">
        <v>1377</v>
      </c>
      <c r="H367" s="176" t="s">
        <v>1379</v>
      </c>
      <c r="I367" s="177" t="s">
        <v>1381</v>
      </c>
      <c r="J367" s="178" t="s">
        <v>1383</v>
      </c>
      <c r="K367" s="180" t="s">
        <v>1385</v>
      </c>
      <c r="M367" s="165" t="s">
        <v>1365</v>
      </c>
      <c r="N367" s="181" t="s">
        <v>1387</v>
      </c>
      <c r="O367" s="320"/>
      <c r="P367" s="196" t="s">
        <v>1769</v>
      </c>
      <c r="Q367" s="196" t="s">
        <v>1769</v>
      </c>
    </row>
    <row r="368" spans="1:17" ht="15.9" customHeight="1">
      <c r="A368" s="160" t="s">
        <v>1408</v>
      </c>
      <c r="B368" s="160" t="s">
        <v>1373</v>
      </c>
      <c r="C368" s="160" t="s">
        <v>1373</v>
      </c>
      <c r="D368" s="160" t="s">
        <v>1373</v>
      </c>
      <c r="E368" s="160" t="s">
        <v>1373</v>
      </c>
      <c r="F368" s="160" t="s">
        <v>1373</v>
      </c>
      <c r="G368" s="160" t="s">
        <v>1373</v>
      </c>
      <c r="H368" s="160" t="s">
        <v>1373</v>
      </c>
      <c r="I368" s="160" t="s">
        <v>1373</v>
      </c>
      <c r="J368" s="160" t="s">
        <v>1373</v>
      </c>
      <c r="K368" s="160" t="s">
        <v>1373</v>
      </c>
      <c r="M368" s="160" t="s">
        <v>1376</v>
      </c>
      <c r="N368" s="160" t="s">
        <v>1373</v>
      </c>
      <c r="O368" s="320"/>
      <c r="P368" s="200" t="s">
        <v>726</v>
      </c>
      <c r="Q368" s="200" t="s">
        <v>726</v>
      </c>
    </row>
    <row r="369" spans="1:17" ht="15.9" customHeight="1">
      <c r="A369" s="194" t="s">
        <v>542</v>
      </c>
      <c r="B369" s="196" t="s">
        <v>1769</v>
      </c>
      <c r="C369" s="196" t="s">
        <v>1697</v>
      </c>
      <c r="D369" s="196" t="s">
        <v>1769</v>
      </c>
      <c r="E369" s="196" t="s">
        <v>1769</v>
      </c>
      <c r="F369" s="196" t="s">
        <v>1870</v>
      </c>
      <c r="G369" s="196" t="s">
        <v>1769</v>
      </c>
      <c r="H369" s="196" t="s">
        <v>1769</v>
      </c>
      <c r="I369" s="196" t="s">
        <v>1697</v>
      </c>
      <c r="J369" s="312" t="s">
        <v>1871</v>
      </c>
      <c r="K369" s="196" t="s">
        <v>1559</v>
      </c>
      <c r="M369" s="196" t="s">
        <v>1769</v>
      </c>
      <c r="N369" s="196" t="s">
        <v>1769</v>
      </c>
      <c r="O369" s="320">
        <f>125-30-5-9</f>
        <v>81</v>
      </c>
      <c r="P369" s="204">
        <v>5</v>
      </c>
      <c r="Q369" s="204">
        <v>5</v>
      </c>
    </row>
    <row r="370" spans="1:17" ht="15.9" customHeight="1">
      <c r="A370" s="198" t="s">
        <v>1410</v>
      </c>
      <c r="B370" s="200" t="s">
        <v>1697</v>
      </c>
      <c r="C370" s="200" t="s">
        <v>726</v>
      </c>
      <c r="D370" s="200" t="s">
        <v>1697</v>
      </c>
      <c r="E370" s="200" t="s">
        <v>1697</v>
      </c>
      <c r="F370" s="200" t="s">
        <v>1697</v>
      </c>
      <c r="G370" s="200" t="s">
        <v>1697</v>
      </c>
      <c r="H370" s="200" t="s">
        <v>1697</v>
      </c>
      <c r="I370" s="200" t="s">
        <v>1697</v>
      </c>
      <c r="J370" s="200" t="s">
        <v>726</v>
      </c>
      <c r="K370" s="200" t="s">
        <v>726</v>
      </c>
      <c r="M370" s="200" t="s">
        <v>726</v>
      </c>
      <c r="N370" s="200" t="s">
        <v>726</v>
      </c>
      <c r="O370" s="320" t="s">
        <v>1635</v>
      </c>
      <c r="P370" s="208">
        <v>4</v>
      </c>
      <c r="Q370" s="208">
        <v>4</v>
      </c>
    </row>
    <row r="371" spans="1:17" ht="15.9" customHeight="1">
      <c r="A371" s="202" t="s">
        <v>546</v>
      </c>
      <c r="B371" s="204">
        <v>5</v>
      </c>
      <c r="C371" s="204">
        <v>5</v>
      </c>
      <c r="D371" s="204">
        <v>6</v>
      </c>
      <c r="E371" s="204">
        <v>5</v>
      </c>
      <c r="F371" s="204">
        <v>6</v>
      </c>
      <c r="G371" s="204">
        <v>6</v>
      </c>
      <c r="H371" s="204">
        <v>6</v>
      </c>
      <c r="I371" s="204">
        <v>3</v>
      </c>
      <c r="J371" s="204">
        <v>0</v>
      </c>
      <c r="K371" s="204">
        <v>5</v>
      </c>
      <c r="M371" s="204">
        <v>5</v>
      </c>
      <c r="N371" s="204">
        <v>5</v>
      </c>
      <c r="O371" s="320" t="s">
        <v>1872</v>
      </c>
      <c r="P371" s="211">
        <v>-0.2</v>
      </c>
      <c r="Q371" s="211">
        <v>-0.2</v>
      </c>
    </row>
    <row r="372" spans="1:17" ht="15.9" customHeight="1">
      <c r="A372" s="206" t="s">
        <v>548</v>
      </c>
      <c r="B372" s="208">
        <v>5</v>
      </c>
      <c r="C372" s="208">
        <v>2</v>
      </c>
      <c r="D372" s="208">
        <v>2</v>
      </c>
      <c r="E372" s="208">
        <v>4</v>
      </c>
      <c r="F372" s="208">
        <v>3</v>
      </c>
      <c r="G372" s="208">
        <v>3</v>
      </c>
      <c r="H372" s="208">
        <v>3</v>
      </c>
      <c r="I372" s="208">
        <v>3</v>
      </c>
      <c r="J372" s="208">
        <v>0</v>
      </c>
      <c r="K372" s="208">
        <v>2</v>
      </c>
      <c r="M372" s="208">
        <v>4</v>
      </c>
      <c r="N372" s="208">
        <v>4</v>
      </c>
      <c r="O372" s="320" t="s">
        <v>1873</v>
      </c>
      <c r="P372" s="214">
        <v>0.2</v>
      </c>
      <c r="Q372" s="214">
        <v>0.2</v>
      </c>
    </row>
    <row r="373" spans="1:17" ht="15.9" customHeight="1">
      <c r="A373" s="160" t="s">
        <v>1412</v>
      </c>
      <c r="B373" s="211">
        <v>0.2</v>
      </c>
      <c r="C373" s="211">
        <v>0.1</v>
      </c>
      <c r="D373" s="211">
        <v>0</v>
      </c>
      <c r="E373" s="211">
        <v>0.2</v>
      </c>
      <c r="F373" s="211">
        <v>0</v>
      </c>
      <c r="G373" s="211">
        <v>0</v>
      </c>
      <c r="H373" s="211">
        <v>0</v>
      </c>
      <c r="I373" s="211">
        <v>-0.2</v>
      </c>
      <c r="J373" s="211">
        <v>0</v>
      </c>
      <c r="K373" s="211">
        <v>0.5</v>
      </c>
      <c r="M373" s="211">
        <v>-0.2</v>
      </c>
      <c r="N373" s="211">
        <v>-0.2</v>
      </c>
      <c r="O373" s="320"/>
      <c r="P373" s="217">
        <v>-1</v>
      </c>
      <c r="Q373" s="217">
        <v>-1</v>
      </c>
    </row>
    <row r="374" spans="1:17" ht="15.9" customHeight="1">
      <c r="A374" s="160" t="s">
        <v>1413</v>
      </c>
      <c r="B374" s="214">
        <v>0.2</v>
      </c>
      <c r="C374" s="214">
        <v>0.1</v>
      </c>
      <c r="D374" s="214">
        <v>0</v>
      </c>
      <c r="E374" s="214">
        <v>0.2</v>
      </c>
      <c r="F374" s="214">
        <v>0</v>
      </c>
      <c r="G374" s="214">
        <v>0</v>
      </c>
      <c r="H374" s="214">
        <v>0</v>
      </c>
      <c r="I374" s="214">
        <v>0.2</v>
      </c>
      <c r="J374" s="214">
        <v>0</v>
      </c>
      <c r="K374" s="214">
        <v>0</v>
      </c>
      <c r="M374" s="214">
        <v>0.2</v>
      </c>
      <c r="N374" s="214">
        <v>0.2</v>
      </c>
      <c r="O374" s="320"/>
      <c r="P374" s="220">
        <v>0.2</v>
      </c>
      <c r="Q374" s="220">
        <v>0.2</v>
      </c>
    </row>
    <row r="375" spans="1:17" ht="15.9" customHeight="1">
      <c r="A375" s="160" t="s">
        <v>1414</v>
      </c>
      <c r="B375" s="217">
        <v>0.2</v>
      </c>
      <c r="C375" s="217">
        <v>-1</v>
      </c>
      <c r="D375" s="217">
        <v>0</v>
      </c>
      <c r="E375" s="217">
        <v>0.2</v>
      </c>
      <c r="F375" s="217">
        <v>0</v>
      </c>
      <c r="G375" s="217">
        <v>0</v>
      </c>
      <c r="H375" s="217">
        <v>0</v>
      </c>
      <c r="I375" s="217">
        <v>0</v>
      </c>
      <c r="J375" s="217">
        <v>0</v>
      </c>
      <c r="K375" s="217">
        <v>0</v>
      </c>
      <c r="M375" s="217">
        <v>-1</v>
      </c>
      <c r="N375" s="217">
        <v>-1</v>
      </c>
      <c r="O375" s="320"/>
      <c r="P375" s="224">
        <v>0.8</v>
      </c>
      <c r="Q375" s="224">
        <v>0.8</v>
      </c>
    </row>
    <row r="376" spans="1:17" ht="15.9" customHeight="1">
      <c r="A376" s="160" t="s">
        <v>1415</v>
      </c>
      <c r="B376" s="220">
        <v>0.2</v>
      </c>
      <c r="C376" s="220">
        <v>0.4</v>
      </c>
      <c r="D376" s="220">
        <v>-1</v>
      </c>
      <c r="E376" s="220">
        <v>0.2</v>
      </c>
      <c r="F376" s="220">
        <v>-1</v>
      </c>
      <c r="G376" s="220">
        <v>-1</v>
      </c>
      <c r="H376" s="220">
        <v>-1</v>
      </c>
      <c r="I376" s="220">
        <v>0</v>
      </c>
      <c r="J376" s="220">
        <v>0</v>
      </c>
      <c r="K376" s="220">
        <v>-1</v>
      </c>
      <c r="M376" s="220">
        <v>0.2</v>
      </c>
      <c r="N376" s="220">
        <v>0.2</v>
      </c>
      <c r="O376" s="320"/>
      <c r="P376" s="227">
        <v>0.2</v>
      </c>
      <c r="Q376" s="227">
        <v>0.2</v>
      </c>
    </row>
    <row r="377" spans="1:17" ht="15.9" customHeight="1">
      <c r="A377" s="313" t="s">
        <v>1416</v>
      </c>
      <c r="B377" s="224">
        <v>0.2</v>
      </c>
      <c r="C377" s="224">
        <v>0.7</v>
      </c>
      <c r="D377" s="224">
        <v>0.5</v>
      </c>
      <c r="E377" s="224">
        <v>0.8</v>
      </c>
      <c r="F377" s="224">
        <v>0.5</v>
      </c>
      <c r="G377" s="224">
        <v>0.5</v>
      </c>
      <c r="H377" s="224">
        <v>0.5</v>
      </c>
      <c r="I377" s="224">
        <v>0.5</v>
      </c>
      <c r="J377" s="224">
        <v>0</v>
      </c>
      <c r="K377" s="224">
        <v>0.5</v>
      </c>
      <c r="M377" s="224">
        <v>0.8</v>
      </c>
      <c r="N377" s="224">
        <v>0.8</v>
      </c>
      <c r="O377" s="320"/>
      <c r="P377" s="230">
        <v>-0.5</v>
      </c>
      <c r="Q377" s="230">
        <v>-0.5</v>
      </c>
    </row>
    <row r="378" spans="1:17" ht="15.9" customHeight="1">
      <c r="A378" s="160" t="s">
        <v>1417</v>
      </c>
      <c r="B378" s="227">
        <v>0.2</v>
      </c>
      <c r="C378" s="227">
        <v>-0.3</v>
      </c>
      <c r="D378" s="227">
        <v>0.5</v>
      </c>
      <c r="E378" s="227">
        <v>-0.8</v>
      </c>
      <c r="F378" s="227">
        <v>0.5</v>
      </c>
      <c r="G378" s="227">
        <v>0.5</v>
      </c>
      <c r="H378" s="227">
        <v>0.5</v>
      </c>
      <c r="I378" s="227">
        <v>-0.5</v>
      </c>
      <c r="J378" s="227">
        <v>0</v>
      </c>
      <c r="K378" s="227">
        <v>0.5</v>
      </c>
      <c r="M378" s="227">
        <v>0.2</v>
      </c>
      <c r="N378" s="227">
        <v>0.2</v>
      </c>
      <c r="O378" s="320"/>
      <c r="P378" s="233">
        <v>0.5</v>
      </c>
      <c r="Q378" s="233">
        <v>0.5</v>
      </c>
    </row>
    <row r="379" spans="1:17" ht="15.9" customHeight="1">
      <c r="A379" s="160" t="s">
        <v>1418</v>
      </c>
      <c r="B379" s="230">
        <v>0.2</v>
      </c>
      <c r="C379" s="230">
        <v>-1</v>
      </c>
      <c r="D379" s="230">
        <v>-0.8</v>
      </c>
      <c r="E379" s="230">
        <v>0</v>
      </c>
      <c r="F379" s="230">
        <v>-0.8</v>
      </c>
      <c r="G379" s="230">
        <v>-0.8</v>
      </c>
      <c r="H379" s="230">
        <v>-0.8</v>
      </c>
      <c r="I379" s="230">
        <v>-0.8</v>
      </c>
      <c r="J379" s="230">
        <v>0</v>
      </c>
      <c r="K379" s="230">
        <v>-0.8</v>
      </c>
      <c r="M379" s="230">
        <v>-0.5</v>
      </c>
      <c r="N379" s="230">
        <v>-0.5</v>
      </c>
      <c r="O379" s="320"/>
      <c r="P379" s="236">
        <v>1</v>
      </c>
      <c r="Q379" s="236">
        <v>1</v>
      </c>
    </row>
    <row r="380" spans="1:17" ht="15.9" customHeight="1">
      <c r="A380" s="160" t="s">
        <v>1419</v>
      </c>
      <c r="B380" s="233">
        <v>0.2</v>
      </c>
      <c r="C380" s="233">
        <v>1</v>
      </c>
      <c r="D380" s="233">
        <v>0</v>
      </c>
      <c r="E380" s="233">
        <v>1</v>
      </c>
      <c r="F380" s="233">
        <v>0</v>
      </c>
      <c r="G380" s="233">
        <v>0</v>
      </c>
      <c r="H380" s="233">
        <v>0</v>
      </c>
      <c r="I380" s="233">
        <v>1</v>
      </c>
      <c r="J380" s="233">
        <v>0</v>
      </c>
      <c r="K380" s="233">
        <v>0</v>
      </c>
      <c r="M380" s="233">
        <v>0.5</v>
      </c>
      <c r="N380" s="233">
        <v>0.5</v>
      </c>
      <c r="O380" s="320"/>
      <c r="P380" s="204">
        <v>1</v>
      </c>
      <c r="Q380" s="204">
        <v>1</v>
      </c>
    </row>
    <row r="381" spans="1:17" ht="15.9" customHeight="1">
      <c r="A381" s="160" t="s">
        <v>1420</v>
      </c>
      <c r="B381" s="236">
        <v>0.2</v>
      </c>
      <c r="C381" s="236">
        <v>0.5</v>
      </c>
      <c r="D381" s="236">
        <v>0</v>
      </c>
      <c r="E381" s="236">
        <v>1</v>
      </c>
      <c r="F381" s="236">
        <v>0</v>
      </c>
      <c r="G381" s="236">
        <v>0</v>
      </c>
      <c r="H381" s="236">
        <v>0</v>
      </c>
      <c r="I381" s="236">
        <v>1</v>
      </c>
      <c r="J381" s="236">
        <v>0</v>
      </c>
      <c r="K381" s="236">
        <v>0</v>
      </c>
      <c r="M381" s="236">
        <v>1</v>
      </c>
      <c r="N381" s="236">
        <v>1</v>
      </c>
      <c r="O381" s="320"/>
      <c r="P381" s="204">
        <v>1</v>
      </c>
      <c r="Q381" s="204">
        <v>1</v>
      </c>
    </row>
    <row r="382" spans="1:17" ht="15.9" customHeight="1">
      <c r="A382" s="160" t="s">
        <v>570</v>
      </c>
      <c r="B382" s="204">
        <v>4</v>
      </c>
      <c r="C382" s="204">
        <v>4</v>
      </c>
      <c r="D382" s="204">
        <v>4</v>
      </c>
      <c r="E382" s="204">
        <v>4</v>
      </c>
      <c r="F382" s="204">
        <v>4</v>
      </c>
      <c r="G382" s="204">
        <v>4</v>
      </c>
      <c r="H382" s="204">
        <v>4</v>
      </c>
      <c r="I382" s="204">
        <v>4</v>
      </c>
      <c r="J382" s="204">
        <v>4</v>
      </c>
      <c r="K382" s="204">
        <v>4</v>
      </c>
      <c r="M382" s="204">
        <v>1</v>
      </c>
      <c r="N382" s="204">
        <v>1</v>
      </c>
      <c r="O382" s="320"/>
      <c r="P382" s="240">
        <v>1</v>
      </c>
      <c r="Q382" s="240">
        <v>1</v>
      </c>
    </row>
    <row r="383" spans="1:17" ht="15.9" customHeight="1">
      <c r="A383" s="160" t="s">
        <v>572</v>
      </c>
      <c r="B383" s="204">
        <v>4</v>
      </c>
      <c r="C383" s="204">
        <v>4</v>
      </c>
      <c r="D383" s="204">
        <v>4</v>
      </c>
      <c r="E383" s="204">
        <v>4</v>
      </c>
      <c r="F383" s="204">
        <v>4</v>
      </c>
      <c r="G383" s="204">
        <v>4</v>
      </c>
      <c r="H383" s="204">
        <v>4</v>
      </c>
      <c r="I383" s="204">
        <v>4</v>
      </c>
      <c r="J383" s="204">
        <v>4</v>
      </c>
      <c r="K383" s="204">
        <v>4</v>
      </c>
      <c r="M383" s="204">
        <v>1</v>
      </c>
      <c r="N383" s="204">
        <v>1</v>
      </c>
      <c r="O383" s="320"/>
      <c r="P383" s="250" t="s">
        <v>1821</v>
      </c>
      <c r="Q383" s="250" t="s">
        <v>1821</v>
      </c>
    </row>
    <row r="384" spans="1:17" ht="15.9" customHeight="1">
      <c r="A384" s="160" t="s">
        <v>573</v>
      </c>
      <c r="B384" s="240">
        <v>4</v>
      </c>
      <c r="C384" s="240">
        <v>4</v>
      </c>
      <c r="D384" s="240">
        <v>4</v>
      </c>
      <c r="E384" s="240">
        <v>4</v>
      </c>
      <c r="F384" s="240">
        <v>4</v>
      </c>
      <c r="G384" s="240">
        <v>4</v>
      </c>
      <c r="H384" s="240">
        <v>4</v>
      </c>
      <c r="I384" s="240">
        <v>4</v>
      </c>
      <c r="J384" s="240">
        <v>4</v>
      </c>
      <c r="K384" s="240">
        <v>4</v>
      </c>
      <c r="M384" s="240">
        <v>1</v>
      </c>
      <c r="N384" s="240">
        <v>1</v>
      </c>
      <c r="O384" s="320"/>
      <c r="P384" s="244" t="s">
        <v>1422</v>
      </c>
      <c r="Q384" s="244" t="s">
        <v>1422</v>
      </c>
    </row>
    <row r="385" spans="1:17" ht="15.9" customHeight="1">
      <c r="A385" s="160" t="s">
        <v>14</v>
      </c>
      <c r="B385" s="250" t="s">
        <v>1874</v>
      </c>
      <c r="C385" s="250" t="s">
        <v>1875</v>
      </c>
      <c r="D385" s="250" t="s">
        <v>1821</v>
      </c>
      <c r="E385" s="250" t="s">
        <v>1821</v>
      </c>
      <c r="F385" s="250" t="s">
        <v>1821</v>
      </c>
      <c r="G385" s="250" t="s">
        <v>1876</v>
      </c>
      <c r="H385" s="250" t="s">
        <v>1821</v>
      </c>
      <c r="I385" s="250" t="s">
        <v>1877</v>
      </c>
      <c r="J385" s="250" t="s">
        <v>1878</v>
      </c>
      <c r="K385" s="250" t="s">
        <v>1821</v>
      </c>
      <c r="M385" s="250" t="s">
        <v>1821</v>
      </c>
      <c r="N385" s="250" t="s">
        <v>1821</v>
      </c>
      <c r="O385" s="320"/>
      <c r="P385" s="214">
        <v>0</v>
      </c>
      <c r="Q385" s="214">
        <v>0</v>
      </c>
    </row>
    <row r="386" spans="1:17" ht="15.9" customHeight="1">
      <c r="A386" s="242" t="s">
        <v>584</v>
      </c>
      <c r="B386" s="244" t="s">
        <v>1422</v>
      </c>
      <c r="C386" s="244" t="s">
        <v>1422</v>
      </c>
      <c r="D386" s="244" t="s">
        <v>1422</v>
      </c>
      <c r="E386" s="244" t="s">
        <v>1422</v>
      </c>
      <c r="F386" s="244" t="s">
        <v>1422</v>
      </c>
      <c r="G386" s="244" t="s">
        <v>1422</v>
      </c>
      <c r="H386" s="244" t="s">
        <v>1422</v>
      </c>
      <c r="I386" s="244" t="s">
        <v>1422</v>
      </c>
      <c r="J386" s="244" t="s">
        <v>1422</v>
      </c>
      <c r="K386" s="244" t="s">
        <v>1422</v>
      </c>
      <c r="M386" s="244" t="s">
        <v>1422</v>
      </c>
      <c r="N386" s="244" t="s">
        <v>1422</v>
      </c>
      <c r="O386" s="320"/>
      <c r="P386" s="247" t="s">
        <v>1836</v>
      </c>
      <c r="Q386" s="247" t="s">
        <v>1836</v>
      </c>
    </row>
    <row r="387" spans="1:17" ht="15.9" customHeight="1">
      <c r="A387" s="160" t="s">
        <v>1701</v>
      </c>
      <c r="B387" s="214">
        <v>0.2</v>
      </c>
      <c r="C387" s="214">
        <v>0</v>
      </c>
      <c r="D387" s="214">
        <v>0</v>
      </c>
      <c r="E387" s="214">
        <v>0.2</v>
      </c>
      <c r="F387" s="214">
        <v>0</v>
      </c>
      <c r="G387" s="214">
        <v>0</v>
      </c>
      <c r="H387" s="214">
        <v>0</v>
      </c>
      <c r="I387" s="214">
        <v>0</v>
      </c>
      <c r="J387" s="214">
        <v>0.5</v>
      </c>
      <c r="K387" s="214">
        <v>0</v>
      </c>
      <c r="M387" s="214">
        <v>0</v>
      </c>
      <c r="N387" s="214">
        <v>0</v>
      </c>
      <c r="O387" s="320"/>
      <c r="P387" s="250">
        <v>400</v>
      </c>
      <c r="Q387" s="250">
        <v>400</v>
      </c>
    </row>
    <row r="388" spans="1:17" ht="30" customHeight="1">
      <c r="A388" s="160" t="s">
        <v>36</v>
      </c>
      <c r="B388" s="247" t="s">
        <v>1879</v>
      </c>
      <c r="C388" s="247" t="s">
        <v>1880</v>
      </c>
      <c r="D388" s="247" t="s">
        <v>1879</v>
      </c>
      <c r="E388" s="247" t="s">
        <v>1879</v>
      </c>
      <c r="F388" s="247" t="s">
        <v>1879</v>
      </c>
      <c r="G388" s="247" t="s">
        <v>1880</v>
      </c>
      <c r="H388" s="247" t="s">
        <v>1879</v>
      </c>
      <c r="I388" s="247" t="s">
        <v>1879</v>
      </c>
      <c r="J388" s="247" t="s">
        <v>1879</v>
      </c>
      <c r="K388" s="247" t="s">
        <v>1879</v>
      </c>
      <c r="M388" s="247" t="s">
        <v>1881</v>
      </c>
      <c r="N388" s="247" t="s">
        <v>1881</v>
      </c>
      <c r="O388" s="320"/>
      <c r="P388" s="250">
        <v>2</v>
      </c>
      <c r="Q388" s="250">
        <v>2</v>
      </c>
    </row>
    <row r="389" spans="1:17" ht="15.9" customHeight="1">
      <c r="A389" s="160" t="s">
        <v>1428</v>
      </c>
      <c r="B389" s="250">
        <v>400</v>
      </c>
      <c r="C389" s="250">
        <v>400</v>
      </c>
      <c r="D389" s="250">
        <v>400</v>
      </c>
      <c r="E389" s="250">
        <v>400</v>
      </c>
      <c r="F389" s="250">
        <v>400</v>
      </c>
      <c r="G389" s="250">
        <v>400</v>
      </c>
      <c r="H389" s="250">
        <v>400</v>
      </c>
      <c r="I389" s="250">
        <v>400</v>
      </c>
      <c r="J389" s="250">
        <v>400</v>
      </c>
      <c r="K389" s="250">
        <v>400</v>
      </c>
      <c r="M389" s="250">
        <v>400</v>
      </c>
      <c r="N389" s="250">
        <v>400</v>
      </c>
      <c r="O389" s="320"/>
      <c r="P389" s="250" t="s">
        <v>1843</v>
      </c>
      <c r="Q389" s="250" t="s">
        <v>1843</v>
      </c>
    </row>
    <row r="390" spans="1:17" ht="15.9" customHeight="1">
      <c r="A390" s="160" t="s">
        <v>593</v>
      </c>
      <c r="B390" s="250">
        <v>4</v>
      </c>
      <c r="C390" s="250">
        <v>4</v>
      </c>
      <c r="D390" s="250">
        <v>4</v>
      </c>
      <c r="E390" s="250">
        <v>4</v>
      </c>
      <c r="F390" s="250">
        <v>4</v>
      </c>
      <c r="G390" s="250">
        <v>4</v>
      </c>
      <c r="H390" s="250">
        <v>4</v>
      </c>
      <c r="I390" s="250">
        <v>4</v>
      </c>
      <c r="J390" s="250">
        <v>4</v>
      </c>
      <c r="K390" s="250">
        <v>4</v>
      </c>
      <c r="M390" s="250">
        <v>2</v>
      </c>
      <c r="N390" s="250">
        <v>2</v>
      </c>
      <c r="O390" s="321"/>
      <c r="P390" s="250" t="s">
        <v>1853</v>
      </c>
      <c r="Q390" s="250" t="s">
        <v>1853</v>
      </c>
    </row>
    <row r="391" spans="1:17" ht="15.9" customHeight="1">
      <c r="A391" s="160" t="s">
        <v>1429</v>
      </c>
      <c r="B391" s="250"/>
      <c r="C391" s="250" t="s">
        <v>1882</v>
      </c>
      <c r="D391" s="250" t="s">
        <v>1883</v>
      </c>
      <c r="E391" s="250" t="s">
        <v>1884</v>
      </c>
      <c r="F391" s="250" t="s">
        <v>1883</v>
      </c>
      <c r="G391" s="250" t="s">
        <v>1885</v>
      </c>
      <c r="H391" s="250" t="s">
        <v>1883</v>
      </c>
      <c r="I391" s="250" t="s">
        <v>1886</v>
      </c>
      <c r="J391" s="250" t="s">
        <v>1887</v>
      </c>
      <c r="K391" s="250" t="s">
        <v>1569</v>
      </c>
      <c r="M391" s="250" t="s">
        <v>1843</v>
      </c>
      <c r="N391" s="250" t="s">
        <v>1843</v>
      </c>
      <c r="P391" s="158" t="s">
        <v>726</v>
      </c>
      <c r="Q391" s="158" t="s">
        <v>726</v>
      </c>
    </row>
    <row r="392" spans="1:17" ht="15.9" customHeight="1">
      <c r="A392" s="160" t="s">
        <v>1440</v>
      </c>
      <c r="B392" s="250" t="s">
        <v>1888</v>
      </c>
      <c r="C392" s="250" t="s">
        <v>726</v>
      </c>
      <c r="D392" s="250" t="s">
        <v>1889</v>
      </c>
      <c r="E392" s="250" t="s">
        <v>1890</v>
      </c>
      <c r="F392" s="250" t="s">
        <v>1891</v>
      </c>
      <c r="G392" s="250" t="s">
        <v>726</v>
      </c>
      <c r="H392" s="250" t="s">
        <v>1892</v>
      </c>
      <c r="I392" s="250" t="s">
        <v>1893</v>
      </c>
      <c r="J392" s="250" t="s">
        <v>726</v>
      </c>
      <c r="K392" s="250" t="s">
        <v>1894</v>
      </c>
      <c r="M392" s="250" t="s">
        <v>1853</v>
      </c>
      <c r="N392" s="250" t="s">
        <v>1853</v>
      </c>
    </row>
    <row r="393" spans="1:17" ht="15.9" customHeight="1">
      <c r="A393" s="160" t="s">
        <v>1713</v>
      </c>
      <c r="B393" s="158" t="s">
        <v>726</v>
      </c>
      <c r="C393" s="158" t="s">
        <v>726</v>
      </c>
      <c r="D393" s="158" t="s">
        <v>1895</v>
      </c>
      <c r="E393" s="158" t="s">
        <v>726</v>
      </c>
      <c r="F393" s="158" t="s">
        <v>1896</v>
      </c>
      <c r="G393" s="158" t="s">
        <v>726</v>
      </c>
      <c r="H393" s="158" t="s">
        <v>726</v>
      </c>
      <c r="I393" s="158" t="s">
        <v>726</v>
      </c>
      <c r="J393" s="158" t="s">
        <v>726</v>
      </c>
      <c r="K393" s="158" t="s">
        <v>726</v>
      </c>
      <c r="M393" s="158" t="s">
        <v>726</v>
      </c>
      <c r="N393" s="158" t="s">
        <v>726</v>
      </c>
    </row>
    <row r="394" spans="1:17" ht="14.6" customHeight="1"/>
    <row r="395" spans="1:17" ht="15.9" customHeight="1">
      <c r="A395" s="160" t="s">
        <v>1397</v>
      </c>
      <c r="B395" s="322" t="s">
        <v>1264</v>
      </c>
      <c r="C395" s="322" t="s">
        <v>1897</v>
      </c>
      <c r="D395" s="322" t="s">
        <v>1898</v>
      </c>
      <c r="E395" s="322" t="s">
        <v>1899</v>
      </c>
      <c r="F395" s="322" t="s">
        <v>1900</v>
      </c>
      <c r="G395" s="322" t="s">
        <v>1901</v>
      </c>
      <c r="H395" s="322" t="s">
        <v>1902</v>
      </c>
      <c r="I395" s="322" t="s">
        <v>1903</v>
      </c>
      <c r="J395" s="322" t="s">
        <v>1904</v>
      </c>
      <c r="K395" s="322" t="s">
        <v>1905</v>
      </c>
      <c r="M395" s="322" t="s">
        <v>1906</v>
      </c>
      <c r="N395" s="322" t="s">
        <v>1906</v>
      </c>
    </row>
    <row r="396" spans="1:17" ht="15.9" customHeight="1">
      <c r="A396" s="160" t="s">
        <v>1407</v>
      </c>
      <c r="B396" s="163" t="s">
        <v>1363</v>
      </c>
      <c r="C396" s="167" t="s">
        <v>1367</v>
      </c>
      <c r="D396" s="169" t="s">
        <v>1369</v>
      </c>
      <c r="E396" s="171" t="s">
        <v>1371</v>
      </c>
      <c r="F396" s="189" t="s">
        <v>1374</v>
      </c>
      <c r="G396" s="175" t="s">
        <v>1377</v>
      </c>
      <c r="H396" s="176" t="s">
        <v>1379</v>
      </c>
      <c r="I396" s="177" t="s">
        <v>1381</v>
      </c>
      <c r="J396" s="178" t="s">
        <v>1383</v>
      </c>
      <c r="K396" s="180" t="s">
        <v>1385</v>
      </c>
      <c r="M396" s="165" t="s">
        <v>1365</v>
      </c>
      <c r="N396" s="181" t="s">
        <v>1387</v>
      </c>
    </row>
    <row r="397" spans="1:17" ht="15.9" customHeight="1">
      <c r="A397" s="160" t="s">
        <v>1408</v>
      </c>
      <c r="B397" s="160" t="s">
        <v>1364</v>
      </c>
      <c r="C397" s="160" t="s">
        <v>1364</v>
      </c>
      <c r="D397" s="160" t="s">
        <v>1364</v>
      </c>
      <c r="E397" s="160" t="s">
        <v>1364</v>
      </c>
      <c r="F397" s="160" t="s">
        <v>1364</v>
      </c>
      <c r="G397" s="160" t="s">
        <v>1364</v>
      </c>
      <c r="H397" s="160" t="s">
        <v>1364</v>
      </c>
      <c r="I397" s="160" t="s">
        <v>1364</v>
      </c>
      <c r="J397" s="160" t="s">
        <v>1364</v>
      </c>
      <c r="K397" s="160" t="s">
        <v>1364</v>
      </c>
      <c r="M397" s="160" t="s">
        <v>1364</v>
      </c>
      <c r="N397" s="160" t="s">
        <v>1364</v>
      </c>
    </row>
    <row r="398" spans="1:17" ht="15.9" customHeight="1">
      <c r="A398" s="194" t="s">
        <v>542</v>
      </c>
      <c r="B398" s="196" t="s">
        <v>1697</v>
      </c>
      <c r="C398" s="196" t="s">
        <v>1697</v>
      </c>
      <c r="D398" s="196" t="s">
        <v>1907</v>
      </c>
      <c r="E398" s="196" t="s">
        <v>1559</v>
      </c>
      <c r="F398" s="196" t="s">
        <v>1769</v>
      </c>
      <c r="G398" s="196" t="s">
        <v>1559</v>
      </c>
      <c r="H398" s="196" t="s">
        <v>1769</v>
      </c>
      <c r="I398" s="196" t="s">
        <v>1769</v>
      </c>
      <c r="J398" s="312" t="s">
        <v>1818</v>
      </c>
      <c r="K398" s="196" t="s">
        <v>1907</v>
      </c>
      <c r="M398" s="196" t="s">
        <v>1697</v>
      </c>
      <c r="N398" s="196" t="s">
        <v>1697</v>
      </c>
    </row>
    <row r="399" spans="1:17" ht="15.9" customHeight="1">
      <c r="A399" s="198" t="s">
        <v>1410</v>
      </c>
      <c r="B399" s="200" t="s">
        <v>1697</v>
      </c>
      <c r="C399" s="200" t="s">
        <v>1697</v>
      </c>
      <c r="D399" s="200" t="s">
        <v>1697</v>
      </c>
      <c r="E399" s="200" t="s">
        <v>726</v>
      </c>
      <c r="F399" s="200" t="s">
        <v>1697</v>
      </c>
      <c r="G399" s="200" t="s">
        <v>1697</v>
      </c>
      <c r="H399" s="200" t="s">
        <v>1697</v>
      </c>
      <c r="I399" s="200" t="s">
        <v>1697</v>
      </c>
      <c r="J399" s="200" t="s">
        <v>726</v>
      </c>
      <c r="K399" s="200" t="s">
        <v>1769</v>
      </c>
      <c r="M399" s="200" t="s">
        <v>1697</v>
      </c>
      <c r="N399" s="200" t="s">
        <v>1697</v>
      </c>
    </row>
    <row r="400" spans="1:17" ht="15.9" customHeight="1">
      <c r="A400" s="202" t="s">
        <v>546</v>
      </c>
      <c r="B400" s="204">
        <v>4</v>
      </c>
      <c r="C400" s="204">
        <v>3</v>
      </c>
      <c r="D400" s="204">
        <v>2</v>
      </c>
      <c r="E400" s="204">
        <v>4</v>
      </c>
      <c r="F400" s="204">
        <v>4</v>
      </c>
      <c r="G400" s="204">
        <v>4</v>
      </c>
      <c r="H400" s="204">
        <v>5</v>
      </c>
      <c r="I400" s="204">
        <v>5</v>
      </c>
      <c r="J400" s="204">
        <v>-5</v>
      </c>
      <c r="K400" s="204">
        <v>2</v>
      </c>
      <c r="M400" s="204">
        <v>2</v>
      </c>
      <c r="N400" s="204">
        <v>2</v>
      </c>
    </row>
    <row r="401" spans="1:14" ht="15.9" customHeight="1">
      <c r="A401" s="206" t="s">
        <v>548</v>
      </c>
      <c r="B401" s="208">
        <v>4</v>
      </c>
      <c r="C401" s="208">
        <v>3</v>
      </c>
      <c r="D401" s="208">
        <v>5</v>
      </c>
      <c r="E401" s="208">
        <v>2</v>
      </c>
      <c r="F401" s="208">
        <v>4</v>
      </c>
      <c r="G401" s="208">
        <v>4</v>
      </c>
      <c r="H401" s="208">
        <v>3</v>
      </c>
      <c r="I401" s="208">
        <v>3</v>
      </c>
      <c r="J401" s="208">
        <v>-5</v>
      </c>
      <c r="K401" s="208">
        <v>2</v>
      </c>
      <c r="M401" s="208">
        <v>2</v>
      </c>
      <c r="N401" s="208">
        <v>2</v>
      </c>
    </row>
    <row r="402" spans="1:14" ht="15.9" customHeight="1">
      <c r="A402" s="160" t="s">
        <v>1412</v>
      </c>
      <c r="B402" s="211">
        <v>-0.2</v>
      </c>
      <c r="C402" s="211">
        <v>-0.2</v>
      </c>
      <c r="D402" s="211">
        <v>0</v>
      </c>
      <c r="E402" s="211">
        <v>0</v>
      </c>
      <c r="F402" s="211">
        <v>0.5</v>
      </c>
      <c r="G402" s="211">
        <v>0</v>
      </c>
      <c r="H402" s="211">
        <v>-0.5</v>
      </c>
      <c r="I402" s="211">
        <v>-0.5</v>
      </c>
      <c r="J402" s="211">
        <v>-0.5</v>
      </c>
      <c r="K402" s="211">
        <v>1</v>
      </c>
      <c r="M402" s="211">
        <v>-0.5</v>
      </c>
      <c r="N402" s="211">
        <v>-0.5</v>
      </c>
    </row>
    <row r="403" spans="1:14" ht="15.9" customHeight="1">
      <c r="A403" s="160" t="s">
        <v>1413</v>
      </c>
      <c r="B403" s="214">
        <v>0.2</v>
      </c>
      <c r="C403" s="214">
        <v>0.2</v>
      </c>
      <c r="D403" s="214">
        <v>0.5</v>
      </c>
      <c r="E403" s="214">
        <v>0.2</v>
      </c>
      <c r="F403" s="214">
        <v>0.5</v>
      </c>
      <c r="G403" s="214">
        <v>0</v>
      </c>
      <c r="H403" s="214">
        <v>0.5</v>
      </c>
      <c r="I403" s="214">
        <v>0.5</v>
      </c>
      <c r="J403" s="214">
        <v>-0.5</v>
      </c>
      <c r="K403" s="214">
        <v>-0.5</v>
      </c>
      <c r="M403" s="214">
        <v>0</v>
      </c>
      <c r="N403" s="214">
        <v>0</v>
      </c>
    </row>
    <row r="404" spans="1:14" ht="15.9" customHeight="1">
      <c r="A404" s="160" t="s">
        <v>1414</v>
      </c>
      <c r="B404" s="217">
        <v>0.8</v>
      </c>
      <c r="C404" s="217">
        <v>-0.2</v>
      </c>
      <c r="D404" s="217">
        <v>-0.5</v>
      </c>
      <c r="E404" s="217">
        <v>0.1</v>
      </c>
      <c r="F404" s="217">
        <v>0.5</v>
      </c>
      <c r="G404" s="217">
        <v>0.5</v>
      </c>
      <c r="H404" s="217">
        <v>0.5</v>
      </c>
      <c r="I404" s="217">
        <v>0.5</v>
      </c>
      <c r="J404" s="217">
        <v>-0.5</v>
      </c>
      <c r="K404" s="217">
        <v>0</v>
      </c>
      <c r="M404" s="217">
        <v>0.5</v>
      </c>
      <c r="N404" s="217">
        <v>0.5</v>
      </c>
    </row>
    <row r="405" spans="1:14" ht="15.9" customHeight="1">
      <c r="A405" s="160" t="s">
        <v>1415</v>
      </c>
      <c r="B405" s="220">
        <v>0</v>
      </c>
      <c r="C405" s="220">
        <v>0</v>
      </c>
      <c r="D405" s="220">
        <v>0.5</v>
      </c>
      <c r="E405" s="220">
        <v>0.2</v>
      </c>
      <c r="F405" s="220">
        <v>0.5</v>
      </c>
      <c r="G405" s="220">
        <v>-0.5</v>
      </c>
      <c r="H405" s="220">
        <v>-0.5</v>
      </c>
      <c r="I405" s="220">
        <v>-0.5</v>
      </c>
      <c r="J405" s="220">
        <v>-0.5</v>
      </c>
      <c r="K405" s="220">
        <v>0</v>
      </c>
      <c r="M405" s="220">
        <v>-0.5</v>
      </c>
      <c r="N405" s="220">
        <v>-0.5</v>
      </c>
    </row>
    <row r="406" spans="1:14" ht="15.9" customHeight="1">
      <c r="A406" s="313" t="s">
        <v>1416</v>
      </c>
      <c r="B406" s="224">
        <v>0</v>
      </c>
      <c r="C406" s="224">
        <v>0.3</v>
      </c>
      <c r="D406" s="224">
        <v>0</v>
      </c>
      <c r="E406" s="224">
        <v>0.1</v>
      </c>
      <c r="F406" s="224">
        <v>0.5</v>
      </c>
      <c r="G406" s="224">
        <v>0.5</v>
      </c>
      <c r="H406" s="224">
        <v>0.5</v>
      </c>
      <c r="I406" s="224">
        <v>0.5</v>
      </c>
      <c r="J406" s="224">
        <v>-0.5</v>
      </c>
      <c r="K406" s="224">
        <v>0</v>
      </c>
      <c r="M406" s="224">
        <v>0.5</v>
      </c>
      <c r="N406" s="224">
        <v>0.5</v>
      </c>
    </row>
    <row r="407" spans="1:14" ht="15.9" customHeight="1">
      <c r="A407" s="160" t="s">
        <v>1417</v>
      </c>
      <c r="B407" s="227">
        <v>0</v>
      </c>
      <c r="C407" s="227">
        <v>0.2</v>
      </c>
      <c r="D407" s="227">
        <v>0</v>
      </c>
      <c r="E407" s="227">
        <v>0.1</v>
      </c>
      <c r="F407" s="227">
        <v>0.5</v>
      </c>
      <c r="G407" s="227">
        <v>0</v>
      </c>
      <c r="H407" s="227">
        <v>0</v>
      </c>
      <c r="I407" s="227">
        <v>0</v>
      </c>
      <c r="J407" s="227">
        <v>-0.5</v>
      </c>
      <c r="K407" s="227">
        <v>0</v>
      </c>
      <c r="M407" s="227">
        <v>0</v>
      </c>
      <c r="N407" s="227">
        <v>0</v>
      </c>
    </row>
    <row r="408" spans="1:14" ht="15.9" customHeight="1">
      <c r="A408" s="160" t="s">
        <v>1418</v>
      </c>
      <c r="B408" s="230">
        <v>0</v>
      </c>
      <c r="C408" s="230">
        <v>0</v>
      </c>
      <c r="D408" s="230">
        <v>0</v>
      </c>
      <c r="E408" s="230">
        <v>0.4</v>
      </c>
      <c r="F408" s="230">
        <v>0.5</v>
      </c>
      <c r="G408" s="230">
        <v>0</v>
      </c>
      <c r="H408" s="230">
        <v>-0.2</v>
      </c>
      <c r="I408" s="230">
        <v>-0.2</v>
      </c>
      <c r="J408" s="230">
        <v>-0.5</v>
      </c>
      <c r="K408" s="230">
        <v>0.5</v>
      </c>
      <c r="M408" s="230">
        <v>-0.2</v>
      </c>
      <c r="N408" s="230">
        <v>-0.2</v>
      </c>
    </row>
    <row r="409" spans="1:14" ht="15.9" customHeight="1">
      <c r="A409" s="160" t="s">
        <v>1419</v>
      </c>
      <c r="B409" s="233">
        <v>0</v>
      </c>
      <c r="C409" s="233">
        <v>0</v>
      </c>
      <c r="D409" s="233">
        <v>0.5</v>
      </c>
      <c r="E409" s="233">
        <v>0.2</v>
      </c>
      <c r="F409" s="233">
        <v>0.5</v>
      </c>
      <c r="G409" s="233">
        <v>0</v>
      </c>
      <c r="H409" s="233">
        <v>0</v>
      </c>
      <c r="I409" s="233">
        <v>0</v>
      </c>
      <c r="J409" s="233">
        <v>-0.5</v>
      </c>
      <c r="K409" s="233">
        <v>0</v>
      </c>
      <c r="M409" s="233">
        <v>0</v>
      </c>
      <c r="N409" s="233">
        <v>0</v>
      </c>
    </row>
    <row r="410" spans="1:14" ht="15.9" customHeight="1">
      <c r="A410" s="160" t="s">
        <v>1420</v>
      </c>
      <c r="B410" s="236">
        <v>0</v>
      </c>
      <c r="C410" s="236">
        <v>0.5</v>
      </c>
      <c r="D410" s="236">
        <v>0</v>
      </c>
      <c r="E410" s="236">
        <v>-0.5</v>
      </c>
      <c r="F410" s="236">
        <v>0.5</v>
      </c>
      <c r="G410" s="236">
        <v>0</v>
      </c>
      <c r="H410" s="236">
        <v>0</v>
      </c>
      <c r="I410" s="236">
        <v>0</v>
      </c>
      <c r="J410" s="236">
        <v>-0.5</v>
      </c>
      <c r="K410" s="236">
        <v>0</v>
      </c>
      <c r="M410" s="236">
        <v>0</v>
      </c>
      <c r="N410" s="236">
        <v>0</v>
      </c>
    </row>
    <row r="411" spans="1:14" ht="15.9" customHeight="1">
      <c r="A411" s="160" t="s">
        <v>570</v>
      </c>
      <c r="B411" s="204">
        <v>4</v>
      </c>
      <c r="C411" s="204">
        <v>4</v>
      </c>
      <c r="D411" s="204">
        <v>4</v>
      </c>
      <c r="E411" s="204">
        <v>4</v>
      </c>
      <c r="F411" s="204">
        <v>4</v>
      </c>
      <c r="G411" s="204">
        <v>4</v>
      </c>
      <c r="H411" s="204">
        <v>4</v>
      </c>
      <c r="I411" s="204">
        <v>4</v>
      </c>
      <c r="J411" s="204">
        <v>0</v>
      </c>
      <c r="K411" s="204">
        <v>4</v>
      </c>
      <c r="M411" s="204">
        <v>1</v>
      </c>
      <c r="N411" s="204">
        <v>1</v>
      </c>
    </row>
    <row r="412" spans="1:14" ht="15.9" customHeight="1">
      <c r="A412" s="160" t="s">
        <v>572</v>
      </c>
      <c r="B412" s="204">
        <v>4</v>
      </c>
      <c r="C412" s="204">
        <v>4</v>
      </c>
      <c r="D412" s="204">
        <v>4</v>
      </c>
      <c r="E412" s="204">
        <v>4</v>
      </c>
      <c r="F412" s="204">
        <v>4</v>
      </c>
      <c r="G412" s="204">
        <v>4</v>
      </c>
      <c r="H412" s="204">
        <v>4</v>
      </c>
      <c r="I412" s="204">
        <v>4</v>
      </c>
      <c r="J412" s="204">
        <v>0</v>
      </c>
      <c r="K412" s="204">
        <v>4</v>
      </c>
      <c r="M412" s="204">
        <v>1</v>
      </c>
      <c r="N412" s="204">
        <v>1</v>
      </c>
    </row>
    <row r="413" spans="1:14" ht="15.9" customHeight="1">
      <c r="A413" s="160" t="s">
        <v>573</v>
      </c>
      <c r="B413" s="240">
        <v>4</v>
      </c>
      <c r="C413" s="240">
        <v>4</v>
      </c>
      <c r="D413" s="240">
        <v>4</v>
      </c>
      <c r="E413" s="240">
        <v>4</v>
      </c>
      <c r="F413" s="240">
        <v>4</v>
      </c>
      <c r="G413" s="240">
        <v>4</v>
      </c>
      <c r="H413" s="240">
        <v>4</v>
      </c>
      <c r="I413" s="240">
        <v>4</v>
      </c>
      <c r="J413" s="240">
        <v>0</v>
      </c>
      <c r="K413" s="240">
        <v>4</v>
      </c>
      <c r="M413" s="240">
        <v>1</v>
      </c>
      <c r="N413" s="240">
        <v>1</v>
      </c>
    </row>
    <row r="414" spans="1:14" ht="15.9" customHeight="1">
      <c r="A414" s="160" t="s">
        <v>14</v>
      </c>
      <c r="B414" s="250" t="s">
        <v>1908</v>
      </c>
      <c r="C414" s="250" t="s">
        <v>1908</v>
      </c>
      <c r="D414" s="250" t="s">
        <v>1909</v>
      </c>
      <c r="E414" s="250" t="s">
        <v>1772</v>
      </c>
      <c r="F414" s="250" t="s">
        <v>1908</v>
      </c>
      <c r="G414" s="204" t="s">
        <v>1910</v>
      </c>
      <c r="H414" s="250" t="s">
        <v>1777</v>
      </c>
      <c r="I414" s="250" t="s">
        <v>1911</v>
      </c>
      <c r="J414" s="250" t="s">
        <v>726</v>
      </c>
      <c r="K414" s="250" t="s">
        <v>1912</v>
      </c>
      <c r="M414" s="250" t="s">
        <v>1913</v>
      </c>
      <c r="N414" s="250" t="s">
        <v>1913</v>
      </c>
    </row>
    <row r="415" spans="1:14" ht="15.9" customHeight="1">
      <c r="A415" s="242" t="s">
        <v>584</v>
      </c>
      <c r="B415" s="244" t="s">
        <v>1422</v>
      </c>
      <c r="C415" s="244" t="s">
        <v>1422</v>
      </c>
      <c r="D415" s="244" t="s">
        <v>1422</v>
      </c>
      <c r="E415" s="244" t="s">
        <v>1422</v>
      </c>
      <c r="F415" s="244" t="s">
        <v>1422</v>
      </c>
      <c r="G415" s="244" t="s">
        <v>1422</v>
      </c>
      <c r="H415" s="244" t="s">
        <v>1422</v>
      </c>
      <c r="I415" s="244" t="s">
        <v>1422</v>
      </c>
      <c r="J415" s="244" t="s">
        <v>1422</v>
      </c>
      <c r="K415" s="244" t="s">
        <v>1422</v>
      </c>
      <c r="M415" s="244" t="s">
        <v>1422</v>
      </c>
      <c r="N415" s="244" t="s">
        <v>1422</v>
      </c>
    </row>
    <row r="416" spans="1:14" ht="15.9" customHeight="1">
      <c r="A416" s="160" t="s">
        <v>1701</v>
      </c>
      <c r="B416" s="214">
        <v>0</v>
      </c>
      <c r="C416" s="214">
        <v>0</v>
      </c>
      <c r="D416" s="214">
        <v>0</v>
      </c>
      <c r="E416" s="214">
        <v>0</v>
      </c>
      <c r="F416" s="214">
        <v>0</v>
      </c>
      <c r="G416" s="214">
        <v>0</v>
      </c>
      <c r="H416" s="214">
        <v>0</v>
      </c>
      <c r="I416" s="214">
        <v>0</v>
      </c>
      <c r="J416" s="214">
        <v>0</v>
      </c>
      <c r="K416" s="214">
        <v>0</v>
      </c>
      <c r="M416" s="214">
        <v>0</v>
      </c>
      <c r="N416" s="214">
        <v>0</v>
      </c>
    </row>
    <row r="417" spans="1:14" ht="27" customHeight="1">
      <c r="A417" s="160" t="s">
        <v>36</v>
      </c>
      <c r="B417" s="247" t="s">
        <v>1782</v>
      </c>
      <c r="C417" s="247" t="s">
        <v>1782</v>
      </c>
      <c r="D417" s="247" t="s">
        <v>1782</v>
      </c>
      <c r="E417" s="247" t="s">
        <v>1782</v>
      </c>
      <c r="F417" s="247" t="s">
        <v>1782</v>
      </c>
      <c r="G417" s="247" t="s">
        <v>1782</v>
      </c>
      <c r="H417" s="247" t="s">
        <v>1782</v>
      </c>
      <c r="I417" s="247" t="s">
        <v>1782</v>
      </c>
      <c r="J417" s="247" t="s">
        <v>1782</v>
      </c>
      <c r="K417" s="247" t="s">
        <v>1782</v>
      </c>
      <c r="M417" s="247" t="s">
        <v>1914</v>
      </c>
      <c r="N417" s="247" t="s">
        <v>1914</v>
      </c>
    </row>
    <row r="418" spans="1:14" ht="15.9" customHeight="1">
      <c r="A418" s="160" t="s">
        <v>1428</v>
      </c>
      <c r="B418" s="250">
        <v>400</v>
      </c>
      <c r="C418" s="250">
        <v>400</v>
      </c>
      <c r="D418" s="250">
        <v>400</v>
      </c>
      <c r="E418" s="250">
        <v>400</v>
      </c>
      <c r="F418" s="250">
        <v>400</v>
      </c>
      <c r="G418" s="250">
        <v>400</v>
      </c>
      <c r="H418" s="250">
        <v>400</v>
      </c>
      <c r="I418" s="250">
        <v>400</v>
      </c>
      <c r="J418" s="250">
        <v>400</v>
      </c>
      <c r="K418" s="250">
        <v>400</v>
      </c>
      <c r="M418" s="250">
        <v>400</v>
      </c>
      <c r="N418" s="250">
        <v>400</v>
      </c>
    </row>
    <row r="419" spans="1:14" ht="15.9" customHeight="1">
      <c r="A419" s="160" t="s">
        <v>593</v>
      </c>
      <c r="B419" s="250">
        <v>4</v>
      </c>
      <c r="C419" s="250">
        <v>4</v>
      </c>
      <c r="D419" s="250">
        <v>4</v>
      </c>
      <c r="E419" s="250">
        <v>4</v>
      </c>
      <c r="F419" s="250">
        <v>4</v>
      </c>
      <c r="G419" s="250">
        <v>4</v>
      </c>
      <c r="H419" s="250">
        <v>4</v>
      </c>
      <c r="I419" s="250">
        <v>4</v>
      </c>
      <c r="J419" s="250">
        <v>4</v>
      </c>
      <c r="K419" s="250">
        <v>4</v>
      </c>
      <c r="M419" s="250">
        <v>3</v>
      </c>
      <c r="N419" s="250">
        <v>3</v>
      </c>
    </row>
    <row r="420" spans="1:14" ht="21.75" customHeight="1">
      <c r="A420" s="160" t="s">
        <v>1429</v>
      </c>
      <c r="B420" s="204" t="s">
        <v>726</v>
      </c>
      <c r="C420" s="204" t="s">
        <v>1915</v>
      </c>
      <c r="D420" s="204" t="s">
        <v>1916</v>
      </c>
      <c r="E420" s="204" t="s">
        <v>1917</v>
      </c>
      <c r="F420" s="250" t="s">
        <v>1918</v>
      </c>
      <c r="G420" s="250" t="s">
        <v>1919</v>
      </c>
      <c r="H420" s="204" t="s">
        <v>726</v>
      </c>
      <c r="I420" s="204" t="s">
        <v>726</v>
      </c>
      <c r="J420" s="250" t="s">
        <v>1920</v>
      </c>
      <c r="K420" s="277" t="s">
        <v>1921</v>
      </c>
      <c r="M420" s="204" t="s">
        <v>726</v>
      </c>
      <c r="N420" s="204" t="s">
        <v>726</v>
      </c>
    </row>
    <row r="421" spans="1:14" ht="21.75" customHeight="1">
      <c r="A421" s="160" t="s">
        <v>1440</v>
      </c>
      <c r="B421" s="204" t="s">
        <v>1922</v>
      </c>
      <c r="C421" s="204" t="s">
        <v>1923</v>
      </c>
      <c r="D421" s="204" t="s">
        <v>1924</v>
      </c>
      <c r="E421" s="204" t="s">
        <v>1925</v>
      </c>
      <c r="F421" s="277" t="s">
        <v>1926</v>
      </c>
      <c r="G421" s="250" t="s">
        <v>1927</v>
      </c>
      <c r="H421" s="250" t="s">
        <v>1802</v>
      </c>
      <c r="I421" s="250" t="s">
        <v>726</v>
      </c>
      <c r="J421" s="250" t="s">
        <v>1928</v>
      </c>
      <c r="K421" s="277" t="s">
        <v>1929</v>
      </c>
      <c r="M421" s="250" t="s">
        <v>1930</v>
      </c>
      <c r="N421" s="250" t="s">
        <v>1930</v>
      </c>
    </row>
    <row r="422" spans="1:14" ht="21.75" customHeight="1">
      <c r="A422" s="160" t="s">
        <v>1713</v>
      </c>
      <c r="B422" s="204" t="s">
        <v>1931</v>
      </c>
      <c r="C422" s="204" t="s">
        <v>726</v>
      </c>
      <c r="D422" s="204" t="s">
        <v>726</v>
      </c>
      <c r="E422" s="204" t="s">
        <v>726</v>
      </c>
      <c r="F422" s="204" t="s">
        <v>726</v>
      </c>
      <c r="G422" s="314" t="s">
        <v>1932</v>
      </c>
      <c r="H422" s="250" t="s">
        <v>1933</v>
      </c>
      <c r="I422" s="277" t="s">
        <v>1934</v>
      </c>
      <c r="J422" s="158" t="s">
        <v>1935</v>
      </c>
      <c r="K422" s="158" t="s">
        <v>1936</v>
      </c>
      <c r="M422" s="250" t="s">
        <v>1937</v>
      </c>
      <c r="N422" s="250" t="s">
        <v>1937</v>
      </c>
    </row>
    <row r="423" spans="1:14" ht="14.6" customHeight="1"/>
    <row r="424" spans="1:14" ht="15.9" customHeight="1">
      <c r="A424" s="160" t="s">
        <v>1397</v>
      </c>
      <c r="B424" s="278" t="s">
        <v>1938</v>
      </c>
      <c r="C424" s="278" t="s">
        <v>1939</v>
      </c>
      <c r="D424" s="278" t="s">
        <v>1940</v>
      </c>
      <c r="E424" s="278" t="s">
        <v>1941</v>
      </c>
      <c r="F424" s="278" t="s">
        <v>1942</v>
      </c>
      <c r="G424" s="278" t="s">
        <v>1943</v>
      </c>
      <c r="H424" s="278" t="s">
        <v>1944</v>
      </c>
      <c r="I424" s="278" t="s">
        <v>1945</v>
      </c>
      <c r="J424" s="278" t="s">
        <v>1946</v>
      </c>
      <c r="K424" s="278" t="s">
        <v>1947</v>
      </c>
      <c r="M424" s="278" t="s">
        <v>1948</v>
      </c>
      <c r="N424" s="278" t="s">
        <v>1948</v>
      </c>
    </row>
    <row r="425" spans="1:14" ht="15.9" customHeight="1">
      <c r="A425" s="160" t="s">
        <v>1407</v>
      </c>
      <c r="B425" s="188" t="s">
        <v>1363</v>
      </c>
      <c r="C425" s="167" t="s">
        <v>1367</v>
      </c>
      <c r="D425" s="169" t="s">
        <v>1369</v>
      </c>
      <c r="E425" s="171" t="s">
        <v>1371</v>
      </c>
      <c r="F425" s="189" t="s">
        <v>1374</v>
      </c>
      <c r="G425" s="175" t="s">
        <v>1377</v>
      </c>
      <c r="H425" s="176" t="s">
        <v>1379</v>
      </c>
      <c r="I425" s="177" t="s">
        <v>1381</v>
      </c>
      <c r="J425" s="178" t="s">
        <v>1383</v>
      </c>
      <c r="K425" s="190" t="s">
        <v>1385</v>
      </c>
      <c r="M425" s="165" t="s">
        <v>1365</v>
      </c>
      <c r="N425" s="181" t="s">
        <v>1387</v>
      </c>
    </row>
    <row r="426" spans="1:14" ht="15.9" customHeight="1">
      <c r="A426" s="160" t="s">
        <v>1408</v>
      </c>
      <c r="B426" s="191" t="s">
        <v>1370</v>
      </c>
      <c r="C426" s="193" t="s">
        <v>1370</v>
      </c>
      <c r="D426" s="191" t="s">
        <v>1370</v>
      </c>
      <c r="E426" s="191" t="s">
        <v>1370</v>
      </c>
      <c r="F426" s="192" t="s">
        <v>1370</v>
      </c>
      <c r="G426" s="192" t="s">
        <v>1370</v>
      </c>
      <c r="H426" s="192" t="s">
        <v>1370</v>
      </c>
      <c r="I426" s="192" t="s">
        <v>1370</v>
      </c>
      <c r="J426" s="192" t="s">
        <v>1370</v>
      </c>
      <c r="K426" s="193" t="s">
        <v>1370</v>
      </c>
      <c r="M426" s="191" t="s">
        <v>1370</v>
      </c>
      <c r="N426" s="191" t="s">
        <v>1370</v>
      </c>
    </row>
    <row r="427" spans="1:14" ht="15.9" customHeight="1">
      <c r="A427" s="194" t="s">
        <v>542</v>
      </c>
      <c r="B427" s="196" t="s">
        <v>1559</v>
      </c>
      <c r="C427" s="323" t="s">
        <v>1559</v>
      </c>
      <c r="D427" s="196" t="s">
        <v>1559</v>
      </c>
      <c r="E427" s="196" t="s">
        <v>1559</v>
      </c>
      <c r="F427" s="196" t="s">
        <v>1559</v>
      </c>
      <c r="G427" s="196" t="s">
        <v>1559</v>
      </c>
      <c r="H427" s="196" t="s">
        <v>1559</v>
      </c>
      <c r="I427" s="196" t="s">
        <v>1559</v>
      </c>
      <c r="J427" s="196" t="s">
        <v>1559</v>
      </c>
      <c r="K427" s="196" t="s">
        <v>1559</v>
      </c>
      <c r="M427" s="196" t="s">
        <v>1559</v>
      </c>
      <c r="N427" s="196" t="s">
        <v>1559</v>
      </c>
    </row>
    <row r="428" spans="1:14" ht="15.9" customHeight="1">
      <c r="A428" s="198" t="s">
        <v>1410</v>
      </c>
      <c r="B428" s="200" t="s">
        <v>1697</v>
      </c>
      <c r="C428" s="200" t="s">
        <v>1697</v>
      </c>
      <c r="D428" s="200" t="s">
        <v>1697</v>
      </c>
      <c r="E428" s="200" t="s">
        <v>1697</v>
      </c>
      <c r="F428" s="200" t="s">
        <v>1697</v>
      </c>
      <c r="G428" s="200" t="s">
        <v>1697</v>
      </c>
      <c r="H428" s="200" t="s">
        <v>1697</v>
      </c>
      <c r="I428" s="200" t="s">
        <v>1697</v>
      </c>
      <c r="J428" s="200" t="s">
        <v>1697</v>
      </c>
      <c r="K428" s="200" t="s">
        <v>1697</v>
      </c>
      <c r="M428" s="200" t="s">
        <v>1697</v>
      </c>
      <c r="N428" s="200" t="s">
        <v>1697</v>
      </c>
    </row>
    <row r="429" spans="1:14" ht="15.9" customHeight="1">
      <c r="A429" s="202" t="s">
        <v>546</v>
      </c>
      <c r="B429" s="204">
        <v>-5</v>
      </c>
      <c r="C429" s="204">
        <v>-5</v>
      </c>
      <c r="D429" s="204">
        <v>-5</v>
      </c>
      <c r="E429" s="204">
        <v>-5</v>
      </c>
      <c r="F429" s="204">
        <v>-5</v>
      </c>
      <c r="G429" s="204">
        <v>-5</v>
      </c>
      <c r="H429" s="204">
        <v>-5</v>
      </c>
      <c r="I429" s="204">
        <v>-5</v>
      </c>
      <c r="J429" s="204">
        <v>-5</v>
      </c>
      <c r="K429" s="204">
        <v>-5</v>
      </c>
      <c r="M429" s="204">
        <v>5</v>
      </c>
      <c r="N429" s="204">
        <v>0</v>
      </c>
    </row>
    <row r="430" spans="1:14" ht="15.9" customHeight="1">
      <c r="A430" s="206" t="s">
        <v>548</v>
      </c>
      <c r="B430" s="208">
        <v>5</v>
      </c>
      <c r="C430" s="208">
        <v>0</v>
      </c>
      <c r="D430" s="208">
        <v>0</v>
      </c>
      <c r="E430" s="208">
        <v>0</v>
      </c>
      <c r="F430" s="208">
        <v>0</v>
      </c>
      <c r="G430" s="208">
        <v>0</v>
      </c>
      <c r="H430" s="208">
        <v>0</v>
      </c>
      <c r="I430" s="208">
        <v>0</v>
      </c>
      <c r="J430" s="208">
        <v>0</v>
      </c>
      <c r="K430" s="208">
        <v>0</v>
      </c>
      <c r="M430" s="208">
        <v>-5</v>
      </c>
      <c r="N430" s="208">
        <v>5</v>
      </c>
    </row>
    <row r="431" spans="1:14" ht="15.9" customHeight="1">
      <c r="A431" s="160" t="s">
        <v>1412</v>
      </c>
      <c r="B431" s="211">
        <v>-0.2</v>
      </c>
      <c r="C431" s="211">
        <v>-0.2</v>
      </c>
      <c r="D431" s="211">
        <v>-0.2</v>
      </c>
      <c r="E431" s="211">
        <v>-0.2</v>
      </c>
      <c r="F431" s="211">
        <v>-0.2</v>
      </c>
      <c r="G431" s="211">
        <v>-0.2</v>
      </c>
      <c r="H431" s="211">
        <v>-0.2</v>
      </c>
      <c r="I431" s="211">
        <v>-0.2</v>
      </c>
      <c r="J431" s="211">
        <v>-1</v>
      </c>
      <c r="K431" s="211">
        <v>1</v>
      </c>
      <c r="M431" s="211">
        <v>-0.2</v>
      </c>
      <c r="N431" s="211">
        <v>0</v>
      </c>
    </row>
    <row r="432" spans="1:14" ht="15.9" customHeight="1">
      <c r="A432" s="160" t="s">
        <v>1413</v>
      </c>
      <c r="B432" s="214">
        <v>-0.2</v>
      </c>
      <c r="C432" s="214">
        <v>-0.2</v>
      </c>
      <c r="D432" s="214">
        <v>-0.2</v>
      </c>
      <c r="E432" s="214">
        <v>-0.2</v>
      </c>
      <c r="F432" s="214">
        <v>-0.2</v>
      </c>
      <c r="G432" s="214">
        <v>-0.2</v>
      </c>
      <c r="H432" s="214">
        <v>-0.2</v>
      </c>
      <c r="I432" s="214">
        <v>-0.2</v>
      </c>
      <c r="J432" s="214">
        <v>1</v>
      </c>
      <c r="K432" s="214">
        <v>-1</v>
      </c>
      <c r="M432" s="214">
        <v>-0.2</v>
      </c>
      <c r="N432" s="214">
        <v>0</v>
      </c>
    </row>
    <row r="433" spans="1:14" ht="15.9" customHeight="1">
      <c r="A433" s="160" t="s">
        <v>1414</v>
      </c>
      <c r="B433" s="217">
        <v>-0.2</v>
      </c>
      <c r="C433" s="217">
        <v>-0.2</v>
      </c>
      <c r="D433" s="217">
        <v>-1</v>
      </c>
      <c r="E433" s="217">
        <v>-0.2</v>
      </c>
      <c r="F433" s="217">
        <v>-0.2</v>
      </c>
      <c r="G433" s="217">
        <v>-0.2</v>
      </c>
      <c r="H433" s="217">
        <v>1</v>
      </c>
      <c r="I433" s="217">
        <v>-0.2</v>
      </c>
      <c r="J433" s="217">
        <v>-0.2</v>
      </c>
      <c r="K433" s="217">
        <v>-0.2</v>
      </c>
      <c r="M433" s="217">
        <v>-0.2</v>
      </c>
      <c r="N433" s="217">
        <v>0</v>
      </c>
    </row>
    <row r="434" spans="1:14" ht="15.9" customHeight="1">
      <c r="A434" s="160" t="s">
        <v>1415</v>
      </c>
      <c r="B434" s="220">
        <v>-0.2</v>
      </c>
      <c r="C434" s="220">
        <v>-0.2</v>
      </c>
      <c r="D434" s="220">
        <v>1</v>
      </c>
      <c r="E434" s="220">
        <v>-0.2</v>
      </c>
      <c r="F434" s="220">
        <v>-0.2</v>
      </c>
      <c r="G434" s="220">
        <v>-0.2</v>
      </c>
      <c r="H434" s="220">
        <v>-1</v>
      </c>
      <c r="I434" s="220">
        <v>-0.2</v>
      </c>
      <c r="J434" s="220">
        <v>-0.2</v>
      </c>
      <c r="K434" s="220">
        <v>-0.2</v>
      </c>
      <c r="M434" s="220">
        <v>-0.2</v>
      </c>
      <c r="N434" s="220">
        <v>0</v>
      </c>
    </row>
    <row r="435" spans="1:14" ht="15.9" customHeight="1">
      <c r="A435" s="222" t="s">
        <v>1416</v>
      </c>
      <c r="B435" s="224">
        <v>-0.2</v>
      </c>
      <c r="C435" s="224">
        <v>-0.2</v>
      </c>
      <c r="D435" s="224">
        <v>-0.2</v>
      </c>
      <c r="E435" s="224">
        <v>-0.2</v>
      </c>
      <c r="F435" s="224">
        <v>1</v>
      </c>
      <c r="G435" s="224">
        <v>-0.2</v>
      </c>
      <c r="H435" s="224">
        <v>-0.2</v>
      </c>
      <c r="I435" s="224">
        <v>-1</v>
      </c>
      <c r="J435" s="224">
        <v>-0.2</v>
      </c>
      <c r="K435" s="224">
        <v>-0.2</v>
      </c>
      <c r="M435" s="224">
        <v>-0.2</v>
      </c>
      <c r="N435" s="224">
        <v>0</v>
      </c>
    </row>
    <row r="436" spans="1:14" ht="15.9" customHeight="1">
      <c r="A436" s="160" t="s">
        <v>1417</v>
      </c>
      <c r="B436" s="227">
        <v>-0.2</v>
      </c>
      <c r="C436" s="227">
        <v>-0.2</v>
      </c>
      <c r="D436" s="227">
        <v>-0.2</v>
      </c>
      <c r="E436" s="227">
        <v>-1</v>
      </c>
      <c r="F436" s="227">
        <v>-0.2</v>
      </c>
      <c r="G436" s="227">
        <v>-0.2</v>
      </c>
      <c r="H436" s="227">
        <v>-0.2</v>
      </c>
      <c r="I436" s="227">
        <v>1</v>
      </c>
      <c r="J436" s="227">
        <v>-0.2</v>
      </c>
      <c r="K436" s="227">
        <v>-0.2</v>
      </c>
      <c r="M436" s="227">
        <v>-0.2</v>
      </c>
      <c r="N436" s="227">
        <v>0</v>
      </c>
    </row>
    <row r="437" spans="1:14" ht="15.9" customHeight="1">
      <c r="A437" s="160" t="s">
        <v>1418</v>
      </c>
      <c r="B437" s="230">
        <v>-0.2</v>
      </c>
      <c r="C437" s="230">
        <v>-0.2</v>
      </c>
      <c r="D437" s="230">
        <v>-0.2</v>
      </c>
      <c r="E437" s="230">
        <v>1</v>
      </c>
      <c r="F437" s="230">
        <v>-1</v>
      </c>
      <c r="G437" s="230">
        <v>-0.2</v>
      </c>
      <c r="H437" s="230">
        <v>-0.2</v>
      </c>
      <c r="I437" s="230">
        <v>-0.2</v>
      </c>
      <c r="J437" s="230">
        <v>-0.2</v>
      </c>
      <c r="K437" s="230">
        <v>-0.2</v>
      </c>
      <c r="M437" s="230">
        <v>-0.2</v>
      </c>
      <c r="N437" s="230">
        <v>0</v>
      </c>
    </row>
    <row r="438" spans="1:14" ht="15.9" customHeight="1">
      <c r="A438" s="160" t="s">
        <v>1419</v>
      </c>
      <c r="B438" s="233">
        <v>-0.2</v>
      </c>
      <c r="C438" s="233">
        <v>-1</v>
      </c>
      <c r="D438" s="233">
        <v>-0.2</v>
      </c>
      <c r="E438" s="233">
        <v>-0.2</v>
      </c>
      <c r="F438" s="233">
        <v>-0.2</v>
      </c>
      <c r="G438" s="233">
        <v>1</v>
      </c>
      <c r="H438" s="233">
        <v>-0.2</v>
      </c>
      <c r="I438" s="233">
        <v>-0.2</v>
      </c>
      <c r="J438" s="233">
        <v>-0.2</v>
      </c>
      <c r="K438" s="233">
        <v>-0.2</v>
      </c>
      <c r="M438" s="233">
        <v>-0.2</v>
      </c>
      <c r="N438" s="233">
        <v>0</v>
      </c>
    </row>
    <row r="439" spans="1:14" ht="15.9" customHeight="1">
      <c r="A439" s="160" t="s">
        <v>1420</v>
      </c>
      <c r="B439" s="236">
        <v>-0.2</v>
      </c>
      <c r="C439" s="236">
        <v>1</v>
      </c>
      <c r="D439" s="236">
        <v>-0.2</v>
      </c>
      <c r="E439" s="236">
        <v>-0.2</v>
      </c>
      <c r="F439" s="236">
        <v>-0.2</v>
      </c>
      <c r="G439" s="236">
        <v>-1</v>
      </c>
      <c r="H439" s="236">
        <v>-0.2</v>
      </c>
      <c r="I439" s="236">
        <v>-0.2</v>
      </c>
      <c r="J439" s="236">
        <v>-0.2</v>
      </c>
      <c r="K439" s="236">
        <v>-0.2</v>
      </c>
      <c r="M439" s="236">
        <v>-0.2</v>
      </c>
      <c r="N439" s="236">
        <v>0</v>
      </c>
    </row>
    <row r="440" spans="1:14" ht="15.9" customHeight="1">
      <c r="A440" s="160" t="s">
        <v>570</v>
      </c>
      <c r="B440" s="204">
        <v>4</v>
      </c>
      <c r="C440" s="204">
        <v>4</v>
      </c>
      <c r="D440" s="204">
        <v>4</v>
      </c>
      <c r="E440" s="204">
        <v>4</v>
      </c>
      <c r="F440" s="204">
        <v>4</v>
      </c>
      <c r="G440" s="204">
        <v>4</v>
      </c>
      <c r="H440" s="204">
        <v>4</v>
      </c>
      <c r="I440" s="204">
        <v>4</v>
      </c>
      <c r="J440" s="204">
        <v>4</v>
      </c>
      <c r="K440" s="204">
        <v>4</v>
      </c>
      <c r="M440" s="204">
        <v>2</v>
      </c>
      <c r="N440" s="204">
        <v>2</v>
      </c>
    </row>
    <row r="441" spans="1:14" ht="15.9" customHeight="1">
      <c r="A441" s="160" t="s">
        <v>572</v>
      </c>
      <c r="B441" s="204">
        <v>4</v>
      </c>
      <c r="C441" s="204">
        <v>4</v>
      </c>
      <c r="D441" s="204">
        <v>4</v>
      </c>
      <c r="E441" s="204">
        <v>4</v>
      </c>
      <c r="F441" s="204">
        <v>4</v>
      </c>
      <c r="G441" s="204">
        <v>4</v>
      </c>
      <c r="H441" s="204">
        <v>4</v>
      </c>
      <c r="I441" s="204">
        <v>4</v>
      </c>
      <c r="J441" s="204">
        <v>4</v>
      </c>
      <c r="K441" s="204">
        <v>4</v>
      </c>
      <c r="M441" s="204">
        <v>0</v>
      </c>
      <c r="N441" s="204">
        <v>0</v>
      </c>
    </row>
    <row r="442" spans="1:14" ht="15.9" customHeight="1">
      <c r="A442" s="160" t="s">
        <v>573</v>
      </c>
      <c r="B442" s="240">
        <v>4</v>
      </c>
      <c r="C442" s="240">
        <v>4</v>
      </c>
      <c r="D442" s="240">
        <v>4</v>
      </c>
      <c r="E442" s="240">
        <v>4</v>
      </c>
      <c r="F442" s="240">
        <v>4</v>
      </c>
      <c r="G442" s="240">
        <v>4</v>
      </c>
      <c r="H442" s="240">
        <v>4</v>
      </c>
      <c r="I442" s="240">
        <v>4</v>
      </c>
      <c r="J442" s="240">
        <v>4</v>
      </c>
      <c r="K442" s="240">
        <v>4</v>
      </c>
      <c r="M442" s="240">
        <v>0</v>
      </c>
      <c r="N442" s="240">
        <v>0</v>
      </c>
    </row>
    <row r="443" spans="1:14" ht="15.9" customHeight="1">
      <c r="A443" s="160" t="s">
        <v>14</v>
      </c>
      <c r="B443" s="250" t="s">
        <v>1949</v>
      </c>
      <c r="C443" s="250" t="s">
        <v>1950</v>
      </c>
      <c r="D443" s="250" t="s">
        <v>1951</v>
      </c>
      <c r="E443" s="250" t="s">
        <v>1952</v>
      </c>
      <c r="F443" s="250" t="s">
        <v>1953</v>
      </c>
      <c r="G443" s="250" t="s">
        <v>1954</v>
      </c>
      <c r="H443" s="250" t="s">
        <v>1955</v>
      </c>
      <c r="I443" s="250" t="s">
        <v>1956</v>
      </c>
      <c r="J443" s="250" t="s">
        <v>1957</v>
      </c>
      <c r="K443" s="250" t="s">
        <v>1958</v>
      </c>
      <c r="M443" s="250" t="s">
        <v>1959</v>
      </c>
      <c r="N443" s="250" t="s">
        <v>1959</v>
      </c>
    </row>
    <row r="444" spans="1:14" ht="15.9" customHeight="1">
      <c r="A444" s="242" t="s">
        <v>584</v>
      </c>
      <c r="B444" s="244" t="s">
        <v>1422</v>
      </c>
      <c r="C444" s="244" t="s">
        <v>1422</v>
      </c>
      <c r="D444" s="244" t="s">
        <v>1422</v>
      </c>
      <c r="E444" s="244" t="s">
        <v>1422</v>
      </c>
      <c r="F444" s="244" t="s">
        <v>1422</v>
      </c>
      <c r="G444" s="244" t="s">
        <v>1422</v>
      </c>
      <c r="H444" s="244" t="s">
        <v>1422</v>
      </c>
      <c r="I444" s="244" t="s">
        <v>1422</v>
      </c>
      <c r="J444" s="244" t="s">
        <v>1422</v>
      </c>
      <c r="K444" s="244" t="s">
        <v>1422</v>
      </c>
      <c r="M444" s="244" t="s">
        <v>1422</v>
      </c>
      <c r="N444" s="244" t="s">
        <v>1422</v>
      </c>
    </row>
    <row r="445" spans="1:14" ht="15.9" customHeight="1">
      <c r="A445" s="160" t="s">
        <v>1424</v>
      </c>
      <c r="B445" s="214">
        <v>0</v>
      </c>
      <c r="C445" s="214">
        <v>0</v>
      </c>
      <c r="D445" s="214">
        <v>0</v>
      </c>
      <c r="E445" s="214">
        <v>0</v>
      </c>
      <c r="F445" s="214">
        <v>0</v>
      </c>
      <c r="G445" s="214">
        <v>0</v>
      </c>
      <c r="H445" s="214">
        <v>0</v>
      </c>
      <c r="I445" s="214">
        <v>0</v>
      </c>
      <c r="J445" s="214">
        <v>0</v>
      </c>
      <c r="K445" s="214">
        <v>0</v>
      </c>
      <c r="M445" s="214">
        <v>0</v>
      </c>
      <c r="N445" s="214">
        <v>0</v>
      </c>
    </row>
    <row r="446" spans="1:14" ht="15.9" customHeight="1">
      <c r="A446" s="160" t="s">
        <v>36</v>
      </c>
      <c r="B446" s="247" t="s">
        <v>1829</v>
      </c>
      <c r="C446" s="247" t="s">
        <v>1960</v>
      </c>
      <c r="D446" s="247" t="s">
        <v>1961</v>
      </c>
      <c r="E446" s="247" t="s">
        <v>1962</v>
      </c>
      <c r="F446" s="247" t="s">
        <v>1963</v>
      </c>
      <c r="G446" s="247" t="s">
        <v>1964</v>
      </c>
      <c r="H446" s="247" t="s">
        <v>1965</v>
      </c>
      <c r="I446" s="247" t="s">
        <v>1966</v>
      </c>
      <c r="J446" s="247" t="s">
        <v>1967</v>
      </c>
      <c r="K446" s="247" t="s">
        <v>1968</v>
      </c>
      <c r="M446" s="247" t="s">
        <v>1969</v>
      </c>
      <c r="N446" s="247" t="s">
        <v>1660</v>
      </c>
    </row>
    <row r="447" spans="1:14" ht="15.9" customHeight="1">
      <c r="A447" s="160" t="s">
        <v>1428</v>
      </c>
      <c r="B447" s="250">
        <v>400</v>
      </c>
      <c r="C447" s="250">
        <v>400</v>
      </c>
      <c r="D447" s="250">
        <v>400</v>
      </c>
      <c r="E447" s="250">
        <v>400</v>
      </c>
      <c r="F447" s="250">
        <v>400</v>
      </c>
      <c r="G447" s="250">
        <v>400</v>
      </c>
      <c r="H447" s="250">
        <v>400</v>
      </c>
      <c r="I447" s="250">
        <v>400</v>
      </c>
      <c r="J447" s="250">
        <v>400</v>
      </c>
      <c r="K447" s="250">
        <v>400</v>
      </c>
      <c r="M447" s="250">
        <v>400</v>
      </c>
      <c r="N447" s="250">
        <v>400</v>
      </c>
    </row>
    <row r="448" spans="1:14" ht="15.9" customHeight="1">
      <c r="A448" s="160" t="s">
        <v>1429</v>
      </c>
      <c r="B448" s="249" t="s">
        <v>1569</v>
      </c>
      <c r="C448" s="249" t="s">
        <v>1569</v>
      </c>
      <c r="D448" s="249" t="s">
        <v>633</v>
      </c>
      <c r="E448" s="249" t="s">
        <v>633</v>
      </c>
      <c r="F448" s="249" t="s">
        <v>633</v>
      </c>
      <c r="G448" s="249" t="s">
        <v>633</v>
      </c>
      <c r="H448" s="249" t="s">
        <v>633</v>
      </c>
      <c r="I448" s="249" t="s">
        <v>633</v>
      </c>
      <c r="J448" s="249" t="s">
        <v>633</v>
      </c>
      <c r="K448" s="249" t="s">
        <v>633</v>
      </c>
      <c r="M448" s="249" t="s">
        <v>633</v>
      </c>
      <c r="N448" s="249" t="s">
        <v>633</v>
      </c>
    </row>
    <row r="449" spans="1:20" ht="31.75" customHeight="1">
      <c r="A449" s="160" t="s">
        <v>1440</v>
      </c>
      <c r="B449" s="306" t="s">
        <v>1970</v>
      </c>
      <c r="C449" s="324" t="s">
        <v>1971</v>
      </c>
      <c r="D449" s="306" t="s">
        <v>1972</v>
      </c>
      <c r="E449" s="306" t="s">
        <v>1973</v>
      </c>
      <c r="F449" s="309" t="s">
        <v>1974</v>
      </c>
      <c r="G449" s="309" t="s">
        <v>1975</v>
      </c>
      <c r="H449" s="309" t="s">
        <v>1976</v>
      </c>
      <c r="I449" s="309" t="s">
        <v>1977</v>
      </c>
      <c r="J449" s="309" t="s">
        <v>1978</v>
      </c>
      <c r="K449" s="324" t="s">
        <v>1979</v>
      </c>
      <c r="M449" s="306" t="s">
        <v>1980</v>
      </c>
      <c r="N449" s="306" t="s">
        <v>1980</v>
      </c>
    </row>
    <row r="450" spans="1:20" ht="31.75" customHeight="1">
      <c r="A450" s="160" t="s">
        <v>1713</v>
      </c>
      <c r="B450" s="277" t="s">
        <v>1981</v>
      </c>
      <c r="C450" s="277" t="s">
        <v>1982</v>
      </c>
      <c r="D450" s="277" t="s">
        <v>1983</v>
      </c>
      <c r="E450" s="277" t="s">
        <v>1984</v>
      </c>
      <c r="F450" s="277" t="s">
        <v>1985</v>
      </c>
      <c r="G450" s="277" t="s">
        <v>1986</v>
      </c>
      <c r="H450" s="277" t="s">
        <v>1987</v>
      </c>
      <c r="I450" s="277" t="s">
        <v>1988</v>
      </c>
      <c r="J450" s="277" t="s">
        <v>1989</v>
      </c>
      <c r="K450" s="277" t="s">
        <v>1990</v>
      </c>
      <c r="M450" s="277" t="s">
        <v>1991</v>
      </c>
      <c r="N450" s="277" t="s">
        <v>1991</v>
      </c>
    </row>
    <row r="451" spans="1:20" ht="14.6" customHeight="1"/>
    <row r="452" spans="1:20" ht="15.9" customHeight="1">
      <c r="A452" s="160" t="s">
        <v>1397</v>
      </c>
      <c r="B452" s="282" t="s">
        <v>1992</v>
      </c>
      <c r="C452" s="282" t="s">
        <v>1993</v>
      </c>
      <c r="D452" s="282" t="s">
        <v>1994</v>
      </c>
      <c r="E452" s="282" t="s">
        <v>1995</v>
      </c>
      <c r="F452" s="282" t="s">
        <v>1996</v>
      </c>
      <c r="G452" s="282" t="s">
        <v>1997</v>
      </c>
      <c r="H452" s="282" t="s">
        <v>1998</v>
      </c>
      <c r="I452" s="282" t="s">
        <v>1999</v>
      </c>
      <c r="J452" s="282" t="s">
        <v>2000</v>
      </c>
      <c r="K452" s="282" t="s">
        <v>2001</v>
      </c>
      <c r="M452" s="283" t="s">
        <v>2002</v>
      </c>
      <c r="N452" s="283" t="s">
        <v>2003</v>
      </c>
      <c r="O452" s="283" t="s">
        <v>2004</v>
      </c>
      <c r="P452" s="284" t="s">
        <v>2005</v>
      </c>
      <c r="Q452" s="284" t="s">
        <v>2006</v>
      </c>
      <c r="R452" s="284" t="s">
        <v>2007</v>
      </c>
      <c r="S452" s="284" t="s">
        <v>2008</v>
      </c>
      <c r="T452" s="284" t="s">
        <v>2009</v>
      </c>
    </row>
    <row r="453" spans="1:20" ht="15.9" customHeight="1">
      <c r="A453" s="160" t="s">
        <v>1407</v>
      </c>
      <c r="B453" s="163" t="s">
        <v>1363</v>
      </c>
      <c r="C453" s="167" t="s">
        <v>1367</v>
      </c>
      <c r="D453" s="169" t="s">
        <v>1369</v>
      </c>
      <c r="E453" s="171" t="s">
        <v>1371</v>
      </c>
      <c r="F453" s="189" t="s">
        <v>1374</v>
      </c>
      <c r="G453" s="175" t="s">
        <v>1377</v>
      </c>
      <c r="H453" s="176" t="s">
        <v>1379</v>
      </c>
      <c r="I453" s="177" t="s">
        <v>1381</v>
      </c>
      <c r="J453" s="178" t="s">
        <v>1383</v>
      </c>
      <c r="K453" s="180" t="s">
        <v>1385</v>
      </c>
      <c r="M453" s="165" t="s">
        <v>1365</v>
      </c>
      <c r="N453" s="181" t="s">
        <v>1387</v>
      </c>
      <c r="O453" s="181" t="s">
        <v>1387</v>
      </c>
      <c r="P453" s="181" t="s">
        <v>1387</v>
      </c>
      <c r="Q453" s="181" t="s">
        <v>1387</v>
      </c>
      <c r="R453" s="181" t="s">
        <v>1387</v>
      </c>
      <c r="S453" s="181" t="s">
        <v>1387</v>
      </c>
      <c r="T453" s="181" t="s">
        <v>1387</v>
      </c>
    </row>
    <row r="454" spans="1:20" ht="15.9" customHeight="1">
      <c r="A454" s="160" t="s">
        <v>1408</v>
      </c>
      <c r="B454" s="160" t="s">
        <v>1376</v>
      </c>
      <c r="C454" s="160" t="s">
        <v>1366</v>
      </c>
      <c r="D454" s="160" t="s">
        <v>1376</v>
      </c>
      <c r="E454" s="160" t="s">
        <v>1368</v>
      </c>
      <c r="F454" s="160" t="s">
        <v>1376</v>
      </c>
      <c r="G454" s="160" t="s">
        <v>1364</v>
      </c>
      <c r="H454" s="160" t="s">
        <v>1373</v>
      </c>
      <c r="I454" s="160" t="s">
        <v>1376</v>
      </c>
      <c r="J454" s="192" t="s">
        <v>1373</v>
      </c>
      <c r="K454" s="160" t="s">
        <v>1370</v>
      </c>
      <c r="M454" s="160" t="s">
        <v>1376</v>
      </c>
      <c r="N454" s="160" t="s">
        <v>2010</v>
      </c>
      <c r="O454" s="160" t="s">
        <v>2010</v>
      </c>
      <c r="P454" s="325" t="s">
        <v>2010</v>
      </c>
      <c r="Q454" s="325" t="s">
        <v>2010</v>
      </c>
      <c r="R454" s="325" t="s">
        <v>2010</v>
      </c>
      <c r="S454" s="325" t="s">
        <v>2010</v>
      </c>
      <c r="T454" s="325" t="s">
        <v>2010</v>
      </c>
    </row>
    <row r="455" spans="1:20" ht="15.9" customHeight="1">
      <c r="A455" s="194" t="s">
        <v>542</v>
      </c>
      <c r="B455" s="196" t="s">
        <v>1697</v>
      </c>
      <c r="C455" s="196" t="s">
        <v>1769</v>
      </c>
      <c r="D455" s="196" t="s">
        <v>1769</v>
      </c>
      <c r="E455" s="196" t="s">
        <v>2011</v>
      </c>
      <c r="F455" s="196" t="s">
        <v>2011</v>
      </c>
      <c r="G455" s="196" t="s">
        <v>2011</v>
      </c>
      <c r="H455" s="196" t="s">
        <v>1559</v>
      </c>
      <c r="I455" s="196" t="s">
        <v>1697</v>
      </c>
      <c r="J455" s="196" t="s">
        <v>1697</v>
      </c>
      <c r="K455" s="196" t="s">
        <v>1697</v>
      </c>
      <c r="M455" s="196" t="s">
        <v>1697</v>
      </c>
      <c r="N455" s="286" t="s">
        <v>1769</v>
      </c>
      <c r="O455" s="286" t="s">
        <v>1697</v>
      </c>
      <c r="P455" s="286" t="s">
        <v>2012</v>
      </c>
      <c r="Q455" s="312" t="s">
        <v>1697</v>
      </c>
      <c r="R455" s="312" t="s">
        <v>1697</v>
      </c>
      <c r="S455" s="312" t="s">
        <v>2013</v>
      </c>
      <c r="T455" s="196" t="s">
        <v>2014</v>
      </c>
    </row>
    <row r="456" spans="1:20" ht="15.9" customHeight="1">
      <c r="A456" s="198" t="s">
        <v>1410</v>
      </c>
      <c r="B456" s="200" t="s">
        <v>1697</v>
      </c>
      <c r="C456" s="200" t="s">
        <v>1697</v>
      </c>
      <c r="D456" s="200" t="s">
        <v>726</v>
      </c>
      <c r="E456" s="200" t="s">
        <v>1697</v>
      </c>
      <c r="F456" s="200" t="s">
        <v>726</v>
      </c>
      <c r="G456" s="200" t="s">
        <v>1697</v>
      </c>
      <c r="H456" s="200" t="s">
        <v>1697</v>
      </c>
      <c r="I456" s="200" t="s">
        <v>1697</v>
      </c>
      <c r="J456" s="200" t="s">
        <v>1697</v>
      </c>
      <c r="K456" s="200" t="s">
        <v>726</v>
      </c>
      <c r="M456" s="200" t="s">
        <v>726</v>
      </c>
      <c r="N456" s="287" t="s">
        <v>1697</v>
      </c>
      <c r="O456" s="287" t="s">
        <v>1697</v>
      </c>
      <c r="P456" s="287" t="s">
        <v>1697</v>
      </c>
      <c r="Q456" s="200" t="s">
        <v>1697</v>
      </c>
      <c r="R456" s="200" t="s">
        <v>1697</v>
      </c>
      <c r="S456" s="200" t="s">
        <v>1697</v>
      </c>
      <c r="T456" s="200" t="s">
        <v>1697</v>
      </c>
    </row>
    <row r="457" spans="1:20" ht="15.9" customHeight="1">
      <c r="A457" s="202" t="s">
        <v>546</v>
      </c>
      <c r="B457" s="204">
        <v>4</v>
      </c>
      <c r="C457" s="204">
        <v>5</v>
      </c>
      <c r="D457" s="204">
        <v>3</v>
      </c>
      <c r="E457" s="204">
        <v>3</v>
      </c>
      <c r="F457" s="204">
        <v>3</v>
      </c>
      <c r="G457" s="204">
        <v>3</v>
      </c>
      <c r="H457" s="204">
        <v>4</v>
      </c>
      <c r="I457" s="204">
        <v>4</v>
      </c>
      <c r="J457" s="204">
        <v>6</v>
      </c>
      <c r="K457" s="204">
        <v>4</v>
      </c>
      <c r="M457" s="204">
        <v>4</v>
      </c>
      <c r="N457" s="288">
        <v>5</v>
      </c>
      <c r="O457" s="288">
        <v>4</v>
      </c>
      <c r="P457" s="288">
        <v>3</v>
      </c>
      <c r="Q457" s="204">
        <v>5</v>
      </c>
      <c r="R457" s="204">
        <v>4</v>
      </c>
      <c r="S457" s="204">
        <v>3</v>
      </c>
      <c r="T457" s="204">
        <v>3</v>
      </c>
    </row>
    <row r="458" spans="1:20" ht="15.9" customHeight="1">
      <c r="A458" s="206" t="s">
        <v>548</v>
      </c>
      <c r="B458" s="208">
        <v>4</v>
      </c>
      <c r="C458" s="208">
        <v>5</v>
      </c>
      <c r="D458" s="208">
        <v>3</v>
      </c>
      <c r="E458" s="208">
        <v>3</v>
      </c>
      <c r="F458" s="208">
        <v>3</v>
      </c>
      <c r="G458" s="208">
        <v>3</v>
      </c>
      <c r="H458" s="208">
        <v>4</v>
      </c>
      <c r="I458" s="208">
        <v>4</v>
      </c>
      <c r="J458" s="208">
        <v>6</v>
      </c>
      <c r="K458" s="208">
        <v>4</v>
      </c>
      <c r="M458" s="208">
        <v>4</v>
      </c>
      <c r="N458" s="289">
        <v>5</v>
      </c>
      <c r="O458" s="289">
        <v>4</v>
      </c>
      <c r="P458" s="289">
        <v>3</v>
      </c>
      <c r="Q458" s="208">
        <v>2</v>
      </c>
      <c r="R458" s="208">
        <v>4</v>
      </c>
      <c r="S458" s="208">
        <v>3</v>
      </c>
      <c r="T458" s="208">
        <v>5</v>
      </c>
    </row>
    <row r="459" spans="1:20" ht="15.9" customHeight="1">
      <c r="A459" s="160" t="s">
        <v>1412</v>
      </c>
      <c r="B459" s="211">
        <v>0</v>
      </c>
      <c r="C459" s="211">
        <v>-0.5</v>
      </c>
      <c r="D459" s="211">
        <v>0</v>
      </c>
      <c r="E459" s="211">
        <v>-2</v>
      </c>
      <c r="F459" s="211">
        <v>0</v>
      </c>
      <c r="G459" s="211">
        <v>0</v>
      </c>
      <c r="H459" s="211">
        <v>0.5</v>
      </c>
      <c r="I459" s="211">
        <v>0.5</v>
      </c>
      <c r="J459" s="211">
        <v>0</v>
      </c>
      <c r="K459" s="211">
        <v>0.5</v>
      </c>
      <c r="M459" s="211">
        <v>0.5</v>
      </c>
      <c r="N459" s="290">
        <v>-0.5</v>
      </c>
      <c r="O459" s="290">
        <v>0.5</v>
      </c>
      <c r="P459" s="290">
        <v>0</v>
      </c>
      <c r="Q459" s="211">
        <v>0</v>
      </c>
      <c r="R459" s="211">
        <v>0</v>
      </c>
      <c r="S459" s="211">
        <v>0</v>
      </c>
      <c r="T459" s="211">
        <v>-0.3</v>
      </c>
    </row>
    <row r="460" spans="1:20" ht="15.9" customHeight="1">
      <c r="A460" s="160" t="s">
        <v>1413</v>
      </c>
      <c r="B460" s="214">
        <v>0</v>
      </c>
      <c r="C460" s="214">
        <v>0.5</v>
      </c>
      <c r="D460" s="214">
        <v>0</v>
      </c>
      <c r="E460" s="214">
        <v>0.5</v>
      </c>
      <c r="F460" s="214">
        <v>0</v>
      </c>
      <c r="G460" s="214">
        <v>0</v>
      </c>
      <c r="H460" s="214">
        <v>0.5</v>
      </c>
      <c r="I460" s="214">
        <v>0.5</v>
      </c>
      <c r="J460" s="214">
        <v>0.8</v>
      </c>
      <c r="K460" s="214">
        <v>0.5</v>
      </c>
      <c r="M460" s="214">
        <v>0</v>
      </c>
      <c r="N460" s="291">
        <v>0.5</v>
      </c>
      <c r="O460" s="291">
        <v>0.5</v>
      </c>
      <c r="P460" s="291">
        <v>0</v>
      </c>
      <c r="Q460" s="214">
        <v>0</v>
      </c>
      <c r="R460" s="214">
        <v>0</v>
      </c>
      <c r="S460" s="214">
        <v>-0.5</v>
      </c>
      <c r="T460" s="214">
        <v>0.4</v>
      </c>
    </row>
    <row r="461" spans="1:20" ht="15.9" customHeight="1">
      <c r="A461" s="160" t="s">
        <v>1414</v>
      </c>
      <c r="B461" s="217">
        <v>0</v>
      </c>
      <c r="C461" s="217">
        <v>0</v>
      </c>
      <c r="D461" s="217">
        <v>0</v>
      </c>
      <c r="E461" s="217">
        <v>-0.1</v>
      </c>
      <c r="F461" s="217">
        <v>0</v>
      </c>
      <c r="G461" s="217">
        <v>0</v>
      </c>
      <c r="H461" s="217">
        <v>1.5</v>
      </c>
      <c r="I461" s="217">
        <v>0</v>
      </c>
      <c r="J461" s="217">
        <v>0</v>
      </c>
      <c r="K461" s="217">
        <v>0</v>
      </c>
      <c r="M461" s="217">
        <v>0</v>
      </c>
      <c r="N461" s="292">
        <v>0</v>
      </c>
      <c r="O461" s="292">
        <v>0</v>
      </c>
      <c r="P461" s="292">
        <v>0</v>
      </c>
      <c r="Q461" s="217">
        <v>0</v>
      </c>
      <c r="R461" s="217">
        <v>0</v>
      </c>
      <c r="S461" s="217">
        <v>-0.5</v>
      </c>
      <c r="T461" s="217">
        <v>0.2</v>
      </c>
    </row>
    <row r="462" spans="1:20" ht="15.9" customHeight="1">
      <c r="A462" s="160" t="s">
        <v>1415</v>
      </c>
      <c r="B462" s="220">
        <v>0</v>
      </c>
      <c r="C462" s="220">
        <v>0</v>
      </c>
      <c r="D462" s="220">
        <v>0</v>
      </c>
      <c r="E462" s="220">
        <v>0.5</v>
      </c>
      <c r="F462" s="220">
        <v>0</v>
      </c>
      <c r="G462" s="220">
        <v>0</v>
      </c>
      <c r="H462" s="220">
        <v>-1</v>
      </c>
      <c r="I462" s="220">
        <v>0</v>
      </c>
      <c r="J462" s="220">
        <v>0</v>
      </c>
      <c r="K462" s="220">
        <v>0</v>
      </c>
      <c r="M462" s="220">
        <v>0</v>
      </c>
      <c r="N462" s="293">
        <v>0</v>
      </c>
      <c r="O462" s="293">
        <v>0</v>
      </c>
      <c r="P462" s="293">
        <v>0</v>
      </c>
      <c r="Q462" s="220">
        <v>0</v>
      </c>
      <c r="R462" s="220">
        <v>0</v>
      </c>
      <c r="S462" s="220">
        <v>0</v>
      </c>
      <c r="T462" s="220">
        <v>-0.4</v>
      </c>
    </row>
    <row r="463" spans="1:20" ht="15.9" customHeight="1">
      <c r="A463" s="313" t="s">
        <v>1416</v>
      </c>
      <c r="B463" s="224">
        <v>0</v>
      </c>
      <c r="C463" s="224">
        <v>0</v>
      </c>
      <c r="D463" s="224">
        <v>0</v>
      </c>
      <c r="E463" s="224">
        <v>0.5</v>
      </c>
      <c r="F463" s="224">
        <v>0</v>
      </c>
      <c r="G463" s="224">
        <v>0</v>
      </c>
      <c r="H463" s="224">
        <v>0</v>
      </c>
      <c r="I463" s="224">
        <v>0</v>
      </c>
      <c r="J463" s="224">
        <v>0</v>
      </c>
      <c r="K463" s="224">
        <v>0</v>
      </c>
      <c r="M463" s="224">
        <v>0</v>
      </c>
      <c r="N463" s="326">
        <v>0</v>
      </c>
      <c r="O463" s="326">
        <v>0</v>
      </c>
      <c r="P463" s="326">
        <v>0</v>
      </c>
      <c r="Q463" s="224">
        <v>0</v>
      </c>
      <c r="R463" s="224">
        <v>0</v>
      </c>
      <c r="S463" s="224">
        <v>0.5</v>
      </c>
      <c r="T463" s="224">
        <v>0</v>
      </c>
    </row>
    <row r="464" spans="1:20" ht="15.9" customHeight="1">
      <c r="A464" s="160" t="s">
        <v>1417</v>
      </c>
      <c r="B464" s="227">
        <v>0</v>
      </c>
      <c r="C464" s="227">
        <v>0.5</v>
      </c>
      <c r="D464" s="227">
        <v>0</v>
      </c>
      <c r="E464" s="227">
        <v>-0.1</v>
      </c>
      <c r="F464" s="227">
        <v>0</v>
      </c>
      <c r="G464" s="227">
        <v>0</v>
      </c>
      <c r="H464" s="227">
        <v>0</v>
      </c>
      <c r="I464" s="227">
        <v>0</v>
      </c>
      <c r="J464" s="227">
        <v>0</v>
      </c>
      <c r="K464" s="227">
        <v>0</v>
      </c>
      <c r="M464" s="227">
        <v>0</v>
      </c>
      <c r="N464" s="296">
        <v>0.5</v>
      </c>
      <c r="O464" s="296">
        <v>0</v>
      </c>
      <c r="P464" s="296">
        <v>0</v>
      </c>
      <c r="Q464" s="227">
        <v>0</v>
      </c>
      <c r="R464" s="227">
        <v>0</v>
      </c>
      <c r="S464" s="227">
        <v>-0.5</v>
      </c>
      <c r="T464" s="227">
        <v>0</v>
      </c>
    </row>
    <row r="465" spans="1:20" ht="15.9" customHeight="1">
      <c r="A465" s="160" t="s">
        <v>1418</v>
      </c>
      <c r="B465" s="230">
        <v>0</v>
      </c>
      <c r="C465" s="230">
        <v>0</v>
      </c>
      <c r="D465" s="230">
        <v>0</v>
      </c>
      <c r="E465" s="230">
        <v>0.5</v>
      </c>
      <c r="F465" s="230">
        <v>0</v>
      </c>
      <c r="G465" s="230">
        <v>0</v>
      </c>
      <c r="H465" s="230">
        <v>0</v>
      </c>
      <c r="I465" s="230">
        <v>0</v>
      </c>
      <c r="J465" s="230">
        <v>0</v>
      </c>
      <c r="K465" s="230">
        <v>0</v>
      </c>
      <c r="M465" s="230">
        <v>0</v>
      </c>
      <c r="N465" s="297">
        <v>0</v>
      </c>
      <c r="O465" s="297">
        <v>0</v>
      </c>
      <c r="P465" s="297">
        <v>0</v>
      </c>
      <c r="Q465" s="230">
        <v>0</v>
      </c>
      <c r="R465" s="230">
        <v>0</v>
      </c>
      <c r="S465" s="230">
        <v>0</v>
      </c>
      <c r="T465" s="230">
        <v>0</v>
      </c>
    </row>
    <row r="466" spans="1:20" ht="15.9" customHeight="1">
      <c r="A466" s="160" t="s">
        <v>1419</v>
      </c>
      <c r="B466" s="233">
        <v>0</v>
      </c>
      <c r="C466" s="233">
        <v>0</v>
      </c>
      <c r="D466" s="233">
        <v>0</v>
      </c>
      <c r="E466" s="233">
        <v>0</v>
      </c>
      <c r="F466" s="233">
        <v>0</v>
      </c>
      <c r="G466" s="233">
        <v>0</v>
      </c>
      <c r="H466" s="233">
        <v>0</v>
      </c>
      <c r="I466" s="233">
        <v>0</v>
      </c>
      <c r="J466" s="233">
        <v>0</v>
      </c>
      <c r="K466" s="233">
        <v>0</v>
      </c>
      <c r="M466" s="233">
        <v>0</v>
      </c>
      <c r="N466" s="298">
        <v>0</v>
      </c>
      <c r="O466" s="298">
        <v>0</v>
      </c>
      <c r="P466" s="298">
        <v>0</v>
      </c>
      <c r="Q466" s="233">
        <v>0</v>
      </c>
      <c r="R466" s="233">
        <v>0</v>
      </c>
      <c r="S466" s="233">
        <v>0</v>
      </c>
      <c r="T466" s="233">
        <v>0.3</v>
      </c>
    </row>
    <row r="467" spans="1:20" ht="15.9" customHeight="1">
      <c r="A467" s="160" t="s">
        <v>1420</v>
      </c>
      <c r="B467" s="236">
        <v>0</v>
      </c>
      <c r="C467" s="236">
        <v>0</v>
      </c>
      <c r="D467" s="236">
        <v>0</v>
      </c>
      <c r="E467" s="236">
        <v>0</v>
      </c>
      <c r="F467" s="236">
        <v>0</v>
      </c>
      <c r="G467" s="236">
        <v>0</v>
      </c>
      <c r="H467" s="236">
        <v>0</v>
      </c>
      <c r="I467" s="236">
        <v>0</v>
      </c>
      <c r="J467" s="236">
        <v>0</v>
      </c>
      <c r="K467" s="236">
        <v>0</v>
      </c>
      <c r="M467" s="236">
        <v>0.5</v>
      </c>
      <c r="N467" s="299">
        <v>0</v>
      </c>
      <c r="O467" s="299">
        <v>0</v>
      </c>
      <c r="P467" s="299">
        <v>0</v>
      </c>
      <c r="Q467" s="236">
        <v>0</v>
      </c>
      <c r="R467" s="236">
        <v>0</v>
      </c>
      <c r="S467" s="236">
        <v>0</v>
      </c>
      <c r="T467" s="236">
        <v>0</v>
      </c>
    </row>
    <row r="468" spans="1:20" ht="15.9" customHeight="1">
      <c r="A468" s="160" t="s">
        <v>570</v>
      </c>
      <c r="B468" s="204">
        <v>4</v>
      </c>
      <c r="C468" s="204">
        <v>4</v>
      </c>
      <c r="D468" s="204">
        <v>4</v>
      </c>
      <c r="E468" s="204">
        <v>4</v>
      </c>
      <c r="F468" s="204">
        <v>4</v>
      </c>
      <c r="G468" s="204">
        <v>4</v>
      </c>
      <c r="H468" s="204">
        <v>4</v>
      </c>
      <c r="I468" s="204">
        <v>4</v>
      </c>
      <c r="J468" s="204">
        <v>4</v>
      </c>
      <c r="K468" s="204">
        <v>4</v>
      </c>
      <c r="M468" s="204">
        <v>1</v>
      </c>
      <c r="N468" s="288">
        <v>1</v>
      </c>
      <c r="O468" s="288">
        <v>1</v>
      </c>
      <c r="P468" s="288">
        <v>1</v>
      </c>
      <c r="Q468" s="204">
        <v>1</v>
      </c>
      <c r="R468" s="204">
        <v>1</v>
      </c>
      <c r="S468" s="204">
        <v>1</v>
      </c>
      <c r="T468" s="204">
        <v>1</v>
      </c>
    </row>
    <row r="469" spans="1:20" ht="15.9" customHeight="1">
      <c r="A469" s="160" t="s">
        <v>572</v>
      </c>
      <c r="B469" s="204">
        <v>4</v>
      </c>
      <c r="C469" s="204">
        <v>4</v>
      </c>
      <c r="D469" s="204">
        <v>4</v>
      </c>
      <c r="E469" s="204">
        <v>4</v>
      </c>
      <c r="F469" s="204">
        <v>4</v>
      </c>
      <c r="G469" s="204">
        <v>4</v>
      </c>
      <c r="H469" s="204">
        <v>4</v>
      </c>
      <c r="I469" s="204">
        <v>4</v>
      </c>
      <c r="J469" s="204">
        <v>4</v>
      </c>
      <c r="K469" s="204">
        <v>4</v>
      </c>
      <c r="M469" s="204">
        <v>1</v>
      </c>
      <c r="N469" s="288">
        <v>1</v>
      </c>
      <c r="O469" s="288">
        <v>1</v>
      </c>
      <c r="P469" s="288">
        <v>1</v>
      </c>
      <c r="Q469" s="204">
        <v>1</v>
      </c>
      <c r="R469" s="204">
        <v>1</v>
      </c>
      <c r="S469" s="204">
        <v>1</v>
      </c>
      <c r="T469" s="204">
        <v>1</v>
      </c>
    </row>
    <row r="470" spans="1:20" ht="15.9" customHeight="1">
      <c r="A470" s="160" t="s">
        <v>573</v>
      </c>
      <c r="B470" s="240">
        <v>4</v>
      </c>
      <c r="C470" s="240">
        <v>4</v>
      </c>
      <c r="D470" s="240">
        <v>4</v>
      </c>
      <c r="E470" s="240">
        <v>4</v>
      </c>
      <c r="F470" s="240">
        <v>4</v>
      </c>
      <c r="G470" s="240">
        <v>4</v>
      </c>
      <c r="H470" s="240">
        <v>4</v>
      </c>
      <c r="I470" s="240">
        <v>4</v>
      </c>
      <c r="J470" s="240">
        <v>4</v>
      </c>
      <c r="K470" s="240">
        <v>4</v>
      </c>
      <c r="M470" s="240">
        <v>1</v>
      </c>
      <c r="N470" s="300">
        <v>1</v>
      </c>
      <c r="O470" s="300">
        <v>1</v>
      </c>
      <c r="P470" s="300">
        <v>1</v>
      </c>
      <c r="Q470" s="240">
        <v>1</v>
      </c>
      <c r="R470" s="240">
        <v>1</v>
      </c>
      <c r="S470" s="240">
        <v>1</v>
      </c>
      <c r="T470" s="240">
        <v>1</v>
      </c>
    </row>
    <row r="471" spans="1:20" ht="15.9" customHeight="1">
      <c r="A471" s="160" t="s">
        <v>14</v>
      </c>
      <c r="B471" s="250" t="s">
        <v>2015</v>
      </c>
      <c r="C471" s="250" t="s">
        <v>2016</v>
      </c>
      <c r="D471" s="250" t="s">
        <v>2017</v>
      </c>
      <c r="E471" s="250" t="s">
        <v>726</v>
      </c>
      <c r="F471" s="250" t="s">
        <v>2018</v>
      </c>
      <c r="G471" s="250" t="s">
        <v>726</v>
      </c>
      <c r="H471" s="250" t="s">
        <v>2019</v>
      </c>
      <c r="I471" s="250" t="s">
        <v>2020</v>
      </c>
      <c r="J471" s="204" t="s">
        <v>2021</v>
      </c>
      <c r="K471" s="250" t="s">
        <v>2022</v>
      </c>
      <c r="M471" s="250" t="s">
        <v>726</v>
      </c>
      <c r="N471" s="304" t="s">
        <v>2016</v>
      </c>
      <c r="O471" s="304" t="s">
        <v>2023</v>
      </c>
      <c r="P471" s="304" t="s">
        <v>726</v>
      </c>
      <c r="Q471" s="204" t="s">
        <v>2024</v>
      </c>
      <c r="R471" s="204" t="s">
        <v>2025</v>
      </c>
      <c r="S471" s="204" t="s">
        <v>2026</v>
      </c>
      <c r="T471" s="204" t="s">
        <v>2027</v>
      </c>
    </row>
    <row r="472" spans="1:20" ht="15.9" customHeight="1">
      <c r="A472" s="242" t="s">
        <v>584</v>
      </c>
      <c r="B472" s="244" t="s">
        <v>1422</v>
      </c>
      <c r="C472" s="244" t="s">
        <v>1422</v>
      </c>
      <c r="D472" s="244" t="s">
        <v>1422</v>
      </c>
      <c r="E472" s="244" t="s">
        <v>1422</v>
      </c>
      <c r="F472" s="244" t="s">
        <v>1422</v>
      </c>
      <c r="G472" s="244" t="s">
        <v>1422</v>
      </c>
      <c r="H472" s="244" t="s">
        <v>1422</v>
      </c>
      <c r="I472" s="244" t="s">
        <v>1422</v>
      </c>
      <c r="J472" s="244" t="s">
        <v>2028</v>
      </c>
      <c r="K472" s="244" t="s">
        <v>1422</v>
      </c>
      <c r="M472" s="244" t="s">
        <v>1422</v>
      </c>
      <c r="N472" s="302" t="s">
        <v>1422</v>
      </c>
      <c r="O472" s="302" t="s">
        <v>1422</v>
      </c>
      <c r="P472" s="302" t="s">
        <v>1422</v>
      </c>
      <c r="Q472" s="244" t="s">
        <v>1422</v>
      </c>
      <c r="R472" s="244" t="s">
        <v>1422</v>
      </c>
      <c r="S472" s="244" t="s">
        <v>1422</v>
      </c>
      <c r="T472" s="244" t="s">
        <v>1422</v>
      </c>
    </row>
    <row r="473" spans="1:20" ht="15.9" customHeight="1">
      <c r="A473" s="160" t="s">
        <v>1701</v>
      </c>
      <c r="B473" s="214">
        <v>0</v>
      </c>
      <c r="C473" s="214">
        <v>0</v>
      </c>
      <c r="D473" s="214">
        <v>0</v>
      </c>
      <c r="E473" s="214">
        <v>0</v>
      </c>
      <c r="F473" s="214">
        <v>0</v>
      </c>
      <c r="G473" s="214">
        <v>0</v>
      </c>
      <c r="H473" s="214">
        <v>0</v>
      </c>
      <c r="I473" s="214">
        <v>0</v>
      </c>
      <c r="J473" s="214">
        <v>0</v>
      </c>
      <c r="K473" s="214">
        <v>0</v>
      </c>
      <c r="M473" s="214">
        <v>0</v>
      </c>
      <c r="N473" s="291">
        <v>0</v>
      </c>
      <c r="O473" s="291">
        <v>0</v>
      </c>
      <c r="P473" s="291">
        <v>0</v>
      </c>
      <c r="Q473" s="214">
        <v>0</v>
      </c>
      <c r="R473" s="214">
        <v>0</v>
      </c>
      <c r="S473" s="214">
        <v>0</v>
      </c>
      <c r="T473" s="214">
        <v>0</v>
      </c>
    </row>
    <row r="474" spans="1:20" ht="15.9" customHeight="1">
      <c r="A474" s="160" t="s">
        <v>36</v>
      </c>
      <c r="B474" s="247" t="s">
        <v>2029</v>
      </c>
      <c r="C474" s="247" t="s">
        <v>2030</v>
      </c>
      <c r="D474" s="247" t="s">
        <v>2031</v>
      </c>
      <c r="E474" s="247" t="s">
        <v>2032</v>
      </c>
      <c r="F474" s="247" t="s">
        <v>2033</v>
      </c>
      <c r="G474" s="247" t="s">
        <v>2034</v>
      </c>
      <c r="H474" s="247" t="s">
        <v>2035</v>
      </c>
      <c r="I474" s="247" t="s">
        <v>2036</v>
      </c>
      <c r="J474" s="247" t="s">
        <v>2037</v>
      </c>
      <c r="K474" s="247" t="s">
        <v>2038</v>
      </c>
      <c r="M474" s="247" t="s">
        <v>2039</v>
      </c>
      <c r="N474" s="303" t="s">
        <v>1660</v>
      </c>
      <c r="O474" s="303" t="s">
        <v>1660</v>
      </c>
      <c r="P474" s="303" t="s">
        <v>1660</v>
      </c>
      <c r="Q474" s="303" t="s">
        <v>1660</v>
      </c>
      <c r="R474" s="303" t="s">
        <v>1660</v>
      </c>
      <c r="S474" s="303" t="s">
        <v>1660</v>
      </c>
      <c r="T474" s="303" t="s">
        <v>1660</v>
      </c>
    </row>
    <row r="475" spans="1:20" ht="15.9" customHeight="1">
      <c r="A475" s="160" t="s">
        <v>1428</v>
      </c>
      <c r="B475" s="250">
        <v>600</v>
      </c>
      <c r="C475" s="250">
        <v>600</v>
      </c>
      <c r="D475" s="250">
        <v>600</v>
      </c>
      <c r="E475" s="250">
        <v>600</v>
      </c>
      <c r="F475" s="250">
        <v>600</v>
      </c>
      <c r="G475" s="250">
        <v>600</v>
      </c>
      <c r="H475" s="277">
        <v>600</v>
      </c>
      <c r="I475" s="277">
        <v>600</v>
      </c>
      <c r="J475" s="250">
        <v>600</v>
      </c>
      <c r="K475" s="277">
        <v>600</v>
      </c>
      <c r="M475" s="277">
        <v>600</v>
      </c>
      <c r="N475" s="304">
        <v>600</v>
      </c>
      <c r="O475" s="304">
        <v>600</v>
      </c>
      <c r="P475" s="304">
        <v>600</v>
      </c>
      <c r="Q475" s="250">
        <v>600</v>
      </c>
      <c r="R475" s="250">
        <v>600</v>
      </c>
      <c r="S475" s="250">
        <v>600</v>
      </c>
      <c r="T475" s="250">
        <v>600</v>
      </c>
    </row>
    <row r="476" spans="1:20" ht="15.9" customHeight="1">
      <c r="A476" s="160" t="s">
        <v>593</v>
      </c>
      <c r="B476" s="250">
        <v>5</v>
      </c>
      <c r="C476" s="250">
        <v>5</v>
      </c>
      <c r="D476" s="250">
        <v>5</v>
      </c>
      <c r="E476" s="250">
        <v>5</v>
      </c>
      <c r="F476" s="250">
        <v>5</v>
      </c>
      <c r="G476" s="250">
        <v>5</v>
      </c>
      <c r="H476" s="250">
        <v>5</v>
      </c>
      <c r="I476" s="250">
        <v>5</v>
      </c>
      <c r="J476" s="250">
        <v>5</v>
      </c>
      <c r="K476" s="250">
        <v>5</v>
      </c>
      <c r="M476" s="314">
        <v>3</v>
      </c>
      <c r="N476" s="304">
        <v>3</v>
      </c>
      <c r="O476" s="304">
        <v>3</v>
      </c>
      <c r="P476" s="304">
        <v>3</v>
      </c>
      <c r="Q476" s="250">
        <v>3</v>
      </c>
      <c r="R476" s="250">
        <v>3</v>
      </c>
      <c r="S476" s="250">
        <v>3</v>
      </c>
      <c r="T476" s="250">
        <v>3</v>
      </c>
    </row>
    <row r="477" spans="1:20" ht="22.5" customHeight="1">
      <c r="A477" s="160" t="s">
        <v>1429</v>
      </c>
      <c r="B477" s="277" t="s">
        <v>2040</v>
      </c>
      <c r="C477" s="277" t="s">
        <v>2041</v>
      </c>
      <c r="D477" s="277" t="s">
        <v>726</v>
      </c>
      <c r="E477" s="277" t="s">
        <v>2042</v>
      </c>
      <c r="F477" s="277" t="s">
        <v>2043</v>
      </c>
      <c r="G477" s="277" t="s">
        <v>2044</v>
      </c>
      <c r="H477" s="277" t="s">
        <v>2045</v>
      </c>
      <c r="I477" s="277" t="s">
        <v>2046</v>
      </c>
      <c r="J477" s="250" t="s">
        <v>1667</v>
      </c>
      <c r="K477" s="277" t="s">
        <v>2047</v>
      </c>
      <c r="M477" s="277" t="s">
        <v>2048</v>
      </c>
      <c r="N477" s="304" t="s">
        <v>2049</v>
      </c>
      <c r="O477" s="311" t="s">
        <v>2050</v>
      </c>
      <c r="P477" s="304" t="s">
        <v>2051</v>
      </c>
      <c r="Q477" s="250" t="s">
        <v>2052</v>
      </c>
      <c r="R477" s="250" t="s">
        <v>2053</v>
      </c>
      <c r="S477" s="250" t="s">
        <v>2054</v>
      </c>
      <c r="T477" s="250" t="s">
        <v>2055</v>
      </c>
    </row>
    <row r="478" spans="1:20" ht="22.5" customHeight="1">
      <c r="A478" s="160" t="s">
        <v>1440</v>
      </c>
      <c r="B478" s="277" t="s">
        <v>2056</v>
      </c>
      <c r="C478" s="277" t="s">
        <v>2057</v>
      </c>
      <c r="D478" s="277" t="s">
        <v>2058</v>
      </c>
      <c r="E478" s="277" t="s">
        <v>2059</v>
      </c>
      <c r="F478" s="277" t="s">
        <v>2060</v>
      </c>
      <c r="G478" s="277" t="s">
        <v>2061</v>
      </c>
      <c r="H478" s="277" t="s">
        <v>2062</v>
      </c>
      <c r="I478" s="277" t="s">
        <v>2063</v>
      </c>
      <c r="J478" s="277" t="s">
        <v>2064</v>
      </c>
      <c r="K478" s="277" t="s">
        <v>726</v>
      </c>
      <c r="M478" s="277" t="s">
        <v>726</v>
      </c>
      <c r="N478" s="304" t="s">
        <v>2065</v>
      </c>
      <c r="O478" s="304" t="s">
        <v>2066</v>
      </c>
      <c r="P478" s="304" t="s">
        <v>2067</v>
      </c>
      <c r="Q478" s="250" t="s">
        <v>2068</v>
      </c>
      <c r="R478" s="250" t="s">
        <v>2069</v>
      </c>
      <c r="S478" s="250" t="s">
        <v>2070</v>
      </c>
      <c r="T478" s="250" t="s">
        <v>2071</v>
      </c>
    </row>
    <row r="479" spans="1:20" ht="22.5" customHeight="1">
      <c r="A479" s="160" t="s">
        <v>1713</v>
      </c>
      <c r="B479" s="250" t="s">
        <v>2072</v>
      </c>
      <c r="C479" s="277"/>
      <c r="D479" s="277" t="s">
        <v>2073</v>
      </c>
      <c r="E479" s="277" t="s">
        <v>726</v>
      </c>
      <c r="F479" s="277" t="s">
        <v>2074</v>
      </c>
      <c r="G479" s="277" t="s">
        <v>2075</v>
      </c>
      <c r="H479" s="277" t="s">
        <v>2076</v>
      </c>
      <c r="I479" s="277" t="s">
        <v>2077</v>
      </c>
      <c r="J479" s="277" t="s">
        <v>726</v>
      </c>
      <c r="K479" s="277" t="s">
        <v>726</v>
      </c>
      <c r="M479" s="277" t="s">
        <v>726</v>
      </c>
      <c r="N479" s="277" t="s">
        <v>726</v>
      </c>
      <c r="O479" s="304" t="s">
        <v>2078</v>
      </c>
      <c r="P479" s="304" t="s">
        <v>2079</v>
      </c>
      <c r="Q479" s="250" t="s">
        <v>2080</v>
      </c>
      <c r="R479" s="250" t="s">
        <v>2081</v>
      </c>
      <c r="S479" s="250" t="s">
        <v>2082</v>
      </c>
      <c r="T479" s="250" t="s">
        <v>2083</v>
      </c>
    </row>
    <row r="480" spans="1:20" ht="12.75" customHeight="1">
      <c r="A480" s="160"/>
      <c r="B480" s="277"/>
      <c r="C480" s="277"/>
      <c r="D480" s="277"/>
      <c r="E480" s="277"/>
      <c r="F480" s="277"/>
      <c r="G480" s="277"/>
      <c r="H480" s="277"/>
      <c r="I480" s="277"/>
      <c r="J480" s="277"/>
      <c r="K480" s="277"/>
      <c r="M480" s="277"/>
      <c r="N480" s="277"/>
      <c r="P480" s="304"/>
      <c r="Q480" s="250" t="s">
        <v>2084</v>
      </c>
      <c r="T480" s="250" t="s">
        <v>2085</v>
      </c>
    </row>
    <row r="481" spans="1:14" ht="14.6" customHeight="1">
      <c r="B481" s="805" t="s">
        <v>2086</v>
      </c>
      <c r="C481" s="801"/>
      <c r="D481" s="801"/>
      <c r="E481" s="801"/>
      <c r="F481" s="801"/>
      <c r="G481" s="801"/>
      <c r="H481" s="801"/>
      <c r="I481" s="801"/>
      <c r="J481" s="801"/>
      <c r="K481" s="801"/>
    </row>
    <row r="482" spans="1:14" ht="14.6" customHeight="1">
      <c r="B482" s="801"/>
      <c r="C482" s="801"/>
      <c r="D482" s="801"/>
      <c r="E482" s="801"/>
      <c r="F482" s="801"/>
      <c r="G482" s="801"/>
      <c r="H482" s="801"/>
      <c r="I482" s="801"/>
      <c r="J482" s="801"/>
      <c r="K482" s="801"/>
    </row>
    <row r="483" spans="1:14" ht="14.6" customHeight="1">
      <c r="B483" s="801"/>
      <c r="C483" s="801"/>
      <c r="D483" s="801"/>
      <c r="E483" s="801"/>
      <c r="F483" s="801"/>
      <c r="G483" s="801"/>
      <c r="H483" s="801"/>
      <c r="I483" s="801"/>
      <c r="J483" s="801"/>
      <c r="K483" s="801"/>
    </row>
    <row r="484" spans="1:14" ht="14.6" customHeight="1">
      <c r="B484" s="801"/>
      <c r="C484" s="801"/>
      <c r="D484" s="801"/>
      <c r="E484" s="801"/>
      <c r="F484" s="801"/>
      <c r="G484" s="801"/>
      <c r="H484" s="801"/>
      <c r="I484" s="801"/>
      <c r="J484" s="801"/>
      <c r="K484" s="801"/>
    </row>
    <row r="485" spans="1:14" ht="14.6" customHeight="1">
      <c r="B485" s="801"/>
      <c r="C485" s="801"/>
      <c r="D485" s="801"/>
      <c r="E485" s="801"/>
      <c r="F485" s="801"/>
      <c r="G485" s="801"/>
      <c r="H485" s="801"/>
      <c r="I485" s="801"/>
      <c r="J485" s="801"/>
      <c r="K485" s="801"/>
    </row>
    <row r="486" spans="1:14" ht="14.6" customHeight="1"/>
    <row r="487" spans="1:14" ht="15.9" customHeight="1">
      <c r="A487" s="160" t="s">
        <v>1397</v>
      </c>
      <c r="B487" s="327" t="s">
        <v>2087</v>
      </c>
      <c r="C487" s="327" t="s">
        <v>2088</v>
      </c>
      <c r="D487" s="327" t="s">
        <v>2089</v>
      </c>
      <c r="E487" s="327" t="s">
        <v>2090</v>
      </c>
      <c r="F487" s="327" t="s">
        <v>2091</v>
      </c>
      <c r="G487" s="327" t="s">
        <v>2092</v>
      </c>
      <c r="H487" s="327" t="s">
        <v>2093</v>
      </c>
      <c r="I487" s="327" t="s">
        <v>2094</v>
      </c>
      <c r="J487" s="327" t="s">
        <v>2095</v>
      </c>
      <c r="K487" s="327" t="s">
        <v>2096</v>
      </c>
      <c r="M487" s="327" t="s">
        <v>2097</v>
      </c>
      <c r="N487" s="327" t="s">
        <v>2097</v>
      </c>
    </row>
    <row r="488" spans="1:14" ht="15.9" customHeight="1">
      <c r="A488" s="160" t="s">
        <v>1407</v>
      </c>
      <c r="B488" s="163" t="s">
        <v>1363</v>
      </c>
      <c r="C488" s="167" t="s">
        <v>1367</v>
      </c>
      <c r="D488" s="169" t="s">
        <v>1369</v>
      </c>
      <c r="E488" s="171" t="s">
        <v>1371</v>
      </c>
      <c r="F488" s="189" t="s">
        <v>1374</v>
      </c>
      <c r="G488" s="175" t="s">
        <v>1377</v>
      </c>
      <c r="H488" s="176" t="s">
        <v>1379</v>
      </c>
      <c r="I488" s="177" t="s">
        <v>1381</v>
      </c>
      <c r="J488" s="178" t="s">
        <v>1383</v>
      </c>
      <c r="K488" s="180" t="s">
        <v>1385</v>
      </c>
      <c r="M488" s="165" t="s">
        <v>1365</v>
      </c>
      <c r="N488" s="181" t="s">
        <v>1387</v>
      </c>
    </row>
    <row r="489" spans="1:14" ht="17.25" customHeight="1">
      <c r="A489" s="160" t="s">
        <v>1408</v>
      </c>
      <c r="B489" s="160" t="s">
        <v>1376</v>
      </c>
      <c r="C489" s="160" t="s">
        <v>1376</v>
      </c>
      <c r="D489" s="160" t="s">
        <v>1368</v>
      </c>
      <c r="E489" s="160" t="s">
        <v>1364</v>
      </c>
      <c r="F489" s="160" t="s">
        <v>2098</v>
      </c>
      <c r="G489" s="160" t="s">
        <v>1364</v>
      </c>
      <c r="H489" s="160" t="s">
        <v>1373</v>
      </c>
      <c r="I489" s="160" t="s">
        <v>1366</v>
      </c>
      <c r="J489" s="160" t="s">
        <v>1366</v>
      </c>
      <c r="K489" s="160" t="s">
        <v>1368</v>
      </c>
      <c r="M489" s="160"/>
      <c r="N489" s="160"/>
    </row>
    <row r="490" spans="1:14" ht="17.25" customHeight="1">
      <c r="A490" s="194" t="s">
        <v>542</v>
      </c>
      <c r="B490" s="196" t="s">
        <v>2099</v>
      </c>
      <c r="C490" s="196" t="s">
        <v>2100</v>
      </c>
      <c r="D490" s="196" t="s">
        <v>2100</v>
      </c>
      <c r="E490" s="196" t="s">
        <v>2099</v>
      </c>
      <c r="F490" s="196" t="s">
        <v>2100</v>
      </c>
      <c r="G490" s="196" t="s">
        <v>2101</v>
      </c>
      <c r="H490" s="196" t="s">
        <v>2099</v>
      </c>
      <c r="I490" s="196" t="s">
        <v>2099</v>
      </c>
      <c r="J490" s="196" t="s">
        <v>2099</v>
      </c>
      <c r="K490" s="196" t="s">
        <v>2099</v>
      </c>
      <c r="M490" s="196"/>
      <c r="N490" s="196"/>
    </row>
    <row r="491" spans="1:14" ht="17.25" customHeight="1">
      <c r="A491" s="198" t="s">
        <v>1410</v>
      </c>
      <c r="B491" s="200" t="s">
        <v>1818</v>
      </c>
      <c r="C491" s="200" t="s">
        <v>2102</v>
      </c>
      <c r="D491" s="200" t="s">
        <v>1697</v>
      </c>
      <c r="E491" s="200" t="s">
        <v>2102</v>
      </c>
      <c r="F491" s="200" t="s">
        <v>1818</v>
      </c>
      <c r="G491" s="200" t="s">
        <v>2102</v>
      </c>
      <c r="H491" s="200" t="s">
        <v>1818</v>
      </c>
      <c r="I491" s="200" t="s">
        <v>2099</v>
      </c>
      <c r="J491" s="200" t="s">
        <v>1818</v>
      </c>
      <c r="K491" s="200" t="s">
        <v>2099</v>
      </c>
      <c r="M491" s="200"/>
      <c r="N491" s="200"/>
    </row>
    <row r="492" spans="1:14" ht="17.25" customHeight="1">
      <c r="A492" s="202" t="s">
        <v>546</v>
      </c>
      <c r="B492" s="208">
        <v>5</v>
      </c>
      <c r="C492" s="208">
        <v>5</v>
      </c>
      <c r="D492" s="208">
        <v>4</v>
      </c>
      <c r="E492" s="208">
        <v>3</v>
      </c>
      <c r="F492" s="208">
        <v>5</v>
      </c>
      <c r="G492" s="208">
        <v>5</v>
      </c>
      <c r="H492" s="208">
        <v>4</v>
      </c>
      <c r="I492" s="208">
        <v>6</v>
      </c>
      <c r="J492" s="208" t="s">
        <v>2103</v>
      </c>
      <c r="K492" s="208">
        <v>3</v>
      </c>
      <c r="M492" s="208"/>
      <c r="N492" s="208"/>
    </row>
    <row r="493" spans="1:14" ht="17.25" customHeight="1">
      <c r="A493" s="206" t="s">
        <v>2104</v>
      </c>
      <c r="B493" s="208">
        <v>4</v>
      </c>
      <c r="C493" s="208">
        <v>5</v>
      </c>
      <c r="D493" s="208">
        <v>4</v>
      </c>
      <c r="E493" s="208">
        <v>3</v>
      </c>
      <c r="F493" s="208">
        <v>5</v>
      </c>
      <c r="G493" s="208">
        <v>5</v>
      </c>
      <c r="H493" s="208">
        <v>6</v>
      </c>
      <c r="I493" s="208">
        <v>5</v>
      </c>
      <c r="J493" s="208" t="s">
        <v>2105</v>
      </c>
      <c r="K493" s="208">
        <v>6</v>
      </c>
      <c r="M493" s="208"/>
      <c r="N493" s="208"/>
    </row>
    <row r="494" spans="1:14" ht="17.25" customHeight="1">
      <c r="A494" s="160" t="s">
        <v>1412</v>
      </c>
      <c r="B494" s="211">
        <v>0.2</v>
      </c>
      <c r="C494" s="211">
        <v>0</v>
      </c>
      <c r="D494" s="211">
        <v>0</v>
      </c>
      <c r="E494" s="211">
        <v>0</v>
      </c>
      <c r="F494" s="211">
        <v>0</v>
      </c>
      <c r="G494" s="211">
        <v>-0.2</v>
      </c>
      <c r="H494" s="211">
        <v>-0.2</v>
      </c>
      <c r="I494" s="211">
        <v>-1</v>
      </c>
      <c r="J494" s="211" t="s">
        <v>2106</v>
      </c>
      <c r="K494" s="211">
        <v>1</v>
      </c>
      <c r="M494" s="211"/>
      <c r="N494" s="211"/>
    </row>
    <row r="495" spans="1:14" ht="17.25" customHeight="1">
      <c r="A495" s="160" t="s">
        <v>1413</v>
      </c>
      <c r="B495" s="214">
        <v>0</v>
      </c>
      <c r="C495" s="214">
        <v>-0.5</v>
      </c>
      <c r="D495" s="214">
        <v>0</v>
      </c>
      <c r="E495" s="214">
        <v>0.2</v>
      </c>
      <c r="F495" s="214">
        <v>0</v>
      </c>
      <c r="G495" s="214">
        <v>0.2</v>
      </c>
      <c r="H495" s="214">
        <v>0.2</v>
      </c>
      <c r="I495" s="214">
        <v>0.5</v>
      </c>
      <c r="J495" s="214" t="s">
        <v>2106</v>
      </c>
      <c r="K495" s="214">
        <v>0.2</v>
      </c>
      <c r="M495" s="214"/>
      <c r="N495" s="214"/>
    </row>
    <row r="496" spans="1:14" ht="17.25" customHeight="1">
      <c r="A496" s="160" t="s">
        <v>1414</v>
      </c>
      <c r="B496" s="217">
        <v>0</v>
      </c>
      <c r="C496" s="217">
        <v>0</v>
      </c>
      <c r="D496" s="217">
        <v>-0.5</v>
      </c>
      <c r="E496" s="217">
        <v>0</v>
      </c>
      <c r="F496" s="217">
        <v>0.4</v>
      </c>
      <c r="G496" s="217">
        <v>0.4</v>
      </c>
      <c r="H496" s="217">
        <v>1.5</v>
      </c>
      <c r="I496" s="217">
        <v>0</v>
      </c>
      <c r="J496" s="217" t="s">
        <v>2106</v>
      </c>
      <c r="K496" s="217">
        <v>0</v>
      </c>
      <c r="M496" s="217"/>
      <c r="N496" s="217"/>
    </row>
    <row r="497" spans="1:14" ht="17.25" customHeight="1">
      <c r="A497" s="160" t="s">
        <v>1415</v>
      </c>
      <c r="B497" s="220">
        <v>0</v>
      </c>
      <c r="C497" s="220">
        <v>0</v>
      </c>
      <c r="D497" s="220">
        <v>2</v>
      </c>
      <c r="E497" s="220">
        <v>0</v>
      </c>
      <c r="F497" s="220">
        <v>-0.5</v>
      </c>
      <c r="G497" s="220">
        <v>-0.2</v>
      </c>
      <c r="H497" s="220">
        <v>-1</v>
      </c>
      <c r="I497" s="220">
        <v>0</v>
      </c>
      <c r="J497" s="220" t="s">
        <v>2106</v>
      </c>
      <c r="K497" s="220">
        <v>0.2</v>
      </c>
      <c r="M497" s="220"/>
      <c r="N497" s="220"/>
    </row>
    <row r="498" spans="1:14" ht="17.25" customHeight="1">
      <c r="A498" s="313" t="s">
        <v>1416</v>
      </c>
      <c r="B498" s="224">
        <v>0.7</v>
      </c>
      <c r="C498" s="224">
        <v>0</v>
      </c>
      <c r="D498" s="224">
        <v>0</v>
      </c>
      <c r="E498" s="224">
        <v>0</v>
      </c>
      <c r="F498" s="224">
        <v>0.2</v>
      </c>
      <c r="G498" s="224">
        <v>0</v>
      </c>
      <c r="H498" s="224">
        <v>0.3</v>
      </c>
      <c r="I498" s="224">
        <v>0</v>
      </c>
      <c r="J498" s="224" t="s">
        <v>2106</v>
      </c>
      <c r="K498" s="224">
        <v>0.2</v>
      </c>
      <c r="M498" s="224"/>
      <c r="N498" s="224"/>
    </row>
    <row r="499" spans="1:14" ht="17.25" customHeight="1">
      <c r="A499" s="160" t="s">
        <v>1417</v>
      </c>
      <c r="B499" s="227">
        <v>0</v>
      </c>
      <c r="C499" s="227">
        <v>0</v>
      </c>
      <c r="D499" s="227">
        <v>0</v>
      </c>
      <c r="E499" s="227">
        <v>0</v>
      </c>
      <c r="F499" s="227">
        <v>0.2</v>
      </c>
      <c r="G499" s="227">
        <v>-0.3</v>
      </c>
      <c r="H499" s="227">
        <v>-0.3</v>
      </c>
      <c r="I499" s="227">
        <v>0</v>
      </c>
      <c r="J499" s="227" t="s">
        <v>2106</v>
      </c>
      <c r="K499" s="227">
        <v>0</v>
      </c>
      <c r="M499" s="227"/>
      <c r="N499" s="227"/>
    </row>
    <row r="500" spans="1:14" ht="17.25" customHeight="1">
      <c r="A500" s="160" t="s">
        <v>1418</v>
      </c>
      <c r="B500" s="230">
        <v>-1</v>
      </c>
      <c r="C500" s="230">
        <v>-0.5</v>
      </c>
      <c r="D500" s="230">
        <v>0</v>
      </c>
      <c r="E500" s="230">
        <v>0.2</v>
      </c>
      <c r="F500" s="230">
        <v>-1</v>
      </c>
      <c r="G500" s="230">
        <v>0</v>
      </c>
      <c r="H500" s="230">
        <v>0</v>
      </c>
      <c r="I500" s="230">
        <v>0</v>
      </c>
      <c r="J500" s="230" t="s">
        <v>2106</v>
      </c>
      <c r="K500" s="230">
        <v>0</v>
      </c>
      <c r="M500" s="230"/>
      <c r="N500" s="230"/>
    </row>
    <row r="501" spans="1:14" ht="17.25" customHeight="1">
      <c r="A501" s="160" t="s">
        <v>1419</v>
      </c>
      <c r="B501" s="233">
        <v>-0.5</v>
      </c>
      <c r="C501" s="233">
        <v>-0.5</v>
      </c>
      <c r="D501" s="233">
        <v>0.5</v>
      </c>
      <c r="E501" s="233">
        <v>0</v>
      </c>
      <c r="F501" s="233">
        <v>1</v>
      </c>
      <c r="G501" s="233">
        <v>0.5</v>
      </c>
      <c r="H501" s="233">
        <v>0</v>
      </c>
      <c r="I501" s="233">
        <v>1</v>
      </c>
      <c r="J501" s="233" t="s">
        <v>2106</v>
      </c>
      <c r="K501" s="233">
        <v>-0.5</v>
      </c>
      <c r="M501" s="233"/>
      <c r="N501" s="233"/>
    </row>
    <row r="502" spans="1:14" ht="17.25" customHeight="1">
      <c r="A502" s="160" t="s">
        <v>1420</v>
      </c>
      <c r="B502" s="236">
        <v>0</v>
      </c>
      <c r="C502" s="236">
        <v>0.5</v>
      </c>
      <c r="D502" s="236">
        <f>-50%</f>
        <v>-0.5</v>
      </c>
      <c r="E502" s="236">
        <v>0.2</v>
      </c>
      <c r="F502" s="236">
        <v>1</v>
      </c>
      <c r="G502" s="236">
        <v>-0.5</v>
      </c>
      <c r="H502" s="236">
        <v>-0.5</v>
      </c>
      <c r="I502" s="236">
        <v>1</v>
      </c>
      <c r="J502" s="236" t="s">
        <v>2106</v>
      </c>
      <c r="K502" s="236">
        <v>-0.5</v>
      </c>
      <c r="M502" s="236"/>
      <c r="N502" s="236"/>
    </row>
    <row r="503" spans="1:14" ht="17.25" customHeight="1">
      <c r="A503" s="160" t="s">
        <v>570</v>
      </c>
      <c r="B503" s="204">
        <v>6</v>
      </c>
      <c r="C503" s="204">
        <v>10</v>
      </c>
      <c r="D503" s="204">
        <v>2</v>
      </c>
      <c r="E503" s="204">
        <v>3</v>
      </c>
      <c r="F503" s="204">
        <v>8</v>
      </c>
      <c r="G503" s="204">
        <v>8</v>
      </c>
      <c r="H503" s="204">
        <v>2</v>
      </c>
      <c r="I503" s="204">
        <v>2</v>
      </c>
      <c r="J503" s="204">
        <v>5</v>
      </c>
      <c r="K503" s="204">
        <v>2</v>
      </c>
      <c r="M503" s="204"/>
      <c r="N503" s="204"/>
    </row>
    <row r="504" spans="1:14" ht="17.25" customHeight="1">
      <c r="A504" s="160" t="s">
        <v>572</v>
      </c>
      <c r="B504" s="204">
        <v>6</v>
      </c>
      <c r="C504" s="204">
        <v>0</v>
      </c>
      <c r="D504" s="204">
        <v>-2</v>
      </c>
      <c r="E504" s="204">
        <v>3</v>
      </c>
      <c r="F504" s="204">
        <v>0</v>
      </c>
      <c r="G504" s="204">
        <v>0</v>
      </c>
      <c r="H504" s="204">
        <v>5</v>
      </c>
      <c r="I504" s="204">
        <v>5</v>
      </c>
      <c r="J504" s="204">
        <v>5</v>
      </c>
      <c r="K504" s="204">
        <v>5</v>
      </c>
      <c r="M504" s="204"/>
      <c r="N504" s="204"/>
    </row>
    <row r="505" spans="1:14" ht="17.25" customHeight="1">
      <c r="A505" s="160" t="s">
        <v>573</v>
      </c>
      <c r="B505" s="240">
        <v>0</v>
      </c>
      <c r="C505" s="240">
        <v>0</v>
      </c>
      <c r="D505" s="240">
        <v>8</v>
      </c>
      <c r="E505" s="240">
        <v>3</v>
      </c>
      <c r="F505" s="240">
        <v>0</v>
      </c>
      <c r="G505" s="240">
        <v>0</v>
      </c>
      <c r="H505" s="240">
        <v>5</v>
      </c>
      <c r="I505" s="240">
        <v>5</v>
      </c>
      <c r="J505" s="240">
        <v>5</v>
      </c>
      <c r="K505" s="240">
        <v>5</v>
      </c>
      <c r="M505" s="240"/>
      <c r="N505" s="240"/>
    </row>
    <row r="506" spans="1:14" ht="17.25" customHeight="1">
      <c r="A506" s="160" t="s">
        <v>14</v>
      </c>
      <c r="B506" s="250" t="s">
        <v>2107</v>
      </c>
      <c r="C506" s="250" t="s">
        <v>2108</v>
      </c>
      <c r="D506" s="250" t="s">
        <v>2109</v>
      </c>
      <c r="E506" s="250" t="s">
        <v>2110</v>
      </c>
      <c r="F506" s="250" t="s">
        <v>2111</v>
      </c>
      <c r="G506" s="250" t="s">
        <v>2107</v>
      </c>
      <c r="H506" s="250" t="s">
        <v>2112</v>
      </c>
      <c r="I506" s="250" t="s">
        <v>2113</v>
      </c>
      <c r="J506" s="250" t="s">
        <v>2114</v>
      </c>
      <c r="K506" s="250" t="s">
        <v>2115</v>
      </c>
      <c r="M506" s="250"/>
      <c r="N506" s="250"/>
    </row>
    <row r="507" spans="1:14" ht="17.25" customHeight="1">
      <c r="A507" s="242" t="s">
        <v>584</v>
      </c>
      <c r="B507" s="244">
        <v>3</v>
      </c>
      <c r="C507" s="244">
        <v>3</v>
      </c>
      <c r="D507" s="244">
        <v>3</v>
      </c>
      <c r="E507" s="244">
        <v>3</v>
      </c>
      <c r="F507" s="244">
        <v>3</v>
      </c>
      <c r="G507" s="244">
        <v>3</v>
      </c>
      <c r="H507" s="244">
        <v>3</v>
      </c>
      <c r="I507" s="244">
        <v>3</v>
      </c>
      <c r="J507" s="244">
        <v>3</v>
      </c>
      <c r="K507" s="244">
        <v>3</v>
      </c>
      <c r="M507" s="244"/>
      <c r="N507" s="244"/>
    </row>
    <row r="508" spans="1:14" ht="17.25" customHeight="1">
      <c r="A508" s="160" t="s">
        <v>1424</v>
      </c>
      <c r="B508" s="214">
        <v>0</v>
      </c>
      <c r="C508" s="214">
        <v>0</v>
      </c>
      <c r="D508" s="214">
        <v>0</v>
      </c>
      <c r="E508" s="214">
        <v>0</v>
      </c>
      <c r="F508" s="214">
        <v>0</v>
      </c>
      <c r="G508" s="214">
        <v>0</v>
      </c>
      <c r="H508" s="214">
        <v>0</v>
      </c>
      <c r="I508" s="214">
        <v>0</v>
      </c>
      <c r="J508" s="214">
        <v>0</v>
      </c>
      <c r="K508" s="214">
        <v>0</v>
      </c>
      <c r="M508" s="214"/>
      <c r="N508" s="214"/>
    </row>
    <row r="509" spans="1:14" ht="17.25" customHeight="1">
      <c r="A509" s="160" t="s">
        <v>1428</v>
      </c>
      <c r="B509" s="250">
        <v>800</v>
      </c>
      <c r="C509" s="250">
        <v>800</v>
      </c>
      <c r="D509" s="250">
        <v>800</v>
      </c>
      <c r="E509" s="250">
        <v>800</v>
      </c>
      <c r="F509" s="250">
        <v>800</v>
      </c>
      <c r="G509" s="250">
        <v>800</v>
      </c>
      <c r="H509" s="250">
        <v>800</v>
      </c>
      <c r="I509" s="250">
        <v>800</v>
      </c>
      <c r="J509" s="250">
        <v>800</v>
      </c>
      <c r="K509" s="250">
        <v>800</v>
      </c>
      <c r="M509" s="250"/>
      <c r="N509" s="250"/>
    </row>
    <row r="510" spans="1:14" ht="15.9" customHeight="1">
      <c r="A510" s="160" t="s">
        <v>593</v>
      </c>
      <c r="B510" s="250">
        <v>6</v>
      </c>
      <c r="C510" s="250">
        <v>6</v>
      </c>
      <c r="D510" s="250">
        <v>6</v>
      </c>
      <c r="E510" s="250">
        <v>6</v>
      </c>
      <c r="F510" s="250">
        <v>6</v>
      </c>
      <c r="G510" s="250">
        <v>6</v>
      </c>
      <c r="H510" s="250">
        <v>6</v>
      </c>
      <c r="I510" s="250">
        <v>6</v>
      </c>
      <c r="J510" s="250">
        <v>6</v>
      </c>
      <c r="K510" s="250">
        <v>6</v>
      </c>
      <c r="M510" s="250"/>
      <c r="N510" s="250"/>
    </row>
    <row r="511" spans="1:14" ht="57" customHeight="1">
      <c r="A511" s="160" t="s">
        <v>1429</v>
      </c>
      <c r="B511" s="277" t="s">
        <v>2116</v>
      </c>
      <c r="C511" s="277" t="s">
        <v>726</v>
      </c>
      <c r="D511" s="277" t="s">
        <v>2117</v>
      </c>
      <c r="E511" s="277" t="s">
        <v>2118</v>
      </c>
      <c r="F511" s="277" t="s">
        <v>2119</v>
      </c>
      <c r="G511" s="277" t="s">
        <v>2120</v>
      </c>
      <c r="H511" s="277" t="s">
        <v>2121</v>
      </c>
      <c r="I511" s="277" t="s">
        <v>2122</v>
      </c>
      <c r="J511" s="277" t="s">
        <v>2123</v>
      </c>
      <c r="K511" s="277" t="s">
        <v>2124</v>
      </c>
      <c r="M511" s="277"/>
      <c r="N511" s="277"/>
    </row>
    <row r="512" spans="1:14" ht="57" customHeight="1">
      <c r="A512" s="160" t="s">
        <v>1440</v>
      </c>
      <c r="B512" s="277" t="s">
        <v>2125</v>
      </c>
      <c r="C512" s="277" t="s">
        <v>2126</v>
      </c>
      <c r="D512" s="277" t="s">
        <v>2127</v>
      </c>
      <c r="E512" s="277" t="s">
        <v>2128</v>
      </c>
      <c r="F512" s="277" t="s">
        <v>2129</v>
      </c>
      <c r="G512" s="277" t="s">
        <v>2130</v>
      </c>
      <c r="H512" s="277" t="s">
        <v>2131</v>
      </c>
      <c r="I512" s="277" t="s">
        <v>2132</v>
      </c>
      <c r="J512" s="277" t="s">
        <v>2133</v>
      </c>
      <c r="K512" s="277" t="s">
        <v>2134</v>
      </c>
      <c r="M512" s="277"/>
      <c r="N512" s="277"/>
    </row>
    <row r="513" spans="1:14" ht="57" customHeight="1">
      <c r="A513" s="160" t="s">
        <v>2135</v>
      </c>
      <c r="B513" s="277" t="s">
        <v>2136</v>
      </c>
      <c r="C513" s="277" t="s">
        <v>2137</v>
      </c>
      <c r="D513" s="277" t="s">
        <v>2138</v>
      </c>
      <c r="E513" s="277" t="s">
        <v>2139</v>
      </c>
      <c r="F513" s="277" t="s">
        <v>2140</v>
      </c>
      <c r="G513" s="277" t="s">
        <v>2141</v>
      </c>
      <c r="H513" s="277" t="s">
        <v>2142</v>
      </c>
      <c r="I513" s="277" t="s">
        <v>2143</v>
      </c>
      <c r="J513" s="277" t="s">
        <v>2144</v>
      </c>
      <c r="K513" s="277" t="s">
        <v>2145</v>
      </c>
      <c r="M513" s="277"/>
      <c r="N513" s="277"/>
    </row>
    <row r="514" spans="1:14" ht="57" customHeight="1">
      <c r="A514" s="160" t="s">
        <v>2146</v>
      </c>
      <c r="B514" s="277" t="s">
        <v>2147</v>
      </c>
      <c r="C514" s="277" t="s">
        <v>2148</v>
      </c>
      <c r="D514" s="277" t="s">
        <v>2149</v>
      </c>
      <c r="E514" s="277" t="s">
        <v>2150</v>
      </c>
      <c r="F514" s="277" t="s">
        <v>2151</v>
      </c>
      <c r="G514" s="277" t="s">
        <v>2152</v>
      </c>
      <c r="H514" s="277" t="s">
        <v>2153</v>
      </c>
      <c r="I514" s="277" t="s">
        <v>2154</v>
      </c>
      <c r="J514" s="277" t="s">
        <v>2155</v>
      </c>
      <c r="K514" s="277" t="s">
        <v>2156</v>
      </c>
      <c r="M514" s="277"/>
      <c r="N514" s="277"/>
    </row>
    <row r="515" spans="1:14" ht="68.25" customHeight="1">
      <c r="A515" s="160" t="s">
        <v>2157</v>
      </c>
      <c r="B515" s="204" t="s">
        <v>2158</v>
      </c>
      <c r="C515" s="204" t="s">
        <v>2159</v>
      </c>
      <c r="D515" s="204" t="s">
        <v>2160</v>
      </c>
      <c r="E515" s="204" t="s">
        <v>2161</v>
      </c>
      <c r="F515" s="204" t="s">
        <v>2162</v>
      </c>
      <c r="G515" s="204" t="s">
        <v>2163</v>
      </c>
      <c r="H515" s="204" t="s">
        <v>2164</v>
      </c>
      <c r="I515" s="204" t="s">
        <v>2165</v>
      </c>
      <c r="J515" s="204" t="s">
        <v>2166</v>
      </c>
      <c r="K515" s="204" t="s">
        <v>2167</v>
      </c>
      <c r="M515" s="204"/>
      <c r="N515" s="204"/>
    </row>
    <row r="516" spans="1:14" ht="30" customHeight="1">
      <c r="A516" s="160" t="s">
        <v>36</v>
      </c>
      <c r="B516" s="247" t="s">
        <v>2168</v>
      </c>
      <c r="C516" s="247" t="s">
        <v>2169</v>
      </c>
      <c r="D516" s="247" t="s">
        <v>2170</v>
      </c>
      <c r="E516" s="247" t="s">
        <v>2171</v>
      </c>
      <c r="F516" s="247" t="s">
        <v>2172</v>
      </c>
      <c r="G516" s="247" t="s">
        <v>2173</v>
      </c>
      <c r="H516" s="247" t="s">
        <v>2174</v>
      </c>
      <c r="I516" s="247" t="s">
        <v>2175</v>
      </c>
      <c r="J516" s="247" t="s">
        <v>2176</v>
      </c>
      <c r="K516" s="247" t="s">
        <v>2177</v>
      </c>
      <c r="M516" s="247"/>
      <c r="N516" s="247"/>
    </row>
    <row r="517" spans="1:14" ht="14.6" customHeight="1"/>
    <row r="518" spans="1:14" ht="15.9" customHeight="1">
      <c r="A518" s="160" t="s">
        <v>1397</v>
      </c>
      <c r="B518" s="327" t="s">
        <v>2178</v>
      </c>
      <c r="C518" s="327" t="s">
        <v>2179</v>
      </c>
      <c r="D518" s="327" t="s">
        <v>2180</v>
      </c>
      <c r="E518" s="327" t="s">
        <v>2181</v>
      </c>
      <c r="F518" s="327" t="s">
        <v>2182</v>
      </c>
      <c r="G518" s="327" t="s">
        <v>2183</v>
      </c>
      <c r="H518" s="327" t="s">
        <v>2184</v>
      </c>
      <c r="I518" s="327" t="s">
        <v>2185</v>
      </c>
      <c r="J518" s="327" t="s">
        <v>2186</v>
      </c>
      <c r="K518" s="327" t="s">
        <v>2187</v>
      </c>
    </row>
    <row r="519" spans="1:14" ht="15.9" customHeight="1">
      <c r="A519" s="160" t="s">
        <v>1407</v>
      </c>
      <c r="B519" s="163" t="s">
        <v>1363</v>
      </c>
      <c r="C519" s="167" t="s">
        <v>1367</v>
      </c>
      <c r="D519" s="169" t="s">
        <v>1369</v>
      </c>
      <c r="E519" s="171" t="s">
        <v>1371</v>
      </c>
      <c r="F519" s="189" t="s">
        <v>1374</v>
      </c>
      <c r="G519" s="175" t="s">
        <v>1377</v>
      </c>
      <c r="H519" s="176" t="s">
        <v>1379</v>
      </c>
      <c r="I519" s="177" t="s">
        <v>1381</v>
      </c>
      <c r="J519" s="178" t="s">
        <v>1383</v>
      </c>
      <c r="K519" s="180" t="s">
        <v>1385</v>
      </c>
    </row>
    <row r="520" spans="1:14" ht="15.9" customHeight="1">
      <c r="A520" s="160" t="s">
        <v>1408</v>
      </c>
      <c r="B520" s="160" t="s">
        <v>1376</v>
      </c>
      <c r="C520" s="160" t="s">
        <v>1376</v>
      </c>
      <c r="D520" s="160" t="s">
        <v>1370</v>
      </c>
      <c r="E520" s="160" t="s">
        <v>1370</v>
      </c>
      <c r="F520" s="160" t="s">
        <v>1368</v>
      </c>
      <c r="G520" s="160" t="s">
        <v>1366</v>
      </c>
      <c r="H520" s="160" t="s">
        <v>1364</v>
      </c>
      <c r="I520" s="160" t="s">
        <v>1373</v>
      </c>
      <c r="J520" s="160" t="s">
        <v>1376</v>
      </c>
      <c r="K520" s="160" t="s">
        <v>1370</v>
      </c>
    </row>
    <row r="521" spans="1:14" ht="31.75" customHeight="1">
      <c r="A521" s="194" t="s">
        <v>542</v>
      </c>
      <c r="B521" s="196" t="s">
        <v>1818</v>
      </c>
      <c r="C521" s="196" t="s">
        <v>2188</v>
      </c>
      <c r="D521" s="196" t="s">
        <v>2189</v>
      </c>
      <c r="E521" s="196" t="s">
        <v>2100</v>
      </c>
      <c r="F521" s="196" t="s">
        <v>2100</v>
      </c>
      <c r="G521" s="196" t="s">
        <v>2100</v>
      </c>
      <c r="H521" s="196" t="s">
        <v>2099</v>
      </c>
      <c r="I521" s="196" t="s">
        <v>1818</v>
      </c>
      <c r="J521" s="196" t="s">
        <v>2099</v>
      </c>
      <c r="K521" s="196" t="s">
        <v>2100</v>
      </c>
    </row>
    <row r="522" spans="1:14" ht="15.9" customHeight="1">
      <c r="A522" s="198" t="s">
        <v>1410</v>
      </c>
      <c r="B522" s="200" t="s">
        <v>1818</v>
      </c>
      <c r="C522" s="200" t="s">
        <v>2099</v>
      </c>
      <c r="D522" s="200" t="s">
        <v>726</v>
      </c>
      <c r="E522" s="200" t="s">
        <v>2102</v>
      </c>
      <c r="F522" s="200" t="s">
        <v>2099</v>
      </c>
      <c r="G522" s="200" t="s">
        <v>2190</v>
      </c>
      <c r="H522" s="200" t="s">
        <v>1818</v>
      </c>
      <c r="I522" s="200" t="s">
        <v>1697</v>
      </c>
      <c r="J522" s="200" t="s">
        <v>1818</v>
      </c>
      <c r="K522" s="200" t="s">
        <v>726</v>
      </c>
    </row>
    <row r="523" spans="1:14" ht="15.9" customHeight="1">
      <c r="A523" s="202" t="s">
        <v>546</v>
      </c>
      <c r="B523" s="208">
        <v>5</v>
      </c>
      <c r="C523" s="208">
        <v>4</v>
      </c>
      <c r="D523" s="204">
        <v>3</v>
      </c>
      <c r="E523" s="208">
        <v>4</v>
      </c>
      <c r="F523" s="208">
        <v>5</v>
      </c>
      <c r="G523" s="208">
        <v>5</v>
      </c>
      <c r="H523" s="208">
        <v>4</v>
      </c>
      <c r="I523" s="208">
        <v>3</v>
      </c>
      <c r="J523" s="208">
        <v>4</v>
      </c>
      <c r="K523" s="208">
        <v>0</v>
      </c>
    </row>
    <row r="524" spans="1:14" ht="15.9" customHeight="1">
      <c r="A524" s="206" t="s">
        <v>548</v>
      </c>
      <c r="B524" s="208">
        <v>1</v>
      </c>
      <c r="C524" s="208">
        <v>4</v>
      </c>
      <c r="D524" s="208">
        <v>3</v>
      </c>
      <c r="E524" s="208">
        <v>5</v>
      </c>
      <c r="F524" s="208">
        <v>4</v>
      </c>
      <c r="G524" s="208">
        <v>5</v>
      </c>
      <c r="H524" s="208">
        <v>4</v>
      </c>
      <c r="I524" s="208">
        <v>3</v>
      </c>
      <c r="J524" s="208">
        <v>4</v>
      </c>
      <c r="K524" s="208">
        <v>0</v>
      </c>
    </row>
    <row r="525" spans="1:14" ht="15.9" customHeight="1">
      <c r="A525" s="160" t="s">
        <v>1412</v>
      </c>
      <c r="B525" s="211">
        <v>0.1</v>
      </c>
      <c r="C525" s="211">
        <v>-0.2</v>
      </c>
      <c r="D525" s="211">
        <v>0.5</v>
      </c>
      <c r="E525" s="211">
        <v>1</v>
      </c>
      <c r="F525" s="211">
        <v>0.5</v>
      </c>
      <c r="G525" s="211">
        <v>-0.1</v>
      </c>
      <c r="H525" s="211">
        <v>0.3</v>
      </c>
      <c r="I525" s="211">
        <v>-1</v>
      </c>
      <c r="J525" s="211">
        <v>-0.5</v>
      </c>
      <c r="K525" s="211">
        <v>0</v>
      </c>
    </row>
    <row r="526" spans="1:14" ht="15.9" customHeight="1">
      <c r="A526" s="160" t="s">
        <v>1413</v>
      </c>
      <c r="B526" s="214">
        <v>0.1</v>
      </c>
      <c r="C526" s="214">
        <v>0</v>
      </c>
      <c r="D526" s="214">
        <v>0</v>
      </c>
      <c r="E526" s="214">
        <v>-0.5</v>
      </c>
      <c r="F526" s="214">
        <v>-0.5</v>
      </c>
      <c r="G526" s="214">
        <v>0.3</v>
      </c>
      <c r="H526" s="214">
        <v>0</v>
      </c>
      <c r="I526" s="214">
        <v>0.3</v>
      </c>
      <c r="J526" s="214">
        <v>0.5</v>
      </c>
      <c r="K526" s="214">
        <v>0</v>
      </c>
    </row>
    <row r="527" spans="1:14" ht="15.9" customHeight="1">
      <c r="A527" s="160" t="s">
        <v>1414</v>
      </c>
      <c r="B527" s="217">
        <v>0.1</v>
      </c>
      <c r="C527" s="217">
        <v>0.1</v>
      </c>
      <c r="D527" s="217">
        <v>-0.5</v>
      </c>
      <c r="E527" s="217">
        <v>0</v>
      </c>
      <c r="F527" s="217">
        <v>0.5</v>
      </c>
      <c r="G527" s="217">
        <v>0.1</v>
      </c>
      <c r="H527" s="217">
        <v>0.7</v>
      </c>
      <c r="I527" s="217">
        <v>0.2</v>
      </c>
      <c r="J527" s="217">
        <v>-0.5</v>
      </c>
      <c r="K527" s="217">
        <v>0</v>
      </c>
    </row>
    <row r="528" spans="1:14" ht="15.9" customHeight="1">
      <c r="A528" s="160" t="s">
        <v>1415</v>
      </c>
      <c r="B528" s="220">
        <v>0.1</v>
      </c>
      <c r="C528" s="220">
        <v>0.3</v>
      </c>
      <c r="D528" s="220">
        <v>0.5</v>
      </c>
      <c r="E528" s="220">
        <v>0</v>
      </c>
      <c r="F528" s="220">
        <v>-1</v>
      </c>
      <c r="G528" s="220">
        <v>0</v>
      </c>
      <c r="H528" s="220">
        <v>-0.5</v>
      </c>
      <c r="I528" s="220">
        <v>0.2</v>
      </c>
      <c r="J528" s="220">
        <v>0.5</v>
      </c>
      <c r="K528" s="220">
        <v>0</v>
      </c>
    </row>
    <row r="529" spans="1:11" ht="15.9" customHeight="1">
      <c r="A529" s="313" t="s">
        <v>1416</v>
      </c>
      <c r="B529" s="224">
        <v>0.1</v>
      </c>
      <c r="C529" s="224">
        <v>0.5</v>
      </c>
      <c r="D529" s="224">
        <v>-0.5</v>
      </c>
      <c r="E529" s="224">
        <v>0</v>
      </c>
      <c r="F529" s="224">
        <v>0.5</v>
      </c>
      <c r="G529" s="224">
        <v>0</v>
      </c>
      <c r="H529" s="224">
        <v>0</v>
      </c>
      <c r="I529" s="224">
        <v>0.2</v>
      </c>
      <c r="J529" s="224">
        <v>0</v>
      </c>
      <c r="K529" s="224">
        <v>0</v>
      </c>
    </row>
    <row r="530" spans="1:11" ht="15.9" customHeight="1">
      <c r="A530" s="160" t="s">
        <v>1417</v>
      </c>
      <c r="B530" s="227">
        <v>0.1</v>
      </c>
      <c r="C530" s="227">
        <v>0.4</v>
      </c>
      <c r="D530" s="227">
        <v>-0.5</v>
      </c>
      <c r="E530" s="227">
        <v>0</v>
      </c>
      <c r="F530" s="227">
        <v>0.5</v>
      </c>
      <c r="G530" s="227">
        <v>-0.3</v>
      </c>
      <c r="H530" s="227">
        <v>0.1</v>
      </c>
      <c r="I530" s="227">
        <v>-0.8</v>
      </c>
      <c r="J530" s="227">
        <v>0</v>
      </c>
      <c r="K530" s="227">
        <v>0</v>
      </c>
    </row>
    <row r="531" spans="1:11" ht="15.9" customHeight="1">
      <c r="A531" s="160" t="s">
        <v>1418</v>
      </c>
      <c r="B531" s="230">
        <v>0.1</v>
      </c>
      <c r="C531" s="230">
        <v>-0.3</v>
      </c>
      <c r="D531" s="230">
        <v>-0.5</v>
      </c>
      <c r="E531" s="230">
        <v>0</v>
      </c>
      <c r="F531" s="230">
        <v>-1</v>
      </c>
      <c r="G531" s="230">
        <v>-0.5</v>
      </c>
      <c r="H531" s="230">
        <v>-0.2</v>
      </c>
      <c r="I531" s="230">
        <v>-0.4</v>
      </c>
      <c r="J531" s="230">
        <v>0</v>
      </c>
      <c r="K531" s="230">
        <v>0</v>
      </c>
    </row>
    <row r="532" spans="1:11" ht="15.9" customHeight="1">
      <c r="A532" s="160" t="s">
        <v>1419</v>
      </c>
      <c r="B532" s="233">
        <v>0.1</v>
      </c>
      <c r="C532" s="233">
        <v>-0.2</v>
      </c>
      <c r="D532" s="233">
        <v>0</v>
      </c>
      <c r="E532" s="233">
        <v>0</v>
      </c>
      <c r="F532" s="233">
        <v>-0.5</v>
      </c>
      <c r="G532" s="233">
        <v>0.7</v>
      </c>
      <c r="H532" s="233">
        <v>0.2</v>
      </c>
      <c r="I532" s="233">
        <v>0.6</v>
      </c>
      <c r="J532" s="233">
        <v>0.5</v>
      </c>
      <c r="K532" s="233">
        <v>1</v>
      </c>
    </row>
    <row r="533" spans="1:11" ht="15.9" customHeight="1">
      <c r="A533" s="160" t="s">
        <v>1420</v>
      </c>
      <c r="B533" s="236">
        <v>0.1</v>
      </c>
      <c r="C533" s="236">
        <v>0.5</v>
      </c>
      <c r="D533" s="236">
        <v>0</v>
      </c>
      <c r="E533" s="236">
        <v>0</v>
      </c>
      <c r="F533" s="236">
        <v>-0.5</v>
      </c>
      <c r="G533" s="236">
        <v>0.5</v>
      </c>
      <c r="H533" s="236">
        <v>0.1</v>
      </c>
      <c r="I533" s="236">
        <v>1</v>
      </c>
      <c r="J533" s="236">
        <v>0.5</v>
      </c>
      <c r="K533" s="236">
        <v>1</v>
      </c>
    </row>
    <row r="534" spans="1:11" ht="15.9" customHeight="1">
      <c r="A534" s="160" t="s">
        <v>570</v>
      </c>
      <c r="B534" s="204">
        <v>10</v>
      </c>
      <c r="C534" s="204">
        <v>2</v>
      </c>
      <c r="D534" s="204">
        <v>1</v>
      </c>
      <c r="E534" s="204">
        <v>5</v>
      </c>
      <c r="F534" s="204">
        <v>0</v>
      </c>
      <c r="G534" s="204">
        <v>0</v>
      </c>
      <c r="H534" s="204">
        <v>2</v>
      </c>
      <c r="I534" s="204">
        <v>5</v>
      </c>
      <c r="J534" s="204">
        <v>5</v>
      </c>
      <c r="K534" s="204">
        <v>5</v>
      </c>
    </row>
    <row r="535" spans="1:11" ht="15.9" customHeight="1">
      <c r="A535" s="160" t="s">
        <v>572</v>
      </c>
      <c r="B535" s="204">
        <v>2</v>
      </c>
      <c r="C535" s="204">
        <v>6</v>
      </c>
      <c r="D535" s="204">
        <v>1</v>
      </c>
      <c r="E535" s="204">
        <v>5</v>
      </c>
      <c r="F535" s="204">
        <v>0</v>
      </c>
      <c r="G535" s="204">
        <v>0</v>
      </c>
      <c r="H535" s="204">
        <v>2</v>
      </c>
      <c r="I535" s="204">
        <v>1</v>
      </c>
      <c r="J535" s="204">
        <v>1</v>
      </c>
      <c r="K535" s="204">
        <v>1</v>
      </c>
    </row>
    <row r="536" spans="1:11" ht="15.9" customHeight="1">
      <c r="A536" s="160" t="s">
        <v>573</v>
      </c>
      <c r="B536" s="240">
        <v>2</v>
      </c>
      <c r="C536" s="240">
        <v>4</v>
      </c>
      <c r="D536" s="240">
        <v>1</v>
      </c>
      <c r="E536" s="240">
        <v>5</v>
      </c>
      <c r="F536" s="240">
        <v>5</v>
      </c>
      <c r="G536" s="240">
        <v>5</v>
      </c>
      <c r="H536" s="240">
        <v>5</v>
      </c>
      <c r="I536" s="240">
        <v>4</v>
      </c>
      <c r="J536" s="240">
        <v>4</v>
      </c>
      <c r="K536" s="240">
        <v>4</v>
      </c>
    </row>
    <row r="537" spans="1:11" ht="15.9" customHeight="1">
      <c r="A537" s="160" t="s">
        <v>14</v>
      </c>
      <c r="B537" s="250" t="s">
        <v>2191</v>
      </c>
      <c r="C537" s="250" t="s">
        <v>2192</v>
      </c>
      <c r="D537" s="328" t="s">
        <v>2193</v>
      </c>
      <c r="E537" s="250" t="s">
        <v>2194</v>
      </c>
      <c r="F537" s="250" t="s">
        <v>2195</v>
      </c>
      <c r="G537" s="250" t="s">
        <v>2196</v>
      </c>
      <c r="H537" s="250" t="s">
        <v>2197</v>
      </c>
      <c r="I537" s="250" t="s">
        <v>2107</v>
      </c>
      <c r="J537" s="250" t="s">
        <v>2198</v>
      </c>
      <c r="K537" s="250" t="s">
        <v>2199</v>
      </c>
    </row>
    <row r="538" spans="1:11" ht="15.9" customHeight="1">
      <c r="A538" s="242" t="s">
        <v>584</v>
      </c>
      <c r="B538" s="244">
        <v>3</v>
      </c>
      <c r="C538" s="244">
        <v>3</v>
      </c>
      <c r="D538" s="244" t="s">
        <v>1422</v>
      </c>
      <c r="E538" s="244">
        <v>3</v>
      </c>
      <c r="F538" s="244">
        <v>3</v>
      </c>
      <c r="G538" s="244">
        <v>3</v>
      </c>
      <c r="H538" s="244">
        <v>3</v>
      </c>
      <c r="I538" s="244">
        <v>3</v>
      </c>
      <c r="J538" s="244" t="s">
        <v>1422</v>
      </c>
      <c r="K538" s="244" t="s">
        <v>2200</v>
      </c>
    </row>
    <row r="539" spans="1:11" ht="15.9" customHeight="1">
      <c r="A539" s="160" t="s">
        <v>1424</v>
      </c>
      <c r="B539" s="214">
        <v>0</v>
      </c>
      <c r="C539" s="214">
        <v>0</v>
      </c>
      <c r="D539" s="214" t="s">
        <v>2201</v>
      </c>
      <c r="E539" s="329">
        <v>0.2</v>
      </c>
      <c r="F539" s="214">
        <v>0</v>
      </c>
      <c r="G539" s="214">
        <v>0</v>
      </c>
      <c r="H539" s="214">
        <v>0</v>
      </c>
      <c r="I539" s="214">
        <v>0</v>
      </c>
      <c r="J539" s="214">
        <v>0</v>
      </c>
      <c r="K539" s="214">
        <v>0</v>
      </c>
    </row>
    <row r="540" spans="1:11" ht="15.9" customHeight="1">
      <c r="A540" s="160" t="s">
        <v>1428</v>
      </c>
      <c r="B540" s="250">
        <v>800</v>
      </c>
      <c r="C540" s="250">
        <v>800</v>
      </c>
      <c r="D540" s="250">
        <v>800</v>
      </c>
      <c r="E540" s="250">
        <v>800</v>
      </c>
      <c r="F540" s="250">
        <v>800</v>
      </c>
      <c r="G540" s="250">
        <v>800</v>
      </c>
      <c r="H540" s="250">
        <v>800</v>
      </c>
      <c r="I540" s="250">
        <v>800</v>
      </c>
      <c r="J540" s="250">
        <v>800</v>
      </c>
      <c r="K540" s="250">
        <v>800</v>
      </c>
    </row>
    <row r="541" spans="1:11" ht="15.9" customHeight="1">
      <c r="A541" s="160" t="s">
        <v>593</v>
      </c>
      <c r="B541" s="250">
        <v>6</v>
      </c>
      <c r="C541" s="250">
        <v>6</v>
      </c>
      <c r="D541" s="250">
        <v>6</v>
      </c>
      <c r="E541" s="250">
        <v>6</v>
      </c>
      <c r="F541" s="250">
        <v>6</v>
      </c>
      <c r="G541" s="250">
        <v>6</v>
      </c>
      <c r="H541" s="250">
        <v>6</v>
      </c>
      <c r="I541" s="250">
        <v>6</v>
      </c>
      <c r="J541" s="250">
        <v>6</v>
      </c>
      <c r="K541" s="250">
        <v>6</v>
      </c>
    </row>
    <row r="542" spans="1:11" ht="65.25" customHeight="1">
      <c r="A542" s="160" t="s">
        <v>1429</v>
      </c>
      <c r="B542" s="277" t="s">
        <v>2202</v>
      </c>
      <c r="C542" s="277" t="s">
        <v>2203</v>
      </c>
      <c r="D542" s="277" t="s">
        <v>2204</v>
      </c>
      <c r="E542" s="158" t="s">
        <v>2205</v>
      </c>
      <c r="F542" s="277" t="s">
        <v>2206</v>
      </c>
      <c r="G542" s="277" t="s">
        <v>2207</v>
      </c>
      <c r="H542" s="277" t="s">
        <v>2208</v>
      </c>
      <c r="I542" s="277" t="s">
        <v>2209</v>
      </c>
      <c r="J542" s="277" t="s">
        <v>2210</v>
      </c>
      <c r="K542" s="277" t="s">
        <v>2211</v>
      </c>
    </row>
    <row r="543" spans="1:11" ht="65.25" customHeight="1">
      <c r="A543" s="160" t="s">
        <v>1440</v>
      </c>
      <c r="B543" s="277" t="s">
        <v>2212</v>
      </c>
      <c r="C543" s="277" t="s">
        <v>2213</v>
      </c>
      <c r="D543" s="314" t="s">
        <v>2214</v>
      </c>
      <c r="E543" s="277" t="s">
        <v>2215</v>
      </c>
      <c r="F543" s="277" t="s">
        <v>2216</v>
      </c>
      <c r="G543" s="277" t="s">
        <v>2217</v>
      </c>
      <c r="H543" s="277" t="s">
        <v>2218</v>
      </c>
      <c r="I543" s="277" t="s">
        <v>2219</v>
      </c>
      <c r="J543" s="277" t="s">
        <v>2220</v>
      </c>
      <c r="K543" s="277" t="s">
        <v>2221</v>
      </c>
    </row>
    <row r="544" spans="1:11" ht="65.25" customHeight="1">
      <c r="A544" s="160" t="s">
        <v>2135</v>
      </c>
      <c r="B544" s="277" t="s">
        <v>2222</v>
      </c>
      <c r="C544" s="277" t="s">
        <v>2223</v>
      </c>
      <c r="D544" s="277" t="s">
        <v>2224</v>
      </c>
      <c r="E544" s="277" t="s">
        <v>2225</v>
      </c>
      <c r="F544" s="277" t="s">
        <v>2226</v>
      </c>
      <c r="G544" s="277" t="s">
        <v>2227</v>
      </c>
      <c r="H544" s="277" t="s">
        <v>2228</v>
      </c>
      <c r="I544" s="277" t="s">
        <v>2229</v>
      </c>
      <c r="J544" s="277" t="s">
        <v>2230</v>
      </c>
      <c r="K544" s="277" t="s">
        <v>726</v>
      </c>
    </row>
    <row r="545" spans="1:14" ht="65.25" customHeight="1">
      <c r="A545" s="160" t="s">
        <v>2146</v>
      </c>
      <c r="B545" s="277" t="s">
        <v>2231</v>
      </c>
      <c r="C545" s="277" t="s">
        <v>2232</v>
      </c>
      <c r="D545" s="277" t="s">
        <v>2233</v>
      </c>
      <c r="E545" s="277" t="s">
        <v>2234</v>
      </c>
      <c r="F545" s="277" t="s">
        <v>2235</v>
      </c>
      <c r="G545" s="277" t="s">
        <v>2236</v>
      </c>
      <c r="H545" s="277" t="s">
        <v>2237</v>
      </c>
      <c r="I545" s="277" t="s">
        <v>2238</v>
      </c>
      <c r="J545" s="277" t="s">
        <v>2239</v>
      </c>
      <c r="K545" s="277" t="s">
        <v>2240</v>
      </c>
    </row>
    <row r="546" spans="1:14" ht="65.25" customHeight="1">
      <c r="A546" s="160" t="s">
        <v>2157</v>
      </c>
      <c r="B546" s="204" t="s">
        <v>2241</v>
      </c>
      <c r="C546" s="204" t="s">
        <v>2242</v>
      </c>
      <c r="D546" s="277"/>
      <c r="E546" s="277" t="s">
        <v>2243</v>
      </c>
      <c r="F546" s="204" t="s">
        <v>2244</v>
      </c>
      <c r="G546" s="204" t="s">
        <v>2245</v>
      </c>
      <c r="H546" s="204" t="s">
        <v>2246</v>
      </c>
      <c r="I546" s="204" t="s">
        <v>2247</v>
      </c>
      <c r="J546" s="204" t="s">
        <v>2248</v>
      </c>
      <c r="K546" s="204" t="s">
        <v>2249</v>
      </c>
    </row>
    <row r="547" spans="1:14" ht="65.25" customHeight="1">
      <c r="A547" s="160" t="s">
        <v>36</v>
      </c>
      <c r="B547" s="247" t="s">
        <v>2250</v>
      </c>
      <c r="C547" s="247" t="s">
        <v>2251</v>
      </c>
      <c r="D547" s="247" t="s">
        <v>2252</v>
      </c>
      <c r="E547" s="247" t="s">
        <v>2253</v>
      </c>
      <c r="F547" s="247" t="s">
        <v>2254</v>
      </c>
      <c r="G547" s="247" t="s">
        <v>2255</v>
      </c>
      <c r="H547" s="247" t="s">
        <v>2256</v>
      </c>
      <c r="I547" s="247" t="s">
        <v>2257</v>
      </c>
      <c r="J547" s="247" t="s">
        <v>2258</v>
      </c>
      <c r="K547" s="247" t="s">
        <v>2259</v>
      </c>
    </row>
    <row r="548" spans="1:14" ht="14.6" customHeight="1"/>
    <row r="549" spans="1:14" ht="15.9" customHeight="1">
      <c r="A549" s="160" t="s">
        <v>1397</v>
      </c>
      <c r="B549" s="282" t="s">
        <v>2260</v>
      </c>
      <c r="C549" s="282" t="s">
        <v>2261</v>
      </c>
      <c r="D549" s="282" t="s">
        <v>2262</v>
      </c>
      <c r="E549" s="282" t="s">
        <v>2263</v>
      </c>
      <c r="F549" s="282" t="s">
        <v>2264</v>
      </c>
      <c r="G549" s="282" t="s">
        <v>2265</v>
      </c>
      <c r="H549" s="282" t="s">
        <v>2266</v>
      </c>
      <c r="I549" s="282" t="s">
        <v>2267</v>
      </c>
      <c r="J549" s="282" t="s">
        <v>2268</v>
      </c>
      <c r="K549" s="282" t="s">
        <v>2269</v>
      </c>
      <c r="M549" s="282" t="s">
        <v>2270</v>
      </c>
      <c r="N549" s="282" t="s">
        <v>2270</v>
      </c>
    </row>
    <row r="550" spans="1:14" ht="15.9" customHeight="1">
      <c r="A550" s="160" t="s">
        <v>1407</v>
      </c>
      <c r="B550" s="163" t="s">
        <v>1363</v>
      </c>
      <c r="C550" s="167" t="s">
        <v>1367</v>
      </c>
      <c r="D550" s="169" t="s">
        <v>1369</v>
      </c>
      <c r="E550" s="171" t="s">
        <v>1371</v>
      </c>
      <c r="F550" s="189" t="s">
        <v>1374</v>
      </c>
      <c r="G550" s="175" t="s">
        <v>1377</v>
      </c>
      <c r="H550" s="176" t="s">
        <v>1379</v>
      </c>
      <c r="I550" s="177" t="s">
        <v>1381</v>
      </c>
      <c r="J550" s="178" t="s">
        <v>1383</v>
      </c>
      <c r="K550" s="180" t="s">
        <v>1385</v>
      </c>
      <c r="M550" s="165" t="s">
        <v>1365</v>
      </c>
      <c r="N550" s="181" t="s">
        <v>1387</v>
      </c>
    </row>
    <row r="551" spans="1:14" ht="15.9" customHeight="1">
      <c r="A551" s="160" t="s">
        <v>1408</v>
      </c>
      <c r="B551" s="160" t="s">
        <v>1376</v>
      </c>
      <c r="C551" s="160" t="s">
        <v>1376</v>
      </c>
      <c r="D551" s="160" t="s">
        <v>1376</v>
      </c>
      <c r="E551" s="160" t="s">
        <v>1376</v>
      </c>
      <c r="F551" s="160" t="s">
        <v>1376</v>
      </c>
      <c r="G551" s="160" t="s">
        <v>1376</v>
      </c>
      <c r="H551" s="160" t="s">
        <v>1376</v>
      </c>
      <c r="I551" s="160" t="s">
        <v>1376</v>
      </c>
      <c r="J551" s="160" t="s">
        <v>1376</v>
      </c>
      <c r="K551" s="160" t="s">
        <v>1376</v>
      </c>
    </row>
    <row r="552" spans="1:14" ht="15.9" customHeight="1">
      <c r="A552" s="194" t="s">
        <v>542</v>
      </c>
      <c r="B552" s="196" t="s">
        <v>2271</v>
      </c>
      <c r="C552" s="196" t="s">
        <v>2272</v>
      </c>
      <c r="D552" s="196" t="s">
        <v>2272</v>
      </c>
      <c r="E552" s="196" t="s">
        <v>2100</v>
      </c>
      <c r="F552" s="196" t="s">
        <v>2271</v>
      </c>
      <c r="G552" s="196" t="s">
        <v>2271</v>
      </c>
      <c r="H552" s="196" t="s">
        <v>2100</v>
      </c>
      <c r="I552" s="196" t="s">
        <v>2188</v>
      </c>
      <c r="J552" s="196" t="s">
        <v>2273</v>
      </c>
      <c r="K552" s="196" t="s">
        <v>2099</v>
      </c>
    </row>
    <row r="553" spans="1:14" ht="15.9" customHeight="1">
      <c r="A553" s="198" t="s">
        <v>1410</v>
      </c>
      <c r="B553" s="200" t="s">
        <v>1818</v>
      </c>
      <c r="C553" s="200" t="s">
        <v>1697</v>
      </c>
      <c r="D553" s="200" t="s">
        <v>1770</v>
      </c>
      <c r="E553" s="200" t="s">
        <v>2099</v>
      </c>
      <c r="F553" s="200" t="s">
        <v>1770</v>
      </c>
      <c r="G553" s="200" t="s">
        <v>1818</v>
      </c>
      <c r="H553" s="200" t="s">
        <v>2099</v>
      </c>
      <c r="I553" s="200" t="s">
        <v>1818</v>
      </c>
      <c r="J553" s="200" t="s">
        <v>1697</v>
      </c>
      <c r="K553" s="200" t="s">
        <v>1818</v>
      </c>
    </row>
    <row r="554" spans="1:14" ht="15.9" customHeight="1">
      <c r="A554" s="202" t="s">
        <v>546</v>
      </c>
      <c r="B554" s="208">
        <v>6</v>
      </c>
      <c r="C554" s="208">
        <v>3</v>
      </c>
      <c r="D554" s="208">
        <v>8</v>
      </c>
      <c r="E554" s="208">
        <v>0</v>
      </c>
      <c r="F554" s="208">
        <v>6</v>
      </c>
      <c r="G554" s="208">
        <v>6</v>
      </c>
      <c r="H554" s="208">
        <v>6</v>
      </c>
      <c r="I554" s="208">
        <v>4</v>
      </c>
      <c r="J554" s="208">
        <v>8</v>
      </c>
      <c r="K554" s="208">
        <v>6</v>
      </c>
    </row>
    <row r="555" spans="1:14" ht="15.9" customHeight="1">
      <c r="A555" s="206" t="s">
        <v>548</v>
      </c>
      <c r="B555" s="208">
        <v>6</v>
      </c>
      <c r="C555" s="208">
        <v>3</v>
      </c>
      <c r="D555" s="208">
        <v>8</v>
      </c>
      <c r="E555" s="208">
        <v>8</v>
      </c>
      <c r="F555" s="208">
        <v>6</v>
      </c>
      <c r="G555" s="208">
        <v>6</v>
      </c>
      <c r="H555" s="208">
        <v>6</v>
      </c>
      <c r="I555" s="208">
        <v>4</v>
      </c>
      <c r="J555" s="208">
        <v>8</v>
      </c>
      <c r="K555" s="208">
        <v>6</v>
      </c>
    </row>
    <row r="556" spans="1:14" ht="15.9" customHeight="1">
      <c r="A556" s="160" t="s">
        <v>1412</v>
      </c>
      <c r="B556" s="211">
        <v>0.1</v>
      </c>
      <c r="C556" s="211">
        <v>0.1</v>
      </c>
      <c r="D556" s="211">
        <v>0.2</v>
      </c>
      <c r="E556" s="211">
        <v>0.1</v>
      </c>
      <c r="F556" s="211">
        <v>0.3</v>
      </c>
      <c r="G556" s="211">
        <v>0.1</v>
      </c>
      <c r="H556" s="211">
        <v>0.1</v>
      </c>
      <c r="I556" s="211">
        <v>0.1</v>
      </c>
      <c r="J556" s="211">
        <v>0</v>
      </c>
      <c r="K556" s="211">
        <v>0.5</v>
      </c>
    </row>
    <row r="557" spans="1:14" ht="15.9" customHeight="1">
      <c r="A557" s="160" t="s">
        <v>1413</v>
      </c>
      <c r="B557" s="214">
        <v>0.1</v>
      </c>
      <c r="C557" s="214">
        <v>0.1</v>
      </c>
      <c r="D557" s="214">
        <v>0.2</v>
      </c>
      <c r="E557" s="214">
        <v>0.1</v>
      </c>
      <c r="F557" s="214">
        <v>0.3</v>
      </c>
      <c r="G557" s="214">
        <v>0.1</v>
      </c>
      <c r="H557" s="214">
        <v>0.1</v>
      </c>
      <c r="I557" s="214">
        <v>0.1</v>
      </c>
      <c r="J557" s="214">
        <v>0.6</v>
      </c>
      <c r="K557" s="214">
        <v>0.1</v>
      </c>
    </row>
    <row r="558" spans="1:14" ht="15.9" customHeight="1">
      <c r="A558" s="160" t="s">
        <v>1414</v>
      </c>
      <c r="B558" s="217">
        <v>0.3</v>
      </c>
      <c r="C558" s="217">
        <v>0.1</v>
      </c>
      <c r="D558" s="217">
        <v>0.2</v>
      </c>
      <c r="E558" s="217">
        <v>0.1</v>
      </c>
      <c r="F558" s="217">
        <v>0.3</v>
      </c>
      <c r="G558" s="217">
        <v>0.1</v>
      </c>
      <c r="H558" s="217">
        <v>0.8</v>
      </c>
      <c r="I558" s="217">
        <v>0.1</v>
      </c>
      <c r="J558" s="217">
        <v>0.3</v>
      </c>
      <c r="K558" s="217">
        <v>0.1</v>
      </c>
    </row>
    <row r="559" spans="1:14" ht="15.9" customHeight="1">
      <c r="A559" s="160" t="s">
        <v>1415</v>
      </c>
      <c r="B559" s="220">
        <v>0.1</v>
      </c>
      <c r="C559" s="220">
        <v>0.1</v>
      </c>
      <c r="D559" s="220">
        <v>0.4</v>
      </c>
      <c r="E559" s="220">
        <v>0.1</v>
      </c>
      <c r="F559" s="220">
        <v>0.3</v>
      </c>
      <c r="G559" s="220">
        <v>0.1</v>
      </c>
      <c r="H559" s="220">
        <v>0.1</v>
      </c>
      <c r="I559" s="220">
        <v>0.1</v>
      </c>
      <c r="J559" s="220">
        <v>0.3</v>
      </c>
      <c r="K559" s="220">
        <v>0.1</v>
      </c>
    </row>
    <row r="560" spans="1:14" ht="15.9" customHeight="1">
      <c r="A560" s="313" t="s">
        <v>1416</v>
      </c>
      <c r="B560" s="224">
        <v>0.1</v>
      </c>
      <c r="C560" s="224">
        <v>0.1</v>
      </c>
      <c r="D560" s="224">
        <v>0.2</v>
      </c>
      <c r="E560" s="224">
        <v>0.1</v>
      </c>
      <c r="F560" s="224">
        <v>0.3</v>
      </c>
      <c r="G560" s="224">
        <v>0.1</v>
      </c>
      <c r="H560" s="224">
        <v>0.1</v>
      </c>
      <c r="I560" s="224">
        <v>0.1</v>
      </c>
      <c r="J560" s="224">
        <v>0.3</v>
      </c>
      <c r="K560" s="224">
        <v>0.1</v>
      </c>
    </row>
    <row r="561" spans="1:11" ht="15.9" customHeight="1">
      <c r="A561" s="160" t="s">
        <v>1417</v>
      </c>
      <c r="B561" s="227">
        <v>0.1</v>
      </c>
      <c r="C561" s="227">
        <v>0.1</v>
      </c>
      <c r="D561" s="227">
        <v>0.2</v>
      </c>
      <c r="E561" s="227">
        <v>0.1</v>
      </c>
      <c r="F561" s="227">
        <v>0.3</v>
      </c>
      <c r="G561" s="227">
        <v>0.1</v>
      </c>
      <c r="H561" s="227">
        <v>0.1</v>
      </c>
      <c r="I561" s="227">
        <v>0.5</v>
      </c>
      <c r="J561" s="227">
        <v>0.3</v>
      </c>
      <c r="K561" s="227">
        <v>0.1</v>
      </c>
    </row>
    <row r="562" spans="1:11" ht="15.9" customHeight="1">
      <c r="A562" s="160" t="s">
        <v>1418</v>
      </c>
      <c r="B562" s="230">
        <v>0.1</v>
      </c>
      <c r="C562" s="230">
        <v>0.1</v>
      </c>
      <c r="D562" s="230">
        <v>0.2</v>
      </c>
      <c r="E562" s="230">
        <v>0.7</v>
      </c>
      <c r="F562" s="230">
        <v>0.3</v>
      </c>
      <c r="G562" s="230">
        <v>0.1</v>
      </c>
      <c r="H562" s="230">
        <v>0.1</v>
      </c>
      <c r="I562" s="230">
        <v>0.1</v>
      </c>
      <c r="J562" s="230">
        <v>0.3</v>
      </c>
      <c r="K562" s="230">
        <v>0.1</v>
      </c>
    </row>
    <row r="563" spans="1:11" ht="15.9" customHeight="1">
      <c r="A563" s="160" t="s">
        <v>1419</v>
      </c>
      <c r="B563" s="233">
        <v>0.3</v>
      </c>
      <c r="C563" s="233">
        <v>0.1</v>
      </c>
      <c r="D563" s="233">
        <v>0.4</v>
      </c>
      <c r="E563" s="233">
        <v>0.2</v>
      </c>
      <c r="F563" s="233">
        <v>0.3</v>
      </c>
      <c r="G563" s="233">
        <v>0.8</v>
      </c>
      <c r="H563" s="233">
        <v>0.1</v>
      </c>
      <c r="I563" s="233">
        <v>0.1</v>
      </c>
      <c r="J563" s="233">
        <v>0.3</v>
      </c>
      <c r="K563" s="233">
        <v>0.1</v>
      </c>
    </row>
    <row r="564" spans="1:11" ht="15.9" customHeight="1">
      <c r="A564" s="160" t="s">
        <v>1420</v>
      </c>
      <c r="B564" s="236">
        <v>0.3</v>
      </c>
      <c r="C564" s="236">
        <v>0.7</v>
      </c>
      <c r="D564" s="236">
        <v>0</v>
      </c>
      <c r="E564" s="236">
        <v>0.2</v>
      </c>
      <c r="F564" s="236">
        <v>0.3</v>
      </c>
      <c r="G564" s="236">
        <v>0</v>
      </c>
      <c r="H564" s="236">
        <v>0.1</v>
      </c>
      <c r="I564" s="236">
        <v>0.1</v>
      </c>
      <c r="J564" s="236">
        <v>0.3</v>
      </c>
      <c r="K564" s="236">
        <v>0.1</v>
      </c>
    </row>
    <row r="565" spans="1:11" ht="15.9" customHeight="1">
      <c r="A565" s="160" t="s">
        <v>570</v>
      </c>
      <c r="B565" s="204">
        <v>10</v>
      </c>
      <c r="C565" s="204">
        <v>5</v>
      </c>
      <c r="D565" s="204">
        <v>7</v>
      </c>
      <c r="E565" s="204">
        <v>5</v>
      </c>
      <c r="F565" s="204">
        <v>10</v>
      </c>
      <c r="G565" s="204">
        <v>5</v>
      </c>
      <c r="H565" s="204">
        <v>8</v>
      </c>
      <c r="I565" s="204">
        <v>10</v>
      </c>
      <c r="J565" s="204">
        <v>10</v>
      </c>
      <c r="K565" s="204">
        <v>5</v>
      </c>
    </row>
    <row r="566" spans="1:11" ht="15.9" customHeight="1">
      <c r="A566" s="160" t="s">
        <v>572</v>
      </c>
      <c r="B566" s="204">
        <v>5</v>
      </c>
      <c r="C566" s="204">
        <v>10</v>
      </c>
      <c r="D566" s="204">
        <v>7</v>
      </c>
      <c r="E566" s="204">
        <v>5</v>
      </c>
      <c r="F566" s="204">
        <v>5</v>
      </c>
      <c r="G566" s="204">
        <v>10</v>
      </c>
      <c r="H566" s="204">
        <v>2</v>
      </c>
      <c r="I566" s="204">
        <v>5</v>
      </c>
      <c r="J566" s="204">
        <v>5</v>
      </c>
      <c r="K566" s="204">
        <v>10</v>
      </c>
    </row>
    <row r="567" spans="1:11" ht="15.9" customHeight="1">
      <c r="A567" s="160" t="s">
        <v>573</v>
      </c>
      <c r="B567" s="240">
        <v>5</v>
      </c>
      <c r="C567" s="240">
        <v>5</v>
      </c>
      <c r="D567" s="240">
        <v>7</v>
      </c>
      <c r="E567" s="240">
        <v>10</v>
      </c>
      <c r="F567" s="240">
        <v>5</v>
      </c>
      <c r="G567" s="240">
        <v>5</v>
      </c>
      <c r="H567" s="240">
        <v>8</v>
      </c>
      <c r="I567" s="240">
        <v>5</v>
      </c>
      <c r="J567" s="240">
        <v>5</v>
      </c>
      <c r="K567" s="240">
        <v>5</v>
      </c>
    </row>
    <row r="568" spans="1:11" ht="15.9" customHeight="1">
      <c r="A568" s="160" t="s">
        <v>14</v>
      </c>
      <c r="B568" s="250" t="s">
        <v>2274</v>
      </c>
      <c r="C568" s="250" t="s">
        <v>2274</v>
      </c>
      <c r="D568" s="250" t="s">
        <v>2274</v>
      </c>
      <c r="E568" s="250" t="s">
        <v>2275</v>
      </c>
      <c r="F568" s="250" t="s">
        <v>2274</v>
      </c>
      <c r="G568" s="250" t="s">
        <v>2274</v>
      </c>
      <c r="H568" s="250" t="s">
        <v>2274</v>
      </c>
      <c r="I568" s="250" t="s">
        <v>2276</v>
      </c>
      <c r="J568" s="250" t="s">
        <v>2274</v>
      </c>
      <c r="K568" s="250" t="s">
        <v>2277</v>
      </c>
    </row>
    <row r="569" spans="1:11" ht="15.9" customHeight="1">
      <c r="A569" s="242" t="s">
        <v>584</v>
      </c>
      <c r="B569" s="244">
        <v>3</v>
      </c>
      <c r="C569" s="244">
        <v>3</v>
      </c>
      <c r="D569" s="244">
        <v>3</v>
      </c>
      <c r="E569" s="244">
        <v>3</v>
      </c>
      <c r="F569" s="244">
        <v>3</v>
      </c>
      <c r="G569" s="244">
        <v>3</v>
      </c>
      <c r="H569" s="244">
        <v>3</v>
      </c>
      <c r="I569" s="244">
        <v>3</v>
      </c>
      <c r="J569" s="244">
        <v>3</v>
      </c>
      <c r="K569" s="244">
        <v>3</v>
      </c>
    </row>
    <row r="570" spans="1:11" ht="15.9" customHeight="1">
      <c r="A570" s="160" t="s">
        <v>580</v>
      </c>
      <c r="B570" s="214">
        <v>0</v>
      </c>
      <c r="C570" s="214">
        <v>0</v>
      </c>
      <c r="D570" s="214">
        <v>0</v>
      </c>
      <c r="E570" s="214">
        <v>0.2</v>
      </c>
      <c r="F570" s="214">
        <v>0</v>
      </c>
      <c r="G570" s="214">
        <v>0</v>
      </c>
      <c r="H570" s="214">
        <v>0</v>
      </c>
      <c r="I570" s="214">
        <v>0</v>
      </c>
      <c r="J570" s="214">
        <v>0</v>
      </c>
      <c r="K570" s="214">
        <v>0</v>
      </c>
    </row>
    <row r="571" spans="1:11" ht="15.9" customHeight="1">
      <c r="A571" s="160" t="s">
        <v>1428</v>
      </c>
      <c r="B571" s="250">
        <v>1000</v>
      </c>
      <c r="C571" s="250">
        <v>1000</v>
      </c>
      <c r="D571" s="250">
        <v>1000</v>
      </c>
      <c r="E571" s="250">
        <v>1000</v>
      </c>
      <c r="F571" s="250">
        <v>1000</v>
      </c>
      <c r="G571" s="250">
        <v>1000</v>
      </c>
      <c r="H571" s="250">
        <v>1000</v>
      </c>
      <c r="I571" s="250">
        <v>1000</v>
      </c>
      <c r="J571" s="250">
        <v>1000</v>
      </c>
      <c r="K571" s="250">
        <v>1000</v>
      </c>
    </row>
    <row r="572" spans="1:11" ht="15.9" customHeight="1">
      <c r="A572" s="160" t="s">
        <v>593</v>
      </c>
      <c r="B572" s="250">
        <v>6</v>
      </c>
      <c r="C572" s="250">
        <v>6</v>
      </c>
      <c r="D572" s="250">
        <v>6</v>
      </c>
      <c r="E572" s="250">
        <v>6</v>
      </c>
      <c r="F572" s="250">
        <v>6</v>
      </c>
      <c r="G572" s="250">
        <v>6</v>
      </c>
      <c r="H572" s="250">
        <v>6</v>
      </c>
      <c r="I572" s="250">
        <v>6</v>
      </c>
      <c r="J572" s="250">
        <v>6</v>
      </c>
      <c r="K572" s="250">
        <v>6</v>
      </c>
    </row>
    <row r="573" spans="1:11" ht="69" customHeight="1">
      <c r="A573" s="160" t="s">
        <v>1429</v>
      </c>
      <c r="B573" s="330" t="s">
        <v>2278</v>
      </c>
      <c r="C573" s="330" t="s">
        <v>2279</v>
      </c>
      <c r="D573" s="330" t="s">
        <v>2280</v>
      </c>
      <c r="E573" s="330" t="s">
        <v>2281</v>
      </c>
      <c r="F573" s="330" t="s">
        <v>2282</v>
      </c>
      <c r="G573" s="330" t="s">
        <v>2279</v>
      </c>
      <c r="H573" s="330" t="s">
        <v>2283</v>
      </c>
      <c r="I573" s="330" t="s">
        <v>2284</v>
      </c>
      <c r="J573" s="330" t="s">
        <v>2285</v>
      </c>
      <c r="K573" s="330" t="s">
        <v>2284</v>
      </c>
    </row>
    <row r="574" spans="1:11" ht="69" customHeight="1">
      <c r="A574" s="160" t="s">
        <v>1440</v>
      </c>
      <c r="B574" s="330" t="s">
        <v>2286</v>
      </c>
      <c r="C574" s="330" t="s">
        <v>2287</v>
      </c>
      <c r="D574" s="330" t="s">
        <v>2288</v>
      </c>
      <c r="E574" s="330" t="s">
        <v>2289</v>
      </c>
      <c r="F574" s="330" t="s">
        <v>2290</v>
      </c>
      <c r="G574" s="330" t="s">
        <v>2291</v>
      </c>
      <c r="H574" s="330" t="s">
        <v>2292</v>
      </c>
      <c r="I574" s="330" t="s">
        <v>2293</v>
      </c>
      <c r="J574" s="330" t="s">
        <v>2294</v>
      </c>
      <c r="K574" s="330" t="s">
        <v>2293</v>
      </c>
    </row>
    <row r="575" spans="1:11" ht="69" customHeight="1">
      <c r="A575" s="160" t="s">
        <v>2135</v>
      </c>
      <c r="B575" s="330" t="s">
        <v>2295</v>
      </c>
      <c r="C575" s="330" t="s">
        <v>2296</v>
      </c>
      <c r="D575" s="330" t="s">
        <v>2297</v>
      </c>
      <c r="E575" s="330" t="s">
        <v>2298</v>
      </c>
      <c r="F575" s="330" t="s">
        <v>2299</v>
      </c>
      <c r="G575" s="330" t="s">
        <v>2300</v>
      </c>
      <c r="H575" s="330" t="s">
        <v>2301</v>
      </c>
      <c r="I575" s="330" t="s">
        <v>2302</v>
      </c>
      <c r="J575" s="330" t="s">
        <v>2303</v>
      </c>
      <c r="K575" s="330" t="s">
        <v>2304</v>
      </c>
    </row>
    <row r="576" spans="1:11" ht="69" customHeight="1">
      <c r="A576" s="160" t="s">
        <v>2146</v>
      </c>
      <c r="B576" s="330" t="s">
        <v>2305</v>
      </c>
      <c r="C576" s="330" t="s">
        <v>2306</v>
      </c>
      <c r="D576" s="330" t="s">
        <v>2307</v>
      </c>
      <c r="E576" s="330" t="s">
        <v>2308</v>
      </c>
      <c r="F576" s="330" t="s">
        <v>2309</v>
      </c>
      <c r="G576" s="330" t="s">
        <v>2310</v>
      </c>
      <c r="H576" s="330" t="s">
        <v>2311</v>
      </c>
      <c r="I576" s="330" t="s">
        <v>2312</v>
      </c>
      <c r="J576" s="330" t="s">
        <v>2313</v>
      </c>
      <c r="K576" s="330" t="s">
        <v>2314</v>
      </c>
    </row>
    <row r="577" spans="1:14" ht="69" customHeight="1">
      <c r="A577" s="160" t="s">
        <v>2157</v>
      </c>
      <c r="B577" s="330" t="s">
        <v>2315</v>
      </c>
      <c r="C577" s="330" t="s">
        <v>2316</v>
      </c>
      <c r="D577" s="330" t="s">
        <v>2317</v>
      </c>
      <c r="E577" s="330" t="s">
        <v>2318</v>
      </c>
      <c r="F577" s="330" t="s">
        <v>2319</v>
      </c>
      <c r="G577" s="330" t="s">
        <v>2320</v>
      </c>
      <c r="H577" s="330" t="s">
        <v>2321</v>
      </c>
      <c r="I577" s="330" t="s">
        <v>2322</v>
      </c>
      <c r="J577" s="330" t="s">
        <v>2323</v>
      </c>
      <c r="K577" s="330" t="s">
        <v>2324</v>
      </c>
    </row>
    <row r="578" spans="1:14" ht="39" customHeight="1">
      <c r="A578" s="160" t="s">
        <v>36</v>
      </c>
      <c r="B578" s="247" t="s">
        <v>2325</v>
      </c>
      <c r="C578" s="247" t="s">
        <v>2326</v>
      </c>
      <c r="D578" s="247" t="s">
        <v>2327</v>
      </c>
      <c r="E578" s="247" t="s">
        <v>2328</v>
      </c>
      <c r="F578" s="247" t="s">
        <v>2329</v>
      </c>
      <c r="G578" s="247" t="s">
        <v>2330</v>
      </c>
      <c r="H578" s="247" t="s">
        <v>2331</v>
      </c>
      <c r="I578" s="247" t="s">
        <v>2332</v>
      </c>
      <c r="J578" s="247" t="s">
        <v>2333</v>
      </c>
      <c r="K578" s="247" t="s">
        <v>2334</v>
      </c>
    </row>
    <row r="579" spans="1:14" ht="14.6" customHeight="1"/>
    <row r="580" spans="1:14" ht="14.6" customHeight="1">
      <c r="B580" s="803" t="s">
        <v>2335</v>
      </c>
      <c r="C580" s="801"/>
      <c r="D580" s="801"/>
      <c r="E580" s="801"/>
      <c r="F580" s="801"/>
      <c r="G580" s="801"/>
      <c r="H580" s="801"/>
      <c r="I580" s="801"/>
      <c r="J580" s="801"/>
    </row>
    <row r="581" spans="1:14" ht="14.6" customHeight="1">
      <c r="B581" s="801"/>
      <c r="C581" s="801"/>
      <c r="D581" s="801"/>
      <c r="E581" s="801"/>
      <c r="F581" s="801"/>
      <c r="G581" s="801"/>
      <c r="H581" s="801"/>
      <c r="I581" s="801"/>
      <c r="J581" s="801"/>
    </row>
    <row r="582" spans="1:14" ht="14.6" customHeight="1">
      <c r="B582" s="801"/>
      <c r="C582" s="801"/>
      <c r="D582" s="801"/>
      <c r="E582" s="801"/>
      <c r="F582" s="801"/>
      <c r="G582" s="801"/>
      <c r="H582" s="801"/>
      <c r="I582" s="801"/>
      <c r="J582" s="801"/>
    </row>
    <row r="583" spans="1:14" ht="14.6" customHeight="1">
      <c r="B583" s="801"/>
      <c r="C583" s="801"/>
      <c r="D583" s="801"/>
      <c r="E583" s="801"/>
      <c r="F583" s="801"/>
      <c r="G583" s="801"/>
      <c r="H583" s="801"/>
      <c r="I583" s="801"/>
      <c r="J583" s="801"/>
    </row>
    <row r="584" spans="1:14" ht="14.6" customHeight="1">
      <c r="B584" s="801"/>
      <c r="C584" s="801"/>
      <c r="D584" s="801"/>
      <c r="E584" s="801"/>
      <c r="F584" s="801"/>
      <c r="G584" s="801"/>
      <c r="H584" s="801"/>
      <c r="I584" s="801"/>
      <c r="J584" s="801"/>
    </row>
    <row r="586" spans="1:14" ht="15.9" customHeight="1">
      <c r="A586" s="160" t="s">
        <v>1397</v>
      </c>
      <c r="B586" s="331" t="s">
        <v>2336</v>
      </c>
      <c r="C586" s="331" t="s">
        <v>2337</v>
      </c>
      <c r="D586" s="331" t="s">
        <v>2338</v>
      </c>
      <c r="E586" s="331" t="s">
        <v>2339</v>
      </c>
      <c r="F586" s="331" t="s">
        <v>2340</v>
      </c>
      <c r="G586" s="331" t="s">
        <v>2341</v>
      </c>
      <c r="H586" s="331" t="s">
        <v>2342</v>
      </c>
      <c r="I586" s="331" t="s">
        <v>2343</v>
      </c>
      <c r="J586" s="331" t="s">
        <v>2344</v>
      </c>
      <c r="K586" s="331" t="s">
        <v>2345</v>
      </c>
      <c r="M586" s="327" t="s">
        <v>2346</v>
      </c>
      <c r="N586" s="327" t="s">
        <v>2346</v>
      </c>
    </row>
    <row r="587" spans="1:14" ht="15.9" customHeight="1">
      <c r="A587" s="160" t="s">
        <v>1407</v>
      </c>
      <c r="B587" s="163" t="s">
        <v>1363</v>
      </c>
      <c r="C587" s="167" t="s">
        <v>1367</v>
      </c>
      <c r="D587" s="169" t="s">
        <v>1369</v>
      </c>
      <c r="E587" s="171" t="s">
        <v>1371</v>
      </c>
      <c r="F587" s="189" t="s">
        <v>1374</v>
      </c>
      <c r="G587" s="175" t="s">
        <v>1377</v>
      </c>
      <c r="H587" s="176" t="s">
        <v>1379</v>
      </c>
      <c r="I587" s="177" t="s">
        <v>1381</v>
      </c>
      <c r="J587" s="178" t="s">
        <v>1383</v>
      </c>
      <c r="K587" s="180" t="s">
        <v>1385</v>
      </c>
      <c r="M587" s="165" t="s">
        <v>1365</v>
      </c>
      <c r="N587" s="181" t="s">
        <v>1387</v>
      </c>
    </row>
    <row r="588" spans="1:14" ht="15.9" customHeight="1">
      <c r="A588" s="160" t="s">
        <v>1408</v>
      </c>
      <c r="B588" s="192" t="s">
        <v>1376</v>
      </c>
      <c r="C588" s="192" t="s">
        <v>1376</v>
      </c>
      <c r="D588" s="192" t="s">
        <v>1368</v>
      </c>
      <c r="E588" s="192" t="s">
        <v>1376</v>
      </c>
      <c r="F588" s="192" t="s">
        <v>1373</v>
      </c>
      <c r="G588" s="192" t="s">
        <v>1376</v>
      </c>
      <c r="H588" s="192" t="s">
        <v>1364</v>
      </c>
      <c r="I588" s="160" t="s">
        <v>1376</v>
      </c>
      <c r="J588" s="192" t="s">
        <v>1376</v>
      </c>
      <c r="K588" s="192" t="s">
        <v>1370</v>
      </c>
    </row>
    <row r="589" spans="1:14" ht="15.9" customHeight="1">
      <c r="A589" s="194" t="s">
        <v>542</v>
      </c>
      <c r="B589" s="196" t="s">
        <v>2272</v>
      </c>
      <c r="C589" s="196" t="s">
        <v>2100</v>
      </c>
      <c r="D589" s="196" t="s">
        <v>2100</v>
      </c>
      <c r="E589" s="196" t="s">
        <v>2100</v>
      </c>
      <c r="F589" s="196" t="s">
        <v>2271</v>
      </c>
      <c r="G589" s="196" t="s">
        <v>2271</v>
      </c>
      <c r="H589" s="196" t="s">
        <v>2271</v>
      </c>
      <c r="I589" s="196" t="s">
        <v>2100</v>
      </c>
      <c r="J589" s="196" t="s">
        <v>2271</v>
      </c>
      <c r="K589" s="196" t="s">
        <v>2271</v>
      </c>
    </row>
    <row r="590" spans="1:14" ht="15.9" customHeight="1">
      <c r="A590" s="198" t="s">
        <v>1410</v>
      </c>
      <c r="B590" s="200" t="s">
        <v>2347</v>
      </c>
      <c r="C590" s="200" t="s">
        <v>2099</v>
      </c>
      <c r="D590" s="200" t="s">
        <v>2099</v>
      </c>
      <c r="E590" s="200" t="s">
        <v>2099</v>
      </c>
      <c r="F590" s="200" t="s">
        <v>1697</v>
      </c>
      <c r="G590" s="200" t="s">
        <v>726</v>
      </c>
      <c r="H590" s="200" t="s">
        <v>2102</v>
      </c>
      <c r="I590" s="200" t="s">
        <v>2099</v>
      </c>
      <c r="J590" s="200" t="s">
        <v>2099</v>
      </c>
      <c r="K590" s="200" t="s">
        <v>2102</v>
      </c>
    </row>
    <row r="591" spans="1:14" ht="15.9" customHeight="1">
      <c r="A591" s="202" t="s">
        <v>546</v>
      </c>
      <c r="B591" s="204">
        <v>10</v>
      </c>
      <c r="C591" s="204">
        <v>8</v>
      </c>
      <c r="D591" s="204">
        <v>8</v>
      </c>
      <c r="E591" s="208">
        <v>0</v>
      </c>
      <c r="F591" s="204">
        <v>10</v>
      </c>
      <c r="G591" s="208">
        <v>10</v>
      </c>
      <c r="H591" s="204">
        <v>10</v>
      </c>
      <c r="I591" s="208">
        <v>12</v>
      </c>
      <c r="J591" s="204">
        <v>5</v>
      </c>
      <c r="K591" s="208">
        <v>10</v>
      </c>
    </row>
    <row r="592" spans="1:14" ht="15.9" customHeight="1">
      <c r="A592" s="206" t="s">
        <v>548</v>
      </c>
      <c r="B592" s="208">
        <v>10</v>
      </c>
      <c r="C592" s="208">
        <v>8</v>
      </c>
      <c r="D592" s="208">
        <v>8</v>
      </c>
      <c r="E592" s="208">
        <v>8</v>
      </c>
      <c r="F592" s="208">
        <v>10</v>
      </c>
      <c r="G592" s="208">
        <v>10</v>
      </c>
      <c r="H592" s="208">
        <v>10</v>
      </c>
      <c r="I592" s="208">
        <v>0</v>
      </c>
      <c r="J592" s="208">
        <v>5</v>
      </c>
      <c r="K592" s="208">
        <v>10</v>
      </c>
    </row>
    <row r="593" spans="1:11" ht="15.9" customHeight="1">
      <c r="A593" s="160" t="s">
        <v>1412</v>
      </c>
      <c r="B593" s="211">
        <v>0.4</v>
      </c>
      <c r="C593" s="211">
        <v>0.3</v>
      </c>
      <c r="D593" s="211">
        <v>0</v>
      </c>
      <c r="E593" s="211">
        <v>0.1</v>
      </c>
      <c r="F593" s="211">
        <v>0.5</v>
      </c>
      <c r="G593" s="211">
        <v>-0.5</v>
      </c>
      <c r="H593" s="211">
        <v>-0.5</v>
      </c>
      <c r="I593" s="211">
        <v>0.1</v>
      </c>
      <c r="J593" s="211">
        <v>0.5</v>
      </c>
      <c r="K593" s="211">
        <v>0.5</v>
      </c>
    </row>
    <row r="594" spans="1:11" ht="15.9" customHeight="1">
      <c r="A594" s="160" t="s">
        <v>1413</v>
      </c>
      <c r="B594" s="214">
        <v>0.4</v>
      </c>
      <c r="C594" s="214">
        <v>0.3</v>
      </c>
      <c r="D594" s="214">
        <v>-0.5</v>
      </c>
      <c r="E594" s="214">
        <v>0.1</v>
      </c>
      <c r="F594" s="214">
        <v>-0.5</v>
      </c>
      <c r="G594" s="214">
        <v>0.5</v>
      </c>
      <c r="H594" s="214">
        <v>0.5</v>
      </c>
      <c r="I594" s="214">
        <v>0.1</v>
      </c>
      <c r="J594" s="214">
        <v>0.5</v>
      </c>
      <c r="K594" s="214">
        <v>-0.5</v>
      </c>
    </row>
    <row r="595" spans="1:11" ht="15.9" customHeight="1">
      <c r="A595" s="160" t="s">
        <v>1414</v>
      </c>
      <c r="B595" s="217">
        <v>0.7</v>
      </c>
      <c r="C595" s="217">
        <v>0.3</v>
      </c>
      <c r="D595" s="217">
        <v>0</v>
      </c>
      <c r="E595" s="217">
        <v>0.1</v>
      </c>
      <c r="F595" s="217">
        <v>0.5</v>
      </c>
      <c r="G595" s="217">
        <v>0.1</v>
      </c>
      <c r="H595" s="217">
        <v>1</v>
      </c>
      <c r="I595" s="217">
        <v>0.1</v>
      </c>
      <c r="J595" s="217">
        <v>0</v>
      </c>
      <c r="K595" s="217">
        <v>0</v>
      </c>
    </row>
    <row r="596" spans="1:11" ht="15.9" customHeight="1">
      <c r="A596" s="160" t="s">
        <v>1415</v>
      </c>
      <c r="B596" s="220">
        <v>0.4</v>
      </c>
      <c r="C596" s="220">
        <v>0.3</v>
      </c>
      <c r="D596" s="220">
        <v>1</v>
      </c>
      <c r="E596" s="220">
        <v>0.1</v>
      </c>
      <c r="F596" s="220">
        <v>-0.5</v>
      </c>
      <c r="G596" s="220">
        <v>0.1</v>
      </c>
      <c r="H596" s="220">
        <v>0.5</v>
      </c>
      <c r="I596" s="220">
        <v>0.1</v>
      </c>
      <c r="J596" s="220">
        <v>0</v>
      </c>
      <c r="K596" s="220">
        <v>0</v>
      </c>
    </row>
    <row r="597" spans="1:11" ht="15.9" customHeight="1">
      <c r="A597" s="313" t="s">
        <v>1416</v>
      </c>
      <c r="B597" s="224">
        <v>0.4</v>
      </c>
      <c r="C597" s="224">
        <v>0.3</v>
      </c>
      <c r="D597" s="224">
        <v>0.5</v>
      </c>
      <c r="E597" s="224">
        <v>0.1</v>
      </c>
      <c r="F597" s="224">
        <v>0.5</v>
      </c>
      <c r="G597" s="224">
        <v>0.1</v>
      </c>
      <c r="H597" s="224">
        <v>-0.5</v>
      </c>
      <c r="I597" s="224">
        <v>0.1</v>
      </c>
      <c r="J597" s="224">
        <v>0</v>
      </c>
      <c r="K597" s="224">
        <v>0</v>
      </c>
    </row>
    <row r="598" spans="1:11" ht="15.9" customHeight="1">
      <c r="A598" s="160" t="s">
        <v>1417</v>
      </c>
      <c r="B598" s="227">
        <v>0.4</v>
      </c>
      <c r="C598" s="227">
        <v>0.3</v>
      </c>
      <c r="D598" s="227">
        <v>-0.5</v>
      </c>
      <c r="E598" s="227">
        <v>0.1</v>
      </c>
      <c r="F598" s="227">
        <v>0.5</v>
      </c>
      <c r="G598" s="227">
        <v>0.1</v>
      </c>
      <c r="H598" s="227">
        <v>-0.5</v>
      </c>
      <c r="I598" s="227">
        <v>0.4</v>
      </c>
      <c r="J598" s="227">
        <v>-0.5</v>
      </c>
      <c r="K598" s="227">
        <v>0</v>
      </c>
    </row>
    <row r="599" spans="1:11" ht="15.9" customHeight="1">
      <c r="A599" s="160" t="s">
        <v>1418</v>
      </c>
      <c r="B599" s="230">
        <v>0.4</v>
      </c>
      <c r="C599" s="230">
        <v>0.3</v>
      </c>
      <c r="D599" s="230">
        <v>0.5</v>
      </c>
      <c r="E599" s="230">
        <v>0.7</v>
      </c>
      <c r="F599" s="230">
        <v>0</v>
      </c>
      <c r="G599" s="230">
        <v>0.1</v>
      </c>
      <c r="H599" s="230">
        <v>-0.5</v>
      </c>
      <c r="I599" s="230">
        <v>0.2</v>
      </c>
      <c r="J599" s="230">
        <v>-0.5</v>
      </c>
      <c r="K599" s="230">
        <v>0</v>
      </c>
    </row>
    <row r="600" spans="1:11" ht="15.9" customHeight="1">
      <c r="A600" s="160" t="s">
        <v>1419</v>
      </c>
      <c r="B600" s="233">
        <v>0.5</v>
      </c>
      <c r="C600" s="233">
        <v>-0.5</v>
      </c>
      <c r="D600" s="233">
        <v>0</v>
      </c>
      <c r="E600" s="233">
        <v>0.2</v>
      </c>
      <c r="F600" s="233">
        <v>1</v>
      </c>
      <c r="G600" s="233">
        <v>1</v>
      </c>
      <c r="H600" s="233">
        <v>1</v>
      </c>
      <c r="I600" s="233">
        <v>0.2</v>
      </c>
      <c r="J600" s="233">
        <v>0</v>
      </c>
      <c r="K600" s="233">
        <v>0</v>
      </c>
    </row>
    <row r="601" spans="1:11" ht="15.9" customHeight="1">
      <c r="A601" s="160" t="s">
        <v>1420</v>
      </c>
      <c r="B601" s="236">
        <v>0.5</v>
      </c>
      <c r="C601" s="236">
        <v>-0.5</v>
      </c>
      <c r="D601" s="236">
        <v>0</v>
      </c>
      <c r="E601" s="236">
        <v>0.2</v>
      </c>
      <c r="F601" s="236">
        <v>1</v>
      </c>
      <c r="G601" s="236">
        <v>0</v>
      </c>
      <c r="H601" s="236">
        <v>1</v>
      </c>
      <c r="I601" s="236">
        <v>0.2</v>
      </c>
      <c r="J601" s="236">
        <v>0</v>
      </c>
      <c r="K601" s="236">
        <v>0</v>
      </c>
    </row>
    <row r="602" spans="1:11" ht="15.9" customHeight="1">
      <c r="A602" s="160" t="s">
        <v>570</v>
      </c>
      <c r="B602" s="204">
        <v>20</v>
      </c>
      <c r="C602" s="204">
        <v>5</v>
      </c>
      <c r="D602" s="204">
        <v>5</v>
      </c>
      <c r="E602" s="204">
        <v>5</v>
      </c>
      <c r="F602" s="204">
        <v>10</v>
      </c>
      <c r="G602" s="204">
        <v>5</v>
      </c>
      <c r="H602" s="204">
        <v>20</v>
      </c>
      <c r="I602" s="204">
        <v>5</v>
      </c>
      <c r="J602" s="204">
        <v>2</v>
      </c>
      <c r="K602" s="204">
        <v>5</v>
      </c>
    </row>
    <row r="603" spans="1:11" ht="15.9" customHeight="1">
      <c r="A603" s="160" t="s">
        <v>572</v>
      </c>
      <c r="B603" s="204">
        <v>10</v>
      </c>
      <c r="C603" s="204">
        <v>5</v>
      </c>
      <c r="D603" s="204">
        <v>5</v>
      </c>
      <c r="E603" s="204">
        <v>5</v>
      </c>
      <c r="F603" s="204">
        <v>5</v>
      </c>
      <c r="G603" s="204">
        <v>5</v>
      </c>
      <c r="H603" s="204">
        <v>2</v>
      </c>
      <c r="I603" s="204">
        <v>5</v>
      </c>
      <c r="J603" s="204">
        <v>2</v>
      </c>
      <c r="K603" s="204">
        <v>5</v>
      </c>
    </row>
    <row r="604" spans="1:11" ht="15.9" customHeight="1">
      <c r="A604" s="160" t="s">
        <v>573</v>
      </c>
      <c r="B604" s="240">
        <v>20</v>
      </c>
      <c r="C604" s="240">
        <v>5</v>
      </c>
      <c r="D604" s="240">
        <v>10</v>
      </c>
      <c r="E604" s="240">
        <v>10</v>
      </c>
      <c r="F604" s="240">
        <v>5</v>
      </c>
      <c r="G604" s="240">
        <v>5</v>
      </c>
      <c r="H604" s="240">
        <v>2</v>
      </c>
      <c r="I604" s="240">
        <v>10</v>
      </c>
      <c r="J604" s="240">
        <v>10</v>
      </c>
      <c r="K604" s="240">
        <v>5</v>
      </c>
    </row>
    <row r="605" spans="1:11" ht="31.75" customHeight="1">
      <c r="A605" s="160" t="s">
        <v>14</v>
      </c>
      <c r="B605" s="204" t="s">
        <v>2348</v>
      </c>
      <c r="C605" s="158" t="s">
        <v>2349</v>
      </c>
      <c r="D605" s="250" t="s">
        <v>2350</v>
      </c>
      <c r="E605" s="250" t="s">
        <v>2275</v>
      </c>
      <c r="F605" s="328" t="s">
        <v>2351</v>
      </c>
      <c r="G605" s="250" t="s">
        <v>2352</v>
      </c>
      <c r="H605" s="204" t="s">
        <v>2353</v>
      </c>
      <c r="I605" s="250" t="s">
        <v>2354</v>
      </c>
      <c r="J605" s="204" t="s">
        <v>2355</v>
      </c>
      <c r="K605" s="250" t="s">
        <v>2356</v>
      </c>
    </row>
    <row r="606" spans="1:11" ht="15.9" customHeight="1">
      <c r="A606" s="242" t="s">
        <v>584</v>
      </c>
      <c r="B606" s="244" t="s">
        <v>2357</v>
      </c>
      <c r="C606" s="244" t="s">
        <v>2358</v>
      </c>
      <c r="D606" s="244">
        <v>3</v>
      </c>
      <c r="E606" s="244">
        <v>3</v>
      </c>
      <c r="F606" s="244" t="s">
        <v>1423</v>
      </c>
      <c r="G606" s="244">
        <v>3</v>
      </c>
      <c r="H606" s="244" t="s">
        <v>1062</v>
      </c>
      <c r="I606" s="244">
        <v>3</v>
      </c>
      <c r="J606" s="244" t="s">
        <v>968</v>
      </c>
      <c r="K606" s="244">
        <v>3</v>
      </c>
    </row>
    <row r="607" spans="1:11" ht="15.9" customHeight="1">
      <c r="A607" s="160" t="s">
        <v>1424</v>
      </c>
      <c r="B607" s="214">
        <v>0.2</v>
      </c>
      <c r="C607" s="214">
        <v>0</v>
      </c>
      <c r="D607" s="214">
        <v>0</v>
      </c>
      <c r="E607" s="214">
        <v>0.2</v>
      </c>
      <c r="F607" s="214">
        <v>0</v>
      </c>
      <c r="G607" s="214">
        <v>0</v>
      </c>
      <c r="H607" s="214">
        <v>0</v>
      </c>
      <c r="I607" s="214">
        <v>0</v>
      </c>
      <c r="J607" s="329">
        <v>0.3</v>
      </c>
      <c r="K607" s="214">
        <v>0</v>
      </c>
    </row>
    <row r="608" spans="1:11" ht="15.9" customHeight="1">
      <c r="A608" s="160" t="s">
        <v>574</v>
      </c>
      <c r="B608" s="240">
        <v>0</v>
      </c>
      <c r="C608" s="240">
        <v>2</v>
      </c>
      <c r="D608" s="240">
        <v>0</v>
      </c>
      <c r="E608" s="240">
        <v>1000</v>
      </c>
      <c r="F608" s="240">
        <v>0</v>
      </c>
      <c r="G608" s="240">
        <v>0</v>
      </c>
      <c r="H608" s="240">
        <v>0</v>
      </c>
      <c r="I608" s="250">
        <v>1</v>
      </c>
      <c r="J608" s="240">
        <v>0</v>
      </c>
      <c r="K608" s="240">
        <v>0</v>
      </c>
    </row>
    <row r="609" spans="1:14" ht="15.9" customHeight="1">
      <c r="A609" s="160" t="s">
        <v>593</v>
      </c>
      <c r="B609" s="250">
        <v>8</v>
      </c>
      <c r="C609" s="250">
        <v>8</v>
      </c>
      <c r="D609" s="250">
        <v>8</v>
      </c>
      <c r="E609" s="250">
        <v>6</v>
      </c>
      <c r="F609" s="250">
        <v>8</v>
      </c>
      <c r="G609" s="250">
        <v>8</v>
      </c>
      <c r="H609" s="250">
        <v>8</v>
      </c>
      <c r="I609" s="250">
        <v>6</v>
      </c>
      <c r="J609" s="250">
        <v>8</v>
      </c>
      <c r="K609" s="240">
        <v>8</v>
      </c>
    </row>
    <row r="610" spans="1:14" ht="47.6" customHeight="1">
      <c r="A610" s="160" t="s">
        <v>1429</v>
      </c>
      <c r="B610" s="330" t="s">
        <v>2359</v>
      </c>
      <c r="C610" s="330" t="s">
        <v>2360</v>
      </c>
      <c r="D610" s="330" t="s">
        <v>2361</v>
      </c>
      <c r="E610" s="330" t="s">
        <v>2281</v>
      </c>
      <c r="F610" s="330" t="s">
        <v>2362</v>
      </c>
      <c r="G610" s="330" t="s">
        <v>2363</v>
      </c>
      <c r="H610" s="330" t="s">
        <v>2364</v>
      </c>
      <c r="I610" s="330" t="s">
        <v>2365</v>
      </c>
      <c r="J610" s="330" t="s">
        <v>2366</v>
      </c>
      <c r="K610" s="330" t="s">
        <v>2367</v>
      </c>
    </row>
    <row r="611" spans="1:14" ht="55.5" customHeight="1">
      <c r="A611" s="160" t="s">
        <v>1440</v>
      </c>
      <c r="B611" s="330" t="s">
        <v>2368</v>
      </c>
      <c r="C611" s="330" t="s">
        <v>2369</v>
      </c>
      <c r="D611" s="330" t="s">
        <v>2370</v>
      </c>
      <c r="E611" s="330" t="s">
        <v>2289</v>
      </c>
      <c r="F611" s="330" t="s">
        <v>2371</v>
      </c>
      <c r="G611" s="330" t="s">
        <v>2372</v>
      </c>
      <c r="H611" s="330" t="s">
        <v>2373</v>
      </c>
      <c r="I611" s="330" t="s">
        <v>2374</v>
      </c>
      <c r="J611" s="330" t="s">
        <v>2375</v>
      </c>
      <c r="K611" s="330" t="s">
        <v>2376</v>
      </c>
    </row>
    <row r="612" spans="1:14" ht="123.75" customHeight="1">
      <c r="A612" s="160" t="s">
        <v>2135</v>
      </c>
      <c r="B612" s="330" t="s">
        <v>2377</v>
      </c>
      <c r="C612" s="330" t="s">
        <v>2378</v>
      </c>
      <c r="D612" s="330" t="s">
        <v>2379</v>
      </c>
      <c r="E612" s="330" t="s">
        <v>2298</v>
      </c>
      <c r="F612" s="330" t="s">
        <v>2380</v>
      </c>
      <c r="G612" s="330" t="s">
        <v>2381</v>
      </c>
      <c r="H612" s="330" t="s">
        <v>2382</v>
      </c>
      <c r="I612" s="330" t="s">
        <v>2383</v>
      </c>
      <c r="J612" s="330" t="s">
        <v>2384</v>
      </c>
      <c r="K612" s="330" t="s">
        <v>2385</v>
      </c>
    </row>
    <row r="613" spans="1:14" ht="63.45" customHeight="1">
      <c r="A613" s="160" t="s">
        <v>2146</v>
      </c>
      <c r="B613" s="330" t="s">
        <v>2386</v>
      </c>
      <c r="C613" s="330" t="s">
        <v>2387</v>
      </c>
      <c r="D613" s="330" t="s">
        <v>2388</v>
      </c>
      <c r="E613" s="330" t="s">
        <v>2308</v>
      </c>
      <c r="F613" s="330" t="s">
        <v>2389</v>
      </c>
      <c r="G613" s="330" t="s">
        <v>2390</v>
      </c>
      <c r="H613" s="330" t="s">
        <v>2391</v>
      </c>
      <c r="I613" s="330" t="s">
        <v>2392</v>
      </c>
      <c r="J613" s="330" t="s">
        <v>2393</v>
      </c>
      <c r="K613" s="330" t="s">
        <v>2394</v>
      </c>
    </row>
    <row r="614" spans="1:14" ht="79.3" customHeight="1">
      <c r="A614" s="160" t="s">
        <v>2157</v>
      </c>
      <c r="B614" s="330" t="s">
        <v>2395</v>
      </c>
      <c r="C614" s="330" t="s">
        <v>2396</v>
      </c>
      <c r="D614" s="330" t="s">
        <v>2397</v>
      </c>
      <c r="E614" s="330" t="s">
        <v>2318</v>
      </c>
      <c r="F614" s="330" t="s">
        <v>2398</v>
      </c>
      <c r="G614" s="330" t="s">
        <v>2399</v>
      </c>
      <c r="H614" s="330" t="s">
        <v>2400</v>
      </c>
      <c r="I614" s="330" t="s">
        <v>2401</v>
      </c>
      <c r="J614" s="330" t="s">
        <v>2402</v>
      </c>
      <c r="K614" s="330" t="s">
        <v>2403</v>
      </c>
    </row>
    <row r="615" spans="1:14" ht="24" customHeight="1">
      <c r="A615" s="160" t="s">
        <v>36</v>
      </c>
      <c r="B615" s="247" t="s">
        <v>2404</v>
      </c>
      <c r="C615" s="247" t="s">
        <v>2405</v>
      </c>
      <c r="D615" s="247" t="s">
        <v>2406</v>
      </c>
      <c r="E615" s="247" t="s">
        <v>2407</v>
      </c>
      <c r="F615" s="247" t="s">
        <v>2408</v>
      </c>
      <c r="G615" s="247" t="s">
        <v>2409</v>
      </c>
      <c r="H615" s="247" t="s">
        <v>2410</v>
      </c>
      <c r="I615" s="247" t="s">
        <v>2411</v>
      </c>
      <c r="J615" s="247" t="s">
        <v>2412</v>
      </c>
      <c r="K615" s="247" t="s">
        <v>2413</v>
      </c>
      <c r="L615" s="277"/>
    </row>
    <row r="621" spans="1:14" ht="14.25" customHeight="1">
      <c r="N621" s="332"/>
    </row>
    <row r="622" spans="1:14" ht="14.25" customHeight="1">
      <c r="N622" s="160"/>
    </row>
    <row r="639" ht="14.6" customHeight="1"/>
    <row r="640" ht="14.6" customHeight="1"/>
    <row r="641" ht="14.6" customHeight="1"/>
    <row r="642" ht="14.6" customHeight="1"/>
    <row r="643" ht="14.6" customHeight="1"/>
    <row r="644" ht="14.6" customHeight="1"/>
    <row r="645" ht="14.6" customHeight="1"/>
    <row r="646" ht="14.6" customHeight="1"/>
    <row r="647" ht="14.6" customHeight="1"/>
    <row r="648" ht="14.6" customHeight="1"/>
    <row r="649" ht="14.6" customHeight="1"/>
    <row r="719" spans="2:2" ht="282" customHeight="1">
      <c r="B719" s="333" t="s">
        <v>2414</v>
      </c>
    </row>
    <row r="725" spans="2:15" ht="14.25" customHeight="1">
      <c r="B725" s="327" t="s">
        <v>2415</v>
      </c>
      <c r="C725" s="327" t="s">
        <v>2416</v>
      </c>
      <c r="D725" s="327" t="s">
        <v>2417</v>
      </c>
      <c r="E725" s="327" t="s">
        <v>2418</v>
      </c>
      <c r="F725" s="327" t="s">
        <v>2419</v>
      </c>
      <c r="G725" s="327" t="s">
        <v>2420</v>
      </c>
      <c r="H725" s="327" t="s">
        <v>2421</v>
      </c>
      <c r="I725" s="327" t="s">
        <v>2422</v>
      </c>
      <c r="J725" s="327" t="s">
        <v>2423</v>
      </c>
      <c r="K725" s="327" t="s">
        <v>2424</v>
      </c>
      <c r="L725" s="327" t="s">
        <v>2346</v>
      </c>
      <c r="M725" s="327" t="s">
        <v>2346</v>
      </c>
      <c r="N725" s="327" t="s">
        <v>2346</v>
      </c>
    </row>
    <row r="726" spans="2:15" ht="14.25" customHeight="1">
      <c r="B726" s="163" t="s">
        <v>1363</v>
      </c>
      <c r="C726" s="167" t="s">
        <v>1367</v>
      </c>
      <c r="D726" s="169" t="s">
        <v>1369</v>
      </c>
      <c r="E726" s="171" t="s">
        <v>1371</v>
      </c>
      <c r="F726" s="189" t="s">
        <v>1374</v>
      </c>
      <c r="G726" s="175" t="s">
        <v>1377</v>
      </c>
      <c r="H726" s="176" t="s">
        <v>1379</v>
      </c>
      <c r="I726" s="177" t="s">
        <v>1381</v>
      </c>
      <c r="J726" s="178" t="s">
        <v>1383</v>
      </c>
      <c r="K726" s="180" t="s">
        <v>1385</v>
      </c>
      <c r="L726" s="165" t="s">
        <v>2425</v>
      </c>
      <c r="M726" s="165" t="s">
        <v>1365</v>
      </c>
      <c r="N726" s="181" t="s">
        <v>1387</v>
      </c>
    </row>
    <row r="727" spans="2:15" ht="14.25" customHeight="1">
      <c r="B727" s="192" t="s">
        <v>1376</v>
      </c>
      <c r="C727" s="192" t="s">
        <v>1376</v>
      </c>
      <c r="D727" s="192" t="s">
        <v>1368</v>
      </c>
      <c r="E727" s="192" t="s">
        <v>1368</v>
      </c>
      <c r="F727" s="192" t="s">
        <v>1373</v>
      </c>
      <c r="G727" s="192" t="s">
        <v>1376</v>
      </c>
      <c r="H727" s="192" t="s">
        <v>1364</v>
      </c>
      <c r="I727" s="192" t="s">
        <v>1366</v>
      </c>
      <c r="J727" s="192" t="s">
        <v>1373</v>
      </c>
      <c r="K727" s="192" t="s">
        <v>1370</v>
      </c>
      <c r="O727" s="160" t="s">
        <v>2426</v>
      </c>
    </row>
    <row r="728" spans="2:15" ht="14.25" customHeight="1">
      <c r="B728" s="196" t="s">
        <v>2101</v>
      </c>
      <c r="C728" s="196" t="s">
        <v>2100</v>
      </c>
      <c r="D728" s="196" t="s">
        <v>2100</v>
      </c>
      <c r="E728" s="196" t="s">
        <v>2100</v>
      </c>
      <c r="F728" s="196" t="s">
        <v>2271</v>
      </c>
      <c r="G728" s="196" t="s">
        <v>2427</v>
      </c>
      <c r="H728" s="196" t="s">
        <v>2271</v>
      </c>
      <c r="I728" s="196" t="s">
        <v>2100</v>
      </c>
      <c r="J728" s="196" t="s">
        <v>2271</v>
      </c>
      <c r="K728" s="196" t="s">
        <v>2271</v>
      </c>
      <c r="O728" s="196" t="s">
        <v>2101</v>
      </c>
    </row>
    <row r="729" spans="2:15" ht="14.25" customHeight="1">
      <c r="B729" s="200" t="s">
        <v>2099</v>
      </c>
      <c r="C729" s="200" t="s">
        <v>2099</v>
      </c>
      <c r="D729" s="200" t="s">
        <v>2099</v>
      </c>
      <c r="E729" s="200" t="s">
        <v>726</v>
      </c>
      <c r="F729" s="200" t="s">
        <v>1697</v>
      </c>
      <c r="G729" s="200" t="s">
        <v>726</v>
      </c>
      <c r="H729" s="200" t="s">
        <v>2102</v>
      </c>
      <c r="I729" s="200" t="s">
        <v>2100</v>
      </c>
      <c r="J729" s="200" t="s">
        <v>2099</v>
      </c>
      <c r="K729" s="200" t="s">
        <v>2102</v>
      </c>
      <c r="O729" s="200" t="s">
        <v>2102</v>
      </c>
    </row>
    <row r="730" spans="2:15" ht="14.25" customHeight="1">
      <c r="B730" s="204">
        <v>10</v>
      </c>
      <c r="C730" s="204">
        <v>5</v>
      </c>
      <c r="D730" s="208">
        <v>5</v>
      </c>
      <c r="E730" s="204">
        <v>2</v>
      </c>
      <c r="F730" s="204">
        <v>10</v>
      </c>
      <c r="G730" s="208">
        <v>10</v>
      </c>
      <c r="H730" s="204">
        <v>10</v>
      </c>
      <c r="I730" s="204">
        <v>5</v>
      </c>
      <c r="J730" s="204">
        <v>5</v>
      </c>
      <c r="K730" s="208">
        <v>10</v>
      </c>
      <c r="O730" s="208">
        <v>5</v>
      </c>
    </row>
    <row r="731" spans="2:15" ht="14.25" customHeight="1">
      <c r="B731" s="208">
        <v>10</v>
      </c>
      <c r="C731" s="208">
        <v>5</v>
      </c>
      <c r="D731" s="208">
        <v>5</v>
      </c>
      <c r="E731" s="208">
        <v>2</v>
      </c>
      <c r="F731" s="208">
        <v>10</v>
      </c>
      <c r="G731" s="208">
        <v>10</v>
      </c>
      <c r="H731" s="208">
        <v>10</v>
      </c>
      <c r="I731" s="208">
        <v>5</v>
      </c>
      <c r="J731" s="208">
        <v>5</v>
      </c>
      <c r="K731" s="208">
        <v>10</v>
      </c>
      <c r="O731" s="208">
        <v>5</v>
      </c>
    </row>
    <row r="732" spans="2:15" ht="14.25" customHeight="1">
      <c r="B732" s="211">
        <v>-0.2</v>
      </c>
      <c r="C732" s="211">
        <v>0.3</v>
      </c>
      <c r="D732" s="211">
        <v>0</v>
      </c>
      <c r="E732" s="211">
        <v>0</v>
      </c>
      <c r="F732" s="211">
        <v>0.5</v>
      </c>
      <c r="G732" s="211">
        <v>-0.5</v>
      </c>
      <c r="H732" s="211">
        <v>-0.5</v>
      </c>
      <c r="I732" s="211">
        <v>0</v>
      </c>
      <c r="J732" s="211">
        <v>0.5</v>
      </c>
      <c r="K732" s="211">
        <v>0.5</v>
      </c>
      <c r="O732" s="211">
        <v>0</v>
      </c>
    </row>
    <row r="733" spans="2:15" ht="14.25" customHeight="1">
      <c r="B733" s="214">
        <v>-0.2</v>
      </c>
      <c r="C733" s="214">
        <v>0.3</v>
      </c>
      <c r="D733" s="214">
        <v>-0.5</v>
      </c>
      <c r="E733" s="214">
        <v>0</v>
      </c>
      <c r="F733" s="214">
        <v>-0.5</v>
      </c>
      <c r="G733" s="214">
        <v>0.5</v>
      </c>
      <c r="H733" s="214">
        <v>0.5</v>
      </c>
      <c r="I733" s="214">
        <v>0</v>
      </c>
      <c r="J733" s="214">
        <v>0.5</v>
      </c>
      <c r="K733" s="214">
        <v>-0.5</v>
      </c>
      <c r="O733" s="214">
        <v>-0.5</v>
      </c>
    </row>
    <row r="734" spans="2:15" ht="14.25" customHeight="1">
      <c r="B734" s="217">
        <v>-0.2</v>
      </c>
      <c r="C734" s="217">
        <v>0.3</v>
      </c>
      <c r="D734" s="217">
        <v>0</v>
      </c>
      <c r="E734" s="217">
        <v>0</v>
      </c>
      <c r="F734" s="217">
        <v>0.5</v>
      </c>
      <c r="G734" s="217">
        <v>0.1</v>
      </c>
      <c r="H734" s="217">
        <v>1</v>
      </c>
      <c r="I734" s="217">
        <v>0</v>
      </c>
      <c r="J734" s="217">
        <v>0</v>
      </c>
      <c r="K734" s="217">
        <v>0</v>
      </c>
      <c r="O734" s="217">
        <v>0</v>
      </c>
    </row>
    <row r="735" spans="2:15" ht="14.25" customHeight="1">
      <c r="B735" s="220">
        <v>-0.2</v>
      </c>
      <c r="C735" s="220">
        <v>0.3</v>
      </c>
      <c r="D735" s="220">
        <v>1</v>
      </c>
      <c r="E735" s="220">
        <v>0</v>
      </c>
      <c r="F735" s="220">
        <v>-0.5</v>
      </c>
      <c r="G735" s="220">
        <v>0.1</v>
      </c>
      <c r="H735" s="220">
        <v>0.5</v>
      </c>
      <c r="I735" s="220">
        <v>0</v>
      </c>
      <c r="J735" s="220">
        <v>0</v>
      </c>
      <c r="K735" s="220">
        <v>0</v>
      </c>
      <c r="O735" s="220">
        <v>0.5</v>
      </c>
    </row>
    <row r="736" spans="2:15" ht="14.25" customHeight="1">
      <c r="B736" s="224">
        <v>-0.2</v>
      </c>
      <c r="C736" s="224">
        <v>0.3</v>
      </c>
      <c r="D736" s="224">
        <v>0.5</v>
      </c>
      <c r="E736" s="224">
        <v>0</v>
      </c>
      <c r="F736" s="224">
        <v>0.5</v>
      </c>
      <c r="G736" s="224">
        <v>0.1</v>
      </c>
      <c r="H736" s="224">
        <v>-0.5</v>
      </c>
      <c r="I736" s="224">
        <v>0</v>
      </c>
      <c r="J736" s="224">
        <v>0</v>
      </c>
      <c r="K736" s="224">
        <v>0</v>
      </c>
      <c r="O736" s="224">
        <v>0.5</v>
      </c>
    </row>
    <row r="737" spans="2:15" ht="14.25" customHeight="1">
      <c r="B737" s="227">
        <v>-0.2</v>
      </c>
      <c r="C737" s="227">
        <v>0.3</v>
      </c>
      <c r="D737" s="227">
        <v>-0.5</v>
      </c>
      <c r="E737" s="227">
        <v>0</v>
      </c>
      <c r="F737" s="227">
        <v>0.5</v>
      </c>
      <c r="G737" s="227">
        <v>0.1</v>
      </c>
      <c r="H737" s="227">
        <v>-0.5</v>
      </c>
      <c r="I737" s="227">
        <v>0</v>
      </c>
      <c r="J737" s="227">
        <v>-0.5</v>
      </c>
      <c r="K737" s="227">
        <v>0</v>
      </c>
      <c r="O737" s="227">
        <v>0.5</v>
      </c>
    </row>
    <row r="738" spans="2:15" ht="14.25" customHeight="1">
      <c r="B738" s="220">
        <v>-0.2</v>
      </c>
      <c r="C738" s="230">
        <v>0.3</v>
      </c>
      <c r="D738" s="230">
        <v>0.5</v>
      </c>
      <c r="E738" s="230">
        <v>0</v>
      </c>
      <c r="F738" s="230">
        <v>0</v>
      </c>
      <c r="G738" s="230">
        <v>0.1</v>
      </c>
      <c r="H738" s="230">
        <v>-0.5</v>
      </c>
      <c r="I738" s="230">
        <v>0</v>
      </c>
      <c r="J738" s="230">
        <v>-0.5</v>
      </c>
      <c r="K738" s="230">
        <v>0</v>
      </c>
      <c r="O738" s="230">
        <v>-1</v>
      </c>
    </row>
    <row r="739" spans="2:15" ht="14.25" customHeight="1">
      <c r="B739" s="233">
        <v>-0.2</v>
      </c>
      <c r="C739" s="233">
        <v>-0.5</v>
      </c>
      <c r="D739" s="233">
        <v>0</v>
      </c>
      <c r="E739" s="233">
        <v>0</v>
      </c>
      <c r="F739" s="233">
        <v>1</v>
      </c>
      <c r="G739" s="233">
        <v>1</v>
      </c>
      <c r="H739" s="233">
        <v>1</v>
      </c>
      <c r="I739" s="233">
        <v>0</v>
      </c>
      <c r="J739" s="233">
        <v>0</v>
      </c>
      <c r="K739" s="233">
        <v>0</v>
      </c>
      <c r="O739" s="233">
        <v>-0.5</v>
      </c>
    </row>
    <row r="740" spans="2:15" ht="14.25" customHeight="1">
      <c r="B740" s="236">
        <v>-0.2</v>
      </c>
      <c r="C740" s="236">
        <v>-0.5</v>
      </c>
      <c r="D740" s="236">
        <v>0</v>
      </c>
      <c r="E740" s="236">
        <v>0</v>
      </c>
      <c r="F740" s="236">
        <v>1</v>
      </c>
      <c r="G740" s="236">
        <v>0</v>
      </c>
      <c r="H740" s="236">
        <v>1</v>
      </c>
      <c r="I740" s="236">
        <v>0</v>
      </c>
      <c r="J740" s="236">
        <v>0</v>
      </c>
      <c r="K740" s="236">
        <v>0</v>
      </c>
      <c r="O740" s="236">
        <v>1</v>
      </c>
    </row>
    <row r="741" spans="2:15" ht="14.25" customHeight="1">
      <c r="B741" s="204">
        <v>5</v>
      </c>
      <c r="C741" s="204">
        <v>5</v>
      </c>
      <c r="D741" s="204">
        <v>5</v>
      </c>
      <c r="E741" s="204">
        <v>5</v>
      </c>
      <c r="F741" s="204">
        <v>10</v>
      </c>
      <c r="G741" s="204">
        <v>5</v>
      </c>
      <c r="H741" s="204">
        <v>20</v>
      </c>
      <c r="I741" s="204">
        <v>10</v>
      </c>
      <c r="J741" s="204">
        <v>2</v>
      </c>
      <c r="K741" s="204">
        <v>5</v>
      </c>
      <c r="O741" s="204">
        <v>10</v>
      </c>
    </row>
    <row r="742" spans="2:15" ht="14.25" customHeight="1">
      <c r="B742" s="204">
        <v>5</v>
      </c>
      <c r="C742" s="204">
        <v>5</v>
      </c>
      <c r="D742" s="204">
        <v>5</v>
      </c>
      <c r="E742" s="204">
        <v>5</v>
      </c>
      <c r="F742" s="204">
        <v>5</v>
      </c>
      <c r="G742" s="204">
        <v>5</v>
      </c>
      <c r="H742" s="204">
        <v>2</v>
      </c>
      <c r="I742" s="204">
        <v>2</v>
      </c>
      <c r="J742" s="204">
        <v>2</v>
      </c>
      <c r="K742" s="204">
        <v>5</v>
      </c>
      <c r="O742" s="204">
        <v>0</v>
      </c>
    </row>
    <row r="743" spans="2:15" ht="14.25" customHeight="1">
      <c r="B743" s="240">
        <v>5</v>
      </c>
      <c r="C743" s="240">
        <v>5</v>
      </c>
      <c r="D743" s="240">
        <v>10</v>
      </c>
      <c r="E743" s="240">
        <v>5</v>
      </c>
      <c r="F743" s="240">
        <v>5</v>
      </c>
      <c r="G743" s="240">
        <v>5</v>
      </c>
      <c r="H743" s="240">
        <v>2</v>
      </c>
      <c r="I743" s="240">
        <v>2</v>
      </c>
      <c r="J743" s="240">
        <v>10</v>
      </c>
      <c r="K743" s="240">
        <v>5</v>
      </c>
      <c r="O743" s="240">
        <v>0</v>
      </c>
    </row>
    <row r="744" spans="2:15" ht="14.25" customHeight="1">
      <c r="B744" s="204" t="s">
        <v>2428</v>
      </c>
      <c r="C744" s="158" t="s">
        <v>2349</v>
      </c>
      <c r="D744" s="250" t="s">
        <v>2350</v>
      </c>
      <c r="E744" s="204" t="s">
        <v>2429</v>
      </c>
      <c r="F744" s="328" t="s">
        <v>2351</v>
      </c>
      <c r="G744" s="250" t="s">
        <v>2352</v>
      </c>
      <c r="H744" s="204" t="s">
        <v>2353</v>
      </c>
      <c r="I744" s="204" t="s">
        <v>2430</v>
      </c>
      <c r="J744" s="204" t="s">
        <v>2355</v>
      </c>
      <c r="K744" s="250" t="s">
        <v>2356</v>
      </c>
      <c r="O744" s="250" t="s">
        <v>2431</v>
      </c>
    </row>
    <row r="745" spans="2:15" ht="14.25" customHeight="1">
      <c r="B745" s="244" t="s">
        <v>1422</v>
      </c>
      <c r="C745" s="244" t="s">
        <v>2358</v>
      </c>
      <c r="D745" s="244">
        <v>3</v>
      </c>
      <c r="E745" s="244" t="s">
        <v>1422</v>
      </c>
      <c r="F745" s="244" t="s">
        <v>1423</v>
      </c>
      <c r="G745" s="244">
        <v>3</v>
      </c>
      <c r="H745" s="244" t="s">
        <v>1062</v>
      </c>
      <c r="I745" s="244" t="s">
        <v>1062</v>
      </c>
      <c r="J745" s="244" t="s">
        <v>968</v>
      </c>
      <c r="K745" s="244">
        <v>3</v>
      </c>
      <c r="O745" s="244">
        <v>3</v>
      </c>
    </row>
    <row r="746" spans="2:15" ht="14.25" customHeight="1">
      <c r="B746" s="214">
        <v>0</v>
      </c>
      <c r="C746" s="214">
        <v>0</v>
      </c>
      <c r="D746" s="214">
        <v>0</v>
      </c>
      <c r="E746" s="214">
        <v>0</v>
      </c>
      <c r="F746" s="214">
        <v>0</v>
      </c>
      <c r="G746" s="214">
        <v>0</v>
      </c>
      <c r="H746" s="214">
        <v>0</v>
      </c>
      <c r="I746" s="214">
        <v>0</v>
      </c>
      <c r="J746" s="329">
        <v>0.3</v>
      </c>
      <c r="K746" s="214">
        <v>0</v>
      </c>
      <c r="O746" s="214">
        <v>0</v>
      </c>
    </row>
    <row r="747" spans="2:15" ht="14.25" customHeight="1">
      <c r="B747" s="240">
        <v>0</v>
      </c>
      <c r="C747" s="240">
        <v>2</v>
      </c>
      <c r="D747" s="240">
        <v>0</v>
      </c>
      <c r="E747" s="240">
        <v>0</v>
      </c>
      <c r="F747" s="240">
        <v>0</v>
      </c>
      <c r="G747" s="240">
        <v>0</v>
      </c>
      <c r="H747" s="240">
        <v>0</v>
      </c>
      <c r="I747" s="240">
        <v>0</v>
      </c>
      <c r="J747" s="240">
        <v>0</v>
      </c>
      <c r="K747" s="240">
        <v>0</v>
      </c>
      <c r="O747" s="214">
        <v>0</v>
      </c>
    </row>
    <row r="748" spans="2:15" ht="14.25" customHeight="1">
      <c r="B748" s="250">
        <v>8</v>
      </c>
      <c r="C748" s="250">
        <v>8</v>
      </c>
      <c r="D748" s="250">
        <v>8</v>
      </c>
      <c r="E748" s="250">
        <v>8</v>
      </c>
      <c r="F748" s="250">
        <v>8</v>
      </c>
      <c r="G748" s="250">
        <v>8</v>
      </c>
      <c r="H748" s="250">
        <v>8</v>
      </c>
      <c r="I748" s="250">
        <v>8</v>
      </c>
      <c r="J748" s="250">
        <v>8</v>
      </c>
      <c r="K748" s="240">
        <v>8</v>
      </c>
      <c r="O748" s="250">
        <v>1000</v>
      </c>
    </row>
    <row r="749" spans="2:15" ht="14.25" customHeight="1">
      <c r="B749" s="277" t="s">
        <v>2432</v>
      </c>
      <c r="C749" s="277" t="s">
        <v>2360</v>
      </c>
      <c r="D749" s="277" t="s">
        <v>2361</v>
      </c>
      <c r="E749" s="277" t="s">
        <v>2433</v>
      </c>
      <c r="F749" s="277" t="s">
        <v>2362</v>
      </c>
      <c r="G749" s="277" t="s">
        <v>2363</v>
      </c>
      <c r="H749" s="277" t="s">
        <v>2364</v>
      </c>
      <c r="I749" s="277" t="s">
        <v>2434</v>
      </c>
      <c r="J749" s="277" t="s">
        <v>2366</v>
      </c>
      <c r="K749" s="277" t="s">
        <v>2367</v>
      </c>
      <c r="O749" s="250">
        <v>6</v>
      </c>
    </row>
    <row r="750" spans="2:15" ht="14.25" customHeight="1">
      <c r="B750" s="277" t="s">
        <v>2435</v>
      </c>
      <c r="C750" s="277" t="s">
        <v>2369</v>
      </c>
      <c r="D750" s="277" t="s">
        <v>2370</v>
      </c>
      <c r="E750" s="277" t="s">
        <v>2436</v>
      </c>
      <c r="F750" s="314" t="s">
        <v>2371</v>
      </c>
      <c r="G750" s="277" t="s">
        <v>2372</v>
      </c>
      <c r="H750" s="277" t="s">
        <v>2373</v>
      </c>
      <c r="I750" s="277" t="s">
        <v>2437</v>
      </c>
      <c r="J750" s="277" t="s">
        <v>2375</v>
      </c>
      <c r="K750" s="277" t="s">
        <v>2376</v>
      </c>
      <c r="O750" s="277" t="s">
        <v>2438</v>
      </c>
    </row>
    <row r="751" spans="2:15" ht="14.25" customHeight="1">
      <c r="B751" s="277" t="s">
        <v>2439</v>
      </c>
      <c r="C751" s="277" t="s">
        <v>2378</v>
      </c>
      <c r="D751" s="277" t="s">
        <v>2379</v>
      </c>
      <c r="E751" s="277" t="s">
        <v>2440</v>
      </c>
      <c r="F751" s="277" t="s">
        <v>2441</v>
      </c>
      <c r="G751" s="277" t="s">
        <v>2381</v>
      </c>
      <c r="H751" s="277" t="s">
        <v>2442</v>
      </c>
      <c r="I751" s="277" t="s">
        <v>2443</v>
      </c>
      <c r="J751" s="277" t="s">
        <v>2384</v>
      </c>
      <c r="K751" s="277" t="s">
        <v>2385</v>
      </c>
      <c r="O751" s="277" t="s">
        <v>2444</v>
      </c>
    </row>
    <row r="752" spans="2:15" ht="14.25" customHeight="1">
      <c r="B752" s="277" t="s">
        <v>2445</v>
      </c>
      <c r="C752" s="277" t="s">
        <v>2387</v>
      </c>
      <c r="D752" s="277" t="s">
        <v>2388</v>
      </c>
      <c r="E752" s="277" t="s">
        <v>2446</v>
      </c>
      <c r="F752" s="277" t="s">
        <v>2389</v>
      </c>
      <c r="G752" s="277" t="s">
        <v>2390</v>
      </c>
      <c r="H752" s="277" t="s">
        <v>2391</v>
      </c>
      <c r="I752" s="277" t="s">
        <v>2447</v>
      </c>
      <c r="J752" s="277" t="s">
        <v>2393</v>
      </c>
      <c r="K752" s="277" t="s">
        <v>2394</v>
      </c>
      <c r="O752" s="277" t="s">
        <v>2448</v>
      </c>
    </row>
    <row r="753" spans="2:15" ht="14.25" customHeight="1">
      <c r="B753" s="277" t="s">
        <v>2449</v>
      </c>
      <c r="C753" s="277" t="s">
        <v>2450</v>
      </c>
      <c r="D753" s="277" t="s">
        <v>2397</v>
      </c>
      <c r="E753" s="277" t="s">
        <v>2451</v>
      </c>
      <c r="F753" s="277" t="s">
        <v>2398</v>
      </c>
      <c r="G753" s="277" t="s">
        <v>2399</v>
      </c>
      <c r="H753" s="277" t="s">
        <v>2400</v>
      </c>
      <c r="I753" s="277" t="s">
        <v>2452</v>
      </c>
      <c r="J753" s="277" t="s">
        <v>2402</v>
      </c>
      <c r="K753" s="277" t="s">
        <v>2403</v>
      </c>
      <c r="L753" s="158" t="s">
        <v>2453</v>
      </c>
      <c r="O753" s="277" t="s">
        <v>2454</v>
      </c>
    </row>
    <row r="754" spans="2:15" ht="14.25" customHeight="1">
      <c r="B754" s="277"/>
      <c r="C754" s="277"/>
      <c r="D754" s="277"/>
      <c r="E754" s="277"/>
      <c r="F754" s="277"/>
      <c r="G754" s="277"/>
      <c r="I754" s="277"/>
      <c r="J754" s="277"/>
      <c r="K754" s="277"/>
      <c r="L754" s="277"/>
      <c r="O754" s="204" t="s">
        <v>2455</v>
      </c>
    </row>
    <row r="755" spans="2:15" ht="14.25" customHeight="1">
      <c r="B755" s="804" t="s">
        <v>2456</v>
      </c>
      <c r="C755" s="801"/>
      <c r="D755" s="801"/>
      <c r="E755" s="801"/>
      <c r="F755" s="801"/>
      <c r="G755" s="801"/>
      <c r="H755" s="801"/>
      <c r="I755" s="801"/>
      <c r="J755" s="801"/>
    </row>
    <row r="756" spans="2:15" ht="14.25" customHeight="1">
      <c r="B756" s="801"/>
      <c r="C756" s="801"/>
      <c r="D756" s="801"/>
      <c r="E756" s="801"/>
      <c r="F756" s="801"/>
      <c r="G756" s="801"/>
      <c r="H756" s="801"/>
      <c r="I756" s="801"/>
      <c r="J756" s="801"/>
    </row>
    <row r="757" spans="2:15" ht="14.25" customHeight="1">
      <c r="B757" s="801"/>
      <c r="C757" s="801"/>
      <c r="D757" s="801"/>
      <c r="E757" s="801"/>
      <c r="F757" s="801"/>
      <c r="G757" s="801"/>
      <c r="H757" s="801"/>
      <c r="I757" s="801"/>
      <c r="J757" s="801"/>
    </row>
    <row r="758" spans="2:15" ht="14.25" customHeight="1">
      <c r="B758" s="801"/>
      <c r="C758" s="801"/>
      <c r="D758" s="801"/>
      <c r="E758" s="801"/>
      <c r="F758" s="801"/>
      <c r="G758" s="801"/>
      <c r="H758" s="801"/>
      <c r="I758" s="801"/>
      <c r="J758" s="801"/>
    </row>
    <row r="759" spans="2:15" ht="14.25" customHeight="1">
      <c r="B759" s="801"/>
      <c r="C759" s="801"/>
      <c r="D759" s="801"/>
      <c r="E759" s="801"/>
      <c r="F759" s="801"/>
      <c r="G759" s="801"/>
      <c r="H759" s="801"/>
      <c r="I759" s="801"/>
      <c r="J759" s="801"/>
    </row>
    <row r="760" spans="2:15" ht="14.25" customHeight="1">
      <c r="B760" s="327" t="s">
        <v>2457</v>
      </c>
      <c r="C760" s="327" t="s">
        <v>2458</v>
      </c>
      <c r="D760" s="327" t="s">
        <v>2458</v>
      </c>
      <c r="E760" s="327" t="s">
        <v>2459</v>
      </c>
      <c r="F760" s="327" t="s">
        <v>2460</v>
      </c>
      <c r="G760" s="327" t="s">
        <v>2461</v>
      </c>
      <c r="H760" s="327" t="s">
        <v>2462</v>
      </c>
      <c r="I760" s="327" t="s">
        <v>2463</v>
      </c>
      <c r="J760" s="327" t="s">
        <v>2464</v>
      </c>
      <c r="N760" s="332"/>
    </row>
    <row r="761" spans="2:15" ht="14.25" customHeight="1">
      <c r="B761" s="163" t="s">
        <v>2465</v>
      </c>
      <c r="C761" s="163" t="s">
        <v>2465</v>
      </c>
      <c r="D761" s="163" t="s">
        <v>2465</v>
      </c>
      <c r="E761" s="163" t="s">
        <v>2465</v>
      </c>
      <c r="F761" s="163" t="s">
        <v>2465</v>
      </c>
      <c r="G761" s="163" t="s">
        <v>2465</v>
      </c>
      <c r="H761" s="163" t="s">
        <v>2465</v>
      </c>
      <c r="I761" s="163" t="s">
        <v>2465</v>
      </c>
      <c r="J761" s="163" t="s">
        <v>2465</v>
      </c>
      <c r="N761" s="160"/>
    </row>
    <row r="762" spans="2:15" ht="14.25" customHeight="1">
      <c r="B762" s="204" t="s">
        <v>1364</v>
      </c>
      <c r="C762" s="160" t="s">
        <v>964</v>
      </c>
      <c r="D762" s="160" t="s">
        <v>964</v>
      </c>
      <c r="E762" s="204" t="s">
        <v>1368</v>
      </c>
      <c r="F762" s="158" t="s">
        <v>2466</v>
      </c>
      <c r="G762" s="158" t="s">
        <v>964</v>
      </c>
      <c r="H762" s="204" t="s">
        <v>964</v>
      </c>
      <c r="I762" s="204" t="s">
        <v>964</v>
      </c>
      <c r="J762" s="204" t="s">
        <v>964</v>
      </c>
    </row>
    <row r="763" spans="2:15" ht="14.25" customHeight="1">
      <c r="B763" s="196" t="s">
        <v>2467</v>
      </c>
      <c r="C763" s="196" t="s">
        <v>2100</v>
      </c>
      <c r="D763" s="196" t="s">
        <v>2100</v>
      </c>
      <c r="E763" s="196" t="s">
        <v>2468</v>
      </c>
      <c r="F763" s="158">
        <v>300</v>
      </c>
      <c r="G763" s="158">
        <v>700</v>
      </c>
      <c r="H763" s="196" t="s">
        <v>1818</v>
      </c>
      <c r="I763" s="196" t="s">
        <v>2100</v>
      </c>
      <c r="J763" s="196" t="s">
        <v>2271</v>
      </c>
    </row>
    <row r="764" spans="2:15" ht="14.25" customHeight="1">
      <c r="B764" s="200" t="s">
        <v>2469</v>
      </c>
      <c r="C764" s="200" t="s">
        <v>1818</v>
      </c>
      <c r="D764" s="200" t="s">
        <v>1818</v>
      </c>
      <c r="E764" s="200">
        <v>300</v>
      </c>
      <c r="F764" s="158">
        <v>500</v>
      </c>
      <c r="G764" s="158">
        <v>500</v>
      </c>
      <c r="H764" s="200" t="s">
        <v>1818</v>
      </c>
      <c r="I764" s="200" t="s">
        <v>1818</v>
      </c>
      <c r="J764" s="200" t="s">
        <v>2470</v>
      </c>
    </row>
    <row r="765" spans="2:15" ht="14.25" customHeight="1">
      <c r="B765" s="204">
        <v>7</v>
      </c>
      <c r="C765" s="208">
        <v>5</v>
      </c>
      <c r="D765" s="208">
        <v>5</v>
      </c>
      <c r="E765" s="204">
        <v>15</v>
      </c>
      <c r="F765" s="158">
        <v>20</v>
      </c>
      <c r="G765" s="158">
        <v>6</v>
      </c>
      <c r="H765" s="204">
        <v>4</v>
      </c>
      <c r="I765" s="204">
        <v>10</v>
      </c>
      <c r="J765" s="204">
        <v>15</v>
      </c>
    </row>
    <row r="766" spans="2:15" ht="14.25" customHeight="1">
      <c r="B766" s="208">
        <v>10</v>
      </c>
      <c r="C766" s="208">
        <v>5</v>
      </c>
      <c r="D766" s="208">
        <v>5</v>
      </c>
      <c r="E766" s="208">
        <v>15</v>
      </c>
      <c r="F766" s="158">
        <v>20</v>
      </c>
      <c r="G766" s="158">
        <v>6</v>
      </c>
      <c r="H766" s="208">
        <v>4</v>
      </c>
      <c r="I766" s="208">
        <v>10</v>
      </c>
      <c r="J766" s="208">
        <v>15</v>
      </c>
    </row>
    <row r="767" spans="2:15" ht="14.25" customHeight="1">
      <c r="B767" s="211">
        <v>-0.3</v>
      </c>
      <c r="C767" s="211">
        <v>0</v>
      </c>
      <c r="D767" s="211">
        <v>0</v>
      </c>
      <c r="E767" s="211">
        <v>-0.5</v>
      </c>
      <c r="G767" s="158">
        <v>0</v>
      </c>
      <c r="H767" s="211">
        <v>0.2</v>
      </c>
      <c r="I767" s="211">
        <v>0.4</v>
      </c>
      <c r="J767" s="211">
        <v>0.4</v>
      </c>
    </row>
    <row r="768" spans="2:15" ht="14.25" customHeight="1">
      <c r="B768" s="214">
        <v>0.5</v>
      </c>
      <c r="C768" s="214">
        <v>0</v>
      </c>
      <c r="D768" s="214">
        <v>0</v>
      </c>
      <c r="E768" s="214">
        <v>0.4</v>
      </c>
      <c r="F768" s="334"/>
      <c r="G768" s="158">
        <v>0</v>
      </c>
      <c r="H768" s="214">
        <v>0.2</v>
      </c>
      <c r="I768" s="214">
        <v>0.4</v>
      </c>
      <c r="J768" s="214">
        <v>0.4</v>
      </c>
    </row>
    <row r="769" spans="2:10" ht="14.25" customHeight="1">
      <c r="B769" s="217">
        <v>-0.2</v>
      </c>
      <c r="C769" s="217">
        <v>0</v>
      </c>
      <c r="D769" s="217">
        <v>0</v>
      </c>
      <c r="E769" s="217">
        <v>0.4</v>
      </c>
      <c r="G769" s="158">
        <v>0</v>
      </c>
      <c r="H769" s="217" t="s">
        <v>2471</v>
      </c>
      <c r="I769" s="217">
        <v>0.4</v>
      </c>
      <c r="J769" s="217">
        <v>0.4</v>
      </c>
    </row>
    <row r="770" spans="2:10" ht="14.25" customHeight="1">
      <c r="B770" s="220">
        <v>0.2</v>
      </c>
      <c r="C770" s="220">
        <v>0</v>
      </c>
      <c r="D770" s="220">
        <v>0</v>
      </c>
      <c r="E770" s="220">
        <v>0.4</v>
      </c>
      <c r="G770" s="158">
        <v>0</v>
      </c>
      <c r="H770" s="220">
        <v>0.2</v>
      </c>
      <c r="I770" s="220">
        <v>0.4</v>
      </c>
      <c r="J770" s="220">
        <v>0.4</v>
      </c>
    </row>
    <row r="771" spans="2:10" ht="14.25" customHeight="1">
      <c r="B771" s="224">
        <v>0</v>
      </c>
      <c r="C771" s="224">
        <v>0</v>
      </c>
      <c r="D771" s="224">
        <v>0</v>
      </c>
      <c r="E771" s="224">
        <v>0.4</v>
      </c>
      <c r="G771" s="158">
        <v>0</v>
      </c>
      <c r="H771" s="224">
        <v>0.2</v>
      </c>
      <c r="I771" s="224">
        <v>0.4</v>
      </c>
      <c r="J771" s="224">
        <v>0.4</v>
      </c>
    </row>
    <row r="772" spans="2:10" ht="14.25" customHeight="1">
      <c r="B772" s="227">
        <v>0</v>
      </c>
      <c r="C772" s="227">
        <v>0</v>
      </c>
      <c r="D772" s="227">
        <v>0</v>
      </c>
      <c r="E772" s="227">
        <v>0.4</v>
      </c>
      <c r="G772" s="158">
        <v>0</v>
      </c>
      <c r="H772" s="227">
        <v>0.2</v>
      </c>
      <c r="I772" s="227">
        <v>0.4</v>
      </c>
      <c r="J772" s="227">
        <v>0.4</v>
      </c>
    </row>
    <row r="773" spans="2:10" ht="14.25" customHeight="1">
      <c r="B773" s="230">
        <v>0</v>
      </c>
      <c r="C773" s="230">
        <v>0</v>
      </c>
      <c r="D773" s="230">
        <v>0</v>
      </c>
      <c r="E773" s="230">
        <v>0.4</v>
      </c>
      <c r="G773" s="158">
        <v>0</v>
      </c>
      <c r="H773" s="230">
        <v>0.2</v>
      </c>
      <c r="I773" s="230">
        <v>0.4</v>
      </c>
      <c r="J773" s="230">
        <v>0.4</v>
      </c>
    </row>
    <row r="774" spans="2:10" ht="14.25" customHeight="1">
      <c r="B774" s="233">
        <v>0</v>
      </c>
      <c r="C774" s="233">
        <v>0</v>
      </c>
      <c r="D774" s="233">
        <v>0</v>
      </c>
      <c r="E774" s="233">
        <v>1</v>
      </c>
      <c r="G774" s="158">
        <v>0</v>
      </c>
      <c r="H774" s="233">
        <v>0.2</v>
      </c>
      <c r="I774" s="233">
        <v>0.4</v>
      </c>
      <c r="J774" s="233">
        <v>0.4</v>
      </c>
    </row>
    <row r="775" spans="2:10" ht="14.25" customHeight="1">
      <c r="B775" s="236">
        <v>0</v>
      </c>
      <c r="C775" s="236">
        <v>0</v>
      </c>
      <c r="D775" s="236">
        <v>0</v>
      </c>
      <c r="E775" s="236">
        <v>1</v>
      </c>
      <c r="G775" s="158">
        <v>0</v>
      </c>
      <c r="H775" s="236">
        <v>0.2</v>
      </c>
      <c r="I775" s="236">
        <v>0.4</v>
      </c>
      <c r="J775" s="236">
        <v>0.4</v>
      </c>
    </row>
    <row r="776" spans="2:10" ht="14.25" customHeight="1">
      <c r="B776" s="204">
        <v>6</v>
      </c>
      <c r="C776" s="204">
        <v>0</v>
      </c>
      <c r="D776" s="204">
        <v>0</v>
      </c>
      <c r="E776" s="204">
        <v>15</v>
      </c>
      <c r="F776" s="158">
        <v>10</v>
      </c>
      <c r="G776" s="158">
        <v>5</v>
      </c>
      <c r="H776" s="204">
        <v>5</v>
      </c>
      <c r="I776" s="204">
        <v>5</v>
      </c>
      <c r="J776" s="204">
        <v>5</v>
      </c>
    </row>
    <row r="777" spans="2:10" ht="14.25" customHeight="1">
      <c r="B777" s="204">
        <v>0</v>
      </c>
      <c r="C777" s="204">
        <v>0</v>
      </c>
      <c r="D777" s="204">
        <v>0</v>
      </c>
      <c r="E777" s="204">
        <v>0</v>
      </c>
      <c r="F777" s="158">
        <v>15</v>
      </c>
      <c r="G777" s="158">
        <v>5</v>
      </c>
      <c r="H777" s="204">
        <v>5</v>
      </c>
      <c r="I777" s="204">
        <v>5</v>
      </c>
      <c r="J777" s="204">
        <v>5</v>
      </c>
    </row>
    <row r="778" spans="2:10" ht="14.25" customHeight="1">
      <c r="B778" s="240">
        <v>9</v>
      </c>
      <c r="C778" s="240">
        <v>0</v>
      </c>
      <c r="D778" s="240">
        <v>0</v>
      </c>
      <c r="E778" s="240">
        <v>0</v>
      </c>
      <c r="F778" s="158">
        <v>30</v>
      </c>
      <c r="G778" s="158">
        <v>5</v>
      </c>
      <c r="H778" s="240">
        <v>5</v>
      </c>
      <c r="I778" s="240">
        <v>5</v>
      </c>
      <c r="J778" s="240">
        <v>5</v>
      </c>
    </row>
    <row r="779" spans="2:10" ht="14.25" customHeight="1">
      <c r="B779" s="204" t="s">
        <v>2472</v>
      </c>
      <c r="C779" s="250" t="s">
        <v>2473</v>
      </c>
      <c r="D779" s="250" t="s">
        <v>2473</v>
      </c>
      <c r="E779" s="204" t="s">
        <v>2474</v>
      </c>
      <c r="F779" s="158" t="s">
        <v>2475</v>
      </c>
      <c r="G779" s="158" t="s">
        <v>1538</v>
      </c>
      <c r="H779" s="204" t="s">
        <v>2476</v>
      </c>
      <c r="I779" s="204" t="s">
        <v>2477</v>
      </c>
      <c r="J779" s="204" t="s">
        <v>2478</v>
      </c>
    </row>
    <row r="780" spans="2:10" ht="14.25" customHeight="1">
      <c r="B780" s="244"/>
      <c r="C780" s="244">
        <v>3</v>
      </c>
      <c r="D780" s="244">
        <v>3</v>
      </c>
      <c r="E780" s="244"/>
      <c r="H780" s="244" t="s">
        <v>2200</v>
      </c>
      <c r="I780" s="244" t="s">
        <v>2200</v>
      </c>
      <c r="J780" s="244" t="s">
        <v>2200</v>
      </c>
    </row>
    <row r="781" spans="2:10" ht="14.25" customHeight="1">
      <c r="B781" s="214">
        <v>0</v>
      </c>
      <c r="C781" s="214">
        <v>0</v>
      </c>
      <c r="D781" s="214">
        <v>0</v>
      </c>
      <c r="E781" s="214"/>
      <c r="F781" s="158" t="s">
        <v>2479</v>
      </c>
      <c r="H781" s="214">
        <v>0</v>
      </c>
      <c r="I781" s="214">
        <v>0</v>
      </c>
      <c r="J781" s="214">
        <v>0</v>
      </c>
    </row>
    <row r="782" spans="2:10" ht="14.25" customHeight="1">
      <c r="B782" s="250">
        <v>12</v>
      </c>
      <c r="C782" s="240">
        <v>0</v>
      </c>
      <c r="D782" s="240">
        <v>0</v>
      </c>
      <c r="E782" s="250"/>
      <c r="H782" s="204">
        <v>12</v>
      </c>
      <c r="I782" s="204">
        <v>12</v>
      </c>
      <c r="J782" s="204">
        <v>12</v>
      </c>
    </row>
    <row r="783" spans="2:10" ht="30" customHeight="1">
      <c r="B783" s="250" t="s">
        <v>2480</v>
      </c>
      <c r="C783" s="158">
        <v>8</v>
      </c>
      <c r="D783" s="158">
        <v>8</v>
      </c>
      <c r="E783" s="277" t="s">
        <v>2481</v>
      </c>
      <c r="F783" s="314" t="s">
        <v>2482</v>
      </c>
      <c r="G783" s="314" t="s">
        <v>2483</v>
      </c>
      <c r="H783" s="277" t="s">
        <v>2484</v>
      </c>
      <c r="I783" s="250" t="s">
        <v>2485</v>
      </c>
      <c r="J783" s="277" t="s">
        <v>2486</v>
      </c>
    </row>
    <row r="784" spans="2:10" ht="90" customHeight="1">
      <c r="B784" s="277" t="s">
        <v>2487</v>
      </c>
      <c r="C784" s="277" t="s">
        <v>2488</v>
      </c>
      <c r="D784" s="277" t="s">
        <v>2488</v>
      </c>
      <c r="E784" s="277" t="s">
        <v>2489</v>
      </c>
      <c r="F784" s="314" t="s">
        <v>2490</v>
      </c>
      <c r="G784" s="314" t="s">
        <v>2491</v>
      </c>
      <c r="H784" s="277" t="s">
        <v>2492</v>
      </c>
      <c r="I784" s="277" t="s">
        <v>2493</v>
      </c>
      <c r="J784" s="158" t="s">
        <v>2494</v>
      </c>
    </row>
    <row r="785" spans="2:10" ht="60" customHeight="1">
      <c r="B785" s="277" t="s">
        <v>2495</v>
      </c>
      <c r="C785" s="277" t="s">
        <v>2496</v>
      </c>
      <c r="D785" s="277" t="s">
        <v>2496</v>
      </c>
      <c r="E785" s="277" t="s">
        <v>2497</v>
      </c>
      <c r="F785" s="314" t="s">
        <v>2498</v>
      </c>
      <c r="G785" s="314" t="s">
        <v>2499</v>
      </c>
      <c r="H785" s="277" t="s">
        <v>2500</v>
      </c>
      <c r="I785" s="277" t="s">
        <v>2501</v>
      </c>
      <c r="J785" s="277" t="s">
        <v>2502</v>
      </c>
    </row>
    <row r="786" spans="2:10" ht="63" customHeight="1">
      <c r="B786" s="277" t="s">
        <v>2503</v>
      </c>
      <c r="C786" s="277" t="s">
        <v>2504</v>
      </c>
      <c r="D786" s="277" t="s">
        <v>2504</v>
      </c>
      <c r="E786" s="277" t="s">
        <v>2505</v>
      </c>
      <c r="F786" s="314" t="s">
        <v>2506</v>
      </c>
      <c r="G786" s="314" t="s">
        <v>2507</v>
      </c>
      <c r="H786" s="277" t="s">
        <v>2508</v>
      </c>
      <c r="I786" s="277" t="s">
        <v>2509</v>
      </c>
      <c r="J786" s="158" t="s">
        <v>2510</v>
      </c>
    </row>
    <row r="787" spans="2:10" ht="54.75" customHeight="1">
      <c r="B787" s="277" t="s">
        <v>2511</v>
      </c>
      <c r="C787" s="277" t="s">
        <v>2512</v>
      </c>
      <c r="D787" s="277" t="s">
        <v>2512</v>
      </c>
      <c r="E787" s="277" t="s">
        <v>2513</v>
      </c>
      <c r="F787" s="314" t="s">
        <v>2514</v>
      </c>
      <c r="G787" s="314" t="s">
        <v>2515</v>
      </c>
      <c r="H787" s="277" t="s">
        <v>2516</v>
      </c>
      <c r="I787" s="277" t="s">
        <v>2517</v>
      </c>
      <c r="J787" s="277" t="s">
        <v>2518</v>
      </c>
    </row>
    <row r="788" spans="2:10" ht="69" customHeight="1">
      <c r="B788" s="204" t="s">
        <v>2519</v>
      </c>
      <c r="C788" s="277" t="s">
        <v>2520</v>
      </c>
      <c r="D788" s="277" t="s">
        <v>2520</v>
      </c>
      <c r="E788" s="335" t="s">
        <v>2521</v>
      </c>
      <c r="F788" s="314"/>
      <c r="H788" s="277"/>
      <c r="I788" s="314" t="s">
        <v>2522</v>
      </c>
      <c r="J788" s="277" t="s">
        <v>2523</v>
      </c>
    </row>
    <row r="789" spans="2:10" ht="14.25" customHeight="1">
      <c r="H789" s="277"/>
      <c r="I789" s="314"/>
    </row>
  </sheetData>
  <mergeCells count="5">
    <mergeCell ref="B243:K248"/>
    <mergeCell ref="E1:K10"/>
    <mergeCell ref="B580:J584"/>
    <mergeCell ref="B755:J759"/>
    <mergeCell ref="B481:K485"/>
  </mergeCells>
  <pageMargins left="0.7" right="0.7" top="0.75" bottom="0.75" header="0.3" footer="0.3"/>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39997558519241921"/>
  </sheetPr>
  <dimension ref="A1:B303"/>
  <sheetViews>
    <sheetView zoomScaleNormal="100" workbookViewId="0">
      <selection activeCell="B30" sqref="B30"/>
    </sheetView>
  </sheetViews>
  <sheetFormatPr defaultRowHeight="19.75"/>
  <cols>
    <col min="1" max="1" width="18.78515625" style="663" bestFit="1" customWidth="1"/>
    <col min="2" max="2" width="237.35546875" style="690" customWidth="1"/>
  </cols>
  <sheetData>
    <row r="1" spans="1:2" ht="24.45" customHeight="1">
      <c r="A1" s="663" t="s">
        <v>2524</v>
      </c>
      <c r="B1" s="662" t="s">
        <v>5807</v>
      </c>
    </row>
    <row r="2" spans="1:2" ht="24.45" customHeight="1">
      <c r="A2" s="663" t="s">
        <v>2525</v>
      </c>
      <c r="B2" s="663" t="s">
        <v>2526</v>
      </c>
    </row>
    <row r="3" spans="1:2" ht="24.45" customHeight="1">
      <c r="A3" s="663" t="s">
        <v>5806</v>
      </c>
      <c r="B3" s="663" t="s">
        <v>2527</v>
      </c>
    </row>
    <row r="4" spans="1:2" ht="24.45" customHeight="1">
      <c r="A4" s="663" t="s">
        <v>2528</v>
      </c>
      <c r="B4" s="663" t="s">
        <v>2529</v>
      </c>
    </row>
    <row r="5" spans="1:2" ht="24.45" customHeight="1">
      <c r="A5" s="663" t="s">
        <v>2530</v>
      </c>
      <c r="B5" s="663" t="s">
        <v>2531</v>
      </c>
    </row>
    <row r="6" spans="1:2" ht="24.45" customHeight="1">
      <c r="A6" s="663" t="s">
        <v>2532</v>
      </c>
      <c r="B6" s="663" t="s">
        <v>2533</v>
      </c>
    </row>
    <row r="7" spans="1:2" ht="24.45" customHeight="1">
      <c r="A7" s="663" t="s">
        <v>2534</v>
      </c>
      <c r="B7" s="663" t="s">
        <v>2535</v>
      </c>
    </row>
    <row r="8" spans="1:2" ht="24.45" customHeight="1">
      <c r="B8" s="663"/>
    </row>
    <row r="9" spans="1:2" ht="19.75" customHeight="1">
      <c r="A9" s="663" t="s">
        <v>2536</v>
      </c>
      <c r="B9" s="662" t="s">
        <v>5808</v>
      </c>
    </row>
    <row r="10" spans="1:2" ht="24.45" customHeight="1">
      <c r="A10" s="663" t="s">
        <v>2525</v>
      </c>
      <c r="B10" s="663" t="s">
        <v>2537</v>
      </c>
    </row>
    <row r="11" spans="1:2" ht="24.45" customHeight="1">
      <c r="A11" s="663" t="s">
        <v>5806</v>
      </c>
      <c r="B11" s="663" t="s">
        <v>2538</v>
      </c>
    </row>
    <row r="12" spans="1:2" ht="24.45" customHeight="1">
      <c r="A12" s="663" t="s">
        <v>2528</v>
      </c>
      <c r="B12" s="663" t="s">
        <v>2539</v>
      </c>
    </row>
    <row r="13" spans="1:2" ht="24.45" customHeight="1">
      <c r="A13" s="663" t="s">
        <v>2530</v>
      </c>
      <c r="B13" s="663" t="s">
        <v>2540</v>
      </c>
    </row>
    <row r="14" spans="1:2" ht="24.45" customHeight="1">
      <c r="A14" s="663" t="s">
        <v>2532</v>
      </c>
      <c r="B14" s="663" t="s">
        <v>2541</v>
      </c>
    </row>
    <row r="15" spans="1:2" ht="24.45" customHeight="1">
      <c r="A15" s="663" t="s">
        <v>2534</v>
      </c>
      <c r="B15" s="663" t="s">
        <v>2542</v>
      </c>
    </row>
    <row r="16" spans="1:2" ht="24.45" customHeight="1">
      <c r="B16" s="663"/>
    </row>
    <row r="17" spans="1:2" ht="19.75" customHeight="1">
      <c r="A17" s="663" t="s">
        <v>2543</v>
      </c>
      <c r="B17" s="662" t="s">
        <v>5809</v>
      </c>
    </row>
    <row r="18" spans="1:2" ht="24.45" customHeight="1">
      <c r="A18" s="663" t="s">
        <v>2525</v>
      </c>
      <c r="B18" s="663" t="s">
        <v>2544</v>
      </c>
    </row>
    <row r="19" spans="1:2" ht="24.45" customHeight="1">
      <c r="A19" s="663" t="s">
        <v>5806</v>
      </c>
      <c r="B19" s="663" t="s">
        <v>2545</v>
      </c>
    </row>
    <row r="20" spans="1:2" ht="24.45" customHeight="1">
      <c r="A20" s="663" t="s">
        <v>2528</v>
      </c>
      <c r="B20" s="663" t="s">
        <v>2546</v>
      </c>
    </row>
    <row r="21" spans="1:2" ht="24.45" customHeight="1">
      <c r="A21" s="663" t="s">
        <v>2530</v>
      </c>
      <c r="B21" s="663" t="s">
        <v>2547</v>
      </c>
    </row>
    <row r="22" spans="1:2" ht="24.45" customHeight="1">
      <c r="A22" s="663" t="s">
        <v>2532</v>
      </c>
      <c r="B22" s="663" t="s">
        <v>2548</v>
      </c>
    </row>
    <row r="23" spans="1:2" ht="24.45" customHeight="1">
      <c r="A23" s="663" t="s">
        <v>2534</v>
      </c>
      <c r="B23" s="663" t="s">
        <v>2549</v>
      </c>
    </row>
    <row r="24" spans="1:2" ht="24.45" customHeight="1">
      <c r="B24" s="663"/>
    </row>
    <row r="25" spans="1:2" ht="19.75" customHeight="1">
      <c r="A25" s="663" t="s">
        <v>2550</v>
      </c>
      <c r="B25" s="662" t="s">
        <v>5810</v>
      </c>
    </row>
    <row r="26" spans="1:2" ht="24.45" customHeight="1">
      <c r="A26" s="663" t="s">
        <v>2525</v>
      </c>
      <c r="B26" s="663" t="s">
        <v>2551</v>
      </c>
    </row>
    <row r="27" spans="1:2" ht="24.45" customHeight="1">
      <c r="A27" s="663" t="s">
        <v>5806</v>
      </c>
      <c r="B27" s="663" t="s">
        <v>2552</v>
      </c>
    </row>
    <row r="28" spans="1:2" ht="24.45" customHeight="1">
      <c r="A28" s="663" t="s">
        <v>2528</v>
      </c>
      <c r="B28" s="663" t="s">
        <v>2553</v>
      </c>
    </row>
    <row r="29" spans="1:2" ht="24.45" customHeight="1">
      <c r="A29" s="663" t="s">
        <v>2530</v>
      </c>
      <c r="B29" s="663" t="s">
        <v>2554</v>
      </c>
    </row>
    <row r="30" spans="1:2" ht="24.45" customHeight="1">
      <c r="A30" s="663" t="s">
        <v>2532</v>
      </c>
      <c r="B30" s="663" t="s">
        <v>2555</v>
      </c>
    </row>
    <row r="31" spans="1:2" ht="24.45" customHeight="1">
      <c r="A31" s="663" t="s">
        <v>2534</v>
      </c>
      <c r="B31" s="664" t="s">
        <v>2556</v>
      </c>
    </row>
    <row r="32" spans="1:2" ht="24.45" customHeight="1">
      <c r="B32" s="663"/>
    </row>
    <row r="33" spans="1:2" ht="19.75" customHeight="1">
      <c r="A33" s="663" t="s">
        <v>2557</v>
      </c>
      <c r="B33" s="662" t="s">
        <v>5811</v>
      </c>
    </row>
    <row r="34" spans="1:2" ht="24.45" customHeight="1">
      <c r="A34" s="663" t="s">
        <v>2525</v>
      </c>
      <c r="B34" s="663" t="s">
        <v>2558</v>
      </c>
    </row>
    <row r="35" spans="1:2" ht="24.45" customHeight="1">
      <c r="A35" s="663" t="s">
        <v>5806</v>
      </c>
      <c r="B35" s="663" t="s">
        <v>2559</v>
      </c>
    </row>
    <row r="36" spans="1:2" ht="24.45" customHeight="1">
      <c r="A36" s="663" t="s">
        <v>2528</v>
      </c>
      <c r="B36" s="663" t="s">
        <v>2560</v>
      </c>
    </row>
    <row r="37" spans="1:2" ht="24.45" customHeight="1">
      <c r="A37" s="663" t="s">
        <v>2530</v>
      </c>
      <c r="B37" s="663" t="s">
        <v>2561</v>
      </c>
    </row>
    <row r="38" spans="1:2" ht="24.45" customHeight="1">
      <c r="A38" s="663" t="s">
        <v>2532</v>
      </c>
      <c r="B38" s="663" t="s">
        <v>2562</v>
      </c>
    </row>
    <row r="39" spans="1:2" ht="24.45" customHeight="1">
      <c r="A39" s="663" t="s">
        <v>2534</v>
      </c>
      <c r="B39" s="663" t="s">
        <v>2563</v>
      </c>
    </row>
    <row r="40" spans="1:2" ht="24.45" customHeight="1">
      <c r="B40" s="663"/>
    </row>
    <row r="41" spans="1:2" ht="19.75" customHeight="1">
      <c r="A41" s="663" t="s">
        <v>2564</v>
      </c>
      <c r="B41" s="662" t="s">
        <v>5812</v>
      </c>
    </row>
    <row r="42" spans="1:2" ht="24.45" customHeight="1">
      <c r="A42" s="663" t="s">
        <v>2525</v>
      </c>
      <c r="B42" s="663" t="s">
        <v>2565</v>
      </c>
    </row>
    <row r="43" spans="1:2" ht="24.45" customHeight="1">
      <c r="A43" s="663" t="s">
        <v>5806</v>
      </c>
      <c r="B43" s="663" t="s">
        <v>2566</v>
      </c>
    </row>
    <row r="44" spans="1:2" ht="24.45" customHeight="1">
      <c r="A44" s="663" t="s">
        <v>2528</v>
      </c>
      <c r="B44" s="663" t="s">
        <v>2567</v>
      </c>
    </row>
    <row r="45" spans="1:2" ht="24.45" customHeight="1">
      <c r="A45" s="663" t="s">
        <v>2530</v>
      </c>
      <c r="B45" s="663" t="s">
        <v>2568</v>
      </c>
    </row>
    <row r="46" spans="1:2" ht="24.45" customHeight="1">
      <c r="A46" s="663" t="s">
        <v>2532</v>
      </c>
      <c r="B46" s="663" t="s">
        <v>2569</v>
      </c>
    </row>
    <row r="47" spans="1:2" ht="24.45" customHeight="1">
      <c r="A47" s="663" t="s">
        <v>2534</v>
      </c>
      <c r="B47" s="663" t="s">
        <v>2570</v>
      </c>
    </row>
    <row r="48" spans="1:2" ht="24.45" customHeight="1">
      <c r="B48" s="663"/>
    </row>
    <row r="49" spans="1:2" ht="19.75" customHeight="1">
      <c r="A49" s="663" t="s">
        <v>2571</v>
      </c>
      <c r="B49" s="662" t="s">
        <v>5813</v>
      </c>
    </row>
    <row r="50" spans="1:2" ht="24.45" customHeight="1">
      <c r="A50" s="663" t="s">
        <v>2525</v>
      </c>
      <c r="B50" s="663" t="s">
        <v>2572</v>
      </c>
    </row>
    <row r="51" spans="1:2" ht="24.45" customHeight="1">
      <c r="A51" s="663" t="s">
        <v>5806</v>
      </c>
      <c r="B51" s="663" t="s">
        <v>2573</v>
      </c>
    </row>
    <row r="52" spans="1:2" ht="24.45" customHeight="1">
      <c r="A52" s="663" t="s">
        <v>2528</v>
      </c>
      <c r="B52" s="663" t="s">
        <v>2574</v>
      </c>
    </row>
    <row r="53" spans="1:2" ht="24.45" customHeight="1">
      <c r="A53" s="663" t="s">
        <v>2530</v>
      </c>
      <c r="B53" s="663" t="s">
        <v>2575</v>
      </c>
    </row>
    <row r="54" spans="1:2" ht="24.45" customHeight="1">
      <c r="A54" s="663" t="s">
        <v>2532</v>
      </c>
      <c r="B54" s="663" t="s">
        <v>2576</v>
      </c>
    </row>
    <row r="55" spans="1:2" ht="24.45" customHeight="1">
      <c r="A55" s="663" t="s">
        <v>2534</v>
      </c>
      <c r="B55" s="663" t="s">
        <v>2577</v>
      </c>
    </row>
    <row r="56" spans="1:2" ht="24.45" customHeight="1">
      <c r="B56" s="663"/>
    </row>
    <row r="57" spans="1:2" ht="19.75" customHeight="1">
      <c r="A57" s="663" t="s">
        <v>2578</v>
      </c>
      <c r="B57" s="662" t="s">
        <v>2579</v>
      </c>
    </row>
    <row r="58" spans="1:2" ht="24.45" customHeight="1">
      <c r="A58" s="663" t="s">
        <v>2525</v>
      </c>
      <c r="B58" s="663" t="s">
        <v>2580</v>
      </c>
    </row>
    <row r="59" spans="1:2" ht="24.45" customHeight="1">
      <c r="A59" s="663" t="s">
        <v>5806</v>
      </c>
      <c r="B59" s="663" t="s">
        <v>5805</v>
      </c>
    </row>
    <row r="60" spans="1:2" ht="24.45" customHeight="1">
      <c r="A60" s="663" t="s">
        <v>2528</v>
      </c>
      <c r="B60" s="663" t="s">
        <v>2581</v>
      </c>
    </row>
    <row r="61" spans="1:2" ht="24.45" customHeight="1">
      <c r="A61" s="663" t="s">
        <v>2530</v>
      </c>
      <c r="B61" s="663" t="s">
        <v>2582</v>
      </c>
    </row>
    <row r="62" spans="1:2" ht="24.45" customHeight="1">
      <c r="A62" s="663" t="s">
        <v>2532</v>
      </c>
      <c r="B62" s="663" t="s">
        <v>2583</v>
      </c>
    </row>
    <row r="63" spans="1:2" ht="24.45" customHeight="1">
      <c r="A63" s="663" t="s">
        <v>2534</v>
      </c>
      <c r="B63" s="663" t="s">
        <v>2584</v>
      </c>
    </row>
    <row r="64" spans="1:2" ht="24.45" customHeight="1">
      <c r="B64" s="663"/>
    </row>
    <row r="65" spans="1:2" ht="19.75" customHeight="1">
      <c r="A65" s="663" t="s">
        <v>2585</v>
      </c>
      <c r="B65" s="662" t="s">
        <v>5814</v>
      </c>
    </row>
    <row r="66" spans="1:2" ht="24.45" customHeight="1">
      <c r="A66" s="663" t="s">
        <v>2525</v>
      </c>
      <c r="B66" s="663" t="s">
        <v>2586</v>
      </c>
    </row>
    <row r="67" spans="1:2" ht="24.45" customHeight="1">
      <c r="A67" s="663" t="s">
        <v>5806</v>
      </c>
      <c r="B67" s="663" t="s">
        <v>2587</v>
      </c>
    </row>
    <row r="68" spans="1:2" ht="24.45" customHeight="1">
      <c r="A68" s="663" t="s">
        <v>2528</v>
      </c>
      <c r="B68" s="663" t="s">
        <v>2588</v>
      </c>
    </row>
    <row r="69" spans="1:2" ht="24.45" customHeight="1">
      <c r="A69" s="663" t="s">
        <v>2530</v>
      </c>
      <c r="B69" s="663" t="s">
        <v>2589</v>
      </c>
    </row>
    <row r="70" spans="1:2" ht="24.45" customHeight="1">
      <c r="A70" s="663" t="s">
        <v>2532</v>
      </c>
      <c r="B70" s="663" t="s">
        <v>2590</v>
      </c>
    </row>
    <row r="71" spans="1:2" ht="24.45" customHeight="1">
      <c r="A71" s="663" t="s">
        <v>2534</v>
      </c>
      <c r="B71" s="663" t="s">
        <v>2591</v>
      </c>
    </row>
    <row r="72" spans="1:2" ht="24.45" customHeight="1">
      <c r="B72" s="663"/>
    </row>
    <row r="73" spans="1:2" ht="19.75" customHeight="1">
      <c r="A73" s="663" t="s">
        <v>2592</v>
      </c>
      <c r="B73" s="662" t="s">
        <v>2593</v>
      </c>
    </row>
    <row r="74" spans="1:2" ht="24.45" customHeight="1">
      <c r="A74" s="663" t="s">
        <v>2525</v>
      </c>
      <c r="B74" s="663" t="s">
        <v>2594</v>
      </c>
    </row>
    <row r="75" spans="1:2" ht="24.45" customHeight="1">
      <c r="A75" s="663" t="s">
        <v>5806</v>
      </c>
      <c r="B75" s="663" t="s">
        <v>2595</v>
      </c>
    </row>
    <row r="76" spans="1:2" ht="24.45" customHeight="1">
      <c r="A76" s="663" t="s">
        <v>2528</v>
      </c>
      <c r="B76" s="664" t="s">
        <v>2596</v>
      </c>
    </row>
    <row r="77" spans="1:2" ht="24.45" customHeight="1">
      <c r="A77" s="663" t="s">
        <v>2530</v>
      </c>
      <c r="B77" s="663" t="s">
        <v>2597</v>
      </c>
    </row>
    <row r="78" spans="1:2" ht="24.45" customHeight="1">
      <c r="A78" s="663" t="s">
        <v>2532</v>
      </c>
      <c r="B78" s="663" t="s">
        <v>2598</v>
      </c>
    </row>
    <row r="79" spans="1:2" ht="24.45" customHeight="1">
      <c r="A79" s="663" t="s">
        <v>2534</v>
      </c>
      <c r="B79" s="663" t="s">
        <v>2599</v>
      </c>
    </row>
    <row r="80" spans="1:2" ht="24.45" customHeight="1">
      <c r="B80" s="663"/>
    </row>
    <row r="81" spans="1:2" ht="19.75" customHeight="1">
      <c r="A81" s="663" t="s">
        <v>2600</v>
      </c>
      <c r="B81" s="662" t="s">
        <v>5815</v>
      </c>
    </row>
    <row r="82" spans="1:2" ht="24.45" customHeight="1">
      <c r="A82" s="663" t="s">
        <v>2525</v>
      </c>
      <c r="B82" s="663" t="s">
        <v>2601</v>
      </c>
    </row>
    <row r="83" spans="1:2" ht="24.45" customHeight="1">
      <c r="A83" s="663" t="s">
        <v>5806</v>
      </c>
      <c r="B83" s="663" t="s">
        <v>2602</v>
      </c>
    </row>
    <row r="84" spans="1:2" ht="24.45" customHeight="1">
      <c r="A84" s="663" t="s">
        <v>2528</v>
      </c>
      <c r="B84" s="663" t="s">
        <v>2603</v>
      </c>
    </row>
    <row r="85" spans="1:2" ht="24.45" customHeight="1">
      <c r="A85" s="663" t="s">
        <v>2530</v>
      </c>
      <c r="B85" s="663" t="s">
        <v>2604</v>
      </c>
    </row>
    <row r="86" spans="1:2" ht="24.45" customHeight="1">
      <c r="A86" s="663" t="s">
        <v>2532</v>
      </c>
      <c r="B86" s="663" t="s">
        <v>2605</v>
      </c>
    </row>
    <row r="87" spans="1:2" ht="24.45" customHeight="1">
      <c r="A87" s="663" t="s">
        <v>2534</v>
      </c>
      <c r="B87" s="663" t="s">
        <v>2606</v>
      </c>
    </row>
    <row r="88" spans="1:2" ht="24.45" customHeight="1">
      <c r="B88" s="663"/>
    </row>
    <row r="89" spans="1:2" ht="19.75" customHeight="1">
      <c r="A89" s="663" t="s">
        <v>2607</v>
      </c>
      <c r="B89" s="662" t="s">
        <v>5816</v>
      </c>
    </row>
    <row r="90" spans="1:2" ht="24.45" customHeight="1">
      <c r="A90" s="663" t="s">
        <v>2525</v>
      </c>
      <c r="B90" s="663" t="s">
        <v>2608</v>
      </c>
    </row>
    <row r="91" spans="1:2" ht="24.45" customHeight="1">
      <c r="A91" s="663" t="s">
        <v>5806</v>
      </c>
      <c r="B91" s="663" t="s">
        <v>2609</v>
      </c>
    </row>
    <row r="92" spans="1:2" ht="24.45" customHeight="1">
      <c r="A92" s="663" t="s">
        <v>2528</v>
      </c>
      <c r="B92" s="663" t="s">
        <v>2610</v>
      </c>
    </row>
    <row r="93" spans="1:2" ht="24.45" customHeight="1">
      <c r="A93" s="663" t="s">
        <v>2530</v>
      </c>
      <c r="B93" s="663" t="s">
        <v>2611</v>
      </c>
    </row>
    <row r="94" spans="1:2" ht="24.45" customHeight="1">
      <c r="A94" s="663" t="s">
        <v>2532</v>
      </c>
      <c r="B94" s="663" t="s">
        <v>2612</v>
      </c>
    </row>
    <row r="95" spans="1:2" ht="24.45" customHeight="1">
      <c r="A95" s="663" t="s">
        <v>2534</v>
      </c>
      <c r="B95" s="663" t="s">
        <v>2613</v>
      </c>
    </row>
    <row r="96" spans="1:2" ht="24.45" customHeight="1">
      <c r="B96" s="663"/>
    </row>
    <row r="97" spans="1:2" ht="19.75" customHeight="1">
      <c r="A97" s="663" t="s">
        <v>5817</v>
      </c>
      <c r="B97" s="662" t="s">
        <v>5818</v>
      </c>
    </row>
    <row r="98" spans="1:2" ht="24.45" customHeight="1">
      <c r="A98" s="663" t="s">
        <v>2525</v>
      </c>
      <c r="B98" s="663" t="s">
        <v>5843</v>
      </c>
    </row>
    <row r="99" spans="1:2" ht="24.45" customHeight="1">
      <c r="A99" s="663" t="s">
        <v>5806</v>
      </c>
      <c r="B99" s="663" t="s">
        <v>5846</v>
      </c>
    </row>
    <row r="100" spans="1:2" ht="24.45" customHeight="1">
      <c r="A100" s="663" t="s">
        <v>2528</v>
      </c>
      <c r="B100" s="663" t="s">
        <v>5844</v>
      </c>
    </row>
    <row r="101" spans="1:2" ht="24.45" customHeight="1">
      <c r="A101" s="663" t="s">
        <v>2530</v>
      </c>
      <c r="B101" s="663" t="s">
        <v>5842</v>
      </c>
    </row>
    <row r="102" spans="1:2" ht="24.45" customHeight="1">
      <c r="A102" s="663" t="s">
        <v>2532</v>
      </c>
      <c r="B102" s="663" t="s">
        <v>5845</v>
      </c>
    </row>
    <row r="103" spans="1:2" ht="24.45" customHeight="1">
      <c r="A103" s="663" t="s">
        <v>2534</v>
      </c>
      <c r="B103" s="663" t="s">
        <v>5847</v>
      </c>
    </row>
    <row r="104" spans="1:2" ht="24.45" customHeight="1">
      <c r="B104" s="663"/>
    </row>
    <row r="105" spans="1:2" ht="19.75" customHeight="1">
      <c r="A105" s="663" t="s">
        <v>2614</v>
      </c>
      <c r="B105" s="662" t="s">
        <v>5819</v>
      </c>
    </row>
    <row r="106" spans="1:2" ht="24.45" customHeight="1">
      <c r="A106" s="663" t="s">
        <v>2525</v>
      </c>
      <c r="B106" s="663" t="s">
        <v>2615</v>
      </c>
    </row>
    <row r="107" spans="1:2" ht="24.45" customHeight="1">
      <c r="A107" s="663" t="s">
        <v>5806</v>
      </c>
      <c r="B107" s="663" t="s">
        <v>2616</v>
      </c>
    </row>
    <row r="108" spans="1:2" ht="24.45" customHeight="1">
      <c r="A108" s="663" t="s">
        <v>2528</v>
      </c>
      <c r="B108" s="663" t="s">
        <v>2617</v>
      </c>
    </row>
    <row r="109" spans="1:2" ht="24.45" customHeight="1">
      <c r="A109" s="663" t="s">
        <v>2530</v>
      </c>
      <c r="B109" s="663" t="s">
        <v>2618</v>
      </c>
    </row>
    <row r="110" spans="1:2" ht="24.45" customHeight="1">
      <c r="A110" s="663" t="s">
        <v>2532</v>
      </c>
      <c r="B110" s="663" t="s">
        <v>2619</v>
      </c>
    </row>
    <row r="111" spans="1:2" ht="24.45" customHeight="1">
      <c r="A111" s="663" t="s">
        <v>2534</v>
      </c>
      <c r="B111" s="663" t="s">
        <v>2620</v>
      </c>
    </row>
    <row r="112" spans="1:2" ht="24.45" customHeight="1">
      <c r="B112" s="663"/>
    </row>
    <row r="113" spans="1:2" s="658" customFormat="1" ht="24.45" customHeight="1">
      <c r="A113" s="663" t="s">
        <v>2621</v>
      </c>
      <c r="B113" s="662" t="s">
        <v>5820</v>
      </c>
    </row>
    <row r="114" spans="1:2" s="658" customFormat="1" ht="24.45" customHeight="1">
      <c r="A114" s="663" t="s">
        <v>2525</v>
      </c>
      <c r="B114" s="663" t="s">
        <v>2622</v>
      </c>
    </row>
    <row r="115" spans="1:2" s="658" customFormat="1" ht="24.45" customHeight="1">
      <c r="A115" s="663" t="s">
        <v>5806</v>
      </c>
      <c r="B115" s="663" t="s">
        <v>2623</v>
      </c>
    </row>
    <row r="116" spans="1:2" s="658" customFormat="1" ht="24.45" customHeight="1">
      <c r="A116" s="663" t="s">
        <v>2528</v>
      </c>
      <c r="B116" s="663" t="s">
        <v>2624</v>
      </c>
    </row>
    <row r="117" spans="1:2" s="658" customFormat="1" ht="24.45" customHeight="1">
      <c r="A117" s="663" t="s">
        <v>2530</v>
      </c>
      <c r="B117" s="663" t="s">
        <v>2625</v>
      </c>
    </row>
    <row r="118" spans="1:2" s="658" customFormat="1" ht="24.45" customHeight="1">
      <c r="A118" s="663" t="s">
        <v>2532</v>
      </c>
      <c r="B118" s="663" t="s">
        <v>2626</v>
      </c>
    </row>
    <row r="119" spans="1:2" s="658" customFormat="1" ht="24.45" customHeight="1">
      <c r="A119" s="663" t="s">
        <v>2534</v>
      </c>
      <c r="B119" s="663" t="s">
        <v>2627</v>
      </c>
    </row>
    <row r="120" spans="1:2" s="658" customFormat="1" ht="24.45" customHeight="1">
      <c r="A120" s="663"/>
      <c r="B120" s="663"/>
    </row>
    <row r="121" spans="1:2" ht="19.75" customHeight="1">
      <c r="A121" s="663" t="s">
        <v>5799</v>
      </c>
      <c r="B121" s="662" t="s">
        <v>5800</v>
      </c>
    </row>
    <row r="122" spans="1:2" ht="24.45" customHeight="1">
      <c r="A122" s="663" t="s">
        <v>2525</v>
      </c>
      <c r="B122" s="663" t="s">
        <v>5838</v>
      </c>
    </row>
    <row r="123" spans="1:2" ht="24.45" customHeight="1">
      <c r="A123" s="663" t="s">
        <v>5806</v>
      </c>
      <c r="B123" s="663" t="s">
        <v>5840</v>
      </c>
    </row>
    <row r="124" spans="1:2" ht="24.45" customHeight="1">
      <c r="A124" s="663" t="s">
        <v>2528</v>
      </c>
      <c r="B124" s="663" t="s">
        <v>5836</v>
      </c>
    </row>
    <row r="125" spans="1:2" ht="24.45" customHeight="1">
      <c r="A125" s="663" t="s">
        <v>2530</v>
      </c>
      <c r="B125" s="663" t="s">
        <v>5839</v>
      </c>
    </row>
    <row r="126" spans="1:2" ht="24.45" customHeight="1">
      <c r="A126" s="663" t="s">
        <v>2532</v>
      </c>
      <c r="B126" s="663" t="s">
        <v>5841</v>
      </c>
    </row>
    <row r="127" spans="1:2" ht="24.45" customHeight="1">
      <c r="A127" s="663" t="s">
        <v>2534</v>
      </c>
      <c r="B127" s="663" t="s">
        <v>5837</v>
      </c>
    </row>
    <row r="128" spans="1:2" ht="24.45" customHeight="1">
      <c r="B128" s="663"/>
    </row>
    <row r="129" spans="1:2" ht="20.149999999999999">
      <c r="A129" s="663" t="s">
        <v>2628</v>
      </c>
      <c r="B129" s="662" t="s">
        <v>5821</v>
      </c>
    </row>
    <row r="130" spans="1:2" ht="24.45" customHeight="1">
      <c r="A130" s="663" t="s">
        <v>2525</v>
      </c>
      <c r="B130" s="663" t="s">
        <v>2629</v>
      </c>
    </row>
    <row r="131" spans="1:2" ht="24.45" customHeight="1">
      <c r="A131" s="663" t="s">
        <v>5806</v>
      </c>
      <c r="B131" s="663" t="s">
        <v>2630</v>
      </c>
    </row>
    <row r="132" spans="1:2" ht="24.45" customHeight="1">
      <c r="A132" s="663" t="s">
        <v>2528</v>
      </c>
      <c r="B132" s="663" t="s">
        <v>2631</v>
      </c>
    </row>
    <row r="133" spans="1:2" ht="24.45" customHeight="1">
      <c r="A133" s="663" t="s">
        <v>2530</v>
      </c>
      <c r="B133" s="663" t="s">
        <v>2632</v>
      </c>
    </row>
    <row r="134" spans="1:2" ht="24.45" customHeight="1">
      <c r="A134" s="663" t="s">
        <v>2532</v>
      </c>
      <c r="B134" s="663" t="s">
        <v>2633</v>
      </c>
    </row>
    <row r="135" spans="1:2" ht="24.45" customHeight="1">
      <c r="A135" s="663" t="s">
        <v>2534</v>
      </c>
      <c r="B135" s="663" t="s">
        <v>2634</v>
      </c>
    </row>
    <row r="136" spans="1:2" ht="24.45" customHeight="1">
      <c r="B136" s="337"/>
    </row>
    <row r="137" spans="1:2" ht="19.75" customHeight="1">
      <c r="A137" s="663" t="s">
        <v>2635</v>
      </c>
      <c r="B137" s="662" t="s">
        <v>5822</v>
      </c>
    </row>
    <row r="138" spans="1:2" ht="24.45" customHeight="1">
      <c r="A138" s="663" t="s">
        <v>2525</v>
      </c>
      <c r="B138" s="663" t="s">
        <v>2636</v>
      </c>
    </row>
    <row r="139" spans="1:2" ht="24.45" customHeight="1">
      <c r="A139" s="663" t="s">
        <v>5806</v>
      </c>
      <c r="B139" s="663" t="s">
        <v>2637</v>
      </c>
    </row>
    <row r="140" spans="1:2" ht="24.45" customHeight="1">
      <c r="A140" s="663" t="s">
        <v>2528</v>
      </c>
      <c r="B140" s="663" t="s">
        <v>2638</v>
      </c>
    </row>
    <row r="141" spans="1:2" ht="24.45" customHeight="1">
      <c r="A141" s="663" t="s">
        <v>2530</v>
      </c>
      <c r="B141" s="663" t="s">
        <v>2639</v>
      </c>
    </row>
    <row r="142" spans="1:2" ht="24.45" customHeight="1">
      <c r="A142" s="663" t="s">
        <v>2532</v>
      </c>
      <c r="B142" s="663" t="s">
        <v>2640</v>
      </c>
    </row>
    <row r="143" spans="1:2" ht="24.45" customHeight="1">
      <c r="A143" s="663" t="s">
        <v>2534</v>
      </c>
      <c r="B143" s="663" t="s">
        <v>2641</v>
      </c>
    </row>
    <row r="144" spans="1:2" ht="24.45" customHeight="1">
      <c r="B144" s="663"/>
    </row>
    <row r="145" spans="1:2" ht="19.75" customHeight="1">
      <c r="A145" s="663" t="s">
        <v>2642</v>
      </c>
      <c r="B145" s="662" t="s">
        <v>5823</v>
      </c>
    </row>
    <row r="146" spans="1:2" ht="24.45" customHeight="1">
      <c r="A146" s="663" t="s">
        <v>2525</v>
      </c>
      <c r="B146" s="663" t="s">
        <v>2643</v>
      </c>
    </row>
    <row r="147" spans="1:2" ht="24.45" customHeight="1">
      <c r="A147" s="663" t="s">
        <v>5806</v>
      </c>
      <c r="B147" s="663" t="s">
        <v>2644</v>
      </c>
    </row>
    <row r="148" spans="1:2" ht="24.45" customHeight="1">
      <c r="A148" s="663" t="s">
        <v>2528</v>
      </c>
      <c r="B148" s="663" t="s">
        <v>2645</v>
      </c>
    </row>
    <row r="149" spans="1:2" ht="24.45" customHeight="1">
      <c r="A149" s="663" t="s">
        <v>2530</v>
      </c>
      <c r="B149" s="663" t="s">
        <v>2646</v>
      </c>
    </row>
    <row r="150" spans="1:2" ht="24.45" customHeight="1">
      <c r="A150" s="663" t="s">
        <v>2532</v>
      </c>
      <c r="B150" s="663" t="s">
        <v>2647</v>
      </c>
    </row>
    <row r="151" spans="1:2" ht="24.45" customHeight="1">
      <c r="A151" s="663" t="s">
        <v>2534</v>
      </c>
      <c r="B151" s="663" t="s">
        <v>2648</v>
      </c>
    </row>
    <row r="152" spans="1:2" ht="24.45" customHeight="1">
      <c r="B152" s="663"/>
    </row>
    <row r="153" spans="1:2" ht="19.75" customHeight="1">
      <c r="A153" s="663" t="s">
        <v>2649</v>
      </c>
      <c r="B153" s="662" t="s">
        <v>5824</v>
      </c>
    </row>
    <row r="154" spans="1:2" ht="24.45" customHeight="1">
      <c r="A154" s="663" t="s">
        <v>2525</v>
      </c>
      <c r="B154" s="663" t="s">
        <v>2650</v>
      </c>
    </row>
    <row r="155" spans="1:2" ht="24.45" customHeight="1">
      <c r="A155" s="663" t="s">
        <v>5806</v>
      </c>
      <c r="B155" s="663" t="s">
        <v>2651</v>
      </c>
    </row>
    <row r="156" spans="1:2" ht="24.45" customHeight="1">
      <c r="A156" s="663" t="s">
        <v>2528</v>
      </c>
      <c r="B156" s="663" t="s">
        <v>2652</v>
      </c>
    </row>
    <row r="157" spans="1:2" ht="24.45" customHeight="1">
      <c r="A157" s="663" t="s">
        <v>2530</v>
      </c>
      <c r="B157" s="663" t="s">
        <v>2653</v>
      </c>
    </row>
    <row r="158" spans="1:2" ht="24.45" customHeight="1">
      <c r="A158" s="663" t="s">
        <v>2532</v>
      </c>
      <c r="B158" s="663" t="s">
        <v>2654</v>
      </c>
    </row>
    <row r="159" spans="1:2" ht="24.45" customHeight="1">
      <c r="A159" s="663" t="s">
        <v>2534</v>
      </c>
      <c r="B159" s="663" t="s">
        <v>2655</v>
      </c>
    </row>
    <row r="160" spans="1:2" ht="24.45" customHeight="1">
      <c r="B160" s="663"/>
    </row>
    <row r="161" spans="1:2" ht="19.75" customHeight="1">
      <c r="A161" s="663" t="s">
        <v>2656</v>
      </c>
      <c r="B161" s="662" t="s">
        <v>5825</v>
      </c>
    </row>
    <row r="162" spans="1:2" ht="24.45" customHeight="1">
      <c r="A162" s="663" t="s">
        <v>2525</v>
      </c>
      <c r="B162" s="663" t="s">
        <v>2657</v>
      </c>
    </row>
    <row r="163" spans="1:2" ht="24.45" customHeight="1">
      <c r="A163" s="663" t="s">
        <v>5806</v>
      </c>
      <c r="B163" s="663" t="s">
        <v>2658</v>
      </c>
    </row>
    <row r="164" spans="1:2" ht="24.45" customHeight="1">
      <c r="A164" s="663" t="s">
        <v>2528</v>
      </c>
      <c r="B164" s="663" t="s">
        <v>2659</v>
      </c>
    </row>
    <row r="165" spans="1:2" ht="24.45" customHeight="1">
      <c r="A165" s="663" t="s">
        <v>2530</v>
      </c>
      <c r="B165" s="663" t="s">
        <v>2660</v>
      </c>
    </row>
    <row r="166" spans="1:2" ht="24.45" customHeight="1">
      <c r="A166" s="663" t="s">
        <v>2532</v>
      </c>
      <c r="B166" s="663" t="s">
        <v>2661</v>
      </c>
    </row>
    <row r="167" spans="1:2" ht="24.45" customHeight="1">
      <c r="A167" s="663" t="s">
        <v>2534</v>
      </c>
      <c r="B167" s="663" t="s">
        <v>2662</v>
      </c>
    </row>
    <row r="168" spans="1:2" ht="24.45" customHeight="1">
      <c r="B168" s="661"/>
    </row>
    <row r="169" spans="1:2" ht="19.75" customHeight="1">
      <c r="A169" s="663" t="s">
        <v>2663</v>
      </c>
      <c r="B169" s="662" t="s">
        <v>5826</v>
      </c>
    </row>
    <row r="170" spans="1:2" ht="24.45" customHeight="1">
      <c r="A170" s="663" t="s">
        <v>2525</v>
      </c>
      <c r="B170" s="663" t="s">
        <v>2664</v>
      </c>
    </row>
    <row r="171" spans="1:2" ht="24.45" customHeight="1">
      <c r="A171" s="663" t="s">
        <v>5806</v>
      </c>
      <c r="B171" s="663" t="s">
        <v>2665</v>
      </c>
    </row>
    <row r="172" spans="1:2" ht="24.45" customHeight="1">
      <c r="A172" s="663" t="s">
        <v>2528</v>
      </c>
      <c r="B172" s="663" t="s">
        <v>2666</v>
      </c>
    </row>
    <row r="173" spans="1:2" ht="24.45" customHeight="1">
      <c r="A173" s="663" t="s">
        <v>2530</v>
      </c>
      <c r="B173" s="663" t="s">
        <v>2667</v>
      </c>
    </row>
    <row r="174" spans="1:2" ht="24.45" customHeight="1">
      <c r="A174" s="663" t="s">
        <v>2532</v>
      </c>
      <c r="B174" s="663" t="s">
        <v>2668</v>
      </c>
    </row>
    <row r="175" spans="1:2" ht="24.45" customHeight="1">
      <c r="A175" s="663" t="s">
        <v>2534</v>
      </c>
      <c r="B175" s="663" t="s">
        <v>2669</v>
      </c>
    </row>
    <row r="176" spans="1:2" ht="24.45" customHeight="1">
      <c r="B176" s="663"/>
    </row>
    <row r="177" spans="1:2" ht="19.75" customHeight="1">
      <c r="A177" s="663" t="s">
        <v>2670</v>
      </c>
      <c r="B177" s="662" t="s">
        <v>5827</v>
      </c>
    </row>
    <row r="178" spans="1:2" ht="24.45" customHeight="1">
      <c r="A178" s="663" t="s">
        <v>2525</v>
      </c>
      <c r="B178" s="663" t="s">
        <v>2671</v>
      </c>
    </row>
    <row r="179" spans="1:2" ht="24.45" customHeight="1">
      <c r="A179" s="663" t="s">
        <v>5806</v>
      </c>
      <c r="B179" s="663" t="s">
        <v>2672</v>
      </c>
    </row>
    <row r="180" spans="1:2" ht="24.45" customHeight="1">
      <c r="A180" s="663" t="s">
        <v>2528</v>
      </c>
      <c r="B180" s="663" t="s">
        <v>2673</v>
      </c>
    </row>
    <row r="181" spans="1:2" ht="24.45" customHeight="1">
      <c r="A181" s="663" t="s">
        <v>2530</v>
      </c>
      <c r="B181" s="663" t="s">
        <v>2674</v>
      </c>
    </row>
    <row r="182" spans="1:2" ht="24.45" customHeight="1">
      <c r="A182" s="663" t="s">
        <v>2532</v>
      </c>
      <c r="B182" s="663" t="s">
        <v>2675</v>
      </c>
    </row>
    <row r="183" spans="1:2" ht="24.45" customHeight="1">
      <c r="A183" s="663" t="s">
        <v>2534</v>
      </c>
      <c r="B183" s="663" t="s">
        <v>2676</v>
      </c>
    </row>
    <row r="184" spans="1:2" ht="24.45" customHeight="1">
      <c r="B184" s="663"/>
    </row>
    <row r="185" spans="1:2" ht="19.75" customHeight="1">
      <c r="A185" s="663" t="s">
        <v>2677</v>
      </c>
      <c r="B185" s="662" t="s">
        <v>6045</v>
      </c>
    </row>
    <row r="186" spans="1:2" ht="24.45" customHeight="1">
      <c r="A186" s="663" t="s">
        <v>2525</v>
      </c>
      <c r="B186" s="663" t="s">
        <v>2678</v>
      </c>
    </row>
    <row r="187" spans="1:2" ht="24.45" customHeight="1">
      <c r="A187" s="663" t="s">
        <v>5806</v>
      </c>
      <c r="B187" s="663" t="s">
        <v>2679</v>
      </c>
    </row>
    <row r="188" spans="1:2" ht="24.45" customHeight="1">
      <c r="A188" s="663" t="s">
        <v>2528</v>
      </c>
      <c r="B188" s="663" t="s">
        <v>2680</v>
      </c>
    </row>
    <row r="189" spans="1:2" ht="24.45" customHeight="1">
      <c r="A189" s="663" t="s">
        <v>2530</v>
      </c>
      <c r="B189" s="663" t="s">
        <v>2681</v>
      </c>
    </row>
    <row r="190" spans="1:2" ht="24.45" customHeight="1">
      <c r="A190" s="663" t="s">
        <v>2532</v>
      </c>
      <c r="B190" s="663" t="s">
        <v>2682</v>
      </c>
    </row>
    <row r="191" spans="1:2" ht="24.45" customHeight="1">
      <c r="A191" s="663" t="s">
        <v>2534</v>
      </c>
      <c r="B191" s="663" t="s">
        <v>2683</v>
      </c>
    </row>
    <row r="192" spans="1:2" ht="24.45" customHeight="1">
      <c r="B192" s="663"/>
    </row>
    <row r="193" spans="1:2" ht="19.75" customHeight="1">
      <c r="A193" s="663" t="s">
        <v>2684</v>
      </c>
      <c r="B193" s="662" t="s">
        <v>5828</v>
      </c>
    </row>
    <row r="194" spans="1:2" ht="24.45" customHeight="1">
      <c r="A194" s="663" t="s">
        <v>2525</v>
      </c>
      <c r="B194" s="663" t="s">
        <v>2685</v>
      </c>
    </row>
    <row r="195" spans="1:2" ht="24.45" customHeight="1">
      <c r="A195" s="663" t="s">
        <v>5806</v>
      </c>
      <c r="B195" s="663" t="s">
        <v>2686</v>
      </c>
    </row>
    <row r="196" spans="1:2" ht="24.45" customHeight="1">
      <c r="A196" s="663" t="s">
        <v>2528</v>
      </c>
      <c r="B196" s="663" t="s">
        <v>2687</v>
      </c>
    </row>
    <row r="197" spans="1:2" ht="24.45" customHeight="1">
      <c r="A197" s="663" t="s">
        <v>2530</v>
      </c>
      <c r="B197" s="663" t="s">
        <v>2688</v>
      </c>
    </row>
    <row r="198" spans="1:2" ht="24.45" customHeight="1">
      <c r="A198" s="663" t="s">
        <v>2532</v>
      </c>
      <c r="B198" s="663" t="s">
        <v>2689</v>
      </c>
    </row>
    <row r="199" spans="1:2" ht="24.45" customHeight="1">
      <c r="A199" s="663" t="s">
        <v>2534</v>
      </c>
      <c r="B199" s="663" t="s">
        <v>2690</v>
      </c>
    </row>
    <row r="200" spans="1:2" ht="24.45" customHeight="1">
      <c r="B200" s="663"/>
    </row>
    <row r="201" spans="1:2" ht="19.75" customHeight="1">
      <c r="A201" s="663" t="s">
        <v>2691</v>
      </c>
      <c r="B201" s="662" t="s">
        <v>2692</v>
      </c>
    </row>
    <row r="202" spans="1:2" ht="24.45" customHeight="1">
      <c r="A202" s="663" t="s">
        <v>2525</v>
      </c>
      <c r="B202" s="663" t="s">
        <v>2693</v>
      </c>
    </row>
    <row r="203" spans="1:2" ht="24.45" customHeight="1">
      <c r="A203" s="663" t="s">
        <v>5806</v>
      </c>
      <c r="B203" s="663" t="s">
        <v>2694</v>
      </c>
    </row>
    <row r="204" spans="1:2" ht="24.45" customHeight="1">
      <c r="A204" s="663" t="s">
        <v>2528</v>
      </c>
      <c r="B204" s="663" t="s">
        <v>2695</v>
      </c>
    </row>
    <row r="205" spans="1:2" ht="24.45" customHeight="1">
      <c r="A205" s="663" t="s">
        <v>2530</v>
      </c>
      <c r="B205" s="663" t="s">
        <v>2696</v>
      </c>
    </row>
    <row r="206" spans="1:2" ht="24.45" customHeight="1">
      <c r="A206" s="663" t="s">
        <v>2532</v>
      </c>
      <c r="B206" s="663" t="s">
        <v>2697</v>
      </c>
    </row>
    <row r="207" spans="1:2" ht="24.45" customHeight="1">
      <c r="A207" s="663" t="s">
        <v>2534</v>
      </c>
      <c r="B207" s="663" t="s">
        <v>2698</v>
      </c>
    </row>
    <row r="208" spans="1:2" ht="24.45" customHeight="1">
      <c r="B208" s="663"/>
    </row>
    <row r="209" spans="1:2" ht="19.75" customHeight="1">
      <c r="A209" s="663" t="s">
        <v>2699</v>
      </c>
      <c r="B209" s="662" t="s">
        <v>5829</v>
      </c>
    </row>
    <row r="210" spans="1:2" ht="24.45" customHeight="1">
      <c r="A210" s="663" t="s">
        <v>2525</v>
      </c>
      <c r="B210" s="663" t="s">
        <v>2700</v>
      </c>
    </row>
    <row r="211" spans="1:2" ht="24.45" customHeight="1">
      <c r="A211" s="663" t="s">
        <v>5806</v>
      </c>
      <c r="B211" s="663" t="s">
        <v>2701</v>
      </c>
    </row>
    <row r="212" spans="1:2" ht="24.45" customHeight="1">
      <c r="A212" s="663" t="s">
        <v>2528</v>
      </c>
      <c r="B212" s="663" t="s">
        <v>2702</v>
      </c>
    </row>
    <row r="213" spans="1:2" ht="24.45" customHeight="1">
      <c r="A213" s="663" t="s">
        <v>2530</v>
      </c>
      <c r="B213" s="663" t="s">
        <v>2703</v>
      </c>
    </row>
    <row r="214" spans="1:2" ht="24.45" customHeight="1">
      <c r="A214" s="663" t="s">
        <v>2532</v>
      </c>
      <c r="B214" s="663" t="s">
        <v>2704</v>
      </c>
    </row>
    <row r="215" spans="1:2" ht="24.45" customHeight="1">
      <c r="A215" s="663" t="s">
        <v>2534</v>
      </c>
      <c r="B215" s="663" t="s">
        <v>2705</v>
      </c>
    </row>
    <row r="216" spans="1:2" ht="24.45" customHeight="1">
      <c r="B216" s="663"/>
    </row>
    <row r="217" spans="1:2" ht="19.75" customHeight="1">
      <c r="A217" s="663" t="s">
        <v>2706</v>
      </c>
      <c r="B217" s="662" t="s">
        <v>5830</v>
      </c>
    </row>
    <row r="218" spans="1:2" ht="24.45" customHeight="1">
      <c r="A218" s="663" t="s">
        <v>2525</v>
      </c>
      <c r="B218" s="663" t="s">
        <v>2707</v>
      </c>
    </row>
    <row r="219" spans="1:2" ht="24.45" customHeight="1">
      <c r="A219" s="663" t="s">
        <v>5806</v>
      </c>
      <c r="B219" s="663" t="s">
        <v>2708</v>
      </c>
    </row>
    <row r="220" spans="1:2" ht="24.45" customHeight="1">
      <c r="A220" s="663" t="s">
        <v>2528</v>
      </c>
      <c r="B220" s="663" t="s">
        <v>2709</v>
      </c>
    </row>
    <row r="221" spans="1:2" ht="24.45" customHeight="1">
      <c r="A221" s="663" t="s">
        <v>2530</v>
      </c>
      <c r="B221" s="663" t="s">
        <v>2710</v>
      </c>
    </row>
    <row r="222" spans="1:2" ht="24.45" customHeight="1">
      <c r="A222" s="663" t="s">
        <v>2532</v>
      </c>
      <c r="B222" s="663" t="s">
        <v>2711</v>
      </c>
    </row>
    <row r="223" spans="1:2" ht="24.45" customHeight="1">
      <c r="A223" s="663" t="s">
        <v>2534</v>
      </c>
      <c r="B223" s="663" t="s">
        <v>2712</v>
      </c>
    </row>
    <row r="224" spans="1:2" ht="24.45" customHeight="1">
      <c r="B224" s="663"/>
    </row>
    <row r="225" spans="1:2" ht="19.75" customHeight="1">
      <c r="A225" s="663" t="s">
        <v>2713</v>
      </c>
      <c r="B225" s="662" t="s">
        <v>2728</v>
      </c>
    </row>
    <row r="226" spans="1:2" ht="24.45" customHeight="1">
      <c r="A226" s="663" t="s">
        <v>2525</v>
      </c>
      <c r="B226" s="663" t="s">
        <v>2714</v>
      </c>
    </row>
    <row r="227" spans="1:2" ht="24.45" customHeight="1">
      <c r="A227" s="663" t="s">
        <v>5806</v>
      </c>
      <c r="B227" s="663" t="s">
        <v>2715</v>
      </c>
    </row>
    <row r="228" spans="1:2" ht="24.45" customHeight="1">
      <c r="A228" s="663" t="s">
        <v>2528</v>
      </c>
      <c r="B228" s="663" t="s">
        <v>2716</v>
      </c>
    </row>
    <row r="229" spans="1:2" ht="24.45" customHeight="1">
      <c r="A229" s="663" t="s">
        <v>2530</v>
      </c>
      <c r="B229" s="663" t="s">
        <v>2717</v>
      </c>
    </row>
    <row r="230" spans="1:2" ht="24.45" customHeight="1">
      <c r="A230" s="663" t="s">
        <v>2532</v>
      </c>
      <c r="B230" s="663" t="s">
        <v>2718</v>
      </c>
    </row>
    <row r="231" spans="1:2" ht="24.45" customHeight="1">
      <c r="A231" s="663" t="s">
        <v>2534</v>
      </c>
      <c r="B231" s="663" t="s">
        <v>2719</v>
      </c>
    </row>
    <row r="232" spans="1:2" ht="24.45" customHeight="1">
      <c r="B232" s="663"/>
    </row>
    <row r="233" spans="1:2" ht="19.75" customHeight="1">
      <c r="A233" s="663" t="s">
        <v>2720</v>
      </c>
      <c r="B233" s="662" t="s">
        <v>5831</v>
      </c>
    </row>
    <row r="234" spans="1:2" ht="24.45" customHeight="1">
      <c r="A234" s="663" t="s">
        <v>2525</v>
      </c>
      <c r="B234" s="663" t="s">
        <v>2721</v>
      </c>
    </row>
    <row r="235" spans="1:2" ht="24.45" customHeight="1">
      <c r="A235" s="663" t="s">
        <v>5806</v>
      </c>
      <c r="B235" s="663" t="s">
        <v>2722</v>
      </c>
    </row>
    <row r="236" spans="1:2" ht="24.45" customHeight="1">
      <c r="A236" s="663" t="s">
        <v>2528</v>
      </c>
      <c r="B236" s="663" t="s">
        <v>2723</v>
      </c>
    </row>
    <row r="237" spans="1:2" ht="24.45" customHeight="1">
      <c r="A237" s="663" t="s">
        <v>2530</v>
      </c>
      <c r="B237" s="663" t="s">
        <v>2724</v>
      </c>
    </row>
    <row r="238" spans="1:2" ht="24.45" customHeight="1">
      <c r="A238" s="663" t="s">
        <v>2532</v>
      </c>
      <c r="B238" s="663" t="s">
        <v>2725</v>
      </c>
    </row>
    <row r="239" spans="1:2" ht="24.45" customHeight="1">
      <c r="A239" s="663" t="s">
        <v>2534</v>
      </c>
      <c r="B239" s="663" t="s">
        <v>2726</v>
      </c>
    </row>
    <row r="240" spans="1:2" ht="24.45" customHeight="1">
      <c r="B240" s="663"/>
    </row>
    <row r="241" spans="1:2" ht="19.75" customHeight="1">
      <c r="A241" s="663" t="s">
        <v>2727</v>
      </c>
      <c r="B241" s="662" t="s">
        <v>5832</v>
      </c>
    </row>
    <row r="242" spans="1:2" ht="24.45" customHeight="1">
      <c r="A242" s="663" t="s">
        <v>2525</v>
      </c>
      <c r="B242" s="663" t="s">
        <v>2729</v>
      </c>
    </row>
    <row r="243" spans="1:2" ht="24.45" customHeight="1">
      <c r="A243" s="663" t="s">
        <v>5806</v>
      </c>
      <c r="B243" s="663" t="s">
        <v>2730</v>
      </c>
    </row>
    <row r="244" spans="1:2" ht="24.45" customHeight="1">
      <c r="A244" s="663" t="s">
        <v>2528</v>
      </c>
      <c r="B244" s="663" t="s">
        <v>2731</v>
      </c>
    </row>
    <row r="245" spans="1:2" ht="24.45" customHeight="1">
      <c r="A245" s="663" t="s">
        <v>2530</v>
      </c>
      <c r="B245" s="663" t="s">
        <v>2732</v>
      </c>
    </row>
    <row r="246" spans="1:2" ht="24.45" customHeight="1">
      <c r="A246" s="663" t="s">
        <v>2532</v>
      </c>
      <c r="B246" s="663" t="s">
        <v>2733</v>
      </c>
    </row>
    <row r="247" spans="1:2" ht="24.45" customHeight="1">
      <c r="A247" s="663" t="s">
        <v>2534</v>
      </c>
      <c r="B247" s="663" t="s">
        <v>2734</v>
      </c>
    </row>
    <row r="248" spans="1:2" ht="24.45" customHeight="1">
      <c r="B248" s="663"/>
    </row>
    <row r="249" spans="1:2" ht="19.75" customHeight="1">
      <c r="A249" s="663" t="s">
        <v>2735</v>
      </c>
      <c r="B249" s="662" t="s">
        <v>2736</v>
      </c>
    </row>
    <row r="250" spans="1:2" ht="24.45" customHeight="1">
      <c r="A250" s="663" t="s">
        <v>2525</v>
      </c>
      <c r="B250" s="663" t="s">
        <v>2737</v>
      </c>
    </row>
    <row r="251" spans="1:2" ht="24.45" customHeight="1">
      <c r="A251" s="663" t="s">
        <v>5806</v>
      </c>
      <c r="B251" s="663" t="s">
        <v>2738</v>
      </c>
    </row>
    <row r="252" spans="1:2" ht="24.45" customHeight="1">
      <c r="A252" s="663" t="s">
        <v>2528</v>
      </c>
      <c r="B252" s="663" t="s">
        <v>2739</v>
      </c>
    </row>
    <row r="253" spans="1:2" ht="24.45" customHeight="1">
      <c r="A253" s="663" t="s">
        <v>2530</v>
      </c>
      <c r="B253" s="663" t="s">
        <v>2740</v>
      </c>
    </row>
    <row r="254" spans="1:2" ht="24.45" customHeight="1">
      <c r="A254" s="663" t="s">
        <v>2532</v>
      </c>
      <c r="B254" s="663" t="s">
        <v>2741</v>
      </c>
    </row>
    <row r="255" spans="1:2" ht="24.45" customHeight="1">
      <c r="A255" s="663" t="s">
        <v>2534</v>
      </c>
      <c r="B255" s="663" t="s">
        <v>2742</v>
      </c>
    </row>
    <row r="256" spans="1:2" ht="24.45" customHeight="1">
      <c r="B256" s="663"/>
    </row>
    <row r="257" spans="1:2" ht="19.75" customHeight="1">
      <c r="A257" s="663" t="s">
        <v>2743</v>
      </c>
      <c r="B257" s="662" t="s">
        <v>2744</v>
      </c>
    </row>
    <row r="258" spans="1:2" ht="24.45" customHeight="1">
      <c r="A258" s="663" t="s">
        <v>2525</v>
      </c>
      <c r="B258" s="663" t="s">
        <v>2745</v>
      </c>
    </row>
    <row r="259" spans="1:2" ht="24.45" customHeight="1">
      <c r="A259" s="663" t="s">
        <v>5806</v>
      </c>
      <c r="B259" s="663" t="s">
        <v>2746</v>
      </c>
    </row>
    <row r="260" spans="1:2" ht="24.45" customHeight="1">
      <c r="A260" s="663" t="s">
        <v>2528</v>
      </c>
      <c r="B260" s="663" t="s">
        <v>2747</v>
      </c>
    </row>
    <row r="261" spans="1:2" ht="24.45" customHeight="1">
      <c r="A261" s="663" t="s">
        <v>2530</v>
      </c>
      <c r="B261" s="663" t="s">
        <v>2748</v>
      </c>
    </row>
    <row r="262" spans="1:2" ht="24.45" customHeight="1">
      <c r="A262" s="663" t="s">
        <v>2532</v>
      </c>
      <c r="B262" s="663" t="s">
        <v>2749</v>
      </c>
    </row>
    <row r="263" spans="1:2" ht="24.45" customHeight="1">
      <c r="A263" s="663" t="s">
        <v>2534</v>
      </c>
      <c r="B263" s="663" t="s">
        <v>2750</v>
      </c>
    </row>
    <row r="264" spans="1:2" ht="24.45" customHeight="1">
      <c r="B264" s="663"/>
    </row>
    <row r="265" spans="1:2" ht="19.75" customHeight="1">
      <c r="A265" s="663" t="s">
        <v>2751</v>
      </c>
      <c r="B265" s="662" t="s">
        <v>5833</v>
      </c>
    </row>
    <row r="266" spans="1:2" ht="24.45" customHeight="1">
      <c r="A266" s="663" t="s">
        <v>2525</v>
      </c>
      <c r="B266" s="663" t="s">
        <v>2752</v>
      </c>
    </row>
    <row r="267" spans="1:2" ht="24.45" customHeight="1">
      <c r="A267" s="663" t="s">
        <v>5806</v>
      </c>
      <c r="B267" s="663" t="s">
        <v>2753</v>
      </c>
    </row>
    <row r="268" spans="1:2" ht="24.45" customHeight="1">
      <c r="A268" s="663" t="s">
        <v>2528</v>
      </c>
      <c r="B268" s="663" t="s">
        <v>2754</v>
      </c>
    </row>
    <row r="269" spans="1:2" ht="24.45" customHeight="1">
      <c r="A269" s="663" t="s">
        <v>2530</v>
      </c>
      <c r="B269" s="663" t="s">
        <v>2755</v>
      </c>
    </row>
    <row r="270" spans="1:2" ht="24.45" customHeight="1">
      <c r="A270" s="663" t="s">
        <v>2532</v>
      </c>
      <c r="B270" s="663" t="s">
        <v>2756</v>
      </c>
    </row>
    <row r="271" spans="1:2" ht="24.45" customHeight="1">
      <c r="A271" s="663" t="s">
        <v>2534</v>
      </c>
      <c r="B271" s="663" t="s">
        <v>2757</v>
      </c>
    </row>
    <row r="272" spans="1:2" ht="24.45" customHeight="1">
      <c r="B272" s="663"/>
    </row>
    <row r="273" spans="1:2" ht="19.75" customHeight="1">
      <c r="A273" s="663" t="s">
        <v>2758</v>
      </c>
      <c r="B273" s="662" t="s">
        <v>2759</v>
      </c>
    </row>
    <row r="274" spans="1:2" ht="24.45" customHeight="1">
      <c r="A274" s="663" t="s">
        <v>2525</v>
      </c>
      <c r="B274" s="663" t="s">
        <v>2760</v>
      </c>
    </row>
    <row r="275" spans="1:2" ht="24.45" customHeight="1">
      <c r="A275" s="663" t="s">
        <v>5806</v>
      </c>
      <c r="B275" s="663" t="s">
        <v>2761</v>
      </c>
    </row>
    <row r="276" spans="1:2" ht="24.45" customHeight="1">
      <c r="A276" s="663" t="s">
        <v>2528</v>
      </c>
      <c r="B276" s="663" t="s">
        <v>2762</v>
      </c>
    </row>
    <row r="277" spans="1:2" ht="24.45" customHeight="1">
      <c r="A277" s="663" t="s">
        <v>2530</v>
      </c>
      <c r="B277" s="663" t="s">
        <v>2763</v>
      </c>
    </row>
    <row r="278" spans="1:2" ht="24.45" customHeight="1">
      <c r="A278" s="663" t="s">
        <v>2532</v>
      </c>
      <c r="B278" s="663" t="s">
        <v>2764</v>
      </c>
    </row>
    <row r="279" spans="1:2" ht="24.45" customHeight="1">
      <c r="A279" s="663" t="s">
        <v>2534</v>
      </c>
      <c r="B279" s="663" t="s">
        <v>2765</v>
      </c>
    </row>
    <row r="280" spans="1:2" ht="24.45" customHeight="1">
      <c r="B280" s="663"/>
    </row>
    <row r="281" spans="1:2" ht="19.75" customHeight="1">
      <c r="A281" s="663" t="s">
        <v>2766</v>
      </c>
      <c r="B281" s="662" t="s">
        <v>5834</v>
      </c>
    </row>
    <row r="282" spans="1:2" ht="24.45" customHeight="1">
      <c r="A282" s="663" t="s">
        <v>2525</v>
      </c>
      <c r="B282" s="663" t="s">
        <v>2767</v>
      </c>
    </row>
    <row r="283" spans="1:2" ht="24.45" customHeight="1">
      <c r="A283" s="663" t="s">
        <v>5806</v>
      </c>
      <c r="B283" s="663" t="s">
        <v>2768</v>
      </c>
    </row>
    <row r="284" spans="1:2" ht="24.45" customHeight="1">
      <c r="A284" s="663" t="s">
        <v>2528</v>
      </c>
      <c r="B284" s="663" t="s">
        <v>2769</v>
      </c>
    </row>
    <row r="285" spans="1:2" ht="24.45" customHeight="1">
      <c r="A285" s="663" t="s">
        <v>2530</v>
      </c>
      <c r="B285" s="663" t="s">
        <v>2770</v>
      </c>
    </row>
    <row r="286" spans="1:2" ht="24.45" customHeight="1">
      <c r="A286" s="663" t="s">
        <v>2532</v>
      </c>
      <c r="B286" s="663" t="s">
        <v>2771</v>
      </c>
    </row>
    <row r="287" spans="1:2" ht="24.45" customHeight="1">
      <c r="A287" s="663" t="s">
        <v>2534</v>
      </c>
      <c r="B287" s="663" t="s">
        <v>2772</v>
      </c>
    </row>
    <row r="288" spans="1:2" ht="24.45" customHeight="1">
      <c r="B288" s="663"/>
    </row>
    <row r="289" spans="1:2" ht="19.75" customHeight="1">
      <c r="A289" s="663" t="s">
        <v>2773</v>
      </c>
      <c r="B289" s="662" t="s">
        <v>6046</v>
      </c>
    </row>
    <row r="290" spans="1:2" ht="24.45" customHeight="1">
      <c r="A290" s="663" t="s">
        <v>2525</v>
      </c>
      <c r="B290" s="663" t="s">
        <v>6047</v>
      </c>
    </row>
    <row r="291" spans="1:2" ht="24.45" customHeight="1">
      <c r="A291" s="663" t="s">
        <v>5806</v>
      </c>
      <c r="B291" s="663" t="s">
        <v>6048</v>
      </c>
    </row>
    <row r="292" spans="1:2" ht="24.45" customHeight="1">
      <c r="A292" s="663" t="s">
        <v>2528</v>
      </c>
      <c r="B292" s="663" t="s">
        <v>6049</v>
      </c>
    </row>
    <row r="293" spans="1:2" ht="24.45" customHeight="1">
      <c r="A293" s="663" t="s">
        <v>2530</v>
      </c>
      <c r="B293" s="663" t="s">
        <v>6050</v>
      </c>
    </row>
    <row r="294" spans="1:2" ht="24.45" customHeight="1">
      <c r="A294" s="663" t="s">
        <v>2532</v>
      </c>
      <c r="B294" s="663" t="s">
        <v>6051</v>
      </c>
    </row>
    <row r="295" spans="1:2" ht="24.45" customHeight="1">
      <c r="A295" s="663" t="s">
        <v>2534</v>
      </c>
      <c r="B295" s="691" t="s">
        <v>6052</v>
      </c>
    </row>
    <row r="296" spans="1:2" ht="24.45" customHeight="1">
      <c r="B296" s="663"/>
    </row>
    <row r="297" spans="1:2" ht="20.149999999999999">
      <c r="A297" s="663" t="s">
        <v>2774</v>
      </c>
      <c r="B297" s="662" t="s">
        <v>5835</v>
      </c>
    </row>
    <row r="298" spans="1:2">
      <c r="A298" s="663" t="s">
        <v>2525</v>
      </c>
      <c r="B298" s="663" t="s">
        <v>2775</v>
      </c>
    </row>
    <row r="299" spans="1:2">
      <c r="A299" s="663" t="s">
        <v>5806</v>
      </c>
      <c r="B299" s="663" t="s">
        <v>2776</v>
      </c>
    </row>
    <row r="300" spans="1:2">
      <c r="A300" s="663" t="s">
        <v>2528</v>
      </c>
      <c r="B300" s="663" t="s">
        <v>2777</v>
      </c>
    </row>
    <row r="301" spans="1:2">
      <c r="A301" s="663" t="s">
        <v>2530</v>
      </c>
      <c r="B301" s="663" t="s">
        <v>2778</v>
      </c>
    </row>
    <row r="302" spans="1:2">
      <c r="A302" s="663" t="s">
        <v>2532</v>
      </c>
      <c r="B302" s="663" t="s">
        <v>2779</v>
      </c>
    </row>
    <row r="303" spans="1:2">
      <c r="A303" s="663" t="s">
        <v>2534</v>
      </c>
      <c r="B303" s="663" t="s">
        <v>2780</v>
      </c>
    </row>
  </sheetData>
  <pageMargins left="0.7" right="0.7" top="0.75" bottom="0.75" header="0.3" footer="0.3"/>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sheetPr>
  <dimension ref="A1:AU1347"/>
  <sheetViews>
    <sheetView topLeftCell="Z528" zoomScale="85" zoomScaleNormal="85" workbookViewId="0">
      <selection activeCell="AO545" sqref="AO545"/>
    </sheetView>
  </sheetViews>
  <sheetFormatPr defaultRowHeight="14.15"/>
  <cols>
    <col min="1" max="1" width="116.5703125" style="693" customWidth="1"/>
    <col min="2" max="2" width="9.140625" style="693"/>
    <col min="3" max="3" width="14.7109375" style="693" customWidth="1"/>
    <col min="4" max="4" width="32.140625" style="693" customWidth="1"/>
    <col min="5" max="5" width="30.42578125" style="693" customWidth="1"/>
    <col min="6" max="9" width="9.140625" style="693"/>
    <col min="10" max="10" width="29" style="693" customWidth="1"/>
    <col min="11" max="45" width="9.140625" style="693"/>
    <col min="46" max="46" width="23" style="693" customWidth="1"/>
    <col min="47" max="47" width="10.140625" style="693" bestFit="1" customWidth="1"/>
    <col min="48" max="16384" width="9.140625" style="693"/>
  </cols>
  <sheetData>
    <row r="1" spans="1:47" ht="14.7" customHeight="1">
      <c r="A1" s="538" t="s">
        <v>6848</v>
      </c>
      <c r="B1" s="704" t="s">
        <v>3690</v>
      </c>
      <c r="C1" s="548" t="s">
        <v>6849</v>
      </c>
      <c r="D1" s="548" t="s">
        <v>3691</v>
      </c>
      <c r="E1" s="548" t="s">
        <v>6850</v>
      </c>
      <c r="F1" s="548" t="s">
        <v>6851</v>
      </c>
      <c r="G1" s="548" t="s">
        <v>6852</v>
      </c>
      <c r="H1" s="548" t="s">
        <v>6853</v>
      </c>
      <c r="I1" s="548" t="s">
        <v>6854</v>
      </c>
      <c r="J1" s="548" t="s">
        <v>6855</v>
      </c>
      <c r="K1" s="548" t="s">
        <v>6856</v>
      </c>
      <c r="L1" s="548" t="s">
        <v>6857</v>
      </c>
      <c r="M1" s="548" t="s">
        <v>6858</v>
      </c>
      <c r="N1" s="548" t="s">
        <v>542</v>
      </c>
      <c r="O1" s="548" t="s">
        <v>5691</v>
      </c>
      <c r="P1" s="548" t="s">
        <v>570</v>
      </c>
      <c r="Q1" s="548" t="s">
        <v>572</v>
      </c>
      <c r="R1" s="548" t="s">
        <v>573</v>
      </c>
      <c r="S1" s="548" t="s">
        <v>574</v>
      </c>
      <c r="T1" s="548" t="s">
        <v>576</v>
      </c>
      <c r="U1" s="548" t="s">
        <v>578</v>
      </c>
      <c r="V1" s="548" t="s">
        <v>6859</v>
      </c>
      <c r="W1" s="548" t="s">
        <v>6860</v>
      </c>
      <c r="X1" s="548" t="s">
        <v>546</v>
      </c>
      <c r="Y1" s="548" t="s">
        <v>548</v>
      </c>
      <c r="Z1" s="548" t="s">
        <v>584</v>
      </c>
      <c r="AA1" s="548" t="s">
        <v>271</v>
      </c>
      <c r="AB1" s="548" t="s">
        <v>550</v>
      </c>
      <c r="AC1" s="548" t="s">
        <v>552</v>
      </c>
      <c r="AD1" s="548" t="s">
        <v>6861</v>
      </c>
      <c r="AE1" s="548" t="s">
        <v>6862</v>
      </c>
      <c r="AF1" s="548" t="s">
        <v>558</v>
      </c>
      <c r="AG1" s="548" t="s">
        <v>560</v>
      </c>
      <c r="AH1" s="548" t="s">
        <v>562</v>
      </c>
      <c r="AI1" s="548" t="s">
        <v>564</v>
      </c>
      <c r="AJ1" s="548" t="s">
        <v>566</v>
      </c>
      <c r="AK1" s="548" t="s">
        <v>568</v>
      </c>
      <c r="AL1" s="548" t="s">
        <v>580</v>
      </c>
      <c r="AM1" s="548" t="s">
        <v>586</v>
      </c>
      <c r="AN1" s="705" t="s">
        <v>584</v>
      </c>
      <c r="AO1" s="548" t="s">
        <v>6863</v>
      </c>
      <c r="AP1" s="548" t="s">
        <v>6864</v>
      </c>
      <c r="AQ1" s="548" t="s">
        <v>6865</v>
      </c>
      <c r="AR1" s="548" t="s">
        <v>6866</v>
      </c>
      <c r="AS1" s="548" t="s">
        <v>6867</v>
      </c>
      <c r="AT1" s="548" t="s">
        <v>6868</v>
      </c>
      <c r="AU1" s="548" t="s">
        <v>8661</v>
      </c>
    </row>
    <row r="2" spans="1:47" ht="14.7" customHeight="1">
      <c r="A2" s="706" t="s">
        <v>6058</v>
      </c>
      <c r="B2" s="540" t="s">
        <v>3695</v>
      </c>
      <c r="C2" s="539" t="s">
        <v>6869</v>
      </c>
      <c r="D2" s="539" t="s">
        <v>6870</v>
      </c>
      <c r="E2" s="552" t="s">
        <v>6871</v>
      </c>
      <c r="F2" s="552" t="s">
        <v>6872</v>
      </c>
      <c r="G2" s="552" t="s">
        <v>6873</v>
      </c>
      <c r="H2" s="552"/>
      <c r="I2" s="552"/>
      <c r="J2" s="552" t="s">
        <v>6874</v>
      </c>
      <c r="K2" s="552" t="s">
        <v>6875</v>
      </c>
      <c r="L2" s="552"/>
      <c r="M2" s="552"/>
      <c r="N2" s="552"/>
      <c r="O2" s="552"/>
      <c r="P2" s="552"/>
      <c r="Q2" s="552"/>
      <c r="R2" s="552"/>
      <c r="S2" s="552"/>
      <c r="T2" s="552"/>
      <c r="U2" s="552"/>
      <c r="V2" s="552"/>
      <c r="W2" s="552"/>
      <c r="X2" s="552"/>
      <c r="Y2" s="552"/>
      <c r="Z2" s="552"/>
      <c r="AA2" s="552"/>
      <c r="AB2" s="552"/>
      <c r="AC2" s="552"/>
      <c r="AD2" s="552"/>
      <c r="AE2" s="552"/>
      <c r="AF2" s="552"/>
      <c r="AG2" s="552"/>
      <c r="AH2" s="552"/>
      <c r="AI2" s="552"/>
      <c r="AJ2" s="552"/>
      <c r="AK2" s="552"/>
      <c r="AL2" s="552"/>
      <c r="AM2" s="552"/>
      <c r="AN2" s="552"/>
      <c r="AO2" s="552"/>
      <c r="AP2" s="552"/>
      <c r="AQ2" s="552" t="s">
        <v>1186</v>
      </c>
      <c r="AR2" s="552" t="s">
        <v>2802</v>
      </c>
      <c r="AS2" s="552" t="s">
        <v>6876</v>
      </c>
      <c r="AT2" s="552" t="s">
        <v>726</v>
      </c>
    </row>
    <row r="3" spans="1:47" ht="14.7" customHeight="1">
      <c r="A3" s="706" t="s">
        <v>6059</v>
      </c>
      <c r="B3" s="540" t="s">
        <v>3695</v>
      </c>
      <c r="C3" s="539" t="s">
        <v>6869</v>
      </c>
      <c r="D3" s="539" t="s">
        <v>6877</v>
      </c>
      <c r="E3" s="552" t="s">
        <v>6871</v>
      </c>
      <c r="F3" s="552" t="s">
        <v>6872</v>
      </c>
      <c r="G3" s="552" t="s">
        <v>6873</v>
      </c>
      <c r="H3" s="552"/>
      <c r="I3" s="552"/>
      <c r="J3" s="552" t="s">
        <v>6878</v>
      </c>
      <c r="K3" s="552"/>
      <c r="L3" s="552"/>
      <c r="M3" s="552"/>
      <c r="N3" s="552"/>
      <c r="O3" s="552"/>
      <c r="P3" s="552"/>
      <c r="Q3" s="552"/>
      <c r="R3" s="552"/>
      <c r="S3" s="552"/>
      <c r="T3" s="552"/>
      <c r="U3" s="552"/>
      <c r="V3" s="552"/>
      <c r="W3" s="552"/>
      <c r="X3" s="552"/>
      <c r="Y3" s="552"/>
      <c r="Z3" s="552"/>
      <c r="AA3" s="552"/>
      <c r="AB3" s="552"/>
      <c r="AC3" s="552"/>
      <c r="AD3" s="552"/>
      <c r="AE3" s="552"/>
      <c r="AF3" s="552"/>
      <c r="AG3" s="552"/>
      <c r="AH3" s="552"/>
      <c r="AI3" s="552"/>
      <c r="AJ3" s="552"/>
      <c r="AK3" s="552"/>
      <c r="AL3" s="552"/>
      <c r="AM3" s="552"/>
      <c r="AN3" s="552"/>
      <c r="AO3" s="552"/>
      <c r="AP3" s="552"/>
      <c r="AQ3" s="552" t="s">
        <v>1186</v>
      </c>
      <c r="AR3" s="552" t="s">
        <v>2802</v>
      </c>
      <c r="AS3" s="552" t="s">
        <v>6876</v>
      </c>
      <c r="AT3" s="552" t="s">
        <v>726</v>
      </c>
    </row>
    <row r="4" spans="1:47" ht="14.7" customHeight="1">
      <c r="A4" s="706" t="s">
        <v>6060</v>
      </c>
      <c r="B4" s="707" t="s">
        <v>3696</v>
      </c>
      <c r="C4" s="539" t="s">
        <v>6869</v>
      </c>
      <c r="D4" s="539" t="s">
        <v>6879</v>
      </c>
      <c r="E4" s="552" t="s">
        <v>6871</v>
      </c>
      <c r="F4" s="552" t="s">
        <v>6872</v>
      </c>
      <c r="G4" s="552" t="s">
        <v>6873</v>
      </c>
      <c r="H4" s="552"/>
      <c r="I4" s="552"/>
      <c r="J4" s="552" t="s">
        <v>6880</v>
      </c>
      <c r="K4" s="552"/>
      <c r="L4" s="552"/>
      <c r="M4" s="552"/>
      <c r="N4" s="552"/>
      <c r="O4" s="552"/>
      <c r="P4" s="552"/>
      <c r="Q4" s="552"/>
      <c r="R4" s="552"/>
      <c r="S4" s="552"/>
      <c r="T4" s="552"/>
      <c r="U4" s="552"/>
      <c r="V4" s="552"/>
      <c r="W4" s="552"/>
      <c r="X4" s="552"/>
      <c r="Y4" s="552"/>
      <c r="Z4" s="552"/>
      <c r="AA4" s="552"/>
      <c r="AB4" s="552"/>
      <c r="AC4" s="552"/>
      <c r="AD4" s="552"/>
      <c r="AE4" s="552"/>
      <c r="AF4" s="552"/>
      <c r="AG4" s="552"/>
      <c r="AH4" s="552"/>
      <c r="AI4" s="552"/>
      <c r="AJ4" s="552"/>
      <c r="AK4" s="552"/>
      <c r="AL4" s="552"/>
      <c r="AM4" s="552"/>
      <c r="AN4" s="552"/>
      <c r="AO4" s="552"/>
      <c r="AP4" s="552"/>
      <c r="AQ4" s="552" t="s">
        <v>1186</v>
      </c>
      <c r="AR4" s="552" t="s">
        <v>2805</v>
      </c>
      <c r="AS4" s="552" t="s">
        <v>6881</v>
      </c>
      <c r="AT4" s="552" t="s">
        <v>726</v>
      </c>
    </row>
    <row r="5" spans="1:47" ht="14.7" customHeight="1">
      <c r="A5" s="706"/>
      <c r="B5" s="707" t="s">
        <v>3696</v>
      </c>
      <c r="C5" s="539" t="s">
        <v>6869</v>
      </c>
      <c r="D5" s="539" t="s">
        <v>2783</v>
      </c>
      <c r="E5" s="539"/>
      <c r="F5" s="539"/>
      <c r="G5" s="539"/>
      <c r="H5" s="552"/>
      <c r="I5" s="552"/>
      <c r="J5" s="552"/>
      <c r="K5" s="552"/>
      <c r="L5" s="552"/>
      <c r="M5" s="552"/>
      <c r="N5" s="552"/>
      <c r="O5" s="552"/>
      <c r="P5" s="552"/>
      <c r="Q5" s="552"/>
      <c r="R5" s="552"/>
      <c r="S5" s="552"/>
      <c r="T5" s="552"/>
      <c r="U5" s="552"/>
      <c r="V5" s="552"/>
      <c r="W5" s="552"/>
      <c r="X5" s="552"/>
      <c r="Y5" s="552"/>
      <c r="Z5" s="552"/>
      <c r="AA5" s="552"/>
      <c r="AB5" s="552"/>
      <c r="AC5" s="552"/>
      <c r="AD5" s="552"/>
      <c r="AE5" s="552"/>
      <c r="AF5" s="552"/>
      <c r="AG5" s="552"/>
      <c r="AH5" s="552"/>
      <c r="AI5" s="552"/>
      <c r="AJ5" s="552"/>
      <c r="AK5" s="552"/>
      <c r="AL5" s="552"/>
      <c r="AM5" s="552"/>
      <c r="AN5" s="552"/>
      <c r="AO5" s="552"/>
      <c r="AP5" s="552"/>
      <c r="AQ5" s="552" t="s">
        <v>1186</v>
      </c>
      <c r="AR5" s="552" t="s">
        <v>2805</v>
      </c>
      <c r="AS5" s="552" t="s">
        <v>6881</v>
      </c>
      <c r="AT5" s="552" t="s">
        <v>726</v>
      </c>
    </row>
    <row r="6" spans="1:47" ht="14.7" customHeight="1">
      <c r="A6" s="708" t="s">
        <v>6061</v>
      </c>
      <c r="B6" s="556" t="s">
        <v>3697</v>
      </c>
      <c r="C6" s="539" t="s">
        <v>6869</v>
      </c>
      <c r="D6" s="539" t="s">
        <v>6882</v>
      </c>
      <c r="E6" s="552" t="s">
        <v>6871</v>
      </c>
      <c r="F6" s="552" t="s">
        <v>6872</v>
      </c>
      <c r="G6" s="552" t="s">
        <v>6873</v>
      </c>
      <c r="H6" s="552"/>
      <c r="I6" s="552"/>
      <c r="J6" s="709" t="s">
        <v>6883</v>
      </c>
      <c r="K6" s="709"/>
      <c r="L6" s="709"/>
      <c r="M6" s="552"/>
      <c r="N6" s="552"/>
      <c r="O6" s="552"/>
      <c r="P6" s="552"/>
      <c r="Q6" s="552"/>
      <c r="R6" s="552"/>
      <c r="S6" s="552"/>
      <c r="T6" s="552"/>
      <c r="U6" s="552"/>
      <c r="V6" s="552"/>
      <c r="W6" s="552"/>
      <c r="X6" s="552"/>
      <c r="Y6" s="552"/>
      <c r="Z6" s="552"/>
      <c r="AA6" s="552"/>
      <c r="AB6" s="552"/>
      <c r="AC6" s="552"/>
      <c r="AD6" s="552"/>
      <c r="AE6" s="552"/>
      <c r="AF6" s="552"/>
      <c r="AG6" s="552"/>
      <c r="AH6" s="552"/>
      <c r="AI6" s="552"/>
      <c r="AJ6" s="552"/>
      <c r="AK6" s="552"/>
      <c r="AL6" s="552"/>
      <c r="AM6" s="552"/>
      <c r="AN6" s="552"/>
      <c r="AO6" s="585" t="s">
        <v>6884</v>
      </c>
      <c r="AP6" s="709"/>
      <c r="AQ6" s="552" t="s">
        <v>1186</v>
      </c>
      <c r="AR6" s="552" t="s">
        <v>2875</v>
      </c>
      <c r="AS6" s="552" t="s">
        <v>6881</v>
      </c>
      <c r="AT6" s="552" t="s">
        <v>726</v>
      </c>
    </row>
    <row r="7" spans="1:47" ht="14.7" customHeight="1">
      <c r="A7" s="706" t="s">
        <v>6062</v>
      </c>
      <c r="B7" s="556" t="s">
        <v>3697</v>
      </c>
      <c r="C7" s="539" t="s">
        <v>6869</v>
      </c>
      <c r="D7" s="539" t="s">
        <v>6885</v>
      </c>
      <c r="E7" s="552" t="s">
        <v>6871</v>
      </c>
      <c r="F7" s="552" t="s">
        <v>6872</v>
      </c>
      <c r="G7" s="552" t="s">
        <v>6873</v>
      </c>
      <c r="H7" s="552"/>
      <c r="I7" s="552"/>
      <c r="J7" s="552" t="s">
        <v>6886</v>
      </c>
      <c r="K7" s="552" t="s">
        <v>6887</v>
      </c>
      <c r="L7" s="552"/>
      <c r="M7" s="552"/>
      <c r="N7" s="552"/>
      <c r="O7" s="552"/>
      <c r="P7" s="552"/>
      <c r="Q7" s="552"/>
      <c r="R7" s="552"/>
      <c r="S7" s="552"/>
      <c r="T7" s="552"/>
      <c r="U7" s="552"/>
      <c r="V7" s="552"/>
      <c r="W7" s="552"/>
      <c r="X7" s="552"/>
      <c r="Y7" s="552"/>
      <c r="Z7" s="552"/>
      <c r="AA7" s="552"/>
      <c r="AB7" s="552"/>
      <c r="AC7" s="552"/>
      <c r="AD7" s="552"/>
      <c r="AE7" s="552"/>
      <c r="AF7" s="552"/>
      <c r="AG7" s="552"/>
      <c r="AH7" s="552"/>
      <c r="AI7" s="552"/>
      <c r="AJ7" s="552"/>
      <c r="AK7" s="552"/>
      <c r="AL7" s="552"/>
      <c r="AM7" s="552"/>
      <c r="AN7" s="552"/>
      <c r="AO7" s="552"/>
      <c r="AP7" s="552"/>
      <c r="AQ7" s="552" t="s">
        <v>1186</v>
      </c>
      <c r="AR7" s="552" t="s">
        <v>2875</v>
      </c>
      <c r="AS7" s="552" t="s">
        <v>6881</v>
      </c>
      <c r="AT7" s="552" t="s">
        <v>726</v>
      </c>
    </row>
    <row r="8" spans="1:47" ht="14.7" customHeight="1">
      <c r="A8" s="706"/>
      <c r="B8" s="556" t="s">
        <v>3697</v>
      </c>
      <c r="C8" s="539" t="s">
        <v>6869</v>
      </c>
      <c r="D8" s="539" t="s">
        <v>2783</v>
      </c>
      <c r="E8" s="539"/>
      <c r="F8" s="539"/>
      <c r="G8" s="539"/>
      <c r="H8" s="552"/>
      <c r="I8" s="552"/>
      <c r="J8" s="552"/>
      <c r="K8" s="552"/>
      <c r="L8" s="552"/>
      <c r="M8" s="552"/>
      <c r="N8" s="552"/>
      <c r="O8" s="552"/>
      <c r="P8" s="552"/>
      <c r="Q8" s="552"/>
      <c r="R8" s="552"/>
      <c r="S8" s="552"/>
      <c r="T8" s="552"/>
      <c r="U8" s="552"/>
      <c r="V8" s="552"/>
      <c r="W8" s="552"/>
      <c r="X8" s="552"/>
      <c r="Y8" s="552"/>
      <c r="Z8" s="552"/>
      <c r="AA8" s="552"/>
      <c r="AB8" s="552"/>
      <c r="AC8" s="552"/>
      <c r="AD8" s="552"/>
      <c r="AE8" s="552"/>
      <c r="AF8" s="552"/>
      <c r="AG8" s="552"/>
      <c r="AH8" s="552"/>
      <c r="AI8" s="552"/>
      <c r="AJ8" s="552"/>
      <c r="AK8" s="552"/>
      <c r="AL8" s="552"/>
      <c r="AM8" s="552"/>
      <c r="AN8" s="552"/>
      <c r="AO8" s="552"/>
      <c r="AP8" s="552"/>
      <c r="AQ8" s="552" t="s">
        <v>1186</v>
      </c>
      <c r="AR8" s="552" t="s">
        <v>2875</v>
      </c>
      <c r="AS8" s="552" t="s">
        <v>6881</v>
      </c>
      <c r="AT8" s="552" t="s">
        <v>726</v>
      </c>
    </row>
    <row r="9" spans="1:47" ht="14.7" customHeight="1">
      <c r="A9" s="706" t="s">
        <v>6063</v>
      </c>
      <c r="B9" s="557" t="s">
        <v>3698</v>
      </c>
      <c r="C9" s="539" t="s">
        <v>6869</v>
      </c>
      <c r="D9" s="539" t="s">
        <v>6888</v>
      </c>
      <c r="E9" s="552" t="s">
        <v>6871</v>
      </c>
      <c r="F9" s="552" t="s">
        <v>6872</v>
      </c>
      <c r="G9" s="552" t="s">
        <v>6873</v>
      </c>
      <c r="H9" s="552"/>
      <c r="I9" s="552"/>
      <c r="J9" s="709" t="s">
        <v>6889</v>
      </c>
      <c r="K9" s="709"/>
      <c r="L9" s="552"/>
      <c r="M9" s="552"/>
      <c r="N9" s="552"/>
      <c r="O9" s="552"/>
      <c r="P9" s="552"/>
      <c r="Q9" s="552"/>
      <c r="R9" s="552"/>
      <c r="S9" s="552"/>
      <c r="T9" s="552"/>
      <c r="U9" s="552"/>
      <c r="V9" s="552"/>
      <c r="W9" s="552"/>
      <c r="X9" s="552"/>
      <c r="Y9" s="552"/>
      <c r="Z9" s="552"/>
      <c r="AA9" s="552"/>
      <c r="AB9" s="552"/>
      <c r="AC9" s="552"/>
      <c r="AD9" s="552"/>
      <c r="AE9" s="552"/>
      <c r="AF9" s="552"/>
      <c r="AG9" s="552"/>
      <c r="AH9" s="552"/>
      <c r="AI9" s="552"/>
      <c r="AJ9" s="552"/>
      <c r="AK9" s="552"/>
      <c r="AL9" s="552"/>
      <c r="AM9" s="552"/>
      <c r="AN9" s="552"/>
      <c r="AO9" s="709" t="s">
        <v>6890</v>
      </c>
      <c r="AP9" s="709"/>
      <c r="AQ9" s="552" t="s">
        <v>1186</v>
      </c>
      <c r="AR9" s="552" t="s">
        <v>2998</v>
      </c>
      <c r="AS9" s="552" t="s">
        <v>6881</v>
      </c>
      <c r="AT9" s="552" t="s">
        <v>726</v>
      </c>
    </row>
    <row r="10" spans="1:47" ht="14.7" customHeight="1">
      <c r="A10" s="706" t="s">
        <v>6064</v>
      </c>
      <c r="B10" s="557" t="s">
        <v>3698</v>
      </c>
      <c r="C10" s="539" t="s">
        <v>6869</v>
      </c>
      <c r="D10" s="539" t="s">
        <v>6891</v>
      </c>
      <c r="E10" s="552" t="s">
        <v>6871</v>
      </c>
      <c r="F10" s="552" t="s">
        <v>6872</v>
      </c>
      <c r="G10" s="552" t="s">
        <v>6873</v>
      </c>
      <c r="H10" s="552"/>
      <c r="I10" s="552"/>
      <c r="J10" s="552" t="s">
        <v>6892</v>
      </c>
      <c r="K10" s="552" t="s">
        <v>6893</v>
      </c>
      <c r="L10" s="552"/>
      <c r="M10" s="552"/>
      <c r="N10" s="552"/>
      <c r="O10" s="552"/>
      <c r="P10" s="552"/>
      <c r="Q10" s="552"/>
      <c r="R10" s="552"/>
      <c r="S10" s="552"/>
      <c r="T10" s="552"/>
      <c r="U10" s="552"/>
      <c r="V10" s="552"/>
      <c r="W10" s="552"/>
      <c r="X10" s="552"/>
      <c r="Y10" s="552"/>
      <c r="Z10" s="552"/>
      <c r="AA10" s="552"/>
      <c r="AB10" s="552"/>
      <c r="AC10" s="552"/>
      <c r="AD10" s="552"/>
      <c r="AE10" s="552"/>
      <c r="AF10" s="552"/>
      <c r="AG10" s="552"/>
      <c r="AH10" s="552"/>
      <c r="AI10" s="552"/>
      <c r="AJ10" s="552"/>
      <c r="AK10" s="552"/>
      <c r="AL10" s="552"/>
      <c r="AM10" s="552"/>
      <c r="AN10" s="552"/>
      <c r="AO10" s="552" t="s">
        <v>6894</v>
      </c>
      <c r="AP10" s="552"/>
      <c r="AQ10" s="552" t="s">
        <v>1186</v>
      </c>
      <c r="AR10" s="552" t="s">
        <v>2998</v>
      </c>
      <c r="AS10" s="552" t="s">
        <v>6881</v>
      </c>
      <c r="AT10" s="552" t="s">
        <v>726</v>
      </c>
    </row>
    <row r="11" spans="1:47" ht="14.7" customHeight="1">
      <c r="A11" s="706" t="s">
        <v>6065</v>
      </c>
      <c r="B11" s="557" t="s">
        <v>3698</v>
      </c>
      <c r="C11" s="539" t="s">
        <v>6869</v>
      </c>
      <c r="D11" s="539" t="s">
        <v>6895</v>
      </c>
      <c r="E11" s="552" t="s">
        <v>6871</v>
      </c>
      <c r="F11" s="552" t="s">
        <v>6872</v>
      </c>
      <c r="G11" s="552" t="s">
        <v>6873</v>
      </c>
      <c r="H11" s="552"/>
      <c r="I11" s="552"/>
      <c r="J11" s="709" t="s">
        <v>6896</v>
      </c>
      <c r="K11" s="709" t="s">
        <v>6897</v>
      </c>
      <c r="L11" s="709"/>
      <c r="M11" s="552"/>
      <c r="N11" s="552"/>
      <c r="O11" s="552"/>
      <c r="P11" s="552"/>
      <c r="Q11" s="552"/>
      <c r="R11" s="552"/>
      <c r="S11" s="552"/>
      <c r="T11" s="552"/>
      <c r="U11" s="552"/>
      <c r="V11" s="552"/>
      <c r="W11" s="552"/>
      <c r="X11" s="552"/>
      <c r="Y11" s="552"/>
      <c r="Z11" s="552"/>
      <c r="AA11" s="552"/>
      <c r="AB11" s="552"/>
      <c r="AC11" s="552"/>
      <c r="AD11" s="552"/>
      <c r="AE11" s="552"/>
      <c r="AF11" s="552"/>
      <c r="AG11" s="552"/>
      <c r="AH11" s="552"/>
      <c r="AI11" s="552"/>
      <c r="AJ11" s="552"/>
      <c r="AK11" s="552"/>
      <c r="AL11" s="552"/>
      <c r="AM11" s="552"/>
      <c r="AN11" s="552"/>
      <c r="AO11" s="552"/>
      <c r="AP11" s="552"/>
      <c r="AQ11" s="552" t="s">
        <v>1186</v>
      </c>
      <c r="AR11" s="552" t="s">
        <v>2998</v>
      </c>
      <c r="AS11" s="552" t="s">
        <v>6881</v>
      </c>
      <c r="AT11" s="552" t="s">
        <v>726</v>
      </c>
    </row>
    <row r="12" spans="1:47" ht="14.7" customHeight="1">
      <c r="A12" s="710" t="s">
        <v>6066</v>
      </c>
      <c r="B12" s="557" t="s">
        <v>3698</v>
      </c>
      <c r="C12" s="539" t="s">
        <v>6869</v>
      </c>
      <c r="D12" s="541" t="s">
        <v>6898</v>
      </c>
      <c r="E12" s="552" t="s">
        <v>6871</v>
      </c>
      <c r="F12" s="552" t="s">
        <v>6872</v>
      </c>
      <c r="G12" s="552" t="s">
        <v>6873</v>
      </c>
      <c r="H12" s="552"/>
      <c r="I12" s="552"/>
      <c r="J12" s="552" t="s">
        <v>6883</v>
      </c>
      <c r="K12" s="552"/>
      <c r="L12" s="552"/>
      <c r="M12" s="552"/>
      <c r="N12" s="552"/>
      <c r="O12" s="552"/>
      <c r="P12" s="552"/>
      <c r="Q12" s="552"/>
      <c r="R12" s="552"/>
      <c r="S12" s="552"/>
      <c r="T12" s="552"/>
      <c r="U12" s="552"/>
      <c r="V12" s="552"/>
      <c r="W12" s="552"/>
      <c r="X12" s="552"/>
      <c r="Y12" s="552"/>
      <c r="Z12" s="552"/>
      <c r="AA12" s="552"/>
      <c r="AB12" s="552"/>
      <c r="AC12" s="552"/>
      <c r="AD12" s="552"/>
      <c r="AE12" s="552"/>
      <c r="AF12" s="552"/>
      <c r="AG12" s="552"/>
      <c r="AH12" s="552"/>
      <c r="AI12" s="552"/>
      <c r="AJ12" s="552"/>
      <c r="AK12" s="552"/>
      <c r="AL12" s="552"/>
      <c r="AM12" s="552"/>
      <c r="AN12" s="552"/>
      <c r="AO12" s="552"/>
      <c r="AP12" s="552" t="s">
        <v>6899</v>
      </c>
      <c r="AQ12" s="552" t="s">
        <v>1186</v>
      </c>
      <c r="AR12" s="552" t="s">
        <v>2998</v>
      </c>
      <c r="AS12" s="552" t="s">
        <v>6881</v>
      </c>
      <c r="AT12" s="552" t="s">
        <v>726</v>
      </c>
    </row>
    <row r="13" spans="1:47" ht="14.7" customHeight="1">
      <c r="A13" s="706" t="s">
        <v>6067</v>
      </c>
      <c r="B13" s="344" t="s">
        <v>3699</v>
      </c>
      <c r="C13" s="539" t="s">
        <v>6869</v>
      </c>
      <c r="D13" s="539" t="s">
        <v>6900</v>
      </c>
      <c r="E13" s="552" t="s">
        <v>6871</v>
      </c>
      <c r="F13" s="552" t="s">
        <v>6872</v>
      </c>
      <c r="G13" s="552" t="s">
        <v>6873</v>
      </c>
      <c r="H13" s="552"/>
      <c r="I13" s="552"/>
      <c r="J13" s="709" t="s">
        <v>6901</v>
      </c>
      <c r="K13" s="709"/>
      <c r="L13" s="709"/>
      <c r="M13" s="552"/>
      <c r="N13" s="552"/>
      <c r="O13" s="552"/>
      <c r="P13" s="552"/>
      <c r="Q13" s="552"/>
      <c r="R13" s="552"/>
      <c r="S13" s="552"/>
      <c r="T13" s="552"/>
      <c r="U13" s="552"/>
      <c r="V13" s="552"/>
      <c r="W13" s="552"/>
      <c r="X13" s="552"/>
      <c r="Y13" s="552"/>
      <c r="Z13" s="552"/>
      <c r="AA13" s="552"/>
      <c r="AB13" s="552"/>
      <c r="AC13" s="552"/>
      <c r="AD13" s="552"/>
      <c r="AE13" s="552"/>
      <c r="AF13" s="552"/>
      <c r="AG13" s="552"/>
      <c r="AH13" s="552"/>
      <c r="AI13" s="552"/>
      <c r="AJ13" s="552"/>
      <c r="AK13" s="552"/>
      <c r="AL13" s="552"/>
      <c r="AM13" s="552"/>
      <c r="AN13" s="552"/>
      <c r="AO13" s="709" t="s">
        <v>6902</v>
      </c>
      <c r="AP13" s="709"/>
      <c r="AQ13" s="552" t="s">
        <v>1186</v>
      </c>
      <c r="AR13" s="552" t="s">
        <v>2809</v>
      </c>
      <c r="AS13" s="552" t="s">
        <v>6881</v>
      </c>
      <c r="AT13" s="552" t="s">
        <v>726</v>
      </c>
    </row>
    <row r="14" spans="1:47" ht="14.7" customHeight="1">
      <c r="A14" s="706" t="s">
        <v>6903</v>
      </c>
      <c r="B14" s="344" t="s">
        <v>3699</v>
      </c>
      <c r="C14" s="539" t="s">
        <v>6869</v>
      </c>
      <c r="D14" s="539" t="s">
        <v>6904</v>
      </c>
      <c r="E14" s="552" t="s">
        <v>6871</v>
      </c>
      <c r="F14" s="552" t="s">
        <v>6872</v>
      </c>
      <c r="G14" s="552" t="s">
        <v>6873</v>
      </c>
      <c r="H14" s="552"/>
      <c r="I14" s="552"/>
      <c r="J14" s="552" t="s">
        <v>6905</v>
      </c>
      <c r="K14" s="552"/>
      <c r="L14" s="552"/>
      <c r="M14" s="552"/>
      <c r="N14" s="552"/>
      <c r="O14" s="552"/>
      <c r="P14" s="552"/>
      <c r="Q14" s="552"/>
      <c r="R14" s="552"/>
      <c r="S14" s="552"/>
      <c r="T14" s="552"/>
      <c r="U14" s="552"/>
      <c r="V14" s="552"/>
      <c r="W14" s="552"/>
      <c r="X14" s="552"/>
      <c r="Y14" s="552"/>
      <c r="Z14" s="552"/>
      <c r="AA14" s="552"/>
      <c r="AB14" s="552"/>
      <c r="AC14" s="552"/>
      <c r="AD14" s="552"/>
      <c r="AE14" s="552"/>
      <c r="AF14" s="552"/>
      <c r="AG14" s="552"/>
      <c r="AH14" s="552"/>
      <c r="AI14" s="552"/>
      <c r="AJ14" s="552"/>
      <c r="AK14" s="552"/>
      <c r="AL14" s="552"/>
      <c r="AM14" s="552"/>
      <c r="AN14" s="552"/>
      <c r="AO14" s="552"/>
      <c r="AP14" s="552" t="s">
        <v>6906</v>
      </c>
      <c r="AQ14" s="552" t="s">
        <v>1186</v>
      </c>
      <c r="AR14" s="552" t="s">
        <v>2809</v>
      </c>
      <c r="AS14" s="552" t="s">
        <v>6881</v>
      </c>
      <c r="AT14" s="552" t="s">
        <v>726</v>
      </c>
    </row>
    <row r="15" spans="1:47" ht="14.7" customHeight="1">
      <c r="A15" s="706" t="s">
        <v>6068</v>
      </c>
      <c r="B15" s="344" t="s">
        <v>3699</v>
      </c>
      <c r="C15" s="539" t="s">
        <v>6869</v>
      </c>
      <c r="D15" s="539" t="s">
        <v>6907</v>
      </c>
      <c r="E15" s="552" t="s">
        <v>6871</v>
      </c>
      <c r="F15" s="552" t="s">
        <v>6872</v>
      </c>
      <c r="G15" s="552" t="s">
        <v>6873</v>
      </c>
      <c r="H15" s="552"/>
      <c r="I15" s="552" t="s">
        <v>6908</v>
      </c>
      <c r="J15" s="552" t="s">
        <v>6909</v>
      </c>
      <c r="K15" s="552"/>
      <c r="L15" s="552"/>
      <c r="M15" s="552"/>
      <c r="N15" s="552"/>
      <c r="O15" s="552"/>
      <c r="P15" s="552"/>
      <c r="Q15" s="552"/>
      <c r="R15" s="552"/>
      <c r="S15" s="552"/>
      <c r="T15" s="552"/>
      <c r="U15" s="552"/>
      <c r="V15" s="552"/>
      <c r="W15" s="552"/>
      <c r="X15" s="552"/>
      <c r="Y15" s="552"/>
      <c r="Z15" s="552"/>
      <c r="AA15" s="552"/>
      <c r="AB15" s="552"/>
      <c r="AC15" s="552"/>
      <c r="AD15" s="552"/>
      <c r="AE15" s="552"/>
      <c r="AF15" s="552"/>
      <c r="AG15" s="552"/>
      <c r="AH15" s="552"/>
      <c r="AI15" s="552"/>
      <c r="AJ15" s="552"/>
      <c r="AK15" s="552"/>
      <c r="AL15" s="552"/>
      <c r="AM15" s="552"/>
      <c r="AN15" s="552"/>
      <c r="AO15" s="552" t="s">
        <v>6910</v>
      </c>
      <c r="AP15" s="552"/>
      <c r="AQ15" s="552" t="s">
        <v>1186</v>
      </c>
      <c r="AR15" s="552" t="s">
        <v>2809</v>
      </c>
      <c r="AS15" s="552" t="s">
        <v>6881</v>
      </c>
      <c r="AT15" s="552" t="s">
        <v>726</v>
      </c>
    </row>
    <row r="16" spans="1:47" ht="14.7" customHeight="1">
      <c r="A16" s="706" t="s">
        <v>6069</v>
      </c>
      <c r="B16" s="344" t="s">
        <v>3699</v>
      </c>
      <c r="C16" s="539" t="s">
        <v>6869</v>
      </c>
      <c r="D16" s="539" t="s">
        <v>6911</v>
      </c>
      <c r="E16" s="552" t="s">
        <v>6871</v>
      </c>
      <c r="F16" s="552" t="s">
        <v>6872</v>
      </c>
      <c r="G16" s="552" t="s">
        <v>6873</v>
      </c>
      <c r="H16" s="552"/>
      <c r="I16" s="552" t="s">
        <v>6908</v>
      </c>
      <c r="J16" s="552" t="s">
        <v>6912</v>
      </c>
      <c r="K16" s="552"/>
      <c r="L16" s="552"/>
      <c r="M16" s="552"/>
      <c r="N16" s="552"/>
      <c r="O16" s="552"/>
      <c r="P16" s="552"/>
      <c r="Q16" s="552"/>
      <c r="R16" s="552"/>
      <c r="S16" s="552"/>
      <c r="T16" s="552"/>
      <c r="U16" s="552"/>
      <c r="V16" s="552"/>
      <c r="W16" s="552"/>
      <c r="X16" s="552"/>
      <c r="Y16" s="552"/>
      <c r="Z16" s="552"/>
      <c r="AA16" s="552"/>
      <c r="AB16" s="552"/>
      <c r="AC16" s="552"/>
      <c r="AD16" s="552"/>
      <c r="AE16" s="552"/>
      <c r="AF16" s="552"/>
      <c r="AG16" s="552"/>
      <c r="AH16" s="552"/>
      <c r="AI16" s="552"/>
      <c r="AJ16" s="552"/>
      <c r="AK16" s="552"/>
      <c r="AL16" s="552"/>
      <c r="AM16" s="552"/>
      <c r="AN16" s="552"/>
      <c r="AO16" s="552" t="s">
        <v>6913</v>
      </c>
      <c r="AP16" s="552"/>
      <c r="AQ16" s="552" t="s">
        <v>1186</v>
      </c>
      <c r="AR16" s="552" t="s">
        <v>2809</v>
      </c>
      <c r="AS16" s="552" t="s">
        <v>6881</v>
      </c>
      <c r="AT16" s="552" t="s">
        <v>726</v>
      </c>
    </row>
    <row r="17" spans="1:46" ht="14.7" customHeight="1">
      <c r="A17" s="706"/>
      <c r="B17" s="344" t="s">
        <v>3699</v>
      </c>
      <c r="C17" s="539" t="s">
        <v>6869</v>
      </c>
      <c r="D17" s="539" t="s">
        <v>2783</v>
      </c>
      <c r="E17" s="539"/>
      <c r="F17" s="539"/>
      <c r="G17" s="539"/>
      <c r="H17" s="552"/>
      <c r="I17" s="552"/>
      <c r="J17" s="552"/>
      <c r="K17" s="552"/>
      <c r="L17" s="552"/>
      <c r="M17" s="552"/>
      <c r="N17" s="552"/>
      <c r="O17" s="552"/>
      <c r="P17" s="552"/>
      <c r="Q17" s="552"/>
      <c r="R17" s="552"/>
      <c r="S17" s="552"/>
      <c r="T17" s="552"/>
      <c r="U17" s="552"/>
      <c r="V17" s="552"/>
      <c r="W17" s="552"/>
      <c r="X17" s="552"/>
      <c r="Y17" s="552"/>
      <c r="Z17" s="552"/>
      <c r="AA17" s="552"/>
      <c r="AB17" s="552"/>
      <c r="AC17" s="552"/>
      <c r="AD17" s="552"/>
      <c r="AE17" s="552"/>
      <c r="AF17" s="552"/>
      <c r="AG17" s="552"/>
      <c r="AH17" s="552"/>
      <c r="AI17" s="552"/>
      <c r="AJ17" s="552"/>
      <c r="AK17" s="552"/>
      <c r="AL17" s="552"/>
      <c r="AM17" s="552"/>
      <c r="AN17" s="552"/>
      <c r="AO17" s="552"/>
      <c r="AP17" s="552"/>
      <c r="AQ17" s="552" t="s">
        <v>1186</v>
      </c>
      <c r="AR17" s="552" t="s">
        <v>2809</v>
      </c>
      <c r="AS17" s="552" t="s">
        <v>6881</v>
      </c>
      <c r="AT17" s="552" t="s">
        <v>726</v>
      </c>
    </row>
    <row r="18" spans="1:46" ht="14.7" customHeight="1">
      <c r="A18" s="706" t="s">
        <v>9083</v>
      </c>
      <c r="B18" s="559" t="s">
        <v>3700</v>
      </c>
      <c r="C18" s="539" t="s">
        <v>6869</v>
      </c>
      <c r="D18" s="539" t="s">
        <v>6914</v>
      </c>
      <c r="E18" s="552" t="s">
        <v>6871</v>
      </c>
      <c r="F18" s="552" t="s">
        <v>6872</v>
      </c>
      <c r="G18" s="552" t="s">
        <v>6873</v>
      </c>
      <c r="H18" s="552"/>
      <c r="I18" s="552"/>
      <c r="J18" s="552" t="s">
        <v>6915</v>
      </c>
      <c r="K18" s="552"/>
      <c r="L18" s="552"/>
      <c r="M18" s="552"/>
      <c r="N18" s="552"/>
      <c r="O18" s="552"/>
      <c r="P18" s="552"/>
      <c r="Q18" s="552"/>
      <c r="R18" s="552"/>
      <c r="S18" s="552"/>
      <c r="T18" s="552"/>
      <c r="U18" s="552"/>
      <c r="V18" s="552"/>
      <c r="W18" s="552"/>
      <c r="X18" s="552"/>
      <c r="Y18" s="552"/>
      <c r="Z18" s="552"/>
      <c r="AA18" s="552"/>
      <c r="AB18" s="552"/>
      <c r="AC18" s="552"/>
      <c r="AD18" s="552"/>
      <c r="AE18" s="552"/>
      <c r="AF18" s="552"/>
      <c r="AG18" s="552"/>
      <c r="AH18" s="552"/>
      <c r="AI18" s="552"/>
      <c r="AJ18" s="552"/>
      <c r="AK18" s="552"/>
      <c r="AL18" s="552">
        <v>30</v>
      </c>
      <c r="AM18" s="552"/>
      <c r="AN18" s="552"/>
      <c r="AO18" s="552" t="s">
        <v>6916</v>
      </c>
      <c r="AP18" s="552"/>
      <c r="AQ18" s="552" t="s">
        <v>1186</v>
      </c>
      <c r="AR18" s="552" t="s">
        <v>2971</v>
      </c>
      <c r="AS18" s="552" t="s">
        <v>6881</v>
      </c>
      <c r="AT18" s="552" t="s">
        <v>726</v>
      </c>
    </row>
    <row r="19" spans="1:46" ht="14.7" customHeight="1">
      <c r="A19" s="706" t="s">
        <v>9084</v>
      </c>
      <c r="B19" s="559" t="s">
        <v>3700</v>
      </c>
      <c r="C19" s="539" t="s">
        <v>6869</v>
      </c>
      <c r="D19" s="539" t="s">
        <v>6917</v>
      </c>
      <c r="E19" s="552" t="s">
        <v>6871</v>
      </c>
      <c r="F19" s="552" t="s">
        <v>6872</v>
      </c>
      <c r="G19" s="552" t="s">
        <v>6873</v>
      </c>
      <c r="H19" s="552"/>
      <c r="I19" s="552"/>
      <c r="J19" s="552" t="s">
        <v>6918</v>
      </c>
      <c r="K19" s="552"/>
      <c r="L19" s="552"/>
      <c r="M19" s="552"/>
      <c r="N19" s="552"/>
      <c r="O19" s="552"/>
      <c r="P19" s="552"/>
      <c r="Q19" s="552"/>
      <c r="R19" s="552"/>
      <c r="S19" s="552"/>
      <c r="T19" s="552"/>
      <c r="U19" s="552"/>
      <c r="V19" s="552"/>
      <c r="W19" s="552"/>
      <c r="X19" s="552"/>
      <c r="Y19" s="552"/>
      <c r="Z19" s="552"/>
      <c r="AA19" s="552"/>
      <c r="AB19" s="552"/>
      <c r="AC19" s="552"/>
      <c r="AD19" s="552"/>
      <c r="AE19" s="552"/>
      <c r="AF19" s="552"/>
      <c r="AG19" s="552"/>
      <c r="AH19" s="552"/>
      <c r="AI19" s="552"/>
      <c r="AJ19" s="552"/>
      <c r="AK19" s="552"/>
      <c r="AL19" s="709">
        <v>50</v>
      </c>
      <c r="AM19" s="552"/>
      <c r="AN19" s="552"/>
      <c r="AO19" s="552"/>
      <c r="AP19" s="552" t="s">
        <v>6919</v>
      </c>
      <c r="AQ19" s="552" t="s">
        <v>1186</v>
      </c>
      <c r="AR19" s="552" t="s">
        <v>2971</v>
      </c>
      <c r="AS19" s="552" t="s">
        <v>6881</v>
      </c>
      <c r="AT19" s="552" t="s">
        <v>726</v>
      </c>
    </row>
    <row r="20" spans="1:46" ht="14.7" customHeight="1">
      <c r="A20" s="706" t="s">
        <v>6070</v>
      </c>
      <c r="B20" s="711" t="s">
        <v>6055</v>
      </c>
      <c r="C20" s="539" t="s">
        <v>6869</v>
      </c>
      <c r="D20" s="539" t="s">
        <v>6920</v>
      </c>
      <c r="E20" s="552" t="s">
        <v>6871</v>
      </c>
      <c r="F20" s="539" t="s">
        <v>6872</v>
      </c>
      <c r="G20" s="539" t="s">
        <v>6873</v>
      </c>
      <c r="H20" s="552"/>
      <c r="I20" s="552"/>
      <c r="J20" s="552" t="s">
        <v>6921</v>
      </c>
      <c r="K20" s="552"/>
      <c r="L20" s="552"/>
      <c r="M20" s="552"/>
      <c r="N20" s="552"/>
      <c r="O20" s="552"/>
      <c r="P20" s="552"/>
      <c r="Q20" s="552"/>
      <c r="R20" s="552"/>
      <c r="S20" s="552"/>
      <c r="T20" s="552"/>
      <c r="U20" s="552"/>
      <c r="V20" s="552"/>
      <c r="W20" s="552"/>
      <c r="X20" s="552"/>
      <c r="Y20" s="552"/>
      <c r="Z20" s="552"/>
      <c r="AA20" s="552"/>
      <c r="AB20" s="552"/>
      <c r="AC20" s="552"/>
      <c r="AD20" s="552"/>
      <c r="AE20" s="552"/>
      <c r="AF20" s="552"/>
      <c r="AG20" s="552"/>
      <c r="AH20" s="552"/>
      <c r="AI20" s="552"/>
      <c r="AJ20" s="552"/>
      <c r="AK20" s="552"/>
      <c r="AL20" s="552"/>
      <c r="AM20" s="552"/>
      <c r="AN20" s="552"/>
      <c r="AO20" s="709" t="s">
        <v>6922</v>
      </c>
      <c r="AP20" s="709" t="s">
        <v>6923</v>
      </c>
      <c r="AQ20" s="552" t="s">
        <v>1186</v>
      </c>
      <c r="AR20" s="552" t="s">
        <v>6697</v>
      </c>
      <c r="AS20" s="552" t="s">
        <v>6881</v>
      </c>
      <c r="AT20" s="552" t="s">
        <v>726</v>
      </c>
    </row>
    <row r="21" spans="1:46" ht="14.7" customHeight="1">
      <c r="A21" s="710" t="s">
        <v>6071</v>
      </c>
      <c r="B21" s="540" t="s">
        <v>3695</v>
      </c>
      <c r="C21" s="539" t="s">
        <v>6869</v>
      </c>
      <c r="D21" s="539" t="s">
        <v>6924</v>
      </c>
      <c r="E21" s="552" t="s">
        <v>6925</v>
      </c>
      <c r="F21" s="552" t="s">
        <v>6872</v>
      </c>
      <c r="G21" s="552" t="s">
        <v>6873</v>
      </c>
      <c r="H21" s="552"/>
      <c r="I21" s="552"/>
      <c r="J21" s="709" t="s">
        <v>6926</v>
      </c>
      <c r="K21" s="709"/>
      <c r="L21" s="712" t="s">
        <v>6927</v>
      </c>
      <c r="M21" s="552"/>
      <c r="N21" s="552"/>
      <c r="O21" s="552"/>
      <c r="P21" s="552"/>
      <c r="Q21" s="552"/>
      <c r="R21" s="552"/>
      <c r="S21" s="552"/>
      <c r="T21" s="552"/>
      <c r="U21" s="552"/>
      <c r="V21" s="552"/>
      <c r="W21" s="552"/>
      <c r="X21" s="552"/>
      <c r="Y21" s="552"/>
      <c r="Z21" s="552"/>
      <c r="AA21" s="552"/>
      <c r="AB21" s="552"/>
      <c r="AC21" s="552"/>
      <c r="AD21" s="552"/>
      <c r="AE21" s="552"/>
      <c r="AF21" s="552"/>
      <c r="AG21" s="552"/>
      <c r="AH21" s="552"/>
      <c r="AI21" s="552"/>
      <c r="AJ21" s="552"/>
      <c r="AK21" s="552"/>
      <c r="AL21" s="552"/>
      <c r="AM21" s="552"/>
      <c r="AN21" s="552"/>
      <c r="AO21" s="552"/>
      <c r="AP21" s="552"/>
      <c r="AQ21" s="552" t="s">
        <v>1186</v>
      </c>
      <c r="AR21" s="552" t="s">
        <v>2802</v>
      </c>
      <c r="AS21" s="552" t="s">
        <v>6881</v>
      </c>
      <c r="AT21" s="552" t="s">
        <v>726</v>
      </c>
    </row>
    <row r="22" spans="1:46" ht="14.7" customHeight="1">
      <c r="A22" s="706" t="s">
        <v>6072</v>
      </c>
      <c r="B22" s="540" t="s">
        <v>3695</v>
      </c>
      <c r="C22" s="539" t="s">
        <v>6869</v>
      </c>
      <c r="D22" s="541" t="s">
        <v>6928</v>
      </c>
      <c r="E22" s="552" t="s">
        <v>6925</v>
      </c>
      <c r="F22" s="552" t="s">
        <v>6872</v>
      </c>
      <c r="G22" s="552" t="s">
        <v>6873</v>
      </c>
      <c r="H22" s="552"/>
      <c r="I22" s="552"/>
      <c r="J22" s="552" t="s">
        <v>6929</v>
      </c>
      <c r="K22" s="552"/>
      <c r="L22" s="552"/>
      <c r="M22" s="552"/>
      <c r="N22" s="552"/>
      <c r="O22" s="552"/>
      <c r="P22" s="552"/>
      <c r="Q22" s="552"/>
      <c r="R22" s="552"/>
      <c r="S22" s="552"/>
      <c r="T22" s="552"/>
      <c r="U22" s="552"/>
      <c r="V22" s="552"/>
      <c r="W22" s="552"/>
      <c r="X22" s="552"/>
      <c r="Y22" s="552"/>
      <c r="Z22" s="552"/>
      <c r="AA22" s="552"/>
      <c r="AB22" s="552"/>
      <c r="AC22" s="552"/>
      <c r="AD22" s="552"/>
      <c r="AE22" s="552"/>
      <c r="AF22" s="552"/>
      <c r="AG22" s="552"/>
      <c r="AH22" s="552"/>
      <c r="AI22" s="552"/>
      <c r="AJ22" s="552"/>
      <c r="AK22" s="552"/>
      <c r="AL22" s="552"/>
      <c r="AM22" s="552"/>
      <c r="AN22" s="552"/>
      <c r="AO22" s="552"/>
      <c r="AP22" s="552"/>
      <c r="AQ22" s="552" t="s">
        <v>1186</v>
      </c>
      <c r="AR22" s="552" t="s">
        <v>2802</v>
      </c>
      <c r="AS22" s="552" t="s">
        <v>6881</v>
      </c>
      <c r="AT22" s="552" t="s">
        <v>726</v>
      </c>
    </row>
    <row r="23" spans="1:46" ht="14.7" customHeight="1">
      <c r="A23" s="706" t="s">
        <v>6073</v>
      </c>
      <c r="B23" s="707" t="s">
        <v>3696</v>
      </c>
      <c r="C23" s="539" t="s">
        <v>6869</v>
      </c>
      <c r="D23" s="709" t="s">
        <v>6930</v>
      </c>
      <c r="E23" s="552" t="s">
        <v>6925</v>
      </c>
      <c r="F23" s="552" t="s">
        <v>6872</v>
      </c>
      <c r="G23" s="552" t="s">
        <v>6873</v>
      </c>
      <c r="H23" s="552"/>
      <c r="I23" s="552"/>
      <c r="J23" s="709" t="s">
        <v>6931</v>
      </c>
      <c r="K23" s="709"/>
      <c r="L23" s="709"/>
      <c r="M23" s="552"/>
      <c r="N23" s="552"/>
      <c r="O23" s="552"/>
      <c r="P23" s="552"/>
      <c r="Q23" s="552"/>
      <c r="R23" s="552"/>
      <c r="S23" s="552"/>
      <c r="T23" s="552"/>
      <c r="U23" s="552"/>
      <c r="V23" s="552"/>
      <c r="W23" s="552"/>
      <c r="X23" s="552"/>
      <c r="Y23" s="552"/>
      <c r="Z23" s="552"/>
      <c r="AA23" s="552"/>
      <c r="AB23" s="552"/>
      <c r="AC23" s="552"/>
      <c r="AD23" s="552"/>
      <c r="AE23" s="552"/>
      <c r="AF23" s="552"/>
      <c r="AG23" s="552"/>
      <c r="AH23" s="552"/>
      <c r="AI23" s="552"/>
      <c r="AJ23" s="552"/>
      <c r="AK23" s="552"/>
      <c r="AL23" s="552"/>
      <c r="AM23" s="552"/>
      <c r="AN23" s="552"/>
      <c r="AO23" s="552"/>
      <c r="AP23" s="552"/>
      <c r="AQ23" s="552" t="s">
        <v>1186</v>
      </c>
      <c r="AR23" s="552" t="s">
        <v>2805</v>
      </c>
      <c r="AS23" s="552" t="s">
        <v>6881</v>
      </c>
      <c r="AT23" s="552" t="s">
        <v>726</v>
      </c>
    </row>
    <row r="24" spans="1:46" ht="14.7" customHeight="1">
      <c r="A24" s="706" t="s">
        <v>6932</v>
      </c>
      <c r="B24" s="707" t="s">
        <v>3696</v>
      </c>
      <c r="C24" s="539" t="s">
        <v>6869</v>
      </c>
      <c r="D24" s="709" t="s">
        <v>6933</v>
      </c>
      <c r="E24" s="552" t="s">
        <v>6925</v>
      </c>
      <c r="F24" s="552" t="s">
        <v>6872</v>
      </c>
      <c r="G24" s="552" t="s">
        <v>6873</v>
      </c>
      <c r="H24" s="552"/>
      <c r="I24" s="552"/>
      <c r="J24" s="709" t="s">
        <v>6934</v>
      </c>
      <c r="K24" s="709"/>
      <c r="L24" s="709"/>
      <c r="M24" s="552"/>
      <c r="N24" s="552"/>
      <c r="O24" s="552"/>
      <c r="P24" s="552"/>
      <c r="Q24" s="552"/>
      <c r="R24" s="552"/>
      <c r="S24" s="552"/>
      <c r="T24" s="552"/>
      <c r="U24" s="552"/>
      <c r="V24" s="552"/>
      <c r="W24" s="552"/>
      <c r="X24" s="552"/>
      <c r="Y24" s="552"/>
      <c r="Z24" s="552"/>
      <c r="AA24" s="552"/>
      <c r="AB24" s="552"/>
      <c r="AC24" s="552"/>
      <c r="AD24" s="552"/>
      <c r="AE24" s="552"/>
      <c r="AF24" s="552"/>
      <c r="AG24" s="552"/>
      <c r="AH24" s="552"/>
      <c r="AI24" s="552"/>
      <c r="AJ24" s="552"/>
      <c r="AK24" s="552"/>
      <c r="AL24" s="552"/>
      <c r="AM24" s="552"/>
      <c r="AN24" s="552"/>
      <c r="AO24" s="552"/>
      <c r="AP24" s="709" t="s">
        <v>6935</v>
      </c>
      <c r="AQ24" s="552" t="s">
        <v>1186</v>
      </c>
      <c r="AR24" s="552" t="s">
        <v>2805</v>
      </c>
      <c r="AS24" s="552" t="s">
        <v>6881</v>
      </c>
      <c r="AT24" s="552" t="s">
        <v>726</v>
      </c>
    </row>
    <row r="25" spans="1:46" ht="14.7" customHeight="1">
      <c r="A25" s="706" t="s">
        <v>6074</v>
      </c>
      <c r="B25" s="556" t="s">
        <v>3697</v>
      </c>
      <c r="C25" s="539" t="s">
        <v>6869</v>
      </c>
      <c r="D25" s="539" t="s">
        <v>6936</v>
      </c>
      <c r="E25" s="552" t="s">
        <v>6925</v>
      </c>
      <c r="F25" s="552" t="s">
        <v>6872</v>
      </c>
      <c r="G25" s="552" t="s">
        <v>6873</v>
      </c>
      <c r="H25" s="552"/>
      <c r="I25" s="552"/>
      <c r="J25" s="709" t="s">
        <v>6937</v>
      </c>
      <c r="K25" s="709"/>
      <c r="L25" s="709"/>
      <c r="M25" s="552"/>
      <c r="N25" s="552"/>
      <c r="O25" s="552"/>
      <c r="P25" s="552"/>
      <c r="Q25" s="552"/>
      <c r="R25" s="552"/>
      <c r="S25" s="552"/>
      <c r="T25" s="552"/>
      <c r="U25" s="552"/>
      <c r="V25" s="552"/>
      <c r="W25" s="552"/>
      <c r="X25" s="552"/>
      <c r="Y25" s="552"/>
      <c r="Z25" s="552"/>
      <c r="AA25" s="552"/>
      <c r="AB25" s="552"/>
      <c r="AC25" s="552"/>
      <c r="AD25" s="552"/>
      <c r="AE25" s="552"/>
      <c r="AF25" s="552"/>
      <c r="AG25" s="552"/>
      <c r="AH25" s="552"/>
      <c r="AI25" s="552"/>
      <c r="AJ25" s="552"/>
      <c r="AK25" s="552"/>
      <c r="AL25" s="552"/>
      <c r="AM25" s="552"/>
      <c r="AN25" s="552"/>
      <c r="AO25" s="552"/>
      <c r="AP25" s="552"/>
      <c r="AQ25" s="552" t="s">
        <v>1186</v>
      </c>
      <c r="AR25" s="552" t="s">
        <v>2875</v>
      </c>
      <c r="AS25" s="552" t="s">
        <v>6881</v>
      </c>
      <c r="AT25" s="552" t="s">
        <v>726</v>
      </c>
    </row>
    <row r="26" spans="1:46" ht="14.7" customHeight="1">
      <c r="A26" s="706" t="s">
        <v>6075</v>
      </c>
      <c r="B26" s="556" t="s">
        <v>3697</v>
      </c>
      <c r="C26" s="539" t="s">
        <v>6869</v>
      </c>
      <c r="D26" s="709" t="s">
        <v>6938</v>
      </c>
      <c r="E26" s="552" t="s">
        <v>6925</v>
      </c>
      <c r="F26" s="552" t="s">
        <v>6872</v>
      </c>
      <c r="G26" s="552" t="s">
        <v>6873</v>
      </c>
      <c r="H26" s="552"/>
      <c r="I26" s="552"/>
      <c r="J26" s="709" t="s">
        <v>6929</v>
      </c>
      <c r="K26" s="709"/>
      <c r="L26" s="709"/>
      <c r="M26" s="552"/>
      <c r="N26" s="552"/>
      <c r="O26" s="552"/>
      <c r="P26" s="552"/>
      <c r="Q26" s="552"/>
      <c r="R26" s="552"/>
      <c r="S26" s="552"/>
      <c r="T26" s="552"/>
      <c r="U26" s="552"/>
      <c r="V26" s="552">
        <v>0.5</v>
      </c>
      <c r="W26" s="552"/>
      <c r="X26" s="552"/>
      <c r="Y26" s="552"/>
      <c r="Z26" s="552"/>
      <c r="AA26" s="552"/>
      <c r="AB26" s="552"/>
      <c r="AC26" s="552"/>
      <c r="AD26" s="552"/>
      <c r="AE26" s="552"/>
      <c r="AF26" s="552"/>
      <c r="AG26" s="552"/>
      <c r="AH26" s="552"/>
      <c r="AI26" s="552"/>
      <c r="AJ26" s="552"/>
      <c r="AK26" s="552"/>
      <c r="AL26" s="552"/>
      <c r="AM26" s="552"/>
      <c r="AN26" s="552"/>
      <c r="AO26" s="552"/>
      <c r="AP26" s="552"/>
      <c r="AQ26" s="552" t="s">
        <v>1186</v>
      </c>
      <c r="AR26" s="552" t="s">
        <v>2875</v>
      </c>
      <c r="AS26" s="552" t="s">
        <v>6881</v>
      </c>
      <c r="AT26" s="552" t="s">
        <v>726</v>
      </c>
    </row>
    <row r="27" spans="1:46" ht="14.7" customHeight="1">
      <c r="A27" s="706" t="s">
        <v>6076</v>
      </c>
      <c r="B27" s="556" t="s">
        <v>3697</v>
      </c>
      <c r="C27" s="539" t="s">
        <v>6869</v>
      </c>
      <c r="D27" s="541" t="s">
        <v>6939</v>
      </c>
      <c r="E27" s="552" t="s">
        <v>6925</v>
      </c>
      <c r="F27" s="552" t="s">
        <v>6872</v>
      </c>
      <c r="G27" s="552" t="s">
        <v>6873</v>
      </c>
      <c r="H27" s="552"/>
      <c r="I27" s="552"/>
      <c r="J27" s="709" t="s">
        <v>6883</v>
      </c>
      <c r="K27" s="709"/>
      <c r="L27" s="709"/>
      <c r="M27" s="552"/>
      <c r="N27" s="552"/>
      <c r="O27" s="552"/>
      <c r="P27" s="552"/>
      <c r="Q27" s="552"/>
      <c r="R27" s="552"/>
      <c r="S27" s="552"/>
      <c r="T27" s="552"/>
      <c r="U27" s="552"/>
      <c r="V27" s="552"/>
      <c r="W27" s="552"/>
      <c r="X27" s="552"/>
      <c r="Y27" s="552"/>
      <c r="Z27" s="552"/>
      <c r="AA27" s="552"/>
      <c r="AB27" s="552"/>
      <c r="AC27" s="552"/>
      <c r="AD27" s="552"/>
      <c r="AE27" s="552"/>
      <c r="AF27" s="552"/>
      <c r="AG27" s="552"/>
      <c r="AH27" s="552"/>
      <c r="AI27" s="552"/>
      <c r="AJ27" s="552"/>
      <c r="AK27" s="552"/>
      <c r="AL27" s="552"/>
      <c r="AM27" s="552"/>
      <c r="AN27" s="552"/>
      <c r="AO27" s="552"/>
      <c r="AP27" s="552"/>
      <c r="AQ27" s="552" t="s">
        <v>1186</v>
      </c>
      <c r="AR27" s="552" t="s">
        <v>2875</v>
      </c>
      <c r="AS27" s="552" t="s">
        <v>6881</v>
      </c>
      <c r="AT27" s="552" t="s">
        <v>726</v>
      </c>
    </row>
    <row r="28" spans="1:46" ht="14.7" customHeight="1">
      <c r="A28" s="706" t="s">
        <v>6077</v>
      </c>
      <c r="B28" s="557" t="s">
        <v>3698</v>
      </c>
      <c r="C28" s="539" t="s">
        <v>6869</v>
      </c>
      <c r="D28" s="709" t="s">
        <v>6940</v>
      </c>
      <c r="E28" s="709" t="s">
        <v>6925</v>
      </c>
      <c r="F28" s="709" t="s">
        <v>6872</v>
      </c>
      <c r="G28" s="709" t="s">
        <v>6873</v>
      </c>
      <c r="H28" s="709"/>
      <c r="I28" s="709"/>
      <c r="J28" s="709" t="s">
        <v>6896</v>
      </c>
      <c r="K28" s="709"/>
      <c r="L28" s="552" t="s">
        <v>6941</v>
      </c>
      <c r="M28" s="552"/>
      <c r="N28" s="552"/>
      <c r="O28" s="552"/>
      <c r="P28" s="552"/>
      <c r="Q28" s="552"/>
      <c r="R28" s="552"/>
      <c r="S28" s="552"/>
      <c r="T28" s="552"/>
      <c r="U28" s="552"/>
      <c r="V28" s="552"/>
      <c r="W28" s="552"/>
      <c r="X28" s="552"/>
      <c r="Y28" s="552"/>
      <c r="Z28" s="552"/>
      <c r="AA28" s="552"/>
      <c r="AB28" s="552"/>
      <c r="AC28" s="552"/>
      <c r="AD28" s="552"/>
      <c r="AE28" s="552"/>
      <c r="AF28" s="552"/>
      <c r="AG28" s="552"/>
      <c r="AH28" s="552"/>
      <c r="AI28" s="552"/>
      <c r="AJ28" s="552"/>
      <c r="AK28" s="552"/>
      <c r="AL28" s="552"/>
      <c r="AM28" s="552"/>
      <c r="AN28" s="552"/>
      <c r="AO28" s="712" t="s">
        <v>6942</v>
      </c>
      <c r="AP28" s="552"/>
      <c r="AQ28" s="552" t="s">
        <v>1186</v>
      </c>
      <c r="AR28" s="552" t="s">
        <v>2998</v>
      </c>
      <c r="AS28" s="552" t="s">
        <v>6881</v>
      </c>
      <c r="AT28" s="552" t="s">
        <v>726</v>
      </c>
    </row>
    <row r="29" spans="1:46" ht="14.7" customHeight="1">
      <c r="A29" s="706" t="s">
        <v>6078</v>
      </c>
      <c r="B29" s="557" t="s">
        <v>3698</v>
      </c>
      <c r="C29" s="539" t="s">
        <v>6869</v>
      </c>
      <c r="D29" s="709" t="s">
        <v>6943</v>
      </c>
      <c r="E29" s="709" t="s">
        <v>6925</v>
      </c>
      <c r="F29" s="709" t="s">
        <v>6872</v>
      </c>
      <c r="G29" s="709" t="s">
        <v>6873</v>
      </c>
      <c r="H29" s="709"/>
      <c r="I29" s="709"/>
      <c r="J29" s="709" t="s">
        <v>6944</v>
      </c>
      <c r="K29" s="713" t="s">
        <v>6945</v>
      </c>
      <c r="L29" s="552"/>
      <c r="M29" s="552"/>
      <c r="N29" s="552"/>
      <c r="O29" s="552"/>
      <c r="P29" s="552"/>
      <c r="Q29" s="552"/>
      <c r="R29" s="552"/>
      <c r="S29" s="552"/>
      <c r="T29" s="552"/>
      <c r="U29" s="552"/>
      <c r="V29" s="552"/>
      <c r="W29" s="552"/>
      <c r="X29" s="552"/>
      <c r="Y29" s="552"/>
      <c r="Z29" s="552"/>
      <c r="AA29" s="552"/>
      <c r="AB29" s="552"/>
      <c r="AC29" s="552"/>
      <c r="AD29" s="552"/>
      <c r="AE29" s="552"/>
      <c r="AF29" s="552"/>
      <c r="AG29" s="552"/>
      <c r="AH29" s="552"/>
      <c r="AI29" s="552"/>
      <c r="AJ29" s="552"/>
      <c r="AK29" s="552"/>
      <c r="AL29" s="552"/>
      <c r="AM29" s="552"/>
      <c r="AN29" s="552"/>
      <c r="AO29" s="552"/>
      <c r="AP29" s="552"/>
      <c r="AQ29" s="552" t="s">
        <v>1186</v>
      </c>
      <c r="AR29" s="552" t="s">
        <v>2998</v>
      </c>
      <c r="AS29" s="552" t="s">
        <v>6881</v>
      </c>
      <c r="AT29" s="552" t="s">
        <v>726</v>
      </c>
    </row>
    <row r="30" spans="1:46" ht="14.7" customHeight="1">
      <c r="A30" s="706"/>
      <c r="B30" s="557" t="s">
        <v>3698</v>
      </c>
      <c r="C30" s="539" t="s">
        <v>6869</v>
      </c>
      <c r="D30" s="539" t="s">
        <v>2783</v>
      </c>
      <c r="E30" s="539"/>
      <c r="F30" s="539"/>
      <c r="G30" s="539"/>
      <c r="H30" s="552"/>
      <c r="I30" s="552"/>
      <c r="J30" s="552"/>
      <c r="K30" s="552"/>
      <c r="L30" s="552"/>
      <c r="M30" s="552"/>
      <c r="N30" s="552"/>
      <c r="O30" s="552"/>
      <c r="P30" s="552"/>
      <c r="Q30" s="552"/>
      <c r="R30" s="552"/>
      <c r="S30" s="552"/>
      <c r="T30" s="552"/>
      <c r="U30" s="552"/>
      <c r="V30" s="552"/>
      <c r="W30" s="552"/>
      <c r="X30" s="552"/>
      <c r="Y30" s="552"/>
      <c r="Z30" s="552"/>
      <c r="AA30" s="552"/>
      <c r="AB30" s="552"/>
      <c r="AC30" s="552"/>
      <c r="AD30" s="552"/>
      <c r="AE30" s="552"/>
      <c r="AF30" s="552"/>
      <c r="AG30" s="552"/>
      <c r="AH30" s="552"/>
      <c r="AI30" s="552"/>
      <c r="AJ30" s="552"/>
      <c r="AK30" s="552"/>
      <c r="AL30" s="552"/>
      <c r="AM30" s="552"/>
      <c r="AN30" s="552"/>
      <c r="AO30" s="552"/>
      <c r="AP30" s="552"/>
      <c r="AQ30" s="552" t="s">
        <v>1186</v>
      </c>
      <c r="AR30" s="552" t="s">
        <v>2998</v>
      </c>
      <c r="AS30" s="552" t="s">
        <v>6881</v>
      </c>
      <c r="AT30" s="552" t="s">
        <v>726</v>
      </c>
    </row>
    <row r="31" spans="1:46" ht="14.7" customHeight="1">
      <c r="A31" s="706"/>
      <c r="B31" s="557" t="s">
        <v>3698</v>
      </c>
      <c r="C31" s="539" t="s">
        <v>6869</v>
      </c>
      <c r="D31" s="539" t="s">
        <v>2783</v>
      </c>
      <c r="E31" s="539"/>
      <c r="F31" s="539"/>
      <c r="G31" s="539"/>
      <c r="H31" s="552"/>
      <c r="I31" s="552"/>
      <c r="J31" s="552"/>
      <c r="K31" s="552"/>
      <c r="L31" s="552"/>
      <c r="M31" s="552"/>
      <c r="N31" s="552"/>
      <c r="O31" s="552"/>
      <c r="P31" s="552"/>
      <c r="Q31" s="552"/>
      <c r="R31" s="552"/>
      <c r="S31" s="552"/>
      <c r="T31" s="552"/>
      <c r="U31" s="552"/>
      <c r="V31" s="552"/>
      <c r="W31" s="552"/>
      <c r="X31" s="552"/>
      <c r="Y31" s="552"/>
      <c r="Z31" s="552"/>
      <c r="AA31" s="552"/>
      <c r="AB31" s="552"/>
      <c r="AC31" s="552"/>
      <c r="AD31" s="552"/>
      <c r="AE31" s="552"/>
      <c r="AF31" s="552"/>
      <c r="AG31" s="552"/>
      <c r="AH31" s="552"/>
      <c r="AI31" s="552"/>
      <c r="AJ31" s="552"/>
      <c r="AK31" s="552"/>
      <c r="AL31" s="552"/>
      <c r="AM31" s="552"/>
      <c r="AN31" s="552"/>
      <c r="AO31" s="552"/>
      <c r="AP31" s="552"/>
      <c r="AQ31" s="552" t="s">
        <v>1186</v>
      </c>
      <c r="AR31" s="552" t="s">
        <v>2998</v>
      </c>
      <c r="AS31" s="552" t="s">
        <v>6881</v>
      </c>
      <c r="AT31" s="552" t="s">
        <v>726</v>
      </c>
    </row>
    <row r="32" spans="1:46" ht="14.7" customHeight="1">
      <c r="A32" s="706" t="s">
        <v>6079</v>
      </c>
      <c r="B32" s="344" t="s">
        <v>3699</v>
      </c>
      <c r="C32" s="539" t="s">
        <v>6869</v>
      </c>
      <c r="D32" s="709" t="s">
        <v>6946</v>
      </c>
      <c r="E32" s="709" t="s">
        <v>6925</v>
      </c>
      <c r="F32" s="709" t="s">
        <v>6872</v>
      </c>
      <c r="G32" s="709" t="s">
        <v>6873</v>
      </c>
      <c r="H32" s="709"/>
      <c r="I32" s="709"/>
      <c r="J32" s="709" t="s">
        <v>6947</v>
      </c>
      <c r="K32" s="709" t="s">
        <v>6948</v>
      </c>
      <c r="L32" s="709"/>
      <c r="M32" s="709"/>
      <c r="N32" s="709"/>
      <c r="O32" s="552"/>
      <c r="P32" s="552"/>
      <c r="Q32" s="552"/>
      <c r="R32" s="552"/>
      <c r="S32" s="552"/>
      <c r="T32" s="552"/>
      <c r="U32" s="552"/>
      <c r="V32" s="552"/>
      <c r="W32" s="552"/>
      <c r="X32" s="552"/>
      <c r="Y32" s="552"/>
      <c r="Z32" s="552"/>
      <c r="AA32" s="552"/>
      <c r="AB32" s="552"/>
      <c r="AC32" s="552"/>
      <c r="AD32" s="552"/>
      <c r="AE32" s="552"/>
      <c r="AF32" s="552"/>
      <c r="AG32" s="552"/>
      <c r="AH32" s="552"/>
      <c r="AI32" s="552"/>
      <c r="AJ32" s="552"/>
      <c r="AK32" s="552"/>
      <c r="AL32" s="552"/>
      <c r="AM32" s="552"/>
      <c r="AN32" s="552"/>
      <c r="AO32" s="709" t="s">
        <v>6949</v>
      </c>
      <c r="AP32" s="709"/>
      <c r="AQ32" s="552" t="s">
        <v>1186</v>
      </c>
      <c r="AR32" s="552" t="s">
        <v>2809</v>
      </c>
      <c r="AS32" s="552" t="s">
        <v>6881</v>
      </c>
      <c r="AT32" s="552" t="s">
        <v>726</v>
      </c>
    </row>
    <row r="33" spans="1:46" ht="14.7" customHeight="1">
      <c r="A33" s="706" t="s">
        <v>6080</v>
      </c>
      <c r="B33" s="344" t="s">
        <v>3699</v>
      </c>
      <c r="C33" s="539" t="s">
        <v>6869</v>
      </c>
      <c r="D33" s="709" t="s">
        <v>6950</v>
      </c>
      <c r="E33" s="709" t="s">
        <v>6925</v>
      </c>
      <c r="F33" s="709" t="s">
        <v>6872</v>
      </c>
      <c r="G33" s="709" t="s">
        <v>6873</v>
      </c>
      <c r="H33" s="709"/>
      <c r="I33" s="709"/>
      <c r="J33" s="709" t="s">
        <v>6951</v>
      </c>
      <c r="K33" s="709"/>
      <c r="L33" s="709"/>
      <c r="M33" s="712" t="s">
        <v>6952</v>
      </c>
      <c r="N33" s="552"/>
      <c r="O33" s="552"/>
      <c r="P33" s="552"/>
      <c r="Q33" s="552"/>
      <c r="R33" s="552"/>
      <c r="S33" s="552"/>
      <c r="T33" s="552"/>
      <c r="U33" s="552"/>
      <c r="V33" s="552">
        <v>1</v>
      </c>
      <c r="W33" s="552"/>
      <c r="X33" s="552"/>
      <c r="Y33" s="552"/>
      <c r="Z33" s="552"/>
      <c r="AA33" s="552"/>
      <c r="AB33" s="552"/>
      <c r="AC33" s="552"/>
      <c r="AD33" s="552"/>
      <c r="AE33" s="552"/>
      <c r="AF33" s="552"/>
      <c r="AG33" s="552"/>
      <c r="AH33" s="552"/>
      <c r="AI33" s="552"/>
      <c r="AJ33" s="552"/>
      <c r="AK33" s="552"/>
      <c r="AL33" s="552"/>
      <c r="AM33" s="552"/>
      <c r="AN33" s="552"/>
      <c r="AO33" s="552"/>
      <c r="AP33" s="552"/>
      <c r="AQ33" s="552" t="s">
        <v>1186</v>
      </c>
      <c r="AR33" s="552" t="s">
        <v>2809</v>
      </c>
      <c r="AS33" s="552" t="s">
        <v>6881</v>
      </c>
      <c r="AT33" s="552" t="s">
        <v>726</v>
      </c>
    </row>
    <row r="34" spans="1:46" ht="14.7" customHeight="1">
      <c r="A34" s="706" t="s">
        <v>6953</v>
      </c>
      <c r="B34" s="344" t="s">
        <v>3699</v>
      </c>
      <c r="C34" s="539" t="s">
        <v>6869</v>
      </c>
      <c r="D34" s="541" t="s">
        <v>6954</v>
      </c>
      <c r="E34" s="709" t="s">
        <v>6925</v>
      </c>
      <c r="F34" s="709" t="s">
        <v>6872</v>
      </c>
      <c r="G34" s="709" t="s">
        <v>6873</v>
      </c>
      <c r="H34" s="709"/>
      <c r="I34" s="709"/>
      <c r="J34" s="709" t="s">
        <v>6912</v>
      </c>
      <c r="K34" s="709"/>
      <c r="L34" s="709"/>
      <c r="M34" s="552"/>
      <c r="N34" s="552"/>
      <c r="O34" s="552"/>
      <c r="P34" s="552"/>
      <c r="Q34" s="552"/>
      <c r="R34" s="552"/>
      <c r="S34" s="552"/>
      <c r="T34" s="552"/>
      <c r="U34" s="552"/>
      <c r="V34" s="552"/>
      <c r="W34" s="552"/>
      <c r="X34" s="552"/>
      <c r="Y34" s="552"/>
      <c r="Z34" s="552"/>
      <c r="AA34" s="552"/>
      <c r="AB34" s="552"/>
      <c r="AC34" s="552"/>
      <c r="AD34" s="552"/>
      <c r="AE34" s="552"/>
      <c r="AF34" s="552"/>
      <c r="AG34" s="552"/>
      <c r="AH34" s="552"/>
      <c r="AI34" s="552"/>
      <c r="AJ34" s="552"/>
      <c r="AK34" s="552"/>
      <c r="AL34" s="552"/>
      <c r="AM34" s="552"/>
      <c r="AN34" s="552"/>
      <c r="AO34" s="552"/>
      <c r="AP34" s="709" t="s">
        <v>6955</v>
      </c>
      <c r="AQ34" s="552" t="s">
        <v>1186</v>
      </c>
      <c r="AR34" s="552" t="s">
        <v>2809</v>
      </c>
      <c r="AS34" s="552" t="s">
        <v>6881</v>
      </c>
      <c r="AT34" s="552" t="s">
        <v>726</v>
      </c>
    </row>
    <row r="35" spans="1:46" ht="14.7" customHeight="1">
      <c r="A35" s="706"/>
      <c r="B35" s="344" t="s">
        <v>3699</v>
      </c>
      <c r="C35" s="539" t="s">
        <v>6869</v>
      </c>
      <c r="D35" s="539" t="s">
        <v>2783</v>
      </c>
      <c r="E35" s="539"/>
      <c r="F35" s="539"/>
      <c r="G35" s="539"/>
      <c r="H35" s="552"/>
      <c r="I35" s="552"/>
      <c r="J35" s="552"/>
      <c r="K35" s="552"/>
      <c r="L35" s="552"/>
      <c r="M35" s="552"/>
      <c r="N35" s="552"/>
      <c r="O35" s="552"/>
      <c r="P35" s="552"/>
      <c r="Q35" s="552"/>
      <c r="R35" s="552"/>
      <c r="S35" s="552"/>
      <c r="T35" s="552"/>
      <c r="U35" s="552"/>
      <c r="V35" s="552"/>
      <c r="W35" s="552"/>
      <c r="X35" s="552"/>
      <c r="Y35" s="552"/>
      <c r="Z35" s="552"/>
      <c r="AA35" s="552"/>
      <c r="AB35" s="552"/>
      <c r="AC35" s="552"/>
      <c r="AD35" s="552"/>
      <c r="AE35" s="552"/>
      <c r="AF35" s="552"/>
      <c r="AG35" s="552"/>
      <c r="AH35" s="552"/>
      <c r="AI35" s="552"/>
      <c r="AJ35" s="552"/>
      <c r="AK35" s="552"/>
      <c r="AL35" s="552"/>
      <c r="AM35" s="552"/>
      <c r="AN35" s="552"/>
      <c r="AO35" s="552"/>
      <c r="AP35" s="552"/>
      <c r="AQ35" s="552" t="s">
        <v>1186</v>
      </c>
      <c r="AR35" s="552" t="s">
        <v>2809</v>
      </c>
      <c r="AS35" s="552" t="s">
        <v>6881</v>
      </c>
      <c r="AT35" s="552" t="s">
        <v>726</v>
      </c>
    </row>
    <row r="36" spans="1:46" ht="14.7" customHeight="1">
      <c r="A36" s="706"/>
      <c r="B36" s="344" t="s">
        <v>3699</v>
      </c>
      <c r="C36" s="539" t="s">
        <v>6869</v>
      </c>
      <c r="D36" s="539" t="s">
        <v>2783</v>
      </c>
      <c r="E36" s="539"/>
      <c r="F36" s="539"/>
      <c r="G36" s="539"/>
      <c r="H36" s="552"/>
      <c r="I36" s="552"/>
      <c r="J36" s="552"/>
      <c r="K36" s="552"/>
      <c r="L36" s="552"/>
      <c r="M36" s="552"/>
      <c r="N36" s="552"/>
      <c r="O36" s="552"/>
      <c r="P36" s="552"/>
      <c r="Q36" s="552"/>
      <c r="R36" s="552"/>
      <c r="S36" s="552"/>
      <c r="T36" s="552"/>
      <c r="U36" s="552"/>
      <c r="V36" s="552"/>
      <c r="W36" s="552"/>
      <c r="X36" s="552"/>
      <c r="Y36" s="552"/>
      <c r="Z36" s="552"/>
      <c r="AA36" s="552"/>
      <c r="AB36" s="552"/>
      <c r="AC36" s="552"/>
      <c r="AD36" s="552"/>
      <c r="AE36" s="552"/>
      <c r="AF36" s="552"/>
      <c r="AG36" s="552"/>
      <c r="AH36" s="552"/>
      <c r="AI36" s="552"/>
      <c r="AJ36" s="552"/>
      <c r="AK36" s="552"/>
      <c r="AL36" s="552"/>
      <c r="AM36" s="552"/>
      <c r="AN36" s="552"/>
      <c r="AO36" s="552"/>
      <c r="AP36" s="552"/>
      <c r="AQ36" s="552" t="s">
        <v>1186</v>
      </c>
      <c r="AR36" s="552" t="s">
        <v>2809</v>
      </c>
      <c r="AS36" s="552" t="s">
        <v>6881</v>
      </c>
      <c r="AT36" s="552" t="s">
        <v>726</v>
      </c>
    </row>
    <row r="37" spans="1:46" ht="14.7" customHeight="1">
      <c r="A37" s="706" t="s">
        <v>6081</v>
      </c>
      <c r="B37" s="559" t="s">
        <v>3700</v>
      </c>
      <c r="C37" s="539" t="s">
        <v>6869</v>
      </c>
      <c r="D37" s="709" t="s">
        <v>6956</v>
      </c>
      <c r="E37" s="709" t="s">
        <v>6925</v>
      </c>
      <c r="F37" s="709" t="s">
        <v>6872</v>
      </c>
      <c r="G37" s="709" t="s">
        <v>6873</v>
      </c>
      <c r="H37" s="709"/>
      <c r="I37" s="709"/>
      <c r="J37" s="709" t="s">
        <v>6957</v>
      </c>
      <c r="K37" s="709"/>
      <c r="L37" s="709"/>
      <c r="M37" s="552"/>
      <c r="N37" s="552"/>
      <c r="O37" s="552"/>
      <c r="P37" s="552"/>
      <c r="Q37" s="552"/>
      <c r="R37" s="552"/>
      <c r="S37" s="552"/>
      <c r="T37" s="552"/>
      <c r="U37" s="552"/>
      <c r="V37" s="552"/>
      <c r="W37" s="552"/>
      <c r="X37" s="552"/>
      <c r="Y37" s="552"/>
      <c r="Z37" s="552"/>
      <c r="AA37" s="552"/>
      <c r="AB37" s="552"/>
      <c r="AC37" s="552"/>
      <c r="AD37" s="552"/>
      <c r="AE37" s="552"/>
      <c r="AF37" s="552"/>
      <c r="AG37" s="552"/>
      <c r="AH37" s="552"/>
      <c r="AI37" s="552"/>
      <c r="AJ37" s="552"/>
      <c r="AK37" s="552"/>
      <c r="AL37" s="552"/>
      <c r="AM37" s="552"/>
      <c r="AN37" s="552"/>
      <c r="AO37" s="709" t="s">
        <v>6958</v>
      </c>
      <c r="AP37" s="709"/>
      <c r="AQ37" s="552" t="s">
        <v>1186</v>
      </c>
      <c r="AR37" s="552" t="s">
        <v>2971</v>
      </c>
      <c r="AS37" s="552" t="s">
        <v>6881</v>
      </c>
      <c r="AT37" s="552" t="s">
        <v>726</v>
      </c>
    </row>
    <row r="38" spans="1:46" ht="14.7" customHeight="1">
      <c r="A38" s="706"/>
      <c r="B38" s="559" t="s">
        <v>3700</v>
      </c>
      <c r="C38" s="539" t="s">
        <v>6869</v>
      </c>
      <c r="D38" s="539" t="s">
        <v>2783</v>
      </c>
      <c r="E38" s="539"/>
      <c r="F38" s="539"/>
      <c r="G38" s="539"/>
      <c r="H38" s="552"/>
      <c r="I38" s="552"/>
      <c r="J38" s="552"/>
      <c r="K38" s="552"/>
      <c r="L38" s="552"/>
      <c r="M38" s="552"/>
      <c r="N38" s="552"/>
      <c r="O38" s="552"/>
      <c r="P38" s="552"/>
      <c r="Q38" s="552"/>
      <c r="R38" s="552"/>
      <c r="S38" s="552"/>
      <c r="T38" s="552"/>
      <c r="U38" s="552"/>
      <c r="V38" s="552"/>
      <c r="W38" s="552"/>
      <c r="X38" s="552"/>
      <c r="Y38" s="552"/>
      <c r="Z38" s="552"/>
      <c r="AA38" s="552"/>
      <c r="AB38" s="552"/>
      <c r="AC38" s="552"/>
      <c r="AD38" s="552"/>
      <c r="AE38" s="552"/>
      <c r="AF38" s="552"/>
      <c r="AG38" s="552"/>
      <c r="AH38" s="552"/>
      <c r="AI38" s="552"/>
      <c r="AJ38" s="552"/>
      <c r="AK38" s="552"/>
      <c r="AL38" s="552"/>
      <c r="AM38" s="552"/>
      <c r="AN38" s="552"/>
      <c r="AO38" s="552"/>
      <c r="AP38" s="552"/>
      <c r="AQ38" s="552" t="s">
        <v>1186</v>
      </c>
      <c r="AR38" s="552" t="s">
        <v>2971</v>
      </c>
      <c r="AS38" s="552" t="s">
        <v>6881</v>
      </c>
      <c r="AT38" s="552" t="s">
        <v>726</v>
      </c>
    </row>
    <row r="39" spans="1:46" ht="14.7" customHeight="1">
      <c r="A39" s="710" t="s">
        <v>6082</v>
      </c>
      <c r="B39" s="711" t="s">
        <v>6055</v>
      </c>
      <c r="C39" s="539" t="s">
        <v>6869</v>
      </c>
      <c r="D39" s="714" t="s">
        <v>6959</v>
      </c>
      <c r="E39" s="709" t="s">
        <v>6925</v>
      </c>
      <c r="F39" s="709" t="s">
        <v>6872</v>
      </c>
      <c r="G39" s="709" t="s">
        <v>6873</v>
      </c>
      <c r="H39" s="713" t="s">
        <v>6960</v>
      </c>
      <c r="I39" s="714"/>
      <c r="J39" s="709" t="s">
        <v>6961</v>
      </c>
      <c r="K39" s="709" t="s">
        <v>6962</v>
      </c>
      <c r="L39" s="552"/>
      <c r="M39" s="552"/>
      <c r="N39" s="552"/>
      <c r="O39" s="552"/>
      <c r="P39" s="552"/>
      <c r="Q39" s="552"/>
      <c r="R39" s="552"/>
      <c r="S39" s="552"/>
      <c r="T39" s="552"/>
      <c r="U39" s="552"/>
      <c r="V39" s="552"/>
      <c r="W39" s="552"/>
      <c r="X39" s="552"/>
      <c r="Y39" s="552"/>
      <c r="Z39" s="552"/>
      <c r="AA39" s="552"/>
      <c r="AB39" s="552"/>
      <c r="AC39" s="552"/>
      <c r="AD39" s="552"/>
      <c r="AE39" s="552"/>
      <c r="AF39" s="552"/>
      <c r="AG39" s="552"/>
      <c r="AH39" s="552"/>
      <c r="AI39" s="552"/>
      <c r="AJ39" s="552"/>
      <c r="AK39" s="552"/>
      <c r="AL39" s="552"/>
      <c r="AM39" s="552"/>
      <c r="AN39" s="552"/>
      <c r="AO39" s="709" t="s">
        <v>6963</v>
      </c>
      <c r="AP39" s="552"/>
      <c r="AQ39" s="552" t="s">
        <v>1186</v>
      </c>
      <c r="AR39" s="552" t="s">
        <v>6697</v>
      </c>
      <c r="AS39" s="552" t="s">
        <v>6881</v>
      </c>
      <c r="AT39" s="552" t="s">
        <v>726</v>
      </c>
    </row>
    <row r="40" spans="1:46" ht="14.7" customHeight="1">
      <c r="A40" s="706" t="s">
        <v>6083</v>
      </c>
      <c r="B40" s="540" t="s">
        <v>3695</v>
      </c>
      <c r="C40" s="539" t="s">
        <v>6869</v>
      </c>
      <c r="D40" s="709" t="s">
        <v>6964</v>
      </c>
      <c r="E40" s="709" t="s">
        <v>6871</v>
      </c>
      <c r="F40" s="709" t="s">
        <v>6872</v>
      </c>
      <c r="G40" s="709" t="s">
        <v>6965</v>
      </c>
      <c r="H40" s="709"/>
      <c r="I40" s="709" t="s">
        <v>6908</v>
      </c>
      <c r="J40" s="709" t="s">
        <v>6966</v>
      </c>
      <c r="K40" s="709"/>
      <c r="L40" s="709"/>
      <c r="M40" s="552"/>
      <c r="N40" s="552"/>
      <c r="O40" s="552"/>
      <c r="P40" s="552"/>
      <c r="Q40" s="552"/>
      <c r="R40" s="552"/>
      <c r="S40" s="552"/>
      <c r="T40" s="552"/>
      <c r="U40" s="552"/>
      <c r="V40" s="552"/>
      <c r="W40" s="552"/>
      <c r="X40" s="552"/>
      <c r="Y40" s="552"/>
      <c r="Z40" s="552"/>
      <c r="AA40" s="552"/>
      <c r="AB40" s="552"/>
      <c r="AC40" s="552"/>
      <c r="AD40" s="552"/>
      <c r="AE40" s="552"/>
      <c r="AF40" s="552"/>
      <c r="AG40" s="552"/>
      <c r="AH40" s="552"/>
      <c r="AI40" s="552"/>
      <c r="AJ40" s="552"/>
      <c r="AK40" s="552"/>
      <c r="AL40" s="552"/>
      <c r="AM40" s="552"/>
      <c r="AN40" s="552"/>
      <c r="AO40" s="552"/>
      <c r="AP40" s="552"/>
      <c r="AQ40" s="552" t="s">
        <v>1186</v>
      </c>
      <c r="AR40" s="552" t="s">
        <v>2802</v>
      </c>
      <c r="AS40" s="552" t="s">
        <v>6967</v>
      </c>
      <c r="AT40" s="552" t="s">
        <v>726</v>
      </c>
    </row>
    <row r="41" spans="1:46" ht="14.7" customHeight="1">
      <c r="A41" s="706"/>
      <c r="B41" s="540" t="s">
        <v>3695</v>
      </c>
      <c r="C41" s="539" t="s">
        <v>6869</v>
      </c>
      <c r="D41" s="539" t="s">
        <v>2783</v>
      </c>
      <c r="E41" s="539"/>
      <c r="F41" s="539"/>
      <c r="G41" s="539"/>
      <c r="H41" s="552"/>
      <c r="I41" s="552"/>
      <c r="J41" s="552"/>
      <c r="K41" s="552"/>
      <c r="L41" s="552"/>
      <c r="M41" s="552"/>
      <c r="N41" s="552"/>
      <c r="O41" s="552"/>
      <c r="P41" s="552"/>
      <c r="Q41" s="552"/>
      <c r="R41" s="552"/>
      <c r="S41" s="552"/>
      <c r="T41" s="552"/>
      <c r="U41" s="552"/>
      <c r="V41" s="552"/>
      <c r="W41" s="552"/>
      <c r="X41" s="552"/>
      <c r="Y41" s="552"/>
      <c r="Z41" s="552"/>
      <c r="AA41" s="552"/>
      <c r="AB41" s="552"/>
      <c r="AC41" s="552"/>
      <c r="AD41" s="552"/>
      <c r="AE41" s="552"/>
      <c r="AF41" s="552"/>
      <c r="AG41" s="552"/>
      <c r="AH41" s="552"/>
      <c r="AI41" s="552"/>
      <c r="AJ41" s="552"/>
      <c r="AK41" s="552"/>
      <c r="AL41" s="552"/>
      <c r="AM41" s="552"/>
      <c r="AN41" s="552"/>
      <c r="AO41" s="552"/>
      <c r="AP41" s="552"/>
      <c r="AQ41" s="552" t="s">
        <v>1186</v>
      </c>
      <c r="AR41" s="552" t="s">
        <v>2802</v>
      </c>
      <c r="AS41" s="552" t="s">
        <v>6967</v>
      </c>
      <c r="AT41" s="552" t="s">
        <v>726</v>
      </c>
    </row>
    <row r="42" spans="1:46" ht="14.7" customHeight="1">
      <c r="A42" s="706" t="s">
        <v>6084</v>
      </c>
      <c r="B42" s="707" t="s">
        <v>3696</v>
      </c>
      <c r="C42" s="539" t="s">
        <v>6869</v>
      </c>
      <c r="D42" s="709" t="s">
        <v>6968</v>
      </c>
      <c r="E42" s="709" t="s">
        <v>6871</v>
      </c>
      <c r="F42" s="709" t="s">
        <v>6872</v>
      </c>
      <c r="G42" s="709" t="s">
        <v>6965</v>
      </c>
      <c r="H42" s="709"/>
      <c r="I42" s="709"/>
      <c r="J42" s="709" t="s">
        <v>6969</v>
      </c>
      <c r="K42" s="709"/>
      <c r="L42" s="709"/>
      <c r="M42" s="552"/>
      <c r="N42" s="552"/>
      <c r="O42" s="552"/>
      <c r="P42" s="552"/>
      <c r="Q42" s="552"/>
      <c r="R42" s="552"/>
      <c r="S42" s="552"/>
      <c r="T42" s="552"/>
      <c r="U42" s="552"/>
      <c r="V42" s="552"/>
      <c r="W42" s="552"/>
      <c r="X42" s="552"/>
      <c r="Y42" s="552"/>
      <c r="Z42" s="552"/>
      <c r="AA42" s="552"/>
      <c r="AB42" s="552"/>
      <c r="AC42" s="552"/>
      <c r="AD42" s="552"/>
      <c r="AE42" s="552"/>
      <c r="AF42" s="552"/>
      <c r="AG42" s="552"/>
      <c r="AH42" s="552"/>
      <c r="AI42" s="552"/>
      <c r="AJ42" s="552"/>
      <c r="AK42" s="552"/>
      <c r="AL42" s="552"/>
      <c r="AM42" s="552"/>
      <c r="AN42" s="552"/>
      <c r="AO42" s="552"/>
      <c r="AP42" s="552"/>
      <c r="AQ42" s="552" t="s">
        <v>1186</v>
      </c>
      <c r="AR42" s="552" t="s">
        <v>2805</v>
      </c>
      <c r="AS42" s="552" t="s">
        <v>6967</v>
      </c>
      <c r="AT42" s="552" t="s">
        <v>726</v>
      </c>
    </row>
    <row r="43" spans="1:46" ht="14.7" customHeight="1">
      <c r="A43" s="706"/>
      <c r="B43" s="707" t="s">
        <v>3696</v>
      </c>
      <c r="C43" s="539" t="s">
        <v>6869</v>
      </c>
      <c r="D43" s="539" t="s">
        <v>2783</v>
      </c>
      <c r="E43" s="539"/>
      <c r="F43" s="539"/>
      <c r="G43" s="539"/>
      <c r="H43" s="552"/>
      <c r="I43" s="552"/>
      <c r="J43" s="552"/>
      <c r="K43" s="552"/>
      <c r="L43" s="552"/>
      <c r="M43" s="552"/>
      <c r="N43" s="552"/>
      <c r="O43" s="552"/>
      <c r="P43" s="552"/>
      <c r="Q43" s="552"/>
      <c r="R43" s="552"/>
      <c r="S43" s="552"/>
      <c r="T43" s="552"/>
      <c r="U43" s="552"/>
      <c r="V43" s="552"/>
      <c r="W43" s="552"/>
      <c r="X43" s="552"/>
      <c r="Y43" s="552"/>
      <c r="Z43" s="552"/>
      <c r="AA43" s="552"/>
      <c r="AB43" s="552"/>
      <c r="AC43" s="552"/>
      <c r="AD43" s="552"/>
      <c r="AE43" s="552"/>
      <c r="AF43" s="552"/>
      <c r="AG43" s="552"/>
      <c r="AH43" s="552"/>
      <c r="AI43" s="552"/>
      <c r="AJ43" s="552"/>
      <c r="AK43" s="552"/>
      <c r="AL43" s="552"/>
      <c r="AM43" s="552"/>
      <c r="AN43" s="552"/>
      <c r="AO43" s="552"/>
      <c r="AP43" s="552"/>
      <c r="AQ43" s="552" t="s">
        <v>1186</v>
      </c>
      <c r="AR43" s="552" t="s">
        <v>2805</v>
      </c>
      <c r="AS43" s="552" t="s">
        <v>6967</v>
      </c>
      <c r="AT43" s="552" t="s">
        <v>726</v>
      </c>
    </row>
    <row r="44" spans="1:46" ht="14.7" customHeight="1">
      <c r="A44" s="706" t="s">
        <v>6085</v>
      </c>
      <c r="B44" s="556" t="s">
        <v>3697</v>
      </c>
      <c r="C44" s="539" t="s">
        <v>6869</v>
      </c>
      <c r="D44" s="709" t="s">
        <v>6970</v>
      </c>
      <c r="E44" s="709" t="s">
        <v>6871</v>
      </c>
      <c r="F44" s="709" t="s">
        <v>6872</v>
      </c>
      <c r="G44" s="709" t="s">
        <v>6965</v>
      </c>
      <c r="H44" s="709"/>
      <c r="I44" s="709" t="s">
        <v>6908</v>
      </c>
      <c r="J44" s="709" t="s">
        <v>6929</v>
      </c>
      <c r="K44" s="709"/>
      <c r="L44" s="709"/>
      <c r="M44" s="552"/>
      <c r="N44" s="552"/>
      <c r="O44" s="552"/>
      <c r="P44" s="552"/>
      <c r="Q44" s="552"/>
      <c r="R44" s="552"/>
      <c r="S44" s="552"/>
      <c r="T44" s="552"/>
      <c r="U44" s="552"/>
      <c r="V44" s="552"/>
      <c r="W44" s="552"/>
      <c r="X44" s="552"/>
      <c r="Y44" s="552"/>
      <c r="Z44" s="552"/>
      <c r="AA44" s="552"/>
      <c r="AB44" s="552"/>
      <c r="AC44" s="552"/>
      <c r="AD44" s="552"/>
      <c r="AE44" s="552"/>
      <c r="AF44" s="552"/>
      <c r="AG44" s="552"/>
      <c r="AH44" s="552"/>
      <c r="AI44" s="552"/>
      <c r="AJ44" s="552"/>
      <c r="AK44" s="552"/>
      <c r="AL44" s="552"/>
      <c r="AM44" s="552"/>
      <c r="AN44" s="552"/>
      <c r="AO44" s="709" t="s">
        <v>6971</v>
      </c>
      <c r="AP44" s="709"/>
      <c r="AQ44" s="552" t="s">
        <v>1186</v>
      </c>
      <c r="AR44" s="552" t="s">
        <v>2875</v>
      </c>
      <c r="AS44" s="552" t="s">
        <v>6967</v>
      </c>
      <c r="AT44" s="552" t="s">
        <v>726</v>
      </c>
    </row>
    <row r="45" spans="1:46" ht="14.7" customHeight="1">
      <c r="A45" s="706" t="s">
        <v>6086</v>
      </c>
      <c r="B45" s="556" t="s">
        <v>3697</v>
      </c>
      <c r="C45" s="539" t="s">
        <v>6869</v>
      </c>
      <c r="D45" s="709" t="s">
        <v>6972</v>
      </c>
      <c r="E45" s="709" t="s">
        <v>6871</v>
      </c>
      <c r="F45" s="709" t="s">
        <v>6872</v>
      </c>
      <c r="G45" s="709" t="s">
        <v>6965</v>
      </c>
      <c r="H45" s="709"/>
      <c r="I45" s="709" t="s">
        <v>6908</v>
      </c>
      <c r="J45" s="709" t="s">
        <v>6883</v>
      </c>
      <c r="K45" s="709"/>
      <c r="L45" s="709"/>
      <c r="M45" s="552"/>
      <c r="N45" s="552"/>
      <c r="O45" s="552"/>
      <c r="P45" s="552"/>
      <c r="Q45" s="552"/>
      <c r="R45" s="552"/>
      <c r="S45" s="552"/>
      <c r="T45" s="552"/>
      <c r="U45" s="552"/>
      <c r="V45" s="552"/>
      <c r="W45" s="552"/>
      <c r="X45" s="552"/>
      <c r="Y45" s="552"/>
      <c r="Z45" s="552"/>
      <c r="AA45" s="552"/>
      <c r="AB45" s="552"/>
      <c r="AC45" s="552"/>
      <c r="AD45" s="552"/>
      <c r="AE45" s="552"/>
      <c r="AF45" s="552"/>
      <c r="AG45" s="552"/>
      <c r="AH45" s="552"/>
      <c r="AI45" s="552"/>
      <c r="AJ45" s="552"/>
      <c r="AK45" s="552"/>
      <c r="AL45" s="552"/>
      <c r="AM45" s="552"/>
      <c r="AN45" s="552"/>
      <c r="AO45" s="709" t="s">
        <v>6973</v>
      </c>
      <c r="AP45" s="709"/>
      <c r="AQ45" s="552" t="s">
        <v>1186</v>
      </c>
      <c r="AR45" s="552" t="s">
        <v>2875</v>
      </c>
      <c r="AS45" s="552" t="s">
        <v>6967</v>
      </c>
      <c r="AT45" s="552" t="s">
        <v>726</v>
      </c>
    </row>
    <row r="46" spans="1:46" ht="14.7" customHeight="1">
      <c r="A46" s="706"/>
      <c r="B46" s="556" t="s">
        <v>3697</v>
      </c>
      <c r="C46" s="539" t="s">
        <v>6869</v>
      </c>
      <c r="D46" s="539" t="s">
        <v>2783</v>
      </c>
      <c r="E46" s="539"/>
      <c r="F46" s="539"/>
      <c r="G46" s="539"/>
      <c r="H46" s="552"/>
      <c r="I46" s="552"/>
      <c r="J46" s="552"/>
      <c r="K46" s="552"/>
      <c r="L46" s="552"/>
      <c r="M46" s="552"/>
      <c r="N46" s="552"/>
      <c r="O46" s="552"/>
      <c r="P46" s="552"/>
      <c r="Q46" s="552"/>
      <c r="R46" s="552"/>
      <c r="S46" s="552"/>
      <c r="T46" s="552"/>
      <c r="U46" s="552"/>
      <c r="V46" s="552"/>
      <c r="W46" s="552"/>
      <c r="X46" s="552"/>
      <c r="Y46" s="552"/>
      <c r="Z46" s="552"/>
      <c r="AA46" s="552"/>
      <c r="AB46" s="552"/>
      <c r="AC46" s="552"/>
      <c r="AD46" s="552"/>
      <c r="AE46" s="552"/>
      <c r="AF46" s="552"/>
      <c r="AG46" s="552"/>
      <c r="AH46" s="552"/>
      <c r="AI46" s="552"/>
      <c r="AJ46" s="552"/>
      <c r="AK46" s="552"/>
      <c r="AL46" s="552"/>
      <c r="AM46" s="552"/>
      <c r="AN46" s="552"/>
      <c r="AO46" s="552"/>
      <c r="AP46" s="552"/>
      <c r="AQ46" s="552" t="s">
        <v>1186</v>
      </c>
      <c r="AR46" s="552" t="s">
        <v>2875</v>
      </c>
      <c r="AS46" s="552" t="s">
        <v>6967</v>
      </c>
      <c r="AT46" s="552" t="s">
        <v>726</v>
      </c>
    </row>
    <row r="47" spans="1:46" ht="14.7" customHeight="1">
      <c r="A47" s="706" t="s">
        <v>6087</v>
      </c>
      <c r="B47" s="557" t="s">
        <v>3698</v>
      </c>
      <c r="C47" s="539" t="s">
        <v>6869</v>
      </c>
      <c r="D47" s="709" t="s">
        <v>6974</v>
      </c>
      <c r="E47" s="709" t="s">
        <v>6871</v>
      </c>
      <c r="F47" s="709" t="s">
        <v>6872</v>
      </c>
      <c r="G47" s="709" t="s">
        <v>6965</v>
      </c>
      <c r="H47" s="709"/>
      <c r="I47" s="709" t="s">
        <v>6908</v>
      </c>
      <c r="J47" s="709" t="s">
        <v>6892</v>
      </c>
      <c r="K47" s="713" t="s">
        <v>6975</v>
      </c>
      <c r="L47" s="552"/>
      <c r="M47" s="552"/>
      <c r="N47" s="552"/>
      <c r="O47" s="552"/>
      <c r="P47" s="552"/>
      <c r="Q47" s="552"/>
      <c r="R47" s="552"/>
      <c r="S47" s="552"/>
      <c r="T47" s="552"/>
      <c r="U47" s="552"/>
      <c r="V47" s="552"/>
      <c r="W47" s="552"/>
      <c r="X47" s="552"/>
      <c r="Y47" s="552"/>
      <c r="Z47" s="552"/>
      <c r="AA47" s="552"/>
      <c r="AB47" s="552"/>
      <c r="AC47" s="552"/>
      <c r="AD47" s="552"/>
      <c r="AE47" s="552"/>
      <c r="AF47" s="552"/>
      <c r="AG47" s="552"/>
      <c r="AH47" s="552"/>
      <c r="AI47" s="552"/>
      <c r="AJ47" s="552"/>
      <c r="AK47" s="552"/>
      <c r="AL47" s="552"/>
      <c r="AM47" s="552"/>
      <c r="AN47" s="552"/>
      <c r="AO47" s="552"/>
      <c r="AP47" s="552"/>
      <c r="AQ47" s="552" t="s">
        <v>1186</v>
      </c>
      <c r="AR47" s="552" t="s">
        <v>2998</v>
      </c>
      <c r="AS47" s="552" t="s">
        <v>6967</v>
      </c>
      <c r="AT47" s="552" t="s">
        <v>726</v>
      </c>
    </row>
    <row r="48" spans="1:46" ht="14.7" customHeight="1">
      <c r="A48" s="706" t="s">
        <v>6088</v>
      </c>
      <c r="B48" s="557" t="s">
        <v>3698</v>
      </c>
      <c r="C48" s="539" t="s">
        <v>6869</v>
      </c>
      <c r="D48" s="709" t="s">
        <v>6976</v>
      </c>
      <c r="E48" s="709" t="s">
        <v>6871</v>
      </c>
      <c r="F48" s="709" t="s">
        <v>6872</v>
      </c>
      <c r="G48" s="709" t="s">
        <v>6965</v>
      </c>
      <c r="H48" s="709"/>
      <c r="I48" s="709" t="s">
        <v>6908</v>
      </c>
      <c r="J48" s="709" t="s">
        <v>6892</v>
      </c>
      <c r="K48" s="713" t="s">
        <v>6977</v>
      </c>
      <c r="L48" s="552"/>
      <c r="M48" s="552"/>
      <c r="N48" s="552"/>
      <c r="O48" s="552"/>
      <c r="P48" s="552"/>
      <c r="Q48" s="552"/>
      <c r="R48" s="552"/>
      <c r="S48" s="552"/>
      <c r="T48" s="552"/>
      <c r="U48" s="552"/>
      <c r="V48" s="552"/>
      <c r="W48" s="552"/>
      <c r="X48" s="552"/>
      <c r="Y48" s="552"/>
      <c r="Z48" s="552"/>
      <c r="AA48" s="552"/>
      <c r="AB48" s="552"/>
      <c r="AC48" s="552"/>
      <c r="AD48" s="552"/>
      <c r="AE48" s="552"/>
      <c r="AF48" s="552"/>
      <c r="AG48" s="552"/>
      <c r="AH48" s="552"/>
      <c r="AI48" s="552"/>
      <c r="AJ48" s="552"/>
      <c r="AK48" s="552"/>
      <c r="AL48" s="552"/>
      <c r="AM48" s="552"/>
      <c r="AN48" s="552"/>
      <c r="AO48" s="552"/>
      <c r="AP48" s="552"/>
      <c r="AQ48" s="552" t="s">
        <v>1186</v>
      </c>
      <c r="AR48" s="552" t="s">
        <v>2998</v>
      </c>
      <c r="AS48" s="552" t="s">
        <v>6967</v>
      </c>
      <c r="AT48" s="552" t="s">
        <v>726</v>
      </c>
    </row>
    <row r="49" spans="1:46" ht="14.7" customHeight="1">
      <c r="A49" s="706"/>
      <c r="B49" s="557" t="s">
        <v>3698</v>
      </c>
      <c r="C49" s="539" t="s">
        <v>6869</v>
      </c>
      <c r="D49" s="539" t="s">
        <v>2783</v>
      </c>
      <c r="E49" s="539"/>
      <c r="F49" s="539"/>
      <c r="G49" s="539"/>
      <c r="H49" s="552"/>
      <c r="I49" s="552"/>
      <c r="J49" s="552"/>
      <c r="K49" s="552"/>
      <c r="L49" s="552"/>
      <c r="M49" s="552"/>
      <c r="N49" s="552"/>
      <c r="O49" s="552"/>
      <c r="P49" s="552"/>
      <c r="Q49" s="552"/>
      <c r="R49" s="552"/>
      <c r="S49" s="552"/>
      <c r="T49" s="552"/>
      <c r="U49" s="552"/>
      <c r="V49" s="552"/>
      <c r="W49" s="552"/>
      <c r="X49" s="552"/>
      <c r="Y49" s="552"/>
      <c r="Z49" s="552"/>
      <c r="AA49" s="552"/>
      <c r="AB49" s="552"/>
      <c r="AC49" s="552"/>
      <c r="AD49" s="552"/>
      <c r="AE49" s="552"/>
      <c r="AF49" s="552"/>
      <c r="AG49" s="552"/>
      <c r="AH49" s="552"/>
      <c r="AI49" s="552"/>
      <c r="AJ49" s="552"/>
      <c r="AK49" s="552"/>
      <c r="AL49" s="552"/>
      <c r="AM49" s="552"/>
      <c r="AN49" s="552"/>
      <c r="AO49" s="552"/>
      <c r="AP49" s="552"/>
      <c r="AQ49" s="552" t="s">
        <v>1186</v>
      </c>
      <c r="AR49" s="552" t="s">
        <v>2998</v>
      </c>
      <c r="AS49" s="552" t="s">
        <v>6967</v>
      </c>
      <c r="AT49" s="552" t="s">
        <v>726</v>
      </c>
    </row>
    <row r="50" spans="1:46" ht="14.7" customHeight="1">
      <c r="A50" s="706"/>
      <c r="B50" s="557" t="s">
        <v>3698</v>
      </c>
      <c r="C50" s="539" t="s">
        <v>6869</v>
      </c>
      <c r="D50" s="539" t="s">
        <v>2783</v>
      </c>
      <c r="E50" s="539"/>
      <c r="F50" s="539"/>
      <c r="G50" s="539"/>
      <c r="H50" s="552"/>
      <c r="I50" s="552"/>
      <c r="J50" s="552"/>
      <c r="K50" s="552"/>
      <c r="L50" s="552"/>
      <c r="M50" s="552"/>
      <c r="N50" s="552"/>
      <c r="O50" s="552"/>
      <c r="P50" s="552"/>
      <c r="Q50" s="552"/>
      <c r="R50" s="552"/>
      <c r="S50" s="552"/>
      <c r="T50" s="552"/>
      <c r="U50" s="552"/>
      <c r="V50" s="552"/>
      <c r="W50" s="552"/>
      <c r="X50" s="552"/>
      <c r="Y50" s="552"/>
      <c r="Z50" s="552"/>
      <c r="AA50" s="552"/>
      <c r="AB50" s="552"/>
      <c r="AC50" s="552"/>
      <c r="AD50" s="552"/>
      <c r="AE50" s="552"/>
      <c r="AF50" s="552"/>
      <c r="AG50" s="552"/>
      <c r="AH50" s="552"/>
      <c r="AI50" s="552"/>
      <c r="AJ50" s="552"/>
      <c r="AK50" s="552"/>
      <c r="AL50" s="552"/>
      <c r="AM50" s="552"/>
      <c r="AN50" s="552"/>
      <c r="AO50" s="552"/>
      <c r="AP50" s="552"/>
      <c r="AQ50" s="552" t="s">
        <v>1186</v>
      </c>
      <c r="AR50" s="552" t="s">
        <v>2998</v>
      </c>
      <c r="AS50" s="552" t="s">
        <v>6967</v>
      </c>
      <c r="AT50" s="552" t="s">
        <v>726</v>
      </c>
    </row>
    <row r="51" spans="1:46" ht="14.7" customHeight="1">
      <c r="A51" s="706" t="s">
        <v>6089</v>
      </c>
      <c r="B51" s="344" t="s">
        <v>3699</v>
      </c>
      <c r="C51" s="539" t="s">
        <v>6869</v>
      </c>
      <c r="D51" s="709" t="s">
        <v>6978</v>
      </c>
      <c r="E51" s="709" t="s">
        <v>6871</v>
      </c>
      <c r="F51" s="709" t="s">
        <v>6872</v>
      </c>
      <c r="G51" s="709" t="s">
        <v>6965</v>
      </c>
      <c r="H51" s="709"/>
      <c r="I51" s="709"/>
      <c r="J51" s="709" t="s">
        <v>6979</v>
      </c>
      <c r="K51" s="709"/>
      <c r="L51" s="709"/>
      <c r="M51" s="709"/>
      <c r="N51" s="552"/>
      <c r="O51" s="552"/>
      <c r="P51" s="552"/>
      <c r="Q51" s="552"/>
      <c r="R51" s="552"/>
      <c r="S51" s="552"/>
      <c r="T51" s="552"/>
      <c r="U51" s="552"/>
      <c r="V51" s="552"/>
      <c r="W51" s="552"/>
      <c r="X51" s="552"/>
      <c r="Y51" s="552"/>
      <c r="Z51" s="552"/>
      <c r="AA51" s="552"/>
      <c r="AB51" s="552"/>
      <c r="AC51" s="552"/>
      <c r="AD51" s="552"/>
      <c r="AE51" s="552"/>
      <c r="AF51" s="552"/>
      <c r="AG51" s="552"/>
      <c r="AH51" s="552"/>
      <c r="AI51" s="552"/>
      <c r="AJ51" s="552"/>
      <c r="AK51" s="552"/>
      <c r="AL51" s="552"/>
      <c r="AM51" s="552"/>
      <c r="AN51" s="552"/>
      <c r="AO51" s="709" t="s">
        <v>6980</v>
      </c>
      <c r="AP51" s="709"/>
      <c r="AQ51" s="552" t="s">
        <v>1186</v>
      </c>
      <c r="AR51" s="552" t="s">
        <v>2809</v>
      </c>
      <c r="AS51" s="552" t="s">
        <v>6967</v>
      </c>
      <c r="AT51" s="552" t="s">
        <v>726</v>
      </c>
    </row>
    <row r="52" spans="1:46" ht="14.7" customHeight="1">
      <c r="A52" s="706" t="s">
        <v>6090</v>
      </c>
      <c r="B52" s="344" t="s">
        <v>3699</v>
      </c>
      <c r="C52" s="539" t="s">
        <v>6869</v>
      </c>
      <c r="D52" s="709" t="s">
        <v>6981</v>
      </c>
      <c r="E52" s="709" t="s">
        <v>6871</v>
      </c>
      <c r="F52" s="709" t="s">
        <v>6872</v>
      </c>
      <c r="G52" s="709" t="s">
        <v>6965</v>
      </c>
      <c r="H52" s="709"/>
      <c r="I52" s="709"/>
      <c r="J52" s="709" t="s">
        <v>6982</v>
      </c>
      <c r="K52" s="709"/>
      <c r="L52" s="552"/>
      <c r="M52" s="552"/>
      <c r="N52" s="552"/>
      <c r="O52" s="552"/>
      <c r="P52" s="552"/>
      <c r="Q52" s="552"/>
      <c r="R52" s="552"/>
      <c r="S52" s="552"/>
      <c r="T52" s="552"/>
      <c r="U52" s="552"/>
      <c r="V52" s="552"/>
      <c r="W52" s="552"/>
      <c r="X52" s="552"/>
      <c r="Y52" s="552"/>
      <c r="Z52" s="552"/>
      <c r="AA52" s="552"/>
      <c r="AB52" s="552"/>
      <c r="AC52" s="552"/>
      <c r="AD52" s="552"/>
      <c r="AE52" s="552"/>
      <c r="AF52" s="552"/>
      <c r="AG52" s="552"/>
      <c r="AH52" s="552"/>
      <c r="AI52" s="552"/>
      <c r="AJ52" s="552"/>
      <c r="AK52" s="552"/>
      <c r="AL52" s="552"/>
      <c r="AM52" s="552"/>
      <c r="AN52" s="552"/>
      <c r="AO52" s="709" t="s">
        <v>6983</v>
      </c>
      <c r="AP52" s="709"/>
      <c r="AQ52" s="552" t="s">
        <v>1186</v>
      </c>
      <c r="AR52" s="552" t="s">
        <v>2809</v>
      </c>
      <c r="AS52" s="552" t="s">
        <v>6967</v>
      </c>
      <c r="AT52" s="552" t="s">
        <v>726</v>
      </c>
    </row>
    <row r="53" spans="1:46" ht="14.7" customHeight="1">
      <c r="A53" s="706"/>
      <c r="B53" s="344" t="s">
        <v>3699</v>
      </c>
      <c r="C53" s="539" t="s">
        <v>6869</v>
      </c>
      <c r="D53" s="539" t="s">
        <v>2783</v>
      </c>
      <c r="E53" s="539"/>
      <c r="F53" s="539"/>
      <c r="G53" s="539"/>
      <c r="H53" s="552"/>
      <c r="I53" s="552"/>
      <c r="J53" s="552"/>
      <c r="K53" s="552"/>
      <c r="L53" s="552"/>
      <c r="M53" s="552"/>
      <c r="N53" s="552"/>
      <c r="O53" s="552"/>
      <c r="P53" s="552"/>
      <c r="Q53" s="552"/>
      <c r="R53" s="552"/>
      <c r="S53" s="552"/>
      <c r="T53" s="552"/>
      <c r="U53" s="552"/>
      <c r="V53" s="552"/>
      <c r="W53" s="552"/>
      <c r="X53" s="552"/>
      <c r="Y53" s="552"/>
      <c r="Z53" s="552"/>
      <c r="AA53" s="552"/>
      <c r="AB53" s="552"/>
      <c r="AC53" s="552"/>
      <c r="AD53" s="552"/>
      <c r="AE53" s="552"/>
      <c r="AF53" s="552"/>
      <c r="AG53" s="552"/>
      <c r="AH53" s="552"/>
      <c r="AI53" s="552"/>
      <c r="AJ53" s="552"/>
      <c r="AK53" s="552"/>
      <c r="AL53" s="552"/>
      <c r="AM53" s="552"/>
      <c r="AN53" s="552"/>
      <c r="AO53" s="552"/>
      <c r="AP53" s="552"/>
      <c r="AQ53" s="552" t="s">
        <v>1186</v>
      </c>
      <c r="AR53" s="552" t="s">
        <v>2809</v>
      </c>
      <c r="AS53" s="552" t="s">
        <v>6967</v>
      </c>
      <c r="AT53" s="552" t="s">
        <v>726</v>
      </c>
    </row>
    <row r="54" spans="1:46" ht="14.7" customHeight="1">
      <c r="A54" s="706"/>
      <c r="B54" s="344" t="s">
        <v>3699</v>
      </c>
      <c r="C54" s="539" t="s">
        <v>6869</v>
      </c>
      <c r="D54" s="539" t="s">
        <v>2783</v>
      </c>
      <c r="E54" s="539"/>
      <c r="F54" s="539"/>
      <c r="G54" s="539"/>
      <c r="H54" s="552"/>
      <c r="I54" s="552"/>
      <c r="J54" s="552"/>
      <c r="K54" s="552"/>
      <c r="L54" s="552"/>
      <c r="M54" s="552"/>
      <c r="N54" s="552"/>
      <c r="O54" s="552"/>
      <c r="P54" s="552"/>
      <c r="Q54" s="552"/>
      <c r="R54" s="552"/>
      <c r="S54" s="552"/>
      <c r="T54" s="552"/>
      <c r="U54" s="552"/>
      <c r="V54" s="552"/>
      <c r="W54" s="552"/>
      <c r="X54" s="552"/>
      <c r="Y54" s="552"/>
      <c r="Z54" s="552"/>
      <c r="AA54" s="552"/>
      <c r="AB54" s="552"/>
      <c r="AC54" s="552"/>
      <c r="AD54" s="552"/>
      <c r="AE54" s="552"/>
      <c r="AF54" s="552"/>
      <c r="AG54" s="552"/>
      <c r="AH54" s="552"/>
      <c r="AI54" s="552"/>
      <c r="AJ54" s="552"/>
      <c r="AK54" s="552"/>
      <c r="AL54" s="552"/>
      <c r="AM54" s="552"/>
      <c r="AN54" s="552"/>
      <c r="AO54" s="552"/>
      <c r="AP54" s="552"/>
      <c r="AQ54" s="552" t="s">
        <v>1186</v>
      </c>
      <c r="AR54" s="552" t="s">
        <v>2809</v>
      </c>
      <c r="AS54" s="552" t="s">
        <v>6967</v>
      </c>
      <c r="AT54" s="552" t="s">
        <v>726</v>
      </c>
    </row>
    <row r="55" spans="1:46" ht="14.7" customHeight="1">
      <c r="A55" s="706"/>
      <c r="B55" s="344" t="s">
        <v>3699</v>
      </c>
      <c r="C55" s="539" t="s">
        <v>6869</v>
      </c>
      <c r="D55" s="539" t="s">
        <v>2783</v>
      </c>
      <c r="E55" s="539"/>
      <c r="F55" s="539"/>
      <c r="G55" s="539"/>
      <c r="H55" s="552"/>
      <c r="I55" s="552"/>
      <c r="J55" s="552"/>
      <c r="K55" s="552"/>
      <c r="L55" s="552"/>
      <c r="M55" s="552"/>
      <c r="N55" s="552"/>
      <c r="O55" s="552"/>
      <c r="P55" s="552"/>
      <c r="Q55" s="552"/>
      <c r="R55" s="552"/>
      <c r="S55" s="552"/>
      <c r="T55" s="552"/>
      <c r="U55" s="552"/>
      <c r="V55" s="552"/>
      <c r="W55" s="552"/>
      <c r="X55" s="552"/>
      <c r="Y55" s="552"/>
      <c r="Z55" s="552"/>
      <c r="AA55" s="552"/>
      <c r="AB55" s="552"/>
      <c r="AC55" s="552"/>
      <c r="AD55" s="552"/>
      <c r="AE55" s="552"/>
      <c r="AF55" s="552"/>
      <c r="AG55" s="552"/>
      <c r="AH55" s="552"/>
      <c r="AI55" s="552"/>
      <c r="AJ55" s="552"/>
      <c r="AK55" s="552"/>
      <c r="AL55" s="552"/>
      <c r="AM55" s="552"/>
      <c r="AN55" s="552"/>
      <c r="AO55" s="552"/>
      <c r="AP55" s="552"/>
      <c r="AQ55" s="552" t="s">
        <v>1186</v>
      </c>
      <c r="AR55" s="552" t="s">
        <v>2809</v>
      </c>
      <c r="AS55" s="552" t="s">
        <v>6967</v>
      </c>
      <c r="AT55" s="552" t="s">
        <v>726</v>
      </c>
    </row>
    <row r="56" spans="1:46" ht="14.7" customHeight="1">
      <c r="A56" s="706"/>
      <c r="B56" s="559" t="s">
        <v>3700</v>
      </c>
      <c r="C56" s="539" t="s">
        <v>6869</v>
      </c>
      <c r="D56" s="539" t="s">
        <v>2783</v>
      </c>
      <c r="E56" s="539"/>
      <c r="F56" s="539"/>
      <c r="G56" s="539"/>
      <c r="H56" s="552"/>
      <c r="I56" s="552"/>
      <c r="J56" s="552"/>
      <c r="K56" s="552"/>
      <c r="L56" s="552"/>
      <c r="M56" s="552"/>
      <c r="N56" s="552"/>
      <c r="O56" s="552"/>
      <c r="P56" s="552"/>
      <c r="Q56" s="552"/>
      <c r="R56" s="552"/>
      <c r="S56" s="552"/>
      <c r="T56" s="552"/>
      <c r="U56" s="552"/>
      <c r="V56" s="552"/>
      <c r="W56" s="552"/>
      <c r="X56" s="552"/>
      <c r="Y56" s="552"/>
      <c r="Z56" s="552"/>
      <c r="AA56" s="552"/>
      <c r="AB56" s="552"/>
      <c r="AC56" s="552"/>
      <c r="AD56" s="552"/>
      <c r="AE56" s="552"/>
      <c r="AF56" s="552"/>
      <c r="AG56" s="552"/>
      <c r="AH56" s="552"/>
      <c r="AI56" s="552"/>
      <c r="AJ56" s="552"/>
      <c r="AK56" s="552"/>
      <c r="AL56" s="552"/>
      <c r="AM56" s="552"/>
      <c r="AN56" s="552"/>
      <c r="AO56" s="552"/>
      <c r="AP56" s="552"/>
      <c r="AQ56" s="552" t="s">
        <v>1186</v>
      </c>
      <c r="AR56" s="552" t="s">
        <v>2971</v>
      </c>
      <c r="AS56" s="552" t="s">
        <v>6967</v>
      </c>
      <c r="AT56" s="552" t="s">
        <v>726</v>
      </c>
    </row>
    <row r="57" spans="1:46" ht="14.7" customHeight="1">
      <c r="A57" s="706"/>
      <c r="B57" s="559" t="s">
        <v>3700</v>
      </c>
      <c r="C57" s="539" t="s">
        <v>6869</v>
      </c>
      <c r="D57" s="539" t="s">
        <v>2783</v>
      </c>
      <c r="E57" s="539"/>
      <c r="F57" s="539"/>
      <c r="G57" s="539"/>
      <c r="H57" s="552"/>
      <c r="I57" s="552"/>
      <c r="J57" s="552"/>
      <c r="K57" s="552"/>
      <c r="L57" s="552"/>
      <c r="M57" s="552"/>
      <c r="N57" s="552"/>
      <c r="O57" s="552"/>
      <c r="P57" s="552"/>
      <c r="Q57" s="552"/>
      <c r="R57" s="552"/>
      <c r="S57" s="552"/>
      <c r="T57" s="552"/>
      <c r="U57" s="552"/>
      <c r="V57" s="552"/>
      <c r="W57" s="552"/>
      <c r="X57" s="552"/>
      <c r="Y57" s="552"/>
      <c r="Z57" s="552"/>
      <c r="AA57" s="552"/>
      <c r="AB57" s="552"/>
      <c r="AC57" s="552"/>
      <c r="AD57" s="552"/>
      <c r="AE57" s="552"/>
      <c r="AF57" s="552"/>
      <c r="AG57" s="552"/>
      <c r="AH57" s="552"/>
      <c r="AI57" s="552"/>
      <c r="AJ57" s="552"/>
      <c r="AK57" s="552"/>
      <c r="AL57" s="552"/>
      <c r="AM57" s="552"/>
      <c r="AN57" s="552"/>
      <c r="AO57" s="552"/>
      <c r="AP57" s="552"/>
      <c r="AQ57" s="552" t="s">
        <v>1186</v>
      </c>
      <c r="AR57" s="552" t="s">
        <v>2971</v>
      </c>
      <c r="AS57" s="552" t="s">
        <v>6967</v>
      </c>
      <c r="AT57" s="552" t="s">
        <v>726</v>
      </c>
    </row>
    <row r="58" spans="1:46" ht="14.7" customHeight="1">
      <c r="A58" s="710" t="s">
        <v>6091</v>
      </c>
      <c r="B58" s="711" t="s">
        <v>6055</v>
      </c>
      <c r="C58" s="539" t="s">
        <v>6869</v>
      </c>
      <c r="D58" s="714" t="s">
        <v>6984</v>
      </c>
      <c r="E58" s="709" t="s">
        <v>6871</v>
      </c>
      <c r="F58" s="709" t="s">
        <v>6872</v>
      </c>
      <c r="G58" s="709" t="s">
        <v>6965</v>
      </c>
      <c r="H58" s="715" t="s">
        <v>6985</v>
      </c>
      <c r="I58" s="709"/>
      <c r="J58" s="716" t="s">
        <v>6986</v>
      </c>
      <c r="K58" s="552"/>
      <c r="L58" s="552"/>
      <c r="M58" s="552"/>
      <c r="N58" s="552"/>
      <c r="O58" s="552"/>
      <c r="P58" s="552"/>
      <c r="Q58" s="552"/>
      <c r="R58" s="552"/>
      <c r="S58" s="552"/>
      <c r="T58" s="552"/>
      <c r="U58" s="552"/>
      <c r="V58" s="552"/>
      <c r="W58" s="552"/>
      <c r="X58" s="552"/>
      <c r="Y58" s="552"/>
      <c r="Z58" s="552"/>
      <c r="AA58" s="552"/>
      <c r="AB58" s="552"/>
      <c r="AC58" s="552"/>
      <c r="AD58" s="552"/>
      <c r="AE58" s="552"/>
      <c r="AF58" s="552"/>
      <c r="AG58" s="552"/>
      <c r="AH58" s="552"/>
      <c r="AI58" s="552"/>
      <c r="AJ58" s="552"/>
      <c r="AK58" s="552"/>
      <c r="AL58" s="552"/>
      <c r="AM58" s="552"/>
      <c r="AN58" s="552"/>
      <c r="AO58" s="552" t="s">
        <v>6987</v>
      </c>
      <c r="AP58" s="713" t="s">
        <v>6988</v>
      </c>
      <c r="AQ58" s="552" t="s">
        <v>1186</v>
      </c>
      <c r="AR58" s="552" t="s">
        <v>6697</v>
      </c>
      <c r="AS58" s="552" t="s">
        <v>6967</v>
      </c>
      <c r="AT58" s="552" t="s">
        <v>726</v>
      </c>
    </row>
    <row r="59" spans="1:46" ht="14.7" customHeight="1">
      <c r="A59" s="706"/>
      <c r="B59" s="540" t="s">
        <v>3695</v>
      </c>
      <c r="C59" s="539" t="s">
        <v>6869</v>
      </c>
      <c r="D59" s="539" t="s">
        <v>2783</v>
      </c>
      <c r="E59" s="539"/>
      <c r="F59" s="539"/>
      <c r="G59" s="539"/>
      <c r="H59" s="552"/>
      <c r="I59" s="552"/>
      <c r="J59" s="552"/>
      <c r="K59" s="552"/>
      <c r="L59" s="552"/>
      <c r="M59" s="552"/>
      <c r="N59" s="552"/>
      <c r="O59" s="552"/>
      <c r="P59" s="552"/>
      <c r="Q59" s="552"/>
      <c r="R59" s="552"/>
      <c r="S59" s="552"/>
      <c r="T59" s="552"/>
      <c r="U59" s="552"/>
      <c r="V59" s="552"/>
      <c r="W59" s="552"/>
      <c r="X59" s="552"/>
      <c r="Y59" s="552"/>
      <c r="Z59" s="552"/>
      <c r="AA59" s="552"/>
      <c r="AB59" s="552"/>
      <c r="AC59" s="552"/>
      <c r="AD59" s="552"/>
      <c r="AE59" s="552"/>
      <c r="AF59" s="552"/>
      <c r="AG59" s="552"/>
      <c r="AH59" s="552"/>
      <c r="AI59" s="552"/>
      <c r="AJ59" s="552"/>
      <c r="AK59" s="552"/>
      <c r="AL59" s="552"/>
      <c r="AM59" s="552"/>
      <c r="AN59" s="552"/>
      <c r="AO59" s="552"/>
      <c r="AP59" s="552"/>
      <c r="AQ59" s="552" t="s">
        <v>1186</v>
      </c>
      <c r="AR59" s="552" t="s">
        <v>2802</v>
      </c>
      <c r="AS59" s="552" t="s">
        <v>6967</v>
      </c>
      <c r="AT59" s="552" t="s">
        <v>726</v>
      </c>
    </row>
    <row r="60" spans="1:46" ht="14.7" customHeight="1">
      <c r="A60" s="706" t="s">
        <v>6092</v>
      </c>
      <c r="B60" s="540" t="s">
        <v>3695</v>
      </c>
      <c r="C60" s="539" t="s">
        <v>6869</v>
      </c>
      <c r="D60" s="539" t="s">
        <v>6989</v>
      </c>
      <c r="E60" s="552" t="s">
        <v>6925</v>
      </c>
      <c r="F60" s="552" t="s">
        <v>6872</v>
      </c>
      <c r="G60" s="552" t="s">
        <v>6965</v>
      </c>
      <c r="H60" s="552"/>
      <c r="I60" s="552"/>
      <c r="J60" s="709" t="s">
        <v>6990</v>
      </c>
      <c r="K60" s="709"/>
      <c r="L60" s="709"/>
      <c r="M60" s="552"/>
      <c r="N60" s="552"/>
      <c r="O60" s="552"/>
      <c r="P60" s="552"/>
      <c r="Q60" s="552"/>
      <c r="R60" s="552"/>
      <c r="S60" s="552"/>
      <c r="T60" s="552"/>
      <c r="U60" s="552"/>
      <c r="V60" s="552">
        <v>0.5</v>
      </c>
      <c r="W60" s="552"/>
      <c r="X60" s="552"/>
      <c r="Y60" s="552"/>
      <c r="Z60" s="552"/>
      <c r="AA60" s="552"/>
      <c r="AB60" s="552"/>
      <c r="AC60" s="552"/>
      <c r="AD60" s="552"/>
      <c r="AE60" s="552"/>
      <c r="AF60" s="552"/>
      <c r="AG60" s="552"/>
      <c r="AH60" s="552"/>
      <c r="AI60" s="552"/>
      <c r="AJ60" s="552"/>
      <c r="AK60" s="552"/>
      <c r="AL60" s="552"/>
      <c r="AM60" s="552"/>
      <c r="AN60" s="552"/>
      <c r="AO60" s="552"/>
      <c r="AP60" s="552"/>
      <c r="AQ60" s="552" t="s">
        <v>1186</v>
      </c>
      <c r="AR60" s="552" t="s">
        <v>2802</v>
      </c>
      <c r="AS60" s="552" t="s">
        <v>6967</v>
      </c>
      <c r="AT60" s="552" t="s">
        <v>726</v>
      </c>
    </row>
    <row r="61" spans="1:46" ht="14.7" customHeight="1">
      <c r="A61" s="706" t="s">
        <v>6093</v>
      </c>
      <c r="B61" s="707" t="s">
        <v>3696</v>
      </c>
      <c r="C61" s="539" t="s">
        <v>6869</v>
      </c>
      <c r="D61" s="709" t="s">
        <v>6991</v>
      </c>
      <c r="E61" s="552" t="s">
        <v>6925</v>
      </c>
      <c r="F61" s="552" t="s">
        <v>6872</v>
      </c>
      <c r="G61" s="552" t="s">
        <v>6965</v>
      </c>
      <c r="H61" s="552"/>
      <c r="I61" s="552"/>
      <c r="J61" s="709" t="s">
        <v>6992</v>
      </c>
      <c r="K61" s="709"/>
      <c r="L61" s="709"/>
      <c r="M61" s="552"/>
      <c r="N61" s="552"/>
      <c r="O61" s="552"/>
      <c r="P61" s="552"/>
      <c r="Q61" s="552"/>
      <c r="R61" s="552"/>
      <c r="S61" s="552"/>
      <c r="T61" s="552"/>
      <c r="U61" s="552"/>
      <c r="V61" s="552"/>
      <c r="W61" s="552"/>
      <c r="X61" s="552"/>
      <c r="Y61" s="552"/>
      <c r="Z61" s="552"/>
      <c r="AA61" s="552"/>
      <c r="AB61" s="552"/>
      <c r="AC61" s="552"/>
      <c r="AD61" s="552"/>
      <c r="AE61" s="552"/>
      <c r="AF61" s="552"/>
      <c r="AG61" s="552"/>
      <c r="AH61" s="552"/>
      <c r="AI61" s="552"/>
      <c r="AJ61" s="552"/>
      <c r="AK61" s="552"/>
      <c r="AL61" s="552"/>
      <c r="AM61" s="552"/>
      <c r="AN61" s="552"/>
      <c r="AO61" s="552"/>
      <c r="AP61" s="552"/>
      <c r="AQ61" s="552" t="s">
        <v>1186</v>
      </c>
      <c r="AR61" s="552" t="s">
        <v>2805</v>
      </c>
      <c r="AS61" s="552" t="s">
        <v>6967</v>
      </c>
      <c r="AT61" s="552" t="s">
        <v>726</v>
      </c>
    </row>
    <row r="62" spans="1:46" ht="14.7" customHeight="1">
      <c r="A62" s="706"/>
      <c r="B62" s="707" t="s">
        <v>3696</v>
      </c>
      <c r="C62" s="539" t="s">
        <v>6869</v>
      </c>
      <c r="D62" s="539" t="s">
        <v>2783</v>
      </c>
      <c r="E62" s="539"/>
      <c r="F62" s="539"/>
      <c r="G62" s="539"/>
      <c r="H62" s="709"/>
      <c r="I62" s="552"/>
      <c r="J62" s="709" t="s">
        <v>6883</v>
      </c>
      <c r="K62" s="709"/>
      <c r="L62" s="709"/>
      <c r="M62" s="552"/>
      <c r="N62" s="552"/>
      <c r="O62" s="552"/>
      <c r="P62" s="552"/>
      <c r="Q62" s="552"/>
      <c r="R62" s="552"/>
      <c r="S62" s="552"/>
      <c r="T62" s="552"/>
      <c r="U62" s="552"/>
      <c r="V62" s="552"/>
      <c r="W62" s="552"/>
      <c r="X62" s="552"/>
      <c r="Y62" s="552"/>
      <c r="Z62" s="552"/>
      <c r="AA62" s="552"/>
      <c r="AB62" s="552"/>
      <c r="AC62" s="552"/>
      <c r="AD62" s="552"/>
      <c r="AE62" s="552"/>
      <c r="AF62" s="552"/>
      <c r="AG62" s="552"/>
      <c r="AH62" s="552"/>
      <c r="AI62" s="552"/>
      <c r="AJ62" s="552"/>
      <c r="AK62" s="552"/>
      <c r="AL62" s="552"/>
      <c r="AM62" s="552"/>
      <c r="AN62" s="552"/>
      <c r="AO62" s="552"/>
      <c r="AP62" s="552"/>
      <c r="AQ62" s="552" t="s">
        <v>1186</v>
      </c>
      <c r="AR62" s="552" t="s">
        <v>2805</v>
      </c>
      <c r="AS62" s="552" t="s">
        <v>6967</v>
      </c>
      <c r="AT62" s="552" t="s">
        <v>726</v>
      </c>
    </row>
    <row r="63" spans="1:46" ht="14.7" customHeight="1">
      <c r="A63" s="706" t="s">
        <v>8945</v>
      </c>
      <c r="B63" s="556" t="s">
        <v>3697</v>
      </c>
      <c r="C63" s="539" t="s">
        <v>6869</v>
      </c>
      <c r="D63" s="709" t="s">
        <v>6993</v>
      </c>
      <c r="E63" s="552" t="s">
        <v>6925</v>
      </c>
      <c r="F63" s="552" t="s">
        <v>6872</v>
      </c>
      <c r="G63" s="552" t="s">
        <v>6965</v>
      </c>
      <c r="H63" s="552"/>
      <c r="I63" s="552"/>
      <c r="J63" s="552" t="s">
        <v>7425</v>
      </c>
      <c r="K63" s="552"/>
      <c r="L63" s="552"/>
      <c r="M63" s="552"/>
      <c r="N63" s="552"/>
      <c r="O63" s="552"/>
      <c r="P63" s="552"/>
      <c r="Q63" s="552"/>
      <c r="R63" s="552"/>
      <c r="S63" s="552"/>
      <c r="T63" s="552"/>
      <c r="U63" s="552"/>
      <c r="V63" s="552"/>
      <c r="W63" s="552"/>
      <c r="X63" s="552"/>
      <c r="Y63" s="552"/>
      <c r="Z63" s="552"/>
      <c r="AA63" s="552"/>
      <c r="AB63" s="552"/>
      <c r="AC63" s="552"/>
      <c r="AD63" s="552"/>
      <c r="AE63" s="552"/>
      <c r="AF63" s="552"/>
      <c r="AG63" s="552"/>
      <c r="AH63" s="552"/>
      <c r="AI63" s="552"/>
      <c r="AJ63" s="552"/>
      <c r="AK63" s="552"/>
      <c r="AL63" s="552"/>
      <c r="AM63" s="552"/>
      <c r="AN63" s="552"/>
      <c r="AO63" s="709" t="s">
        <v>6994</v>
      </c>
      <c r="AP63" s="709"/>
      <c r="AQ63" s="552" t="s">
        <v>1186</v>
      </c>
      <c r="AR63" s="552" t="s">
        <v>2875</v>
      </c>
      <c r="AS63" s="552" t="s">
        <v>6967</v>
      </c>
      <c r="AT63" s="552" t="s">
        <v>726</v>
      </c>
    </row>
    <row r="64" spans="1:46" ht="14.7" customHeight="1">
      <c r="A64" s="706" t="s">
        <v>6995</v>
      </c>
      <c r="B64" s="556" t="s">
        <v>3697</v>
      </c>
      <c r="C64" s="539" t="s">
        <v>6869</v>
      </c>
      <c r="D64" s="709" t="s">
        <v>6996</v>
      </c>
      <c r="E64" s="552" t="s">
        <v>6925</v>
      </c>
      <c r="F64" s="552" t="s">
        <v>6872</v>
      </c>
      <c r="G64" s="552" t="s">
        <v>6965</v>
      </c>
      <c r="H64" s="552"/>
      <c r="I64" s="552"/>
      <c r="J64" s="709" t="s">
        <v>6997</v>
      </c>
      <c r="K64" s="709"/>
      <c r="L64" s="709"/>
      <c r="M64" s="552"/>
      <c r="N64" s="552"/>
      <c r="O64" s="552"/>
      <c r="P64" s="552"/>
      <c r="Q64" s="552"/>
      <c r="R64" s="552"/>
      <c r="S64" s="552"/>
      <c r="T64" s="552"/>
      <c r="U64" s="552"/>
      <c r="V64" s="552"/>
      <c r="W64" s="552"/>
      <c r="X64" s="552"/>
      <c r="Y64" s="552"/>
      <c r="Z64" s="552"/>
      <c r="AA64" s="552"/>
      <c r="AB64" s="552"/>
      <c r="AC64" s="552"/>
      <c r="AD64" s="552"/>
      <c r="AE64" s="552"/>
      <c r="AF64" s="552"/>
      <c r="AG64" s="552"/>
      <c r="AH64" s="552"/>
      <c r="AI64" s="552"/>
      <c r="AJ64" s="552"/>
      <c r="AK64" s="552"/>
      <c r="AL64" s="552"/>
      <c r="AM64" s="552"/>
      <c r="AN64" s="552"/>
      <c r="AO64" s="552"/>
      <c r="AP64" s="713" t="s">
        <v>6998</v>
      </c>
      <c r="AQ64" s="552" t="s">
        <v>1186</v>
      </c>
      <c r="AR64" s="552" t="s">
        <v>2875</v>
      </c>
      <c r="AS64" s="552" t="s">
        <v>6967</v>
      </c>
      <c r="AT64" s="552" t="s">
        <v>726</v>
      </c>
    </row>
    <row r="65" spans="1:46" ht="14.7" customHeight="1">
      <c r="A65" s="706"/>
      <c r="B65" s="556" t="s">
        <v>3697</v>
      </c>
      <c r="C65" s="539" t="s">
        <v>6869</v>
      </c>
      <c r="D65" s="539" t="s">
        <v>2783</v>
      </c>
      <c r="E65" s="539"/>
      <c r="F65" s="539"/>
      <c r="G65" s="539"/>
      <c r="H65" s="552"/>
      <c r="I65" s="552"/>
      <c r="J65" s="552"/>
      <c r="K65" s="552"/>
      <c r="L65" s="552"/>
      <c r="M65" s="552"/>
      <c r="N65" s="552"/>
      <c r="O65" s="552"/>
      <c r="P65" s="552"/>
      <c r="Q65" s="552"/>
      <c r="R65" s="552"/>
      <c r="S65" s="552"/>
      <c r="T65" s="552"/>
      <c r="U65" s="552"/>
      <c r="V65" s="552"/>
      <c r="W65" s="552"/>
      <c r="X65" s="552"/>
      <c r="Y65" s="552"/>
      <c r="Z65" s="552"/>
      <c r="AA65" s="552"/>
      <c r="AB65" s="552"/>
      <c r="AC65" s="552"/>
      <c r="AD65" s="552"/>
      <c r="AE65" s="552"/>
      <c r="AF65" s="552"/>
      <c r="AG65" s="552"/>
      <c r="AH65" s="552"/>
      <c r="AI65" s="552"/>
      <c r="AJ65" s="552"/>
      <c r="AK65" s="552"/>
      <c r="AL65" s="552"/>
      <c r="AM65" s="552"/>
      <c r="AN65" s="552"/>
      <c r="AO65" s="552"/>
      <c r="AP65" s="552"/>
      <c r="AQ65" s="552" t="s">
        <v>1186</v>
      </c>
      <c r="AR65" s="552" t="s">
        <v>2875</v>
      </c>
      <c r="AS65" s="552" t="s">
        <v>6967</v>
      </c>
      <c r="AT65" s="552" t="s">
        <v>726</v>
      </c>
    </row>
    <row r="66" spans="1:46" ht="14.7" customHeight="1">
      <c r="A66" s="706" t="s">
        <v>6094</v>
      </c>
      <c r="B66" s="557" t="s">
        <v>3698</v>
      </c>
      <c r="C66" s="539" t="s">
        <v>6869</v>
      </c>
      <c r="D66" s="709" t="s">
        <v>6999</v>
      </c>
      <c r="E66" s="552" t="s">
        <v>6925</v>
      </c>
      <c r="F66" s="552" t="s">
        <v>6872</v>
      </c>
      <c r="G66" s="552" t="s">
        <v>6965</v>
      </c>
      <c r="H66" s="552"/>
      <c r="I66" s="552"/>
      <c r="J66" s="709" t="s">
        <v>6947</v>
      </c>
      <c r="K66" s="709"/>
      <c r="L66" s="709"/>
      <c r="M66" s="552"/>
      <c r="N66" s="552"/>
      <c r="O66" s="552"/>
      <c r="P66" s="552"/>
      <c r="Q66" s="552"/>
      <c r="R66" s="552"/>
      <c r="S66" s="552"/>
      <c r="T66" s="552"/>
      <c r="U66" s="552"/>
      <c r="V66" s="552"/>
      <c r="W66" s="552"/>
      <c r="X66" s="552"/>
      <c r="Y66" s="552"/>
      <c r="Z66" s="552"/>
      <c r="AA66" s="552"/>
      <c r="AB66" s="552"/>
      <c r="AC66" s="552"/>
      <c r="AD66" s="552"/>
      <c r="AE66" s="552"/>
      <c r="AF66" s="552"/>
      <c r="AG66" s="552"/>
      <c r="AH66" s="552"/>
      <c r="AI66" s="552"/>
      <c r="AJ66" s="552"/>
      <c r="AK66" s="552"/>
      <c r="AL66" s="552"/>
      <c r="AM66" s="552"/>
      <c r="AN66" s="552"/>
      <c r="AO66" s="709" t="s">
        <v>7000</v>
      </c>
      <c r="AP66" s="709"/>
      <c r="AQ66" s="552" t="s">
        <v>1186</v>
      </c>
      <c r="AR66" s="552" t="s">
        <v>2998</v>
      </c>
      <c r="AS66" s="552" t="s">
        <v>6967</v>
      </c>
      <c r="AT66" s="552" t="s">
        <v>726</v>
      </c>
    </row>
    <row r="67" spans="1:46" ht="14.7" customHeight="1">
      <c r="A67" s="706"/>
      <c r="B67" s="557" t="s">
        <v>3698</v>
      </c>
      <c r="C67" s="539" t="s">
        <v>6869</v>
      </c>
      <c r="D67" s="539" t="s">
        <v>2783</v>
      </c>
      <c r="E67" s="539"/>
      <c r="F67" s="539"/>
      <c r="G67" s="539"/>
      <c r="H67" s="552"/>
      <c r="I67" s="552"/>
      <c r="J67" s="552"/>
      <c r="K67" s="552"/>
      <c r="L67" s="552"/>
      <c r="M67" s="552"/>
      <c r="N67" s="552"/>
      <c r="O67" s="552"/>
      <c r="P67" s="552"/>
      <c r="Q67" s="552"/>
      <c r="R67" s="552"/>
      <c r="S67" s="552"/>
      <c r="T67" s="552"/>
      <c r="U67" s="552"/>
      <c r="V67" s="552"/>
      <c r="W67" s="552"/>
      <c r="X67" s="552"/>
      <c r="Y67" s="552"/>
      <c r="Z67" s="552"/>
      <c r="AA67" s="552"/>
      <c r="AB67" s="552"/>
      <c r="AC67" s="552"/>
      <c r="AD67" s="552"/>
      <c r="AE67" s="552"/>
      <c r="AF67" s="552"/>
      <c r="AG67" s="552"/>
      <c r="AH67" s="552"/>
      <c r="AI67" s="552"/>
      <c r="AJ67" s="552"/>
      <c r="AK67" s="552"/>
      <c r="AL67" s="552"/>
      <c r="AM67" s="552"/>
      <c r="AN67" s="552"/>
      <c r="AO67" s="552"/>
      <c r="AP67" s="552"/>
      <c r="AQ67" s="552" t="s">
        <v>1186</v>
      </c>
      <c r="AR67" s="552" t="s">
        <v>2998</v>
      </c>
      <c r="AS67" s="552" t="s">
        <v>6967</v>
      </c>
      <c r="AT67" s="552" t="s">
        <v>726</v>
      </c>
    </row>
    <row r="68" spans="1:46" ht="14.7" customHeight="1">
      <c r="A68" s="706"/>
      <c r="B68" s="557" t="s">
        <v>3698</v>
      </c>
      <c r="C68" s="539" t="s">
        <v>6869</v>
      </c>
      <c r="D68" s="539" t="s">
        <v>2783</v>
      </c>
      <c r="E68" s="539"/>
      <c r="F68" s="539"/>
      <c r="G68" s="539"/>
      <c r="H68" s="552"/>
      <c r="I68" s="552"/>
      <c r="J68" s="552"/>
      <c r="K68" s="552"/>
      <c r="L68" s="552"/>
      <c r="M68" s="552"/>
      <c r="N68" s="552"/>
      <c r="O68" s="552"/>
      <c r="P68" s="552"/>
      <c r="Q68" s="552"/>
      <c r="R68" s="552"/>
      <c r="S68" s="552"/>
      <c r="T68" s="552"/>
      <c r="U68" s="552"/>
      <c r="V68" s="552"/>
      <c r="W68" s="552"/>
      <c r="X68" s="552"/>
      <c r="Y68" s="552"/>
      <c r="Z68" s="552"/>
      <c r="AA68" s="552"/>
      <c r="AB68" s="552"/>
      <c r="AC68" s="552"/>
      <c r="AD68" s="552"/>
      <c r="AE68" s="552"/>
      <c r="AF68" s="552"/>
      <c r="AG68" s="552"/>
      <c r="AH68" s="552"/>
      <c r="AI68" s="552"/>
      <c r="AJ68" s="552"/>
      <c r="AK68" s="552"/>
      <c r="AL68" s="552"/>
      <c r="AM68" s="552"/>
      <c r="AN68" s="552"/>
      <c r="AO68" s="552"/>
      <c r="AP68" s="552"/>
      <c r="AQ68" s="552" t="s">
        <v>1186</v>
      </c>
      <c r="AR68" s="552" t="s">
        <v>2998</v>
      </c>
      <c r="AS68" s="552" t="s">
        <v>6967</v>
      </c>
      <c r="AT68" s="552" t="s">
        <v>726</v>
      </c>
    </row>
    <row r="69" spans="1:46" ht="14.7" customHeight="1">
      <c r="A69" s="706"/>
      <c r="B69" s="557" t="s">
        <v>3698</v>
      </c>
      <c r="C69" s="539" t="s">
        <v>6869</v>
      </c>
      <c r="D69" s="539" t="s">
        <v>2783</v>
      </c>
      <c r="E69" s="539"/>
      <c r="F69" s="539"/>
      <c r="G69" s="539"/>
      <c r="H69" s="552"/>
      <c r="I69" s="552"/>
      <c r="J69" s="552"/>
      <c r="K69" s="552"/>
      <c r="L69" s="552"/>
      <c r="M69" s="552"/>
      <c r="N69" s="552"/>
      <c r="O69" s="552"/>
      <c r="P69" s="552"/>
      <c r="Q69" s="552"/>
      <c r="R69" s="552"/>
      <c r="S69" s="552"/>
      <c r="T69" s="552"/>
      <c r="U69" s="552"/>
      <c r="V69" s="552"/>
      <c r="W69" s="552"/>
      <c r="X69" s="552"/>
      <c r="Y69" s="552"/>
      <c r="Z69" s="552"/>
      <c r="AA69" s="552"/>
      <c r="AB69" s="552"/>
      <c r="AC69" s="552"/>
      <c r="AD69" s="552"/>
      <c r="AE69" s="552"/>
      <c r="AF69" s="552"/>
      <c r="AG69" s="552"/>
      <c r="AH69" s="552"/>
      <c r="AI69" s="552"/>
      <c r="AJ69" s="552"/>
      <c r="AK69" s="552"/>
      <c r="AL69" s="552"/>
      <c r="AM69" s="552"/>
      <c r="AN69" s="552"/>
      <c r="AO69" s="552"/>
      <c r="AP69" s="552"/>
      <c r="AQ69" s="552" t="s">
        <v>1186</v>
      </c>
      <c r="AR69" s="552" t="s">
        <v>2998</v>
      </c>
      <c r="AS69" s="552" t="s">
        <v>6967</v>
      </c>
      <c r="AT69" s="552" t="s">
        <v>726</v>
      </c>
    </row>
    <row r="70" spans="1:46" ht="14.7" customHeight="1">
      <c r="A70" s="706" t="s">
        <v>6095</v>
      </c>
      <c r="B70" s="344" t="s">
        <v>3699</v>
      </c>
      <c r="C70" s="539" t="s">
        <v>6869</v>
      </c>
      <c r="D70" s="709" t="s">
        <v>7001</v>
      </c>
      <c r="E70" s="552" t="s">
        <v>6925</v>
      </c>
      <c r="F70" s="552" t="s">
        <v>6872</v>
      </c>
      <c r="G70" s="552" t="s">
        <v>6965</v>
      </c>
      <c r="H70" s="552"/>
      <c r="I70" s="552"/>
      <c r="J70" s="709" t="s">
        <v>7002</v>
      </c>
      <c r="K70" s="709"/>
      <c r="L70" s="709"/>
      <c r="M70" s="709"/>
      <c r="N70" s="552"/>
      <c r="O70" s="552"/>
      <c r="P70" s="552"/>
      <c r="Q70" s="552"/>
      <c r="R70" s="552"/>
      <c r="S70" s="552"/>
      <c r="T70" s="552"/>
      <c r="U70" s="552"/>
      <c r="V70" s="552"/>
      <c r="W70" s="552"/>
      <c r="X70" s="552"/>
      <c r="Y70" s="552"/>
      <c r="Z70" s="552"/>
      <c r="AA70" s="552"/>
      <c r="AB70" s="552"/>
      <c r="AC70" s="552"/>
      <c r="AD70" s="552"/>
      <c r="AE70" s="552"/>
      <c r="AF70" s="552"/>
      <c r="AG70" s="552"/>
      <c r="AH70" s="552"/>
      <c r="AI70" s="552"/>
      <c r="AJ70" s="552"/>
      <c r="AK70" s="552"/>
      <c r="AL70" s="552"/>
      <c r="AM70" s="552"/>
      <c r="AN70" s="552"/>
      <c r="AO70" s="552"/>
      <c r="AP70" s="709" t="s">
        <v>7003</v>
      </c>
      <c r="AQ70" s="552" t="s">
        <v>1186</v>
      </c>
      <c r="AR70" s="552" t="s">
        <v>2809</v>
      </c>
      <c r="AS70" s="552" t="s">
        <v>6967</v>
      </c>
      <c r="AT70" s="552" t="s">
        <v>726</v>
      </c>
    </row>
    <row r="71" spans="1:46" ht="14.7" customHeight="1">
      <c r="A71" s="706"/>
      <c r="B71" s="344" t="s">
        <v>3699</v>
      </c>
      <c r="C71" s="539" t="s">
        <v>6869</v>
      </c>
      <c r="D71" s="539" t="s">
        <v>2783</v>
      </c>
      <c r="E71" s="539"/>
      <c r="F71" s="539"/>
      <c r="G71" s="539"/>
      <c r="H71" s="552"/>
      <c r="I71" s="552"/>
      <c r="J71" s="552"/>
      <c r="K71" s="552"/>
      <c r="L71" s="552"/>
      <c r="M71" s="552"/>
      <c r="N71" s="552"/>
      <c r="O71" s="552"/>
      <c r="P71" s="552"/>
      <c r="Q71" s="552"/>
      <c r="R71" s="552"/>
      <c r="S71" s="552"/>
      <c r="T71" s="552"/>
      <c r="U71" s="552"/>
      <c r="V71" s="552"/>
      <c r="W71" s="552"/>
      <c r="X71" s="552"/>
      <c r="Y71" s="552"/>
      <c r="Z71" s="552"/>
      <c r="AA71" s="552"/>
      <c r="AB71" s="552"/>
      <c r="AC71" s="552"/>
      <c r="AD71" s="552"/>
      <c r="AE71" s="552"/>
      <c r="AF71" s="552"/>
      <c r="AG71" s="552"/>
      <c r="AH71" s="552"/>
      <c r="AI71" s="552"/>
      <c r="AJ71" s="552"/>
      <c r="AK71" s="552"/>
      <c r="AL71" s="552"/>
      <c r="AM71" s="552"/>
      <c r="AN71" s="552"/>
      <c r="AO71" s="552"/>
      <c r="AP71" s="552"/>
      <c r="AQ71" s="552" t="s">
        <v>1186</v>
      </c>
      <c r="AR71" s="552" t="s">
        <v>2809</v>
      </c>
      <c r="AS71" s="552" t="s">
        <v>6967</v>
      </c>
      <c r="AT71" s="552" t="s">
        <v>726</v>
      </c>
    </row>
    <row r="72" spans="1:46" ht="14.7" customHeight="1">
      <c r="A72" s="706" t="s">
        <v>6096</v>
      </c>
      <c r="B72" s="344" t="s">
        <v>3699</v>
      </c>
      <c r="C72" s="539" t="s">
        <v>6869</v>
      </c>
      <c r="D72" s="709" t="s">
        <v>7004</v>
      </c>
      <c r="E72" s="552" t="s">
        <v>6925</v>
      </c>
      <c r="F72" s="552" t="s">
        <v>6872</v>
      </c>
      <c r="G72" s="552" t="s">
        <v>6965</v>
      </c>
      <c r="H72" s="552"/>
      <c r="I72" s="552"/>
      <c r="J72" s="709" t="s">
        <v>6912</v>
      </c>
      <c r="K72" s="709"/>
      <c r="L72" s="709"/>
      <c r="M72" s="552"/>
      <c r="N72" s="552"/>
      <c r="O72" s="552"/>
      <c r="P72" s="552"/>
      <c r="Q72" s="552"/>
      <c r="R72" s="552"/>
      <c r="S72" s="552"/>
      <c r="T72" s="552"/>
      <c r="U72" s="552"/>
      <c r="V72" s="552"/>
      <c r="W72" s="552"/>
      <c r="X72" s="552"/>
      <c r="Y72" s="552"/>
      <c r="Z72" s="552"/>
      <c r="AA72" s="552"/>
      <c r="AB72" s="552"/>
      <c r="AC72" s="552"/>
      <c r="AD72" s="552"/>
      <c r="AE72" s="552"/>
      <c r="AF72" s="552"/>
      <c r="AG72" s="552"/>
      <c r="AH72" s="552"/>
      <c r="AI72" s="552"/>
      <c r="AJ72" s="552"/>
      <c r="AK72" s="552"/>
      <c r="AL72" s="552"/>
      <c r="AM72" s="552"/>
      <c r="AN72" s="552"/>
      <c r="AO72" s="552"/>
      <c r="AP72" s="713" t="s">
        <v>7005</v>
      </c>
      <c r="AQ72" s="552" t="s">
        <v>1186</v>
      </c>
      <c r="AR72" s="552" t="s">
        <v>2809</v>
      </c>
      <c r="AS72" s="552" t="s">
        <v>6967</v>
      </c>
      <c r="AT72" s="552" t="s">
        <v>726</v>
      </c>
    </row>
    <row r="73" spans="1:46" ht="14.7" customHeight="1">
      <c r="A73" s="706"/>
      <c r="B73" s="344" t="s">
        <v>3699</v>
      </c>
      <c r="C73" s="539" t="s">
        <v>6869</v>
      </c>
      <c r="D73" s="539" t="s">
        <v>2783</v>
      </c>
      <c r="E73" s="539"/>
      <c r="F73" s="539"/>
      <c r="G73" s="539"/>
      <c r="H73" s="552"/>
      <c r="I73" s="552"/>
      <c r="J73" s="552"/>
      <c r="K73" s="552"/>
      <c r="L73" s="552"/>
      <c r="M73" s="552"/>
      <c r="N73" s="552"/>
      <c r="O73" s="552"/>
      <c r="P73" s="552"/>
      <c r="Q73" s="552"/>
      <c r="R73" s="552"/>
      <c r="S73" s="552"/>
      <c r="T73" s="552"/>
      <c r="U73" s="552"/>
      <c r="V73" s="552"/>
      <c r="W73" s="552"/>
      <c r="X73" s="552"/>
      <c r="Y73" s="552"/>
      <c r="Z73" s="552"/>
      <c r="AA73" s="552"/>
      <c r="AB73" s="552"/>
      <c r="AC73" s="552"/>
      <c r="AD73" s="552"/>
      <c r="AE73" s="552"/>
      <c r="AF73" s="552"/>
      <c r="AG73" s="552"/>
      <c r="AH73" s="552"/>
      <c r="AI73" s="552"/>
      <c r="AJ73" s="552"/>
      <c r="AK73" s="552"/>
      <c r="AL73" s="552"/>
      <c r="AM73" s="552"/>
      <c r="AN73" s="552"/>
      <c r="AO73" s="552"/>
      <c r="AP73" s="552"/>
      <c r="AQ73" s="552" t="s">
        <v>1186</v>
      </c>
      <c r="AR73" s="552" t="s">
        <v>2809</v>
      </c>
      <c r="AS73" s="552" t="s">
        <v>6967</v>
      </c>
      <c r="AT73" s="552" t="s">
        <v>726</v>
      </c>
    </row>
    <row r="74" spans="1:46" ht="14.7" customHeight="1">
      <c r="A74" s="706"/>
      <c r="B74" s="344" t="s">
        <v>3699</v>
      </c>
      <c r="C74" s="539" t="s">
        <v>6869</v>
      </c>
      <c r="D74" s="539" t="s">
        <v>2783</v>
      </c>
      <c r="E74" s="539"/>
      <c r="F74" s="539"/>
      <c r="G74" s="539"/>
      <c r="H74" s="552"/>
      <c r="I74" s="552"/>
      <c r="J74" s="552"/>
      <c r="K74" s="552"/>
      <c r="L74" s="552"/>
      <c r="M74" s="552"/>
      <c r="N74" s="552"/>
      <c r="O74" s="552"/>
      <c r="P74" s="552"/>
      <c r="Q74" s="552"/>
      <c r="R74" s="552"/>
      <c r="S74" s="552"/>
      <c r="T74" s="552"/>
      <c r="U74" s="552"/>
      <c r="V74" s="552"/>
      <c r="W74" s="552"/>
      <c r="X74" s="552"/>
      <c r="Y74" s="552"/>
      <c r="Z74" s="552"/>
      <c r="AA74" s="552"/>
      <c r="AB74" s="552"/>
      <c r="AC74" s="552"/>
      <c r="AD74" s="552"/>
      <c r="AE74" s="552"/>
      <c r="AF74" s="552"/>
      <c r="AG74" s="552"/>
      <c r="AH74" s="552"/>
      <c r="AI74" s="552"/>
      <c r="AJ74" s="552"/>
      <c r="AK74" s="552"/>
      <c r="AL74" s="552"/>
      <c r="AM74" s="552"/>
      <c r="AN74" s="552"/>
      <c r="AO74" s="552"/>
      <c r="AP74" s="552"/>
      <c r="AQ74" s="552" t="s">
        <v>1186</v>
      </c>
      <c r="AR74" s="552" t="s">
        <v>2809</v>
      </c>
      <c r="AS74" s="552" t="s">
        <v>6967</v>
      </c>
      <c r="AT74" s="552" t="s">
        <v>726</v>
      </c>
    </row>
    <row r="75" spans="1:46" ht="14.7" customHeight="1">
      <c r="A75" s="706" t="s">
        <v>6097</v>
      </c>
      <c r="B75" s="559" t="s">
        <v>3700</v>
      </c>
      <c r="C75" s="539" t="s">
        <v>6869</v>
      </c>
      <c r="D75" s="709" t="s">
        <v>7006</v>
      </c>
      <c r="E75" s="552" t="s">
        <v>6925</v>
      </c>
      <c r="F75" s="552" t="s">
        <v>6872</v>
      </c>
      <c r="G75" s="552" t="s">
        <v>6965</v>
      </c>
      <c r="H75" s="552"/>
      <c r="I75" s="552"/>
      <c r="J75" s="709" t="s">
        <v>7007</v>
      </c>
      <c r="K75" s="709" t="s">
        <v>7008</v>
      </c>
      <c r="L75" s="709"/>
      <c r="M75" s="709"/>
      <c r="N75" s="552"/>
      <c r="O75" s="552"/>
      <c r="P75" s="552"/>
      <c r="Q75" s="552"/>
      <c r="R75" s="552"/>
      <c r="S75" s="552"/>
      <c r="T75" s="552"/>
      <c r="U75" s="552"/>
      <c r="V75" s="552"/>
      <c r="W75" s="552"/>
      <c r="X75" s="552"/>
      <c r="Y75" s="552"/>
      <c r="Z75" s="552"/>
      <c r="AA75" s="552"/>
      <c r="AB75" s="552"/>
      <c r="AC75" s="552"/>
      <c r="AD75" s="552"/>
      <c r="AE75" s="552"/>
      <c r="AF75" s="552"/>
      <c r="AG75" s="552"/>
      <c r="AH75" s="552"/>
      <c r="AI75" s="552"/>
      <c r="AJ75" s="552"/>
      <c r="AK75" s="552"/>
      <c r="AL75" s="552"/>
      <c r="AM75" s="552"/>
      <c r="AN75" s="552"/>
      <c r="AO75" s="552"/>
      <c r="AP75" s="713" t="s">
        <v>7009</v>
      </c>
      <c r="AQ75" s="552" t="s">
        <v>1186</v>
      </c>
      <c r="AR75" s="552" t="s">
        <v>2971</v>
      </c>
      <c r="AS75" s="552" t="s">
        <v>6967</v>
      </c>
      <c r="AT75" s="552" t="s">
        <v>726</v>
      </c>
    </row>
    <row r="76" spans="1:46" ht="14.7" customHeight="1">
      <c r="A76" s="706" t="s">
        <v>6098</v>
      </c>
      <c r="B76" s="559" t="s">
        <v>3700</v>
      </c>
      <c r="C76" s="539" t="s">
        <v>6869</v>
      </c>
      <c r="D76" s="709" t="s">
        <v>7010</v>
      </c>
      <c r="E76" s="552" t="s">
        <v>6925</v>
      </c>
      <c r="F76" s="552" t="s">
        <v>6872</v>
      </c>
      <c r="G76" s="552" t="s">
        <v>6965</v>
      </c>
      <c r="H76" s="552"/>
      <c r="I76" s="552"/>
      <c r="J76" s="713" t="s">
        <v>7011</v>
      </c>
      <c r="K76" s="552"/>
      <c r="L76" s="552"/>
      <c r="M76" s="552"/>
      <c r="N76" s="552"/>
      <c r="O76" s="552"/>
      <c r="P76" s="552"/>
      <c r="Q76" s="552"/>
      <c r="R76" s="552"/>
      <c r="S76" s="552"/>
      <c r="T76" s="552"/>
      <c r="U76" s="552"/>
      <c r="V76" s="552"/>
      <c r="W76" s="552"/>
      <c r="X76" s="552"/>
      <c r="Y76" s="552"/>
      <c r="Z76" s="552"/>
      <c r="AA76" s="552"/>
      <c r="AB76" s="552"/>
      <c r="AC76" s="552"/>
      <c r="AD76" s="552"/>
      <c r="AE76" s="552"/>
      <c r="AF76" s="552"/>
      <c r="AG76" s="552"/>
      <c r="AH76" s="552"/>
      <c r="AI76" s="552"/>
      <c r="AJ76" s="552"/>
      <c r="AK76" s="552"/>
      <c r="AL76" s="552"/>
      <c r="AM76" s="552"/>
      <c r="AN76" s="552"/>
      <c r="AO76" s="552"/>
      <c r="AP76" s="713" t="s">
        <v>7012</v>
      </c>
      <c r="AQ76" s="552" t="s">
        <v>1186</v>
      </c>
      <c r="AR76" s="552" t="s">
        <v>2971</v>
      </c>
      <c r="AS76" s="552" t="s">
        <v>6967</v>
      </c>
      <c r="AT76" s="552" t="s">
        <v>726</v>
      </c>
    </row>
    <row r="77" spans="1:46" ht="14.7" customHeight="1">
      <c r="A77" s="710" t="s">
        <v>6099</v>
      </c>
      <c r="B77" s="711" t="s">
        <v>6055</v>
      </c>
      <c r="C77" s="539" t="s">
        <v>6869</v>
      </c>
      <c r="D77" s="709" t="s">
        <v>7013</v>
      </c>
      <c r="E77" s="552" t="s">
        <v>6925</v>
      </c>
      <c r="F77" s="552" t="s">
        <v>6872</v>
      </c>
      <c r="G77" s="552" t="s">
        <v>6965</v>
      </c>
      <c r="H77" s="552"/>
      <c r="I77" s="552"/>
      <c r="J77" s="713" t="s">
        <v>7014</v>
      </c>
      <c r="K77" s="552"/>
      <c r="L77" s="552"/>
      <c r="M77" s="552"/>
      <c r="N77" s="552"/>
      <c r="O77" s="552"/>
      <c r="P77" s="552"/>
      <c r="Q77" s="552"/>
      <c r="R77" s="552"/>
      <c r="S77" s="552"/>
      <c r="T77" s="552"/>
      <c r="U77" s="552"/>
      <c r="V77" s="552"/>
      <c r="W77" s="552"/>
      <c r="X77" s="552"/>
      <c r="Y77" s="552"/>
      <c r="Z77" s="552"/>
      <c r="AA77" s="552"/>
      <c r="AB77" s="552"/>
      <c r="AC77" s="552"/>
      <c r="AD77" s="552"/>
      <c r="AE77" s="552"/>
      <c r="AF77" s="552"/>
      <c r="AG77" s="552"/>
      <c r="AH77" s="552"/>
      <c r="AI77" s="552"/>
      <c r="AJ77" s="552"/>
      <c r="AK77" s="552"/>
      <c r="AL77" s="552"/>
      <c r="AM77" s="552"/>
      <c r="AN77" s="552"/>
      <c r="AO77" s="717" t="s">
        <v>7015</v>
      </c>
      <c r="AP77" s="717" t="s">
        <v>7016</v>
      </c>
      <c r="AQ77" s="552" t="s">
        <v>1186</v>
      </c>
      <c r="AR77" s="552" t="s">
        <v>6697</v>
      </c>
      <c r="AS77" s="552" t="s">
        <v>6967</v>
      </c>
      <c r="AT77" s="552" t="s">
        <v>726</v>
      </c>
    </row>
    <row r="78" spans="1:46" ht="14.7" customHeight="1">
      <c r="A78" s="706" t="s">
        <v>6100</v>
      </c>
      <c r="B78" s="540" t="s">
        <v>3695</v>
      </c>
      <c r="C78" s="539" t="s">
        <v>6869</v>
      </c>
      <c r="D78" s="709" t="s">
        <v>7017</v>
      </c>
      <c r="E78" s="709" t="s">
        <v>6871</v>
      </c>
      <c r="F78" s="709" t="s">
        <v>6872</v>
      </c>
      <c r="G78" s="709" t="s">
        <v>7018</v>
      </c>
      <c r="H78" s="709"/>
      <c r="I78" s="709"/>
      <c r="J78" s="552" t="s">
        <v>7019</v>
      </c>
      <c r="K78" s="552"/>
      <c r="L78" s="552"/>
      <c r="M78" s="552"/>
      <c r="N78" s="552"/>
      <c r="O78" s="552"/>
      <c r="P78" s="552"/>
      <c r="Q78" s="552"/>
      <c r="R78" s="552"/>
      <c r="S78" s="552"/>
      <c r="T78" s="552"/>
      <c r="U78" s="552"/>
      <c r="V78" s="552"/>
      <c r="W78" s="552"/>
      <c r="X78" s="552"/>
      <c r="Y78" s="552"/>
      <c r="Z78" s="552"/>
      <c r="AA78" s="552"/>
      <c r="AB78" s="552"/>
      <c r="AC78" s="552"/>
      <c r="AD78" s="552"/>
      <c r="AE78" s="552"/>
      <c r="AF78" s="552"/>
      <c r="AG78" s="552"/>
      <c r="AH78" s="552"/>
      <c r="AI78" s="552"/>
      <c r="AJ78" s="552"/>
      <c r="AK78" s="552"/>
      <c r="AL78" s="552"/>
      <c r="AM78" s="552"/>
      <c r="AN78" s="552"/>
      <c r="AO78" s="709" t="s">
        <v>7020</v>
      </c>
      <c r="AP78" s="709"/>
      <c r="AQ78" s="552" t="s">
        <v>1186</v>
      </c>
      <c r="AR78" s="552" t="s">
        <v>2802</v>
      </c>
      <c r="AS78" s="552" t="s">
        <v>6881</v>
      </c>
      <c r="AT78" s="552" t="s">
        <v>726</v>
      </c>
    </row>
    <row r="79" spans="1:46" ht="14.7" customHeight="1">
      <c r="A79" s="706" t="s">
        <v>6101</v>
      </c>
      <c r="B79" s="540" t="s">
        <v>3695</v>
      </c>
      <c r="C79" s="539" t="s">
        <v>6869</v>
      </c>
      <c r="D79" s="709" t="s">
        <v>7021</v>
      </c>
      <c r="E79" s="709" t="s">
        <v>6871</v>
      </c>
      <c r="F79" s="709" t="s">
        <v>6872</v>
      </c>
      <c r="G79" s="709" t="s">
        <v>7018</v>
      </c>
      <c r="H79" s="709"/>
      <c r="I79" s="709"/>
      <c r="J79" s="709" t="s">
        <v>7022</v>
      </c>
      <c r="K79" s="709"/>
      <c r="L79" s="709"/>
      <c r="M79" s="552"/>
      <c r="N79" s="552"/>
      <c r="O79" s="552"/>
      <c r="P79" s="552">
        <v>1</v>
      </c>
      <c r="Q79" s="552"/>
      <c r="R79" s="552"/>
      <c r="S79" s="552"/>
      <c r="T79" s="552"/>
      <c r="U79" s="552"/>
      <c r="V79" s="552"/>
      <c r="W79" s="552"/>
      <c r="X79" s="552"/>
      <c r="Y79" s="552"/>
      <c r="Z79" s="552"/>
      <c r="AA79" s="552"/>
      <c r="AB79" s="552"/>
      <c r="AC79" s="552"/>
      <c r="AD79" s="552"/>
      <c r="AE79" s="552"/>
      <c r="AF79" s="552"/>
      <c r="AG79" s="552"/>
      <c r="AH79" s="552"/>
      <c r="AI79" s="552"/>
      <c r="AJ79" s="552"/>
      <c r="AK79" s="552"/>
      <c r="AL79" s="552"/>
      <c r="AM79" s="552"/>
      <c r="AN79" s="552"/>
      <c r="AO79" s="552"/>
      <c r="AP79" s="552"/>
      <c r="AQ79" s="552" t="s">
        <v>1186</v>
      </c>
      <c r="AR79" s="552" t="s">
        <v>2802</v>
      </c>
      <c r="AS79" s="552" t="s">
        <v>6881</v>
      </c>
      <c r="AT79" s="552" t="s">
        <v>726</v>
      </c>
    </row>
    <row r="80" spans="1:46" ht="14.7" customHeight="1">
      <c r="A80" s="706" t="s">
        <v>6102</v>
      </c>
      <c r="B80" s="707" t="s">
        <v>3696</v>
      </c>
      <c r="C80" s="539" t="s">
        <v>6869</v>
      </c>
      <c r="D80" s="709" t="s">
        <v>7023</v>
      </c>
      <c r="E80" s="709" t="s">
        <v>6871</v>
      </c>
      <c r="F80" s="709" t="s">
        <v>6872</v>
      </c>
      <c r="G80" s="709" t="s">
        <v>7018</v>
      </c>
      <c r="H80" s="709"/>
      <c r="I80" s="709"/>
      <c r="J80" s="709" t="s">
        <v>7024</v>
      </c>
      <c r="K80" s="709" t="s">
        <v>7025</v>
      </c>
      <c r="L80" s="709"/>
      <c r="M80" s="709"/>
      <c r="N80" s="709"/>
      <c r="O80" s="709"/>
      <c r="P80" s="709"/>
      <c r="Q80" s="552"/>
      <c r="R80" s="552"/>
      <c r="S80" s="552"/>
      <c r="T80" s="552"/>
      <c r="U80" s="552"/>
      <c r="V80" s="552"/>
      <c r="W80" s="552"/>
      <c r="X80" s="552"/>
      <c r="Y80" s="552"/>
      <c r="Z80" s="552"/>
      <c r="AA80" s="552"/>
      <c r="AB80" s="552"/>
      <c r="AC80" s="552"/>
      <c r="AD80" s="552"/>
      <c r="AE80" s="552"/>
      <c r="AF80" s="552"/>
      <c r="AG80" s="552"/>
      <c r="AH80" s="552"/>
      <c r="AI80" s="552"/>
      <c r="AJ80" s="552"/>
      <c r="AK80" s="552"/>
      <c r="AL80" s="552"/>
      <c r="AM80" s="552"/>
      <c r="AN80" s="552"/>
      <c r="AO80" s="552"/>
      <c r="AP80" s="552"/>
      <c r="AQ80" s="552" t="s">
        <v>1186</v>
      </c>
      <c r="AR80" s="552" t="s">
        <v>2805</v>
      </c>
      <c r="AS80" s="552" t="s">
        <v>6881</v>
      </c>
      <c r="AT80" s="552" t="s">
        <v>726</v>
      </c>
    </row>
    <row r="81" spans="1:46" ht="14.7" customHeight="1">
      <c r="A81" s="706"/>
      <c r="B81" s="707" t="s">
        <v>3696</v>
      </c>
      <c r="C81" s="539" t="s">
        <v>6869</v>
      </c>
      <c r="D81" s="539" t="s">
        <v>2783</v>
      </c>
      <c r="E81" s="539"/>
      <c r="F81" s="539"/>
      <c r="G81" s="539"/>
      <c r="H81" s="552"/>
      <c r="I81" s="552"/>
      <c r="J81" s="552"/>
      <c r="K81" s="552"/>
      <c r="L81" s="552"/>
      <c r="M81" s="552"/>
      <c r="N81" s="552"/>
      <c r="O81" s="552"/>
      <c r="P81" s="552"/>
      <c r="Q81" s="552"/>
      <c r="R81" s="552"/>
      <c r="S81" s="552"/>
      <c r="T81" s="552"/>
      <c r="U81" s="552"/>
      <c r="V81" s="552"/>
      <c r="W81" s="552"/>
      <c r="X81" s="552"/>
      <c r="Y81" s="552"/>
      <c r="Z81" s="552"/>
      <c r="AA81" s="552"/>
      <c r="AB81" s="552"/>
      <c r="AC81" s="552"/>
      <c r="AD81" s="552"/>
      <c r="AE81" s="552"/>
      <c r="AF81" s="552"/>
      <c r="AG81" s="552"/>
      <c r="AH81" s="552"/>
      <c r="AI81" s="552"/>
      <c r="AJ81" s="552"/>
      <c r="AK81" s="552"/>
      <c r="AL81" s="552"/>
      <c r="AM81" s="552"/>
      <c r="AN81" s="552"/>
      <c r="AO81" s="552"/>
      <c r="AP81" s="552"/>
      <c r="AQ81" s="552" t="s">
        <v>1186</v>
      </c>
      <c r="AR81" s="552" t="s">
        <v>2805</v>
      </c>
      <c r="AS81" s="552" t="s">
        <v>6881</v>
      </c>
      <c r="AT81" s="552" t="s">
        <v>726</v>
      </c>
    </row>
    <row r="82" spans="1:46" ht="14.7" customHeight="1">
      <c r="A82" s="706" t="s">
        <v>6103</v>
      </c>
      <c r="B82" s="556" t="s">
        <v>3697</v>
      </c>
      <c r="C82" s="539" t="s">
        <v>6869</v>
      </c>
      <c r="D82" s="709" t="s">
        <v>7026</v>
      </c>
      <c r="E82" s="709" t="s">
        <v>6871</v>
      </c>
      <c r="F82" s="709" t="s">
        <v>6872</v>
      </c>
      <c r="G82" s="709" t="s">
        <v>7018</v>
      </c>
      <c r="H82" s="709"/>
      <c r="I82" s="709"/>
      <c r="J82" s="709" t="s">
        <v>7027</v>
      </c>
      <c r="K82" s="709"/>
      <c r="L82" s="709"/>
      <c r="M82" s="552"/>
      <c r="N82" s="552"/>
      <c r="O82" s="552"/>
      <c r="P82" s="552"/>
      <c r="Q82" s="552"/>
      <c r="R82" s="552"/>
      <c r="S82" s="552"/>
      <c r="T82" s="552"/>
      <c r="U82" s="552"/>
      <c r="V82" s="552"/>
      <c r="W82" s="552"/>
      <c r="X82" s="552"/>
      <c r="Y82" s="552"/>
      <c r="Z82" s="552"/>
      <c r="AA82" s="552"/>
      <c r="AB82" s="552"/>
      <c r="AC82" s="552"/>
      <c r="AD82" s="552"/>
      <c r="AE82" s="552"/>
      <c r="AF82" s="552"/>
      <c r="AG82" s="552"/>
      <c r="AH82" s="552"/>
      <c r="AI82" s="552"/>
      <c r="AJ82" s="552"/>
      <c r="AK82" s="552"/>
      <c r="AL82" s="552"/>
      <c r="AM82" s="552"/>
      <c r="AN82" s="552"/>
      <c r="AO82" s="552"/>
      <c r="AP82" s="552"/>
      <c r="AQ82" s="552" t="s">
        <v>1186</v>
      </c>
      <c r="AR82" s="552" t="s">
        <v>2875</v>
      </c>
      <c r="AS82" s="552" t="s">
        <v>6881</v>
      </c>
      <c r="AT82" s="552" t="s">
        <v>726</v>
      </c>
    </row>
    <row r="83" spans="1:46" ht="14.7" customHeight="1">
      <c r="A83" s="706" t="s">
        <v>6104</v>
      </c>
      <c r="B83" s="556" t="s">
        <v>3697</v>
      </c>
      <c r="C83" s="539" t="s">
        <v>6869</v>
      </c>
      <c r="D83" s="709" t="s">
        <v>7028</v>
      </c>
      <c r="E83" s="709" t="s">
        <v>6871</v>
      </c>
      <c r="F83" s="709" t="s">
        <v>6872</v>
      </c>
      <c r="G83" s="709" t="s">
        <v>7018</v>
      </c>
      <c r="H83" s="709"/>
      <c r="I83" s="709"/>
      <c r="J83" s="552" t="s">
        <v>7029</v>
      </c>
      <c r="K83" s="713" t="s">
        <v>7030</v>
      </c>
      <c r="L83" s="552"/>
      <c r="M83" s="552"/>
      <c r="N83" s="552"/>
      <c r="O83" s="552"/>
      <c r="P83" s="552"/>
      <c r="Q83" s="552"/>
      <c r="R83" s="552"/>
      <c r="S83" s="552"/>
      <c r="T83" s="552"/>
      <c r="U83" s="552"/>
      <c r="V83" s="552"/>
      <c r="W83" s="552"/>
      <c r="X83" s="552"/>
      <c r="Y83" s="552"/>
      <c r="Z83" s="552"/>
      <c r="AA83" s="552"/>
      <c r="AB83" s="552"/>
      <c r="AC83" s="552"/>
      <c r="AD83" s="552"/>
      <c r="AE83" s="552"/>
      <c r="AF83" s="552"/>
      <c r="AG83" s="552"/>
      <c r="AH83" s="552"/>
      <c r="AI83" s="552"/>
      <c r="AJ83" s="552"/>
      <c r="AK83" s="552"/>
      <c r="AL83" s="552"/>
      <c r="AM83" s="552"/>
      <c r="AN83" s="552"/>
      <c r="AO83" s="552"/>
      <c r="AP83" s="552"/>
      <c r="AQ83" s="552" t="s">
        <v>1186</v>
      </c>
      <c r="AR83" s="552" t="s">
        <v>2875</v>
      </c>
      <c r="AS83" s="552" t="s">
        <v>6881</v>
      </c>
      <c r="AT83" s="552" t="s">
        <v>726</v>
      </c>
    </row>
    <row r="84" spans="1:46" ht="14.7" customHeight="1">
      <c r="A84" s="706"/>
      <c r="B84" s="556" t="s">
        <v>3697</v>
      </c>
      <c r="C84" s="539" t="s">
        <v>6869</v>
      </c>
      <c r="D84" s="539" t="s">
        <v>2783</v>
      </c>
      <c r="E84" s="539"/>
      <c r="F84" s="539"/>
      <c r="G84" s="539"/>
      <c r="H84" s="709"/>
      <c r="I84" s="552"/>
      <c r="J84" s="552"/>
      <c r="K84" s="713"/>
      <c r="L84" s="552"/>
      <c r="M84" s="552"/>
      <c r="N84" s="552"/>
      <c r="O84" s="552"/>
      <c r="P84" s="552"/>
      <c r="Q84" s="552"/>
      <c r="R84" s="552"/>
      <c r="S84" s="552"/>
      <c r="T84" s="552"/>
      <c r="U84" s="552"/>
      <c r="V84" s="552"/>
      <c r="W84" s="552"/>
      <c r="X84" s="552"/>
      <c r="Y84" s="552"/>
      <c r="Z84" s="552"/>
      <c r="AA84" s="552"/>
      <c r="AB84" s="552"/>
      <c r="AC84" s="552"/>
      <c r="AD84" s="552"/>
      <c r="AE84" s="552"/>
      <c r="AF84" s="552"/>
      <c r="AG84" s="552"/>
      <c r="AH84" s="552"/>
      <c r="AI84" s="552"/>
      <c r="AJ84" s="552"/>
      <c r="AK84" s="552"/>
      <c r="AL84" s="552"/>
      <c r="AM84" s="552"/>
      <c r="AN84" s="552"/>
      <c r="AO84" s="552"/>
      <c r="AP84" s="552"/>
      <c r="AQ84" s="552" t="s">
        <v>1186</v>
      </c>
      <c r="AR84" s="552" t="s">
        <v>2875</v>
      </c>
      <c r="AS84" s="552" t="s">
        <v>6881</v>
      </c>
      <c r="AT84" s="552" t="s">
        <v>726</v>
      </c>
    </row>
    <row r="85" spans="1:46" ht="14.7" customHeight="1">
      <c r="A85" s="706" t="s">
        <v>7031</v>
      </c>
      <c r="B85" s="557" t="s">
        <v>3698</v>
      </c>
      <c r="C85" s="539" t="s">
        <v>6869</v>
      </c>
      <c r="D85" s="709" t="s">
        <v>7032</v>
      </c>
      <c r="E85" s="709" t="s">
        <v>6871</v>
      </c>
      <c r="F85" s="709" t="s">
        <v>6872</v>
      </c>
      <c r="G85" s="709" t="s">
        <v>7018</v>
      </c>
      <c r="H85" s="709"/>
      <c r="I85" s="709"/>
      <c r="J85" s="709" t="s">
        <v>7033</v>
      </c>
      <c r="K85" s="709"/>
      <c r="L85" s="709"/>
      <c r="M85" s="552"/>
      <c r="N85" s="552"/>
      <c r="O85" s="552"/>
      <c r="P85" s="552"/>
      <c r="Q85" s="552"/>
      <c r="R85" s="552"/>
      <c r="S85" s="552"/>
      <c r="T85" s="552"/>
      <c r="U85" s="552"/>
      <c r="V85" s="552"/>
      <c r="W85" s="552"/>
      <c r="X85" s="552"/>
      <c r="Y85" s="552"/>
      <c r="Z85" s="552"/>
      <c r="AA85" s="552"/>
      <c r="AB85" s="552"/>
      <c r="AC85" s="552"/>
      <c r="AD85" s="552"/>
      <c r="AE85" s="552"/>
      <c r="AF85" s="552"/>
      <c r="AG85" s="552"/>
      <c r="AH85" s="552"/>
      <c r="AI85" s="552"/>
      <c r="AJ85" s="552"/>
      <c r="AK85" s="552"/>
      <c r="AL85" s="552"/>
      <c r="AM85" s="552"/>
      <c r="AN85" s="552"/>
      <c r="AO85" s="552"/>
      <c r="AP85" s="709" t="s">
        <v>7034</v>
      </c>
      <c r="AQ85" s="552" t="s">
        <v>1186</v>
      </c>
      <c r="AR85" s="552" t="s">
        <v>2998</v>
      </c>
      <c r="AS85" s="552" t="s">
        <v>6881</v>
      </c>
      <c r="AT85" s="552" t="s">
        <v>726</v>
      </c>
    </row>
    <row r="86" spans="1:46" ht="14.7" customHeight="1">
      <c r="A86" s="706" t="s">
        <v>6105</v>
      </c>
      <c r="B86" s="557" t="s">
        <v>3698</v>
      </c>
      <c r="C86" s="539" t="s">
        <v>6869</v>
      </c>
      <c r="D86" s="709" t="s">
        <v>7035</v>
      </c>
      <c r="E86" s="709" t="s">
        <v>6871</v>
      </c>
      <c r="F86" s="709" t="s">
        <v>6872</v>
      </c>
      <c r="G86" s="709" t="s">
        <v>7018</v>
      </c>
      <c r="H86" s="709"/>
      <c r="I86" s="709"/>
      <c r="J86" s="709" t="s">
        <v>7036</v>
      </c>
      <c r="K86" s="709" t="s">
        <v>7037</v>
      </c>
      <c r="L86" s="709"/>
      <c r="M86" s="709"/>
      <c r="N86" s="552"/>
      <c r="O86" s="552"/>
      <c r="P86" s="552"/>
      <c r="Q86" s="552"/>
      <c r="R86" s="552"/>
      <c r="S86" s="552"/>
      <c r="T86" s="552"/>
      <c r="U86" s="552"/>
      <c r="V86" s="552"/>
      <c r="W86" s="552"/>
      <c r="X86" s="552"/>
      <c r="Y86" s="552"/>
      <c r="Z86" s="552"/>
      <c r="AA86" s="552"/>
      <c r="AB86" s="552"/>
      <c r="AC86" s="552"/>
      <c r="AD86" s="552"/>
      <c r="AE86" s="552"/>
      <c r="AF86" s="552"/>
      <c r="AG86" s="552"/>
      <c r="AH86" s="552"/>
      <c r="AI86" s="552"/>
      <c r="AJ86" s="552"/>
      <c r="AK86" s="552"/>
      <c r="AL86" s="552"/>
      <c r="AM86" s="552"/>
      <c r="AN86" s="552"/>
      <c r="AO86" s="552"/>
      <c r="AP86" s="709"/>
      <c r="AQ86" s="552" t="s">
        <v>1186</v>
      </c>
      <c r="AR86" s="552" t="s">
        <v>2998</v>
      </c>
      <c r="AS86" s="552" t="s">
        <v>6881</v>
      </c>
      <c r="AT86" s="552" t="s">
        <v>726</v>
      </c>
    </row>
    <row r="87" spans="1:46" ht="14.7" customHeight="1">
      <c r="A87" s="706"/>
      <c r="B87" s="557" t="s">
        <v>3698</v>
      </c>
      <c r="C87" s="539" t="s">
        <v>6869</v>
      </c>
      <c r="D87" s="539" t="s">
        <v>2783</v>
      </c>
      <c r="E87" s="539"/>
      <c r="F87" s="539"/>
      <c r="G87" s="539"/>
      <c r="H87" s="709"/>
      <c r="I87" s="552"/>
      <c r="J87" s="709"/>
      <c r="K87" s="709"/>
      <c r="L87" s="552"/>
      <c r="M87" s="552"/>
      <c r="N87" s="552"/>
      <c r="O87" s="552"/>
      <c r="P87" s="552"/>
      <c r="Q87" s="552"/>
      <c r="R87" s="552"/>
      <c r="S87" s="552"/>
      <c r="T87" s="552"/>
      <c r="U87" s="552"/>
      <c r="V87" s="552"/>
      <c r="W87" s="552"/>
      <c r="X87" s="552"/>
      <c r="Y87" s="552"/>
      <c r="Z87" s="552"/>
      <c r="AA87" s="552"/>
      <c r="AB87" s="552"/>
      <c r="AC87" s="552"/>
      <c r="AD87" s="552"/>
      <c r="AE87" s="552"/>
      <c r="AF87" s="552"/>
      <c r="AG87" s="552"/>
      <c r="AH87" s="552"/>
      <c r="AI87" s="552"/>
      <c r="AJ87" s="552"/>
      <c r="AK87" s="552"/>
      <c r="AL87" s="552"/>
      <c r="AM87" s="552"/>
      <c r="AN87" s="552"/>
      <c r="AO87" s="552"/>
      <c r="AP87" s="552"/>
      <c r="AQ87" s="552" t="s">
        <v>1186</v>
      </c>
      <c r="AR87" s="552" t="s">
        <v>2998</v>
      </c>
      <c r="AS87" s="552" t="s">
        <v>6881</v>
      </c>
      <c r="AT87" s="552" t="s">
        <v>726</v>
      </c>
    </row>
    <row r="88" spans="1:46" ht="14.7" customHeight="1">
      <c r="A88" s="706"/>
      <c r="B88" s="557" t="s">
        <v>3698</v>
      </c>
      <c r="C88" s="539" t="s">
        <v>6869</v>
      </c>
      <c r="D88" s="539" t="s">
        <v>2783</v>
      </c>
      <c r="E88" s="539"/>
      <c r="F88" s="539"/>
      <c r="G88" s="539"/>
      <c r="H88" s="552"/>
      <c r="I88" s="552"/>
      <c r="J88" s="552"/>
      <c r="K88" s="552"/>
      <c r="L88" s="552"/>
      <c r="M88" s="552"/>
      <c r="N88" s="552"/>
      <c r="O88" s="552"/>
      <c r="P88" s="552"/>
      <c r="Q88" s="552"/>
      <c r="R88" s="552"/>
      <c r="S88" s="552"/>
      <c r="T88" s="552"/>
      <c r="U88" s="552"/>
      <c r="V88" s="552"/>
      <c r="W88" s="552"/>
      <c r="X88" s="552"/>
      <c r="Y88" s="552"/>
      <c r="Z88" s="552"/>
      <c r="AA88" s="552"/>
      <c r="AB88" s="552"/>
      <c r="AC88" s="552"/>
      <c r="AD88" s="552"/>
      <c r="AE88" s="552"/>
      <c r="AF88" s="552"/>
      <c r="AG88" s="552"/>
      <c r="AH88" s="552"/>
      <c r="AI88" s="552"/>
      <c r="AJ88" s="552"/>
      <c r="AK88" s="552"/>
      <c r="AL88" s="552"/>
      <c r="AM88" s="552"/>
      <c r="AN88" s="552"/>
      <c r="AO88" s="552"/>
      <c r="AP88" s="552"/>
      <c r="AQ88" s="552" t="s">
        <v>1186</v>
      </c>
      <c r="AR88" s="552" t="s">
        <v>2998</v>
      </c>
      <c r="AS88" s="552" t="s">
        <v>6881</v>
      </c>
      <c r="AT88" s="552" t="s">
        <v>726</v>
      </c>
    </row>
    <row r="89" spans="1:46" ht="14.7" customHeight="1">
      <c r="A89" s="706" t="s">
        <v>6106</v>
      </c>
      <c r="B89" s="344" t="s">
        <v>3699</v>
      </c>
      <c r="C89" s="539" t="s">
        <v>6869</v>
      </c>
      <c r="D89" s="709" t="s">
        <v>7038</v>
      </c>
      <c r="E89" s="709" t="s">
        <v>6871</v>
      </c>
      <c r="F89" s="709" t="s">
        <v>6872</v>
      </c>
      <c r="G89" s="709" t="s">
        <v>7018</v>
      </c>
      <c r="H89" s="709"/>
      <c r="I89" s="709"/>
      <c r="J89" s="709" t="s">
        <v>6883</v>
      </c>
      <c r="K89" s="709" t="s">
        <v>7039</v>
      </c>
      <c r="L89" s="709"/>
      <c r="M89" s="709"/>
      <c r="N89" s="552"/>
      <c r="O89" s="552"/>
      <c r="P89" s="552"/>
      <c r="Q89" s="552"/>
      <c r="R89" s="552"/>
      <c r="S89" s="552"/>
      <c r="T89" s="552"/>
      <c r="U89" s="552"/>
      <c r="V89" s="552"/>
      <c r="W89" s="552"/>
      <c r="X89" s="552"/>
      <c r="Y89" s="552"/>
      <c r="Z89" s="552"/>
      <c r="AA89" s="552"/>
      <c r="AB89" s="552"/>
      <c r="AC89" s="552"/>
      <c r="AD89" s="552"/>
      <c r="AE89" s="552"/>
      <c r="AF89" s="552"/>
      <c r="AG89" s="552"/>
      <c r="AH89" s="552"/>
      <c r="AI89" s="552"/>
      <c r="AJ89" s="552"/>
      <c r="AK89" s="552"/>
      <c r="AL89" s="552"/>
      <c r="AM89" s="552"/>
      <c r="AN89" s="552"/>
      <c r="AO89" s="552"/>
      <c r="AP89" s="713" t="s">
        <v>7040</v>
      </c>
      <c r="AQ89" s="552" t="s">
        <v>1186</v>
      </c>
      <c r="AR89" s="552" t="s">
        <v>2809</v>
      </c>
      <c r="AS89" s="552" t="s">
        <v>6881</v>
      </c>
      <c r="AT89" s="552" t="s">
        <v>726</v>
      </c>
    </row>
    <row r="90" spans="1:46" ht="14.7" customHeight="1">
      <c r="A90" s="706" t="s">
        <v>6107</v>
      </c>
      <c r="B90" s="344" t="s">
        <v>3699</v>
      </c>
      <c r="C90" s="539" t="s">
        <v>6869</v>
      </c>
      <c r="D90" s="709" t="s">
        <v>7041</v>
      </c>
      <c r="E90" s="709" t="s">
        <v>6871</v>
      </c>
      <c r="F90" s="709" t="s">
        <v>6872</v>
      </c>
      <c r="G90" s="709" t="s">
        <v>7018</v>
      </c>
      <c r="H90" s="709"/>
      <c r="I90" s="709"/>
      <c r="J90" s="709" t="s">
        <v>6883</v>
      </c>
      <c r="K90" s="709" t="s">
        <v>7042</v>
      </c>
      <c r="L90" s="709"/>
      <c r="M90" s="709"/>
      <c r="N90" s="709"/>
      <c r="O90" s="552"/>
      <c r="P90" s="552"/>
      <c r="Q90" s="552"/>
      <c r="R90" s="552"/>
      <c r="S90" s="552"/>
      <c r="T90" s="552"/>
      <c r="U90" s="552"/>
      <c r="V90" s="552"/>
      <c r="W90" s="552"/>
      <c r="X90" s="552"/>
      <c r="Y90" s="552"/>
      <c r="Z90" s="552"/>
      <c r="AA90" s="552"/>
      <c r="AB90" s="552"/>
      <c r="AC90" s="552"/>
      <c r="AD90" s="552"/>
      <c r="AE90" s="552"/>
      <c r="AF90" s="552"/>
      <c r="AG90" s="552"/>
      <c r="AH90" s="552"/>
      <c r="AI90" s="552"/>
      <c r="AJ90" s="552"/>
      <c r="AK90" s="552"/>
      <c r="AL90" s="552"/>
      <c r="AM90" s="552"/>
      <c r="AN90" s="552"/>
      <c r="AO90" s="552"/>
      <c r="AP90" s="552"/>
      <c r="AQ90" s="552" t="s">
        <v>1186</v>
      </c>
      <c r="AR90" s="552" t="s">
        <v>2809</v>
      </c>
      <c r="AS90" s="552" t="s">
        <v>6881</v>
      </c>
      <c r="AT90" s="552" t="s">
        <v>726</v>
      </c>
    </row>
    <row r="91" spans="1:46" ht="14.7" customHeight="1">
      <c r="A91" s="706"/>
      <c r="B91" s="344" t="s">
        <v>3699</v>
      </c>
      <c r="C91" s="539" t="s">
        <v>6869</v>
      </c>
      <c r="D91" s="539" t="s">
        <v>2783</v>
      </c>
      <c r="E91" s="539"/>
      <c r="F91" s="539"/>
      <c r="G91" s="539"/>
      <c r="H91" s="552"/>
      <c r="I91" s="552"/>
      <c r="J91" s="552"/>
      <c r="K91" s="552"/>
      <c r="L91" s="552"/>
      <c r="M91" s="552"/>
      <c r="N91" s="552"/>
      <c r="O91" s="552"/>
      <c r="P91" s="552"/>
      <c r="Q91" s="552"/>
      <c r="R91" s="552"/>
      <c r="S91" s="552"/>
      <c r="T91" s="552"/>
      <c r="U91" s="552"/>
      <c r="V91" s="552"/>
      <c r="W91" s="552"/>
      <c r="X91" s="552"/>
      <c r="Y91" s="552"/>
      <c r="Z91" s="552"/>
      <c r="AA91" s="552"/>
      <c r="AB91" s="552"/>
      <c r="AC91" s="552"/>
      <c r="AD91" s="552"/>
      <c r="AE91" s="552"/>
      <c r="AF91" s="552"/>
      <c r="AG91" s="552"/>
      <c r="AH91" s="552"/>
      <c r="AI91" s="552"/>
      <c r="AJ91" s="552"/>
      <c r="AK91" s="552"/>
      <c r="AL91" s="552"/>
      <c r="AM91" s="552"/>
      <c r="AN91" s="552"/>
      <c r="AO91" s="552"/>
      <c r="AP91" s="552"/>
      <c r="AQ91" s="552" t="s">
        <v>1186</v>
      </c>
      <c r="AR91" s="552" t="s">
        <v>2809</v>
      </c>
      <c r="AS91" s="552" t="s">
        <v>6881</v>
      </c>
      <c r="AT91" s="552" t="s">
        <v>726</v>
      </c>
    </row>
    <row r="92" spans="1:46" ht="14.7" customHeight="1">
      <c r="A92" s="706"/>
      <c r="B92" s="344" t="s">
        <v>3699</v>
      </c>
      <c r="C92" s="539" t="s">
        <v>6869</v>
      </c>
      <c r="D92" s="539" t="s">
        <v>2783</v>
      </c>
      <c r="E92" s="539"/>
      <c r="F92" s="539"/>
      <c r="G92" s="539"/>
      <c r="H92" s="552"/>
      <c r="I92" s="552"/>
      <c r="J92" s="552"/>
      <c r="K92" s="552"/>
      <c r="L92" s="552"/>
      <c r="M92" s="552"/>
      <c r="N92" s="552"/>
      <c r="O92" s="552"/>
      <c r="P92" s="552"/>
      <c r="Q92" s="552"/>
      <c r="R92" s="552"/>
      <c r="S92" s="552"/>
      <c r="T92" s="552"/>
      <c r="U92" s="552"/>
      <c r="V92" s="552"/>
      <c r="W92" s="552"/>
      <c r="X92" s="552"/>
      <c r="Y92" s="552"/>
      <c r="Z92" s="552"/>
      <c r="AA92" s="552"/>
      <c r="AB92" s="552"/>
      <c r="AC92" s="552"/>
      <c r="AD92" s="552"/>
      <c r="AE92" s="552"/>
      <c r="AF92" s="552"/>
      <c r="AG92" s="552"/>
      <c r="AH92" s="552"/>
      <c r="AI92" s="552"/>
      <c r="AJ92" s="552"/>
      <c r="AK92" s="552"/>
      <c r="AL92" s="552"/>
      <c r="AM92" s="552"/>
      <c r="AN92" s="552"/>
      <c r="AO92" s="552"/>
      <c r="AP92" s="552"/>
      <c r="AQ92" s="552" t="s">
        <v>1186</v>
      </c>
      <c r="AR92" s="552" t="s">
        <v>2809</v>
      </c>
      <c r="AS92" s="552" t="s">
        <v>6881</v>
      </c>
      <c r="AT92" s="552" t="s">
        <v>726</v>
      </c>
    </row>
    <row r="93" spans="1:46" ht="14.7" customHeight="1">
      <c r="A93" s="706"/>
      <c r="B93" s="344" t="s">
        <v>3699</v>
      </c>
      <c r="C93" s="539" t="s">
        <v>6869</v>
      </c>
      <c r="D93" s="539" t="s">
        <v>2783</v>
      </c>
      <c r="E93" s="539"/>
      <c r="F93" s="539"/>
      <c r="G93" s="539"/>
      <c r="H93" s="552"/>
      <c r="I93" s="552"/>
      <c r="J93" s="552"/>
      <c r="K93" s="552"/>
      <c r="L93" s="552"/>
      <c r="M93" s="552"/>
      <c r="N93" s="552"/>
      <c r="O93" s="552"/>
      <c r="P93" s="552"/>
      <c r="Q93" s="552"/>
      <c r="R93" s="552"/>
      <c r="S93" s="552"/>
      <c r="T93" s="552"/>
      <c r="U93" s="552"/>
      <c r="V93" s="552"/>
      <c r="W93" s="552"/>
      <c r="X93" s="552"/>
      <c r="Y93" s="552"/>
      <c r="Z93" s="552"/>
      <c r="AA93" s="552"/>
      <c r="AB93" s="552"/>
      <c r="AC93" s="552"/>
      <c r="AD93" s="552"/>
      <c r="AE93" s="552"/>
      <c r="AF93" s="552"/>
      <c r="AG93" s="552"/>
      <c r="AH93" s="552"/>
      <c r="AI93" s="552"/>
      <c r="AJ93" s="552"/>
      <c r="AK93" s="552"/>
      <c r="AL93" s="552"/>
      <c r="AM93" s="552"/>
      <c r="AN93" s="552"/>
      <c r="AO93" s="552"/>
      <c r="AP93" s="552"/>
      <c r="AQ93" s="552" t="s">
        <v>1186</v>
      </c>
      <c r="AR93" s="552" t="s">
        <v>2809</v>
      </c>
      <c r="AS93" s="552" t="s">
        <v>6881</v>
      </c>
      <c r="AT93" s="552" t="s">
        <v>726</v>
      </c>
    </row>
    <row r="94" spans="1:46" ht="14.7" customHeight="1">
      <c r="A94" s="706" t="s">
        <v>6108</v>
      </c>
      <c r="B94" s="559" t="s">
        <v>3700</v>
      </c>
      <c r="C94" s="539" t="s">
        <v>6869</v>
      </c>
      <c r="D94" s="709" t="s">
        <v>7043</v>
      </c>
      <c r="E94" s="709" t="s">
        <v>6871</v>
      </c>
      <c r="F94" s="709" t="s">
        <v>6872</v>
      </c>
      <c r="G94" s="709" t="s">
        <v>7018</v>
      </c>
      <c r="H94" s="709"/>
      <c r="I94" s="709"/>
      <c r="J94" s="709" t="s">
        <v>6912</v>
      </c>
      <c r="K94" s="709"/>
      <c r="L94" s="709"/>
      <c r="M94" s="552"/>
      <c r="N94" s="552"/>
      <c r="O94" s="552"/>
      <c r="P94" s="552"/>
      <c r="Q94" s="552"/>
      <c r="R94" s="552"/>
      <c r="S94" s="552"/>
      <c r="T94" s="552"/>
      <c r="U94" s="552"/>
      <c r="V94" s="552"/>
      <c r="W94" s="552"/>
      <c r="X94" s="552"/>
      <c r="Y94" s="552"/>
      <c r="Z94" s="552"/>
      <c r="AA94" s="552"/>
      <c r="AB94" s="552"/>
      <c r="AC94" s="552"/>
      <c r="AD94" s="552"/>
      <c r="AE94" s="552"/>
      <c r="AF94" s="552"/>
      <c r="AG94" s="552"/>
      <c r="AH94" s="552"/>
      <c r="AI94" s="552"/>
      <c r="AJ94" s="552"/>
      <c r="AK94" s="552"/>
      <c r="AL94" s="552"/>
      <c r="AM94" s="552"/>
      <c r="AN94" s="552"/>
      <c r="AO94" s="709" t="s">
        <v>7044</v>
      </c>
      <c r="AP94" s="709"/>
      <c r="AQ94" s="552" t="s">
        <v>1186</v>
      </c>
      <c r="AR94" s="552" t="s">
        <v>2971</v>
      </c>
      <c r="AS94" s="552" t="s">
        <v>6881</v>
      </c>
      <c r="AT94" s="552" t="s">
        <v>726</v>
      </c>
    </row>
    <row r="95" spans="1:46" ht="14.7" customHeight="1">
      <c r="A95" s="706"/>
      <c r="B95" s="559" t="s">
        <v>3700</v>
      </c>
      <c r="C95" s="539" t="s">
        <v>6869</v>
      </c>
      <c r="D95" s="539" t="s">
        <v>2783</v>
      </c>
      <c r="E95" s="539"/>
      <c r="F95" s="539"/>
      <c r="G95" s="539"/>
      <c r="H95" s="552"/>
      <c r="I95" s="552"/>
      <c r="J95" s="552"/>
      <c r="K95" s="552"/>
      <c r="L95" s="552"/>
      <c r="M95" s="552"/>
      <c r="N95" s="552"/>
      <c r="O95" s="552"/>
      <c r="P95" s="552"/>
      <c r="Q95" s="552"/>
      <c r="R95" s="552"/>
      <c r="S95" s="552"/>
      <c r="T95" s="552"/>
      <c r="U95" s="552"/>
      <c r="V95" s="552"/>
      <c r="W95" s="552"/>
      <c r="X95" s="552"/>
      <c r="Y95" s="552"/>
      <c r="Z95" s="552"/>
      <c r="AA95" s="552"/>
      <c r="AB95" s="552"/>
      <c r="AC95" s="552"/>
      <c r="AD95" s="552"/>
      <c r="AE95" s="552"/>
      <c r="AF95" s="552"/>
      <c r="AG95" s="552"/>
      <c r="AH95" s="552"/>
      <c r="AI95" s="552"/>
      <c r="AJ95" s="552"/>
      <c r="AK95" s="552"/>
      <c r="AL95" s="552"/>
      <c r="AM95" s="552"/>
      <c r="AN95" s="552"/>
      <c r="AO95" s="552"/>
      <c r="AP95" s="552"/>
      <c r="AQ95" s="552" t="s">
        <v>1186</v>
      </c>
      <c r="AR95" s="552" t="s">
        <v>2971</v>
      </c>
      <c r="AS95" s="552" t="s">
        <v>6881</v>
      </c>
      <c r="AT95" s="552" t="s">
        <v>726</v>
      </c>
    </row>
    <row r="96" spans="1:46" ht="14.7" customHeight="1">
      <c r="A96" s="706"/>
      <c r="B96" s="711" t="s">
        <v>6055</v>
      </c>
      <c r="C96" s="539" t="s">
        <v>6869</v>
      </c>
      <c r="D96" s="539"/>
      <c r="E96" s="552"/>
      <c r="F96" s="552"/>
      <c r="G96" s="552"/>
      <c r="H96" s="552"/>
      <c r="I96" s="552"/>
      <c r="J96" s="552"/>
      <c r="K96" s="552"/>
      <c r="L96" s="552"/>
      <c r="M96" s="552"/>
      <c r="N96" s="552"/>
      <c r="O96" s="552"/>
      <c r="P96" s="552"/>
      <c r="Q96" s="552"/>
      <c r="R96" s="552"/>
      <c r="S96" s="552"/>
      <c r="T96" s="552"/>
      <c r="U96" s="552"/>
      <c r="V96" s="552"/>
      <c r="W96" s="552"/>
      <c r="X96" s="552"/>
      <c r="Y96" s="552"/>
      <c r="Z96" s="552"/>
      <c r="AA96" s="552"/>
      <c r="AB96" s="552"/>
      <c r="AC96" s="552"/>
      <c r="AD96" s="552"/>
      <c r="AE96" s="552"/>
      <c r="AF96" s="552"/>
      <c r="AG96" s="552"/>
      <c r="AH96" s="552"/>
      <c r="AI96" s="552"/>
      <c r="AJ96" s="552"/>
      <c r="AK96" s="552"/>
      <c r="AL96" s="552"/>
      <c r="AM96" s="552"/>
      <c r="AN96" s="552"/>
      <c r="AO96" s="552"/>
      <c r="AP96" s="552"/>
      <c r="AQ96" s="552" t="s">
        <v>1186</v>
      </c>
      <c r="AR96" s="552" t="s">
        <v>6697</v>
      </c>
      <c r="AS96" s="552" t="s">
        <v>6881</v>
      </c>
      <c r="AT96" s="552" t="s">
        <v>726</v>
      </c>
    </row>
    <row r="97" spans="1:46" ht="14.7" customHeight="1">
      <c r="A97" s="706" t="s">
        <v>6109</v>
      </c>
      <c r="B97" s="540" t="s">
        <v>3695</v>
      </c>
      <c r="C97" s="539" t="s">
        <v>6869</v>
      </c>
      <c r="D97" s="709" t="s">
        <v>7045</v>
      </c>
      <c r="E97" s="709" t="s">
        <v>6925</v>
      </c>
      <c r="F97" s="709" t="s">
        <v>6872</v>
      </c>
      <c r="G97" s="709" t="s">
        <v>7018</v>
      </c>
      <c r="H97" s="709"/>
      <c r="I97" s="709" t="s">
        <v>7046</v>
      </c>
      <c r="J97" s="709" t="s">
        <v>7047</v>
      </c>
      <c r="K97" s="709"/>
      <c r="L97" s="709"/>
      <c r="M97" s="552"/>
      <c r="N97" s="552"/>
      <c r="O97" s="552"/>
      <c r="P97" s="552"/>
      <c r="Q97" s="552"/>
      <c r="R97" s="552"/>
      <c r="S97" s="552"/>
      <c r="T97" s="552"/>
      <c r="U97" s="552"/>
      <c r="V97" s="552"/>
      <c r="W97" s="552"/>
      <c r="X97" s="552"/>
      <c r="Y97" s="552"/>
      <c r="Z97" s="552"/>
      <c r="AA97" s="552"/>
      <c r="AB97" s="552"/>
      <c r="AC97" s="552"/>
      <c r="AD97" s="552"/>
      <c r="AE97" s="552"/>
      <c r="AF97" s="552"/>
      <c r="AG97" s="552"/>
      <c r="AH97" s="552"/>
      <c r="AI97" s="552"/>
      <c r="AJ97" s="552"/>
      <c r="AK97" s="552"/>
      <c r="AL97" s="552"/>
      <c r="AM97" s="552"/>
      <c r="AN97" s="552"/>
      <c r="AO97" s="552"/>
      <c r="AP97" s="552"/>
      <c r="AQ97" s="552" t="s">
        <v>1186</v>
      </c>
      <c r="AR97" s="552" t="s">
        <v>2802</v>
      </c>
      <c r="AS97" s="552" t="s">
        <v>6881</v>
      </c>
      <c r="AT97" s="552" t="s">
        <v>726</v>
      </c>
    </row>
    <row r="98" spans="1:46" ht="14.7" customHeight="1">
      <c r="A98" s="706"/>
      <c r="B98" s="540" t="s">
        <v>3695</v>
      </c>
      <c r="C98" s="539" t="s">
        <v>6869</v>
      </c>
      <c r="D98" s="539" t="s">
        <v>2783</v>
      </c>
      <c r="E98" s="539"/>
      <c r="F98" s="539"/>
      <c r="G98" s="539"/>
      <c r="H98" s="709"/>
      <c r="I98" s="552"/>
      <c r="J98" s="552"/>
      <c r="K98" s="552"/>
      <c r="L98" s="552"/>
      <c r="M98" s="552"/>
      <c r="N98" s="552"/>
      <c r="O98" s="552"/>
      <c r="P98" s="552"/>
      <c r="Q98" s="552"/>
      <c r="R98" s="552"/>
      <c r="S98" s="552"/>
      <c r="T98" s="552"/>
      <c r="U98" s="552"/>
      <c r="V98" s="552"/>
      <c r="W98" s="552"/>
      <c r="X98" s="552"/>
      <c r="Y98" s="552"/>
      <c r="Z98" s="552"/>
      <c r="AA98" s="552"/>
      <c r="AB98" s="552"/>
      <c r="AC98" s="552"/>
      <c r="AD98" s="552"/>
      <c r="AE98" s="552"/>
      <c r="AF98" s="552"/>
      <c r="AG98" s="552"/>
      <c r="AH98" s="552"/>
      <c r="AI98" s="552"/>
      <c r="AJ98" s="552"/>
      <c r="AK98" s="552"/>
      <c r="AL98" s="552"/>
      <c r="AM98" s="552"/>
      <c r="AN98" s="552"/>
      <c r="AO98" s="552"/>
      <c r="AP98" s="552"/>
      <c r="AQ98" s="552" t="s">
        <v>1186</v>
      </c>
      <c r="AR98" s="552" t="s">
        <v>2802</v>
      </c>
      <c r="AS98" s="552" t="s">
        <v>6881</v>
      </c>
      <c r="AT98" s="552" t="s">
        <v>726</v>
      </c>
    </row>
    <row r="99" spans="1:46" ht="14.7" customHeight="1">
      <c r="A99" s="706" t="s">
        <v>7048</v>
      </c>
      <c r="B99" s="707" t="s">
        <v>3696</v>
      </c>
      <c r="C99" s="539" t="s">
        <v>6869</v>
      </c>
      <c r="D99" s="709" t="s">
        <v>7049</v>
      </c>
      <c r="E99" s="552" t="s">
        <v>6925</v>
      </c>
      <c r="F99" s="552" t="s">
        <v>6872</v>
      </c>
      <c r="G99" s="552" t="s">
        <v>7018</v>
      </c>
      <c r="H99" s="552"/>
      <c r="I99" s="552"/>
      <c r="J99" s="709" t="s">
        <v>7050</v>
      </c>
      <c r="K99" s="709"/>
      <c r="L99" s="709"/>
      <c r="M99" s="552"/>
      <c r="N99" s="552"/>
      <c r="O99" s="552"/>
      <c r="P99" s="552"/>
      <c r="Q99" s="552"/>
      <c r="R99" s="552"/>
      <c r="S99" s="552"/>
      <c r="T99" s="552"/>
      <c r="U99" s="552"/>
      <c r="V99" s="552"/>
      <c r="W99" s="552"/>
      <c r="X99" s="552"/>
      <c r="Y99" s="552"/>
      <c r="Z99" s="552"/>
      <c r="AA99" s="552"/>
      <c r="AB99" s="552"/>
      <c r="AC99" s="552"/>
      <c r="AD99" s="552"/>
      <c r="AE99" s="552"/>
      <c r="AF99" s="552"/>
      <c r="AG99" s="552"/>
      <c r="AH99" s="552"/>
      <c r="AI99" s="552"/>
      <c r="AJ99" s="552"/>
      <c r="AK99" s="552"/>
      <c r="AL99" s="552"/>
      <c r="AM99" s="552"/>
      <c r="AN99" s="552"/>
      <c r="AO99" s="552"/>
      <c r="AP99" s="709" t="s">
        <v>7051</v>
      </c>
      <c r="AQ99" s="552" t="s">
        <v>1186</v>
      </c>
      <c r="AR99" s="552" t="s">
        <v>2805</v>
      </c>
      <c r="AS99" s="552" t="s">
        <v>6881</v>
      </c>
      <c r="AT99" s="552" t="s">
        <v>726</v>
      </c>
    </row>
    <row r="100" spans="1:46" ht="14.7" customHeight="1">
      <c r="A100" s="706"/>
      <c r="B100" s="707" t="s">
        <v>3696</v>
      </c>
      <c r="C100" s="539" t="s">
        <v>6869</v>
      </c>
      <c r="D100" s="539" t="s">
        <v>2783</v>
      </c>
      <c r="E100" s="539"/>
      <c r="F100" s="539"/>
      <c r="G100" s="539"/>
      <c r="H100" s="552"/>
      <c r="I100" s="552"/>
      <c r="J100" s="552"/>
      <c r="K100" s="552"/>
      <c r="L100" s="552"/>
      <c r="M100" s="552"/>
      <c r="N100" s="552"/>
      <c r="O100" s="552"/>
      <c r="P100" s="552"/>
      <c r="Q100" s="552"/>
      <c r="R100" s="552"/>
      <c r="S100" s="552"/>
      <c r="T100" s="552"/>
      <c r="U100" s="552"/>
      <c r="V100" s="552"/>
      <c r="W100" s="552"/>
      <c r="X100" s="552"/>
      <c r="Y100" s="552"/>
      <c r="Z100" s="552"/>
      <c r="AA100" s="552"/>
      <c r="AB100" s="552"/>
      <c r="AC100" s="552"/>
      <c r="AD100" s="552"/>
      <c r="AE100" s="552"/>
      <c r="AF100" s="552"/>
      <c r="AG100" s="552"/>
      <c r="AH100" s="552"/>
      <c r="AI100" s="552"/>
      <c r="AJ100" s="552"/>
      <c r="AK100" s="552"/>
      <c r="AL100" s="552"/>
      <c r="AM100" s="552"/>
      <c r="AN100" s="552"/>
      <c r="AO100" s="552"/>
      <c r="AP100" s="552"/>
      <c r="AQ100" s="552" t="s">
        <v>1186</v>
      </c>
      <c r="AR100" s="552" t="s">
        <v>2805</v>
      </c>
      <c r="AS100" s="552" t="s">
        <v>6881</v>
      </c>
      <c r="AT100" s="552" t="s">
        <v>726</v>
      </c>
    </row>
    <row r="101" spans="1:46" ht="14.7" customHeight="1">
      <c r="A101" s="706" t="s">
        <v>6110</v>
      </c>
      <c r="B101" s="556" t="s">
        <v>3697</v>
      </c>
      <c r="C101" s="539" t="s">
        <v>6869</v>
      </c>
      <c r="D101" s="709" t="s">
        <v>7052</v>
      </c>
      <c r="E101" s="552" t="s">
        <v>6925</v>
      </c>
      <c r="F101" s="552" t="s">
        <v>6872</v>
      </c>
      <c r="G101" s="552" t="s">
        <v>7018</v>
      </c>
      <c r="H101" s="552"/>
      <c r="I101" s="552"/>
      <c r="J101" s="709" t="s">
        <v>7053</v>
      </c>
      <c r="K101" s="709"/>
      <c r="L101" s="709"/>
      <c r="M101" s="552"/>
      <c r="N101" s="552"/>
      <c r="O101" s="552"/>
      <c r="P101" s="552"/>
      <c r="Q101" s="552"/>
      <c r="R101" s="552"/>
      <c r="S101" s="552"/>
      <c r="T101" s="552"/>
      <c r="U101" s="552"/>
      <c r="V101" s="552">
        <v>0.5</v>
      </c>
      <c r="W101" s="552"/>
      <c r="X101" s="552"/>
      <c r="Y101" s="552"/>
      <c r="Z101" s="552"/>
      <c r="AA101" s="552"/>
      <c r="AB101" s="552"/>
      <c r="AC101" s="552"/>
      <c r="AD101" s="552"/>
      <c r="AE101" s="552"/>
      <c r="AF101" s="552"/>
      <c r="AG101" s="552"/>
      <c r="AH101" s="552"/>
      <c r="AI101" s="552"/>
      <c r="AJ101" s="552"/>
      <c r="AK101" s="552"/>
      <c r="AL101" s="552"/>
      <c r="AM101" s="552"/>
      <c r="AN101" s="552"/>
      <c r="AO101" s="552"/>
      <c r="AP101" s="552"/>
      <c r="AQ101" s="552" t="s">
        <v>1186</v>
      </c>
      <c r="AR101" s="552" t="s">
        <v>2875</v>
      </c>
      <c r="AS101" s="552" t="s">
        <v>6881</v>
      </c>
      <c r="AT101" s="552" t="s">
        <v>726</v>
      </c>
    </row>
    <row r="102" spans="1:46" ht="14.7" customHeight="1">
      <c r="A102" s="706" t="s">
        <v>6111</v>
      </c>
      <c r="B102" s="556" t="s">
        <v>3697</v>
      </c>
      <c r="C102" s="539" t="s">
        <v>6869</v>
      </c>
      <c r="D102" s="709" t="s">
        <v>7054</v>
      </c>
      <c r="E102" s="552" t="s">
        <v>6925</v>
      </c>
      <c r="F102" s="552" t="s">
        <v>6872</v>
      </c>
      <c r="G102" s="552" t="s">
        <v>7018</v>
      </c>
      <c r="H102" s="552"/>
      <c r="I102" s="552"/>
      <c r="J102" s="709" t="s">
        <v>7055</v>
      </c>
      <c r="K102" s="709"/>
      <c r="L102" s="709"/>
      <c r="M102" s="552"/>
      <c r="N102" s="552"/>
      <c r="O102" s="552"/>
      <c r="P102" s="552"/>
      <c r="Q102" s="552"/>
      <c r="R102" s="552"/>
      <c r="S102" s="552"/>
      <c r="T102" s="552"/>
      <c r="U102" s="552"/>
      <c r="V102" s="552"/>
      <c r="W102" s="552"/>
      <c r="X102" s="552"/>
      <c r="Y102" s="552"/>
      <c r="Z102" s="552"/>
      <c r="AA102" s="552"/>
      <c r="AB102" s="552"/>
      <c r="AC102" s="552"/>
      <c r="AD102" s="552"/>
      <c r="AE102" s="552"/>
      <c r="AF102" s="552"/>
      <c r="AG102" s="552"/>
      <c r="AH102" s="552"/>
      <c r="AI102" s="552"/>
      <c r="AJ102" s="552"/>
      <c r="AK102" s="552"/>
      <c r="AL102" s="552"/>
      <c r="AM102" s="552"/>
      <c r="AN102" s="552"/>
      <c r="AO102" s="552"/>
      <c r="AP102" s="552"/>
      <c r="AQ102" s="552" t="s">
        <v>1186</v>
      </c>
      <c r="AR102" s="552" t="s">
        <v>2875</v>
      </c>
      <c r="AS102" s="552" t="s">
        <v>6881</v>
      </c>
      <c r="AT102" s="552" t="s">
        <v>726</v>
      </c>
    </row>
    <row r="103" spans="1:46" ht="14.7" customHeight="1">
      <c r="A103" s="706"/>
      <c r="B103" s="556" t="s">
        <v>3697</v>
      </c>
      <c r="C103" s="539" t="s">
        <v>6869</v>
      </c>
      <c r="D103" s="539" t="s">
        <v>2783</v>
      </c>
      <c r="E103" s="539"/>
      <c r="F103" s="539"/>
      <c r="G103" s="539"/>
      <c r="H103" s="552"/>
      <c r="I103" s="552"/>
      <c r="J103" s="552"/>
      <c r="K103" s="552"/>
      <c r="L103" s="552"/>
      <c r="M103" s="552"/>
      <c r="N103" s="552"/>
      <c r="O103" s="552"/>
      <c r="P103" s="552"/>
      <c r="Q103" s="552"/>
      <c r="R103" s="552"/>
      <c r="S103" s="552"/>
      <c r="T103" s="552"/>
      <c r="U103" s="552"/>
      <c r="V103" s="552"/>
      <c r="W103" s="552"/>
      <c r="X103" s="552"/>
      <c r="Y103" s="552"/>
      <c r="Z103" s="552"/>
      <c r="AA103" s="552"/>
      <c r="AB103" s="552"/>
      <c r="AC103" s="552"/>
      <c r="AD103" s="552"/>
      <c r="AE103" s="552"/>
      <c r="AF103" s="552"/>
      <c r="AG103" s="552"/>
      <c r="AH103" s="552"/>
      <c r="AI103" s="552"/>
      <c r="AJ103" s="552"/>
      <c r="AK103" s="552"/>
      <c r="AL103" s="552"/>
      <c r="AM103" s="552"/>
      <c r="AN103" s="552"/>
      <c r="AO103" s="552"/>
      <c r="AP103" s="552"/>
      <c r="AQ103" s="552" t="s">
        <v>1186</v>
      </c>
      <c r="AR103" s="552" t="s">
        <v>2875</v>
      </c>
      <c r="AS103" s="552" t="s">
        <v>6881</v>
      </c>
      <c r="AT103" s="552" t="s">
        <v>726</v>
      </c>
    </row>
    <row r="104" spans="1:46" ht="14.7" customHeight="1">
      <c r="A104" s="706" t="s">
        <v>6112</v>
      </c>
      <c r="B104" s="557" t="s">
        <v>3698</v>
      </c>
      <c r="C104" s="539" t="s">
        <v>6869</v>
      </c>
      <c r="D104" s="709" t="s">
        <v>7056</v>
      </c>
      <c r="E104" s="552" t="s">
        <v>6925</v>
      </c>
      <c r="F104" s="552" t="s">
        <v>6872</v>
      </c>
      <c r="G104" s="552" t="s">
        <v>7018</v>
      </c>
      <c r="H104" s="552"/>
      <c r="I104" s="552"/>
      <c r="J104" s="709" t="s">
        <v>6937</v>
      </c>
      <c r="K104" s="709" t="s">
        <v>7057</v>
      </c>
      <c r="L104" s="709"/>
      <c r="M104" s="709"/>
      <c r="N104" s="709"/>
      <c r="O104" s="709"/>
      <c r="P104" s="709"/>
      <c r="Q104" s="709"/>
      <c r="R104" s="709"/>
      <c r="S104" s="552"/>
      <c r="T104" s="552"/>
      <c r="U104" s="552"/>
      <c r="V104" s="552"/>
      <c r="W104" s="552"/>
      <c r="X104" s="552"/>
      <c r="Y104" s="552"/>
      <c r="Z104" s="552"/>
      <c r="AA104" s="552"/>
      <c r="AB104" s="552"/>
      <c r="AC104" s="552"/>
      <c r="AD104" s="552"/>
      <c r="AE104" s="552"/>
      <c r="AF104" s="552"/>
      <c r="AG104" s="552"/>
      <c r="AH104" s="552"/>
      <c r="AI104" s="552"/>
      <c r="AJ104" s="552"/>
      <c r="AK104" s="552"/>
      <c r="AL104" s="552"/>
      <c r="AM104" s="552"/>
      <c r="AN104" s="552"/>
      <c r="AO104" s="552"/>
      <c r="AP104" s="552"/>
      <c r="AQ104" s="552" t="s">
        <v>1186</v>
      </c>
      <c r="AR104" s="552" t="s">
        <v>2998</v>
      </c>
      <c r="AS104" s="552" t="s">
        <v>6881</v>
      </c>
      <c r="AT104" s="552" t="s">
        <v>726</v>
      </c>
    </row>
    <row r="105" spans="1:46" ht="14.7" customHeight="1">
      <c r="A105" s="706" t="s">
        <v>6113</v>
      </c>
      <c r="B105" s="557" t="s">
        <v>3698</v>
      </c>
      <c r="C105" s="539" t="s">
        <v>6869</v>
      </c>
      <c r="D105" s="709" t="s">
        <v>7058</v>
      </c>
      <c r="E105" s="709"/>
      <c r="F105" s="709"/>
      <c r="G105" s="709"/>
      <c r="H105" s="552"/>
      <c r="I105" s="552"/>
      <c r="J105" s="709" t="s">
        <v>7059</v>
      </c>
      <c r="K105" s="709"/>
      <c r="L105" s="552"/>
      <c r="M105" s="713" t="s">
        <v>7060</v>
      </c>
      <c r="N105" s="552"/>
      <c r="O105" s="552"/>
      <c r="P105" s="552"/>
      <c r="Q105" s="552"/>
      <c r="R105" s="552"/>
      <c r="S105" s="552"/>
      <c r="T105" s="552"/>
      <c r="U105" s="552"/>
      <c r="V105" s="552"/>
      <c r="W105" s="552"/>
      <c r="X105" s="552"/>
      <c r="Y105" s="552"/>
      <c r="Z105" s="552"/>
      <c r="AA105" s="552"/>
      <c r="AB105" s="552"/>
      <c r="AC105" s="552"/>
      <c r="AD105" s="552"/>
      <c r="AE105" s="552"/>
      <c r="AF105" s="552"/>
      <c r="AG105" s="552"/>
      <c r="AH105" s="552"/>
      <c r="AI105" s="552"/>
      <c r="AJ105" s="552"/>
      <c r="AK105" s="552"/>
      <c r="AL105" s="552"/>
      <c r="AM105" s="552"/>
      <c r="AN105" s="552"/>
      <c r="AO105" s="552"/>
      <c r="AP105" s="552"/>
      <c r="AQ105" s="552" t="s">
        <v>1186</v>
      </c>
      <c r="AR105" s="552" t="s">
        <v>2998</v>
      </c>
      <c r="AS105" s="552" t="s">
        <v>6881</v>
      </c>
      <c r="AT105" s="552" t="s">
        <v>726</v>
      </c>
    </row>
    <row r="106" spans="1:46" ht="14.7" customHeight="1">
      <c r="A106" s="706"/>
      <c r="B106" s="557" t="s">
        <v>3698</v>
      </c>
      <c r="C106" s="539" t="s">
        <v>6869</v>
      </c>
      <c r="D106" s="539" t="s">
        <v>2783</v>
      </c>
      <c r="E106" s="539"/>
      <c r="F106" s="539"/>
      <c r="G106" s="539"/>
      <c r="H106" s="552"/>
      <c r="I106" s="552"/>
      <c r="J106" s="552"/>
      <c r="K106" s="552"/>
      <c r="L106" s="552"/>
      <c r="M106" s="552"/>
      <c r="N106" s="552"/>
      <c r="O106" s="552"/>
      <c r="P106" s="552"/>
      <c r="Q106" s="552"/>
      <c r="R106" s="552"/>
      <c r="S106" s="552"/>
      <c r="T106" s="552"/>
      <c r="U106" s="552"/>
      <c r="V106" s="552"/>
      <c r="W106" s="552"/>
      <c r="X106" s="552"/>
      <c r="Y106" s="552"/>
      <c r="Z106" s="552"/>
      <c r="AA106" s="552"/>
      <c r="AB106" s="552"/>
      <c r="AC106" s="552"/>
      <c r="AD106" s="552"/>
      <c r="AE106" s="552"/>
      <c r="AF106" s="552"/>
      <c r="AG106" s="552"/>
      <c r="AH106" s="552"/>
      <c r="AI106" s="552"/>
      <c r="AJ106" s="552"/>
      <c r="AK106" s="552"/>
      <c r="AL106" s="552"/>
      <c r="AM106" s="552"/>
      <c r="AN106" s="552"/>
      <c r="AO106" s="552"/>
      <c r="AP106" s="552"/>
      <c r="AQ106" s="552" t="s">
        <v>1186</v>
      </c>
      <c r="AR106" s="552" t="s">
        <v>2998</v>
      </c>
      <c r="AS106" s="552" t="s">
        <v>6881</v>
      </c>
      <c r="AT106" s="552" t="s">
        <v>726</v>
      </c>
    </row>
    <row r="107" spans="1:46" ht="14.7" customHeight="1">
      <c r="A107" s="706"/>
      <c r="B107" s="557" t="s">
        <v>3698</v>
      </c>
      <c r="C107" s="539" t="s">
        <v>6869</v>
      </c>
      <c r="D107" s="539" t="s">
        <v>2783</v>
      </c>
      <c r="E107" s="539"/>
      <c r="F107" s="539"/>
      <c r="G107" s="539"/>
      <c r="H107" s="552"/>
      <c r="I107" s="552"/>
      <c r="J107" s="552"/>
      <c r="K107" s="552"/>
      <c r="L107" s="552"/>
      <c r="M107" s="552"/>
      <c r="N107" s="552"/>
      <c r="O107" s="552"/>
      <c r="P107" s="552"/>
      <c r="Q107" s="552"/>
      <c r="R107" s="552"/>
      <c r="S107" s="552"/>
      <c r="T107" s="552"/>
      <c r="U107" s="552"/>
      <c r="V107" s="552"/>
      <c r="W107" s="552"/>
      <c r="X107" s="552"/>
      <c r="Y107" s="552"/>
      <c r="Z107" s="552"/>
      <c r="AA107" s="552"/>
      <c r="AB107" s="552"/>
      <c r="AC107" s="552"/>
      <c r="AD107" s="552"/>
      <c r="AE107" s="552"/>
      <c r="AF107" s="552"/>
      <c r="AG107" s="552"/>
      <c r="AH107" s="552"/>
      <c r="AI107" s="552"/>
      <c r="AJ107" s="552"/>
      <c r="AK107" s="552"/>
      <c r="AL107" s="552"/>
      <c r="AM107" s="552"/>
      <c r="AN107" s="552"/>
      <c r="AO107" s="552"/>
      <c r="AP107" s="552"/>
      <c r="AQ107" s="552" t="s">
        <v>1186</v>
      </c>
      <c r="AR107" s="552" t="s">
        <v>2998</v>
      </c>
      <c r="AS107" s="552" t="s">
        <v>6881</v>
      </c>
      <c r="AT107" s="552" t="s">
        <v>726</v>
      </c>
    </row>
    <row r="108" spans="1:46" ht="14.7" customHeight="1">
      <c r="A108" s="706" t="s">
        <v>6114</v>
      </c>
      <c r="B108" s="344" t="s">
        <v>3699</v>
      </c>
      <c r="C108" s="539" t="s">
        <v>6869</v>
      </c>
      <c r="D108" s="709" t="s">
        <v>7061</v>
      </c>
      <c r="E108" s="552" t="s">
        <v>6925</v>
      </c>
      <c r="F108" s="552" t="s">
        <v>6872</v>
      </c>
      <c r="G108" s="552" t="s">
        <v>7018</v>
      </c>
      <c r="H108" s="552"/>
      <c r="I108" s="552"/>
      <c r="J108" s="709" t="s">
        <v>7062</v>
      </c>
      <c r="K108" s="709"/>
      <c r="L108" s="709"/>
      <c r="M108" s="552" t="s">
        <v>7063</v>
      </c>
      <c r="N108" s="552"/>
      <c r="O108" s="552"/>
      <c r="P108" s="552"/>
      <c r="Q108" s="552"/>
      <c r="R108" s="552"/>
      <c r="S108" s="552"/>
      <c r="T108" s="552"/>
      <c r="U108" s="552"/>
      <c r="V108" s="552"/>
      <c r="W108" s="552"/>
      <c r="X108" s="552"/>
      <c r="Y108" s="552"/>
      <c r="Z108" s="552"/>
      <c r="AA108" s="552"/>
      <c r="AB108" s="552"/>
      <c r="AC108" s="552"/>
      <c r="AD108" s="552"/>
      <c r="AE108" s="552"/>
      <c r="AF108" s="552"/>
      <c r="AG108" s="552"/>
      <c r="AH108" s="552"/>
      <c r="AI108" s="552"/>
      <c r="AJ108" s="552"/>
      <c r="AK108" s="552"/>
      <c r="AL108" s="552"/>
      <c r="AM108" s="552"/>
      <c r="AN108" s="552"/>
      <c r="AO108" s="718" t="s">
        <v>7064</v>
      </c>
      <c r="AP108" s="718"/>
      <c r="AQ108" s="552" t="s">
        <v>1186</v>
      </c>
      <c r="AR108" s="552" t="s">
        <v>2809</v>
      </c>
      <c r="AS108" s="552" t="s">
        <v>6881</v>
      </c>
      <c r="AT108" s="552" t="s">
        <v>726</v>
      </c>
    </row>
    <row r="109" spans="1:46" ht="14.7" customHeight="1">
      <c r="A109" s="706" t="s">
        <v>7065</v>
      </c>
      <c r="B109" s="344" t="s">
        <v>3699</v>
      </c>
      <c r="C109" s="539" t="s">
        <v>6869</v>
      </c>
      <c r="D109" s="709" t="s">
        <v>7066</v>
      </c>
      <c r="E109" s="552" t="s">
        <v>6925</v>
      </c>
      <c r="F109" s="552" t="s">
        <v>6872</v>
      </c>
      <c r="G109" s="552" t="s">
        <v>7018</v>
      </c>
      <c r="H109" s="552"/>
      <c r="I109" s="552"/>
      <c r="J109" s="709" t="s">
        <v>7067</v>
      </c>
      <c r="K109" s="709"/>
      <c r="L109" s="709"/>
      <c r="M109" s="552"/>
      <c r="N109" s="552"/>
      <c r="O109" s="552"/>
      <c r="P109" s="552"/>
      <c r="Q109" s="552"/>
      <c r="R109" s="552"/>
      <c r="S109" s="552"/>
      <c r="T109" s="552"/>
      <c r="U109" s="552"/>
      <c r="V109" s="552"/>
      <c r="W109" s="552"/>
      <c r="X109" s="552"/>
      <c r="Y109" s="552"/>
      <c r="Z109" s="552"/>
      <c r="AA109" s="552"/>
      <c r="AB109" s="552"/>
      <c r="AC109" s="552"/>
      <c r="AD109" s="552"/>
      <c r="AE109" s="552"/>
      <c r="AF109" s="552"/>
      <c r="AG109" s="552"/>
      <c r="AH109" s="552"/>
      <c r="AI109" s="552"/>
      <c r="AJ109" s="552"/>
      <c r="AK109" s="552"/>
      <c r="AL109" s="552"/>
      <c r="AM109" s="552"/>
      <c r="AN109" s="552"/>
      <c r="AO109" s="552"/>
      <c r="AP109" s="709" t="s">
        <v>7068</v>
      </c>
      <c r="AQ109" s="552" t="s">
        <v>1186</v>
      </c>
      <c r="AR109" s="552" t="s">
        <v>2809</v>
      </c>
      <c r="AS109" s="552" t="s">
        <v>6881</v>
      </c>
      <c r="AT109" s="552" t="s">
        <v>726</v>
      </c>
    </row>
    <row r="110" spans="1:46" ht="14.7" customHeight="1">
      <c r="A110" s="706"/>
      <c r="B110" s="344" t="s">
        <v>3699</v>
      </c>
      <c r="C110" s="539" t="s">
        <v>6869</v>
      </c>
      <c r="D110" s="539" t="s">
        <v>2783</v>
      </c>
      <c r="E110" s="539"/>
      <c r="F110" s="539"/>
      <c r="G110" s="539"/>
      <c r="H110" s="552"/>
      <c r="I110" s="552"/>
      <c r="J110" s="552"/>
      <c r="K110" s="552"/>
      <c r="L110" s="552"/>
      <c r="M110" s="552"/>
      <c r="N110" s="552"/>
      <c r="O110" s="552"/>
      <c r="P110" s="552"/>
      <c r="Q110" s="552"/>
      <c r="R110" s="552"/>
      <c r="S110" s="552"/>
      <c r="T110" s="552"/>
      <c r="U110" s="552"/>
      <c r="V110" s="552"/>
      <c r="W110" s="552"/>
      <c r="X110" s="552"/>
      <c r="Y110" s="552"/>
      <c r="Z110" s="552"/>
      <c r="AA110" s="552"/>
      <c r="AB110" s="552"/>
      <c r="AC110" s="552"/>
      <c r="AD110" s="552"/>
      <c r="AE110" s="552"/>
      <c r="AF110" s="552"/>
      <c r="AG110" s="552"/>
      <c r="AH110" s="552"/>
      <c r="AI110" s="552"/>
      <c r="AJ110" s="552"/>
      <c r="AK110" s="552"/>
      <c r="AL110" s="552"/>
      <c r="AM110" s="552"/>
      <c r="AN110" s="552"/>
      <c r="AO110" s="552"/>
      <c r="AP110" s="552"/>
      <c r="AQ110" s="552" t="s">
        <v>1186</v>
      </c>
      <c r="AR110" s="552" t="s">
        <v>2809</v>
      </c>
      <c r="AS110" s="552" t="s">
        <v>6881</v>
      </c>
      <c r="AT110" s="552" t="s">
        <v>726</v>
      </c>
    </row>
    <row r="111" spans="1:46" ht="14.7" customHeight="1">
      <c r="A111" s="706"/>
      <c r="B111" s="344" t="s">
        <v>3699</v>
      </c>
      <c r="C111" s="539" t="s">
        <v>6869</v>
      </c>
      <c r="D111" s="539" t="s">
        <v>2783</v>
      </c>
      <c r="E111" s="539"/>
      <c r="F111" s="539"/>
      <c r="G111" s="539"/>
      <c r="H111" s="552"/>
      <c r="I111" s="552"/>
      <c r="J111" s="552"/>
      <c r="K111" s="552"/>
      <c r="L111" s="552"/>
      <c r="M111" s="552"/>
      <c r="N111" s="552"/>
      <c r="O111" s="552"/>
      <c r="P111" s="552"/>
      <c r="Q111" s="552"/>
      <c r="R111" s="552"/>
      <c r="S111" s="552"/>
      <c r="T111" s="552"/>
      <c r="U111" s="552"/>
      <c r="V111" s="552"/>
      <c r="W111" s="552"/>
      <c r="X111" s="552"/>
      <c r="Y111" s="552"/>
      <c r="Z111" s="552"/>
      <c r="AA111" s="552"/>
      <c r="AB111" s="552"/>
      <c r="AC111" s="552"/>
      <c r="AD111" s="552"/>
      <c r="AE111" s="552"/>
      <c r="AF111" s="552"/>
      <c r="AG111" s="552"/>
      <c r="AH111" s="552"/>
      <c r="AI111" s="552"/>
      <c r="AJ111" s="552"/>
      <c r="AK111" s="552"/>
      <c r="AL111" s="552"/>
      <c r="AM111" s="552"/>
      <c r="AN111" s="552"/>
      <c r="AO111" s="552"/>
      <c r="AP111" s="552"/>
      <c r="AQ111" s="552" t="s">
        <v>1186</v>
      </c>
      <c r="AR111" s="552" t="s">
        <v>2809</v>
      </c>
      <c r="AS111" s="552" t="s">
        <v>6881</v>
      </c>
      <c r="AT111" s="552" t="s">
        <v>726</v>
      </c>
    </row>
    <row r="112" spans="1:46" ht="14.7" customHeight="1">
      <c r="A112" s="706"/>
      <c r="B112" s="344" t="s">
        <v>3699</v>
      </c>
      <c r="C112" s="539" t="s">
        <v>6869</v>
      </c>
      <c r="D112" s="539" t="s">
        <v>2783</v>
      </c>
      <c r="E112" s="539"/>
      <c r="F112" s="539"/>
      <c r="G112" s="539"/>
      <c r="H112" s="552"/>
      <c r="I112" s="552"/>
      <c r="J112" s="552"/>
      <c r="K112" s="552"/>
      <c r="L112" s="552"/>
      <c r="M112" s="552"/>
      <c r="N112" s="552"/>
      <c r="O112" s="552"/>
      <c r="P112" s="552"/>
      <c r="Q112" s="552"/>
      <c r="R112" s="552"/>
      <c r="S112" s="552"/>
      <c r="T112" s="552"/>
      <c r="U112" s="552"/>
      <c r="V112" s="552"/>
      <c r="W112" s="552"/>
      <c r="X112" s="552"/>
      <c r="Y112" s="552"/>
      <c r="Z112" s="552"/>
      <c r="AA112" s="552"/>
      <c r="AB112" s="552"/>
      <c r="AC112" s="552"/>
      <c r="AD112" s="552"/>
      <c r="AE112" s="552"/>
      <c r="AF112" s="552"/>
      <c r="AG112" s="552"/>
      <c r="AH112" s="552"/>
      <c r="AI112" s="552"/>
      <c r="AJ112" s="552"/>
      <c r="AK112" s="552"/>
      <c r="AL112" s="552"/>
      <c r="AM112" s="552"/>
      <c r="AN112" s="552"/>
      <c r="AO112" s="552"/>
      <c r="AP112" s="552"/>
      <c r="AQ112" s="552" t="s">
        <v>1186</v>
      </c>
      <c r="AR112" s="552" t="s">
        <v>2809</v>
      </c>
      <c r="AS112" s="552" t="s">
        <v>6881</v>
      </c>
      <c r="AT112" s="552" t="s">
        <v>726</v>
      </c>
    </row>
    <row r="113" spans="1:46" ht="14.7" customHeight="1">
      <c r="A113" s="706" t="s">
        <v>6115</v>
      </c>
      <c r="B113" s="559" t="s">
        <v>3700</v>
      </c>
      <c r="C113" s="539" t="s">
        <v>6869</v>
      </c>
      <c r="D113" s="709" t="s">
        <v>7069</v>
      </c>
      <c r="E113" s="552" t="s">
        <v>6925</v>
      </c>
      <c r="F113" s="552" t="s">
        <v>6872</v>
      </c>
      <c r="G113" s="552" t="s">
        <v>7018</v>
      </c>
      <c r="H113" s="552"/>
      <c r="I113" s="552"/>
      <c r="J113" s="709" t="s">
        <v>7070</v>
      </c>
      <c r="K113" s="709"/>
      <c r="L113" s="709"/>
      <c r="M113" s="552"/>
      <c r="N113" s="552"/>
      <c r="O113" s="552"/>
      <c r="P113" s="552"/>
      <c r="Q113" s="552"/>
      <c r="R113" s="552"/>
      <c r="S113" s="552"/>
      <c r="T113" s="552"/>
      <c r="U113" s="552"/>
      <c r="V113" s="552"/>
      <c r="W113" s="552"/>
      <c r="X113" s="552"/>
      <c r="Y113" s="552"/>
      <c r="Z113" s="552"/>
      <c r="AA113" s="552"/>
      <c r="AB113" s="552"/>
      <c r="AC113" s="552"/>
      <c r="AD113" s="552"/>
      <c r="AE113" s="552"/>
      <c r="AF113" s="552"/>
      <c r="AG113" s="552"/>
      <c r="AH113" s="552"/>
      <c r="AI113" s="552"/>
      <c r="AJ113" s="552"/>
      <c r="AK113" s="552"/>
      <c r="AL113" s="552"/>
      <c r="AM113" s="552"/>
      <c r="AN113" s="552"/>
      <c r="AO113" s="709" t="s">
        <v>7071</v>
      </c>
      <c r="AP113" s="709"/>
      <c r="AQ113" s="552" t="s">
        <v>1186</v>
      </c>
      <c r="AR113" s="552" t="s">
        <v>2971</v>
      </c>
      <c r="AS113" s="552" t="s">
        <v>6881</v>
      </c>
      <c r="AT113" s="552" t="s">
        <v>726</v>
      </c>
    </row>
    <row r="114" spans="1:46" ht="14.7" customHeight="1">
      <c r="A114" s="706"/>
      <c r="B114" s="559" t="s">
        <v>3700</v>
      </c>
      <c r="C114" s="539" t="s">
        <v>6869</v>
      </c>
      <c r="D114" s="539" t="s">
        <v>2783</v>
      </c>
      <c r="E114" s="539"/>
      <c r="F114" s="539"/>
      <c r="G114" s="539"/>
      <c r="H114" s="552"/>
      <c r="I114" s="552"/>
      <c r="J114" s="552"/>
      <c r="K114" s="552"/>
      <c r="L114" s="552"/>
      <c r="M114" s="552"/>
      <c r="N114" s="552"/>
      <c r="O114" s="552"/>
      <c r="P114" s="552"/>
      <c r="Q114" s="552"/>
      <c r="R114" s="552"/>
      <c r="S114" s="552"/>
      <c r="T114" s="552"/>
      <c r="U114" s="552"/>
      <c r="V114" s="552"/>
      <c r="W114" s="552"/>
      <c r="X114" s="552"/>
      <c r="Y114" s="552"/>
      <c r="Z114" s="552"/>
      <c r="AA114" s="552"/>
      <c r="AB114" s="552"/>
      <c r="AC114" s="552"/>
      <c r="AD114" s="552"/>
      <c r="AE114" s="552"/>
      <c r="AF114" s="552"/>
      <c r="AG114" s="552"/>
      <c r="AH114" s="552"/>
      <c r="AI114" s="552"/>
      <c r="AJ114" s="552"/>
      <c r="AK114" s="552"/>
      <c r="AL114" s="552"/>
      <c r="AM114" s="552"/>
      <c r="AN114" s="552"/>
      <c r="AO114" s="552"/>
      <c r="AP114" s="552"/>
      <c r="AQ114" s="552" t="s">
        <v>1186</v>
      </c>
      <c r="AR114" s="552" t="s">
        <v>2971</v>
      </c>
      <c r="AS114" s="552" t="s">
        <v>6881</v>
      </c>
      <c r="AT114" s="552" t="s">
        <v>726</v>
      </c>
    </row>
    <row r="115" spans="1:46" ht="14.7" customHeight="1">
      <c r="A115" s="706"/>
      <c r="B115" s="711" t="s">
        <v>6055</v>
      </c>
      <c r="C115" s="539" t="s">
        <v>6869</v>
      </c>
      <c r="D115" s="539"/>
      <c r="E115" s="552"/>
      <c r="F115" s="552"/>
      <c r="G115" s="552"/>
      <c r="H115" s="552"/>
      <c r="I115" s="552"/>
      <c r="J115" s="552"/>
      <c r="K115" s="552"/>
      <c r="L115" s="552"/>
      <c r="M115" s="552"/>
      <c r="N115" s="552"/>
      <c r="O115" s="552"/>
      <c r="P115" s="552"/>
      <c r="Q115" s="552"/>
      <c r="R115" s="552"/>
      <c r="S115" s="552"/>
      <c r="T115" s="552"/>
      <c r="U115" s="552"/>
      <c r="V115" s="552"/>
      <c r="W115" s="552"/>
      <c r="X115" s="552"/>
      <c r="Y115" s="552"/>
      <c r="Z115" s="552"/>
      <c r="AA115" s="552"/>
      <c r="AB115" s="552"/>
      <c r="AC115" s="552"/>
      <c r="AD115" s="552"/>
      <c r="AE115" s="552"/>
      <c r="AF115" s="552"/>
      <c r="AG115" s="552"/>
      <c r="AH115" s="552"/>
      <c r="AI115" s="552"/>
      <c r="AJ115" s="552"/>
      <c r="AK115" s="552"/>
      <c r="AL115" s="552"/>
      <c r="AM115" s="552"/>
      <c r="AN115" s="552"/>
      <c r="AO115" s="552"/>
      <c r="AP115" s="552"/>
      <c r="AQ115" s="552" t="s">
        <v>1186</v>
      </c>
      <c r="AR115" s="552" t="s">
        <v>6697</v>
      </c>
      <c r="AS115" s="552" t="s">
        <v>6881</v>
      </c>
      <c r="AT115" s="552" t="s">
        <v>726</v>
      </c>
    </row>
    <row r="116" spans="1:46" ht="14.7" customHeight="1">
      <c r="A116" s="706" t="s">
        <v>6116</v>
      </c>
      <c r="B116" s="540" t="s">
        <v>3695</v>
      </c>
      <c r="C116" s="539" t="s">
        <v>6869</v>
      </c>
      <c r="D116" s="709" t="s">
        <v>7072</v>
      </c>
      <c r="E116" s="709" t="s">
        <v>6871</v>
      </c>
      <c r="F116" s="709" t="s">
        <v>6872</v>
      </c>
      <c r="G116" s="709" t="s">
        <v>7073</v>
      </c>
      <c r="H116" s="709"/>
      <c r="I116" s="709" t="s">
        <v>7046</v>
      </c>
      <c r="J116" s="709" t="s">
        <v>6966</v>
      </c>
      <c r="K116" s="709"/>
      <c r="L116" s="709"/>
      <c r="M116" s="552"/>
      <c r="N116" s="552"/>
      <c r="O116" s="552"/>
      <c r="P116" s="552"/>
      <c r="Q116" s="552"/>
      <c r="R116" s="552"/>
      <c r="S116" s="552"/>
      <c r="T116" s="552"/>
      <c r="U116" s="552"/>
      <c r="V116" s="552"/>
      <c r="W116" s="552"/>
      <c r="X116" s="552"/>
      <c r="Y116" s="552"/>
      <c r="Z116" s="552"/>
      <c r="AA116" s="552"/>
      <c r="AB116" s="552"/>
      <c r="AC116" s="552"/>
      <c r="AD116" s="552"/>
      <c r="AE116" s="552"/>
      <c r="AF116" s="552"/>
      <c r="AG116" s="552"/>
      <c r="AH116" s="552"/>
      <c r="AI116" s="552"/>
      <c r="AJ116" s="552"/>
      <c r="AK116" s="552"/>
      <c r="AL116" s="552"/>
      <c r="AM116" s="552"/>
      <c r="AN116" s="552"/>
      <c r="AO116" s="552"/>
      <c r="AP116" s="552"/>
      <c r="AQ116" s="552" t="s">
        <v>1186</v>
      </c>
      <c r="AR116" s="552" t="s">
        <v>2802</v>
      </c>
      <c r="AS116" s="552" t="s">
        <v>6881</v>
      </c>
      <c r="AT116" s="552" t="s">
        <v>726</v>
      </c>
    </row>
    <row r="117" spans="1:46" ht="14.7" customHeight="1">
      <c r="A117" s="706"/>
      <c r="B117" s="540" t="s">
        <v>3695</v>
      </c>
      <c r="C117" s="539" t="s">
        <v>6869</v>
      </c>
      <c r="D117" s="539" t="s">
        <v>2783</v>
      </c>
      <c r="E117" s="539"/>
      <c r="F117" s="539"/>
      <c r="G117" s="539"/>
      <c r="H117" s="552"/>
      <c r="I117" s="552"/>
      <c r="J117" s="552"/>
      <c r="K117" s="552"/>
      <c r="L117" s="552"/>
      <c r="M117" s="552"/>
      <c r="N117" s="552"/>
      <c r="O117" s="552"/>
      <c r="P117" s="552"/>
      <c r="Q117" s="552"/>
      <c r="R117" s="552"/>
      <c r="S117" s="552"/>
      <c r="T117" s="552"/>
      <c r="U117" s="552"/>
      <c r="V117" s="552"/>
      <c r="W117" s="552"/>
      <c r="X117" s="552"/>
      <c r="Y117" s="552"/>
      <c r="Z117" s="552"/>
      <c r="AA117" s="552"/>
      <c r="AB117" s="552"/>
      <c r="AC117" s="552"/>
      <c r="AD117" s="552"/>
      <c r="AE117" s="552"/>
      <c r="AF117" s="552"/>
      <c r="AG117" s="552"/>
      <c r="AH117" s="552"/>
      <c r="AI117" s="552"/>
      <c r="AJ117" s="552"/>
      <c r="AK117" s="552"/>
      <c r="AL117" s="552"/>
      <c r="AM117" s="552"/>
      <c r="AN117" s="552"/>
      <c r="AO117" s="552"/>
      <c r="AP117" s="552"/>
      <c r="AQ117" s="552" t="s">
        <v>1186</v>
      </c>
      <c r="AR117" s="552" t="s">
        <v>2802</v>
      </c>
      <c r="AS117" s="552" t="s">
        <v>6881</v>
      </c>
      <c r="AT117" s="552" t="s">
        <v>726</v>
      </c>
    </row>
    <row r="118" spans="1:46" ht="14.7" customHeight="1">
      <c r="A118" s="706" t="s">
        <v>6117</v>
      </c>
      <c r="B118" s="707" t="s">
        <v>3696</v>
      </c>
      <c r="C118" s="539" t="s">
        <v>6869</v>
      </c>
      <c r="D118" s="709" t="s">
        <v>7074</v>
      </c>
      <c r="E118" s="709" t="s">
        <v>6871</v>
      </c>
      <c r="F118" s="709" t="s">
        <v>6872</v>
      </c>
      <c r="G118" s="709" t="s">
        <v>7073</v>
      </c>
      <c r="H118" s="709"/>
      <c r="I118" s="709"/>
      <c r="J118" s="709" t="s">
        <v>6896</v>
      </c>
      <c r="K118" s="709" t="s">
        <v>7075</v>
      </c>
      <c r="L118" s="709"/>
      <c r="M118" s="709"/>
      <c r="N118" s="709"/>
      <c r="O118" s="709"/>
      <c r="P118" s="552"/>
      <c r="Q118" s="552"/>
      <c r="R118" s="552"/>
      <c r="S118" s="552"/>
      <c r="T118" s="552"/>
      <c r="U118" s="552"/>
      <c r="V118" s="552"/>
      <c r="W118" s="552"/>
      <c r="X118" s="552"/>
      <c r="Y118" s="552"/>
      <c r="Z118" s="552"/>
      <c r="AA118" s="552"/>
      <c r="AB118" s="552"/>
      <c r="AC118" s="552"/>
      <c r="AD118" s="552"/>
      <c r="AE118" s="552"/>
      <c r="AF118" s="552"/>
      <c r="AG118" s="552"/>
      <c r="AH118" s="552"/>
      <c r="AI118" s="552"/>
      <c r="AJ118" s="552"/>
      <c r="AK118" s="552"/>
      <c r="AL118" s="552"/>
      <c r="AM118" s="552"/>
      <c r="AN118" s="552"/>
      <c r="AO118" s="552"/>
      <c r="AP118" s="552"/>
      <c r="AQ118" s="552" t="s">
        <v>1186</v>
      </c>
      <c r="AR118" s="552" t="s">
        <v>2805</v>
      </c>
      <c r="AS118" s="552" t="s">
        <v>6881</v>
      </c>
      <c r="AT118" s="552" t="s">
        <v>726</v>
      </c>
    </row>
    <row r="119" spans="1:46" ht="14.7" customHeight="1">
      <c r="A119" s="706"/>
      <c r="B119" s="707" t="s">
        <v>3696</v>
      </c>
      <c r="C119" s="539" t="s">
        <v>6869</v>
      </c>
      <c r="D119" s="539" t="s">
        <v>2783</v>
      </c>
      <c r="E119" s="539"/>
      <c r="F119" s="539"/>
      <c r="G119" s="539"/>
      <c r="H119" s="552"/>
      <c r="I119" s="552"/>
      <c r="J119" s="552"/>
      <c r="K119" s="552"/>
      <c r="L119" s="552"/>
      <c r="M119" s="552"/>
      <c r="N119" s="552"/>
      <c r="O119" s="552"/>
      <c r="P119" s="552"/>
      <c r="Q119" s="552"/>
      <c r="R119" s="552"/>
      <c r="S119" s="552"/>
      <c r="T119" s="552"/>
      <c r="U119" s="552"/>
      <c r="V119" s="552"/>
      <c r="W119" s="552"/>
      <c r="X119" s="552"/>
      <c r="Y119" s="552"/>
      <c r="Z119" s="552"/>
      <c r="AA119" s="552"/>
      <c r="AB119" s="552"/>
      <c r="AC119" s="552"/>
      <c r="AD119" s="552"/>
      <c r="AE119" s="552"/>
      <c r="AF119" s="552"/>
      <c r="AG119" s="552"/>
      <c r="AH119" s="552"/>
      <c r="AI119" s="552"/>
      <c r="AJ119" s="552"/>
      <c r="AK119" s="552"/>
      <c r="AL119" s="552"/>
      <c r="AM119" s="552"/>
      <c r="AN119" s="552"/>
      <c r="AO119" s="552"/>
      <c r="AP119" s="552"/>
      <c r="AQ119" s="552" t="s">
        <v>1186</v>
      </c>
      <c r="AR119" s="552" t="s">
        <v>2805</v>
      </c>
      <c r="AS119" s="552" t="s">
        <v>6881</v>
      </c>
      <c r="AT119" s="552" t="s">
        <v>726</v>
      </c>
    </row>
    <row r="120" spans="1:46" ht="14.7" customHeight="1">
      <c r="A120" s="706"/>
      <c r="B120" s="556" t="s">
        <v>3697</v>
      </c>
      <c r="C120" s="539" t="s">
        <v>6869</v>
      </c>
      <c r="D120" s="539" t="s">
        <v>2783</v>
      </c>
      <c r="E120" s="539"/>
      <c r="F120" s="539"/>
      <c r="G120" s="539"/>
      <c r="H120" s="552"/>
      <c r="I120" s="552"/>
      <c r="J120" s="552"/>
      <c r="K120" s="552"/>
      <c r="L120" s="552"/>
      <c r="M120" s="552"/>
      <c r="N120" s="552"/>
      <c r="O120" s="552"/>
      <c r="P120" s="552"/>
      <c r="Q120" s="552"/>
      <c r="R120" s="552"/>
      <c r="S120" s="552"/>
      <c r="T120" s="552"/>
      <c r="U120" s="552"/>
      <c r="V120" s="552"/>
      <c r="W120" s="552"/>
      <c r="X120" s="552"/>
      <c r="Y120" s="552"/>
      <c r="Z120" s="552"/>
      <c r="AA120" s="552"/>
      <c r="AB120" s="552"/>
      <c r="AC120" s="552"/>
      <c r="AD120" s="552"/>
      <c r="AE120" s="552"/>
      <c r="AF120" s="552"/>
      <c r="AG120" s="552"/>
      <c r="AH120" s="552"/>
      <c r="AI120" s="552"/>
      <c r="AJ120" s="552"/>
      <c r="AK120" s="552"/>
      <c r="AL120" s="552"/>
      <c r="AM120" s="552"/>
      <c r="AN120" s="552"/>
      <c r="AO120" s="552"/>
      <c r="AP120" s="552"/>
      <c r="AQ120" s="552" t="s">
        <v>1186</v>
      </c>
      <c r="AR120" s="552" t="s">
        <v>2875</v>
      </c>
      <c r="AS120" s="552" t="s">
        <v>6881</v>
      </c>
      <c r="AT120" s="552" t="s">
        <v>726</v>
      </c>
    </row>
    <row r="121" spans="1:46" ht="14.7" customHeight="1">
      <c r="A121" s="706" t="s">
        <v>6118</v>
      </c>
      <c r="B121" s="556" t="s">
        <v>3697</v>
      </c>
      <c r="C121" s="539" t="s">
        <v>6869</v>
      </c>
      <c r="D121" s="709" t="s">
        <v>7076</v>
      </c>
      <c r="E121" s="709" t="s">
        <v>6871</v>
      </c>
      <c r="F121" s="709" t="s">
        <v>6872</v>
      </c>
      <c r="G121" s="709" t="s">
        <v>7073</v>
      </c>
      <c r="H121" s="709"/>
      <c r="I121" s="709"/>
      <c r="J121" s="709" t="s">
        <v>7077</v>
      </c>
      <c r="K121" s="709"/>
      <c r="L121" s="709"/>
      <c r="M121" s="552"/>
      <c r="N121" s="552"/>
      <c r="O121" s="552"/>
      <c r="P121" s="552"/>
      <c r="Q121" s="552"/>
      <c r="R121" s="552"/>
      <c r="S121" s="552"/>
      <c r="T121" s="552"/>
      <c r="U121" s="552"/>
      <c r="V121" s="552">
        <v>0.5</v>
      </c>
      <c r="W121" s="552"/>
      <c r="X121" s="552"/>
      <c r="Y121" s="552"/>
      <c r="Z121" s="552"/>
      <c r="AA121" s="552"/>
      <c r="AB121" s="552"/>
      <c r="AC121" s="552"/>
      <c r="AD121" s="552"/>
      <c r="AE121" s="552"/>
      <c r="AF121" s="552"/>
      <c r="AG121" s="552"/>
      <c r="AH121" s="552"/>
      <c r="AI121" s="552"/>
      <c r="AJ121" s="552"/>
      <c r="AK121" s="552"/>
      <c r="AL121" s="552"/>
      <c r="AM121" s="552"/>
      <c r="AN121" s="552"/>
      <c r="AO121" s="552"/>
      <c r="AP121" s="552"/>
      <c r="AQ121" s="552" t="s">
        <v>1186</v>
      </c>
      <c r="AR121" s="552" t="s">
        <v>2875</v>
      </c>
      <c r="AS121" s="552" t="s">
        <v>6881</v>
      </c>
      <c r="AT121" s="552" t="s">
        <v>726</v>
      </c>
    </row>
    <row r="122" spans="1:46" ht="14.7" customHeight="1">
      <c r="A122" s="706"/>
      <c r="B122" s="556" t="s">
        <v>3697</v>
      </c>
      <c r="C122" s="539" t="s">
        <v>6869</v>
      </c>
      <c r="D122" s="539" t="s">
        <v>2783</v>
      </c>
      <c r="E122" s="539"/>
      <c r="F122" s="539"/>
      <c r="G122" s="539"/>
      <c r="H122" s="552"/>
      <c r="I122" s="552"/>
      <c r="J122" s="552"/>
      <c r="K122" s="552"/>
      <c r="L122" s="552"/>
      <c r="M122" s="552"/>
      <c r="N122" s="552"/>
      <c r="O122" s="552"/>
      <c r="P122" s="552"/>
      <c r="Q122" s="552"/>
      <c r="R122" s="552"/>
      <c r="S122" s="552"/>
      <c r="T122" s="552"/>
      <c r="U122" s="552"/>
      <c r="V122" s="552"/>
      <c r="W122" s="552"/>
      <c r="X122" s="552"/>
      <c r="Y122" s="552"/>
      <c r="Z122" s="552"/>
      <c r="AA122" s="552"/>
      <c r="AB122" s="552"/>
      <c r="AC122" s="552"/>
      <c r="AD122" s="552"/>
      <c r="AE122" s="552"/>
      <c r="AF122" s="552"/>
      <c r="AG122" s="552"/>
      <c r="AH122" s="552"/>
      <c r="AI122" s="552"/>
      <c r="AJ122" s="552"/>
      <c r="AK122" s="552"/>
      <c r="AL122" s="552"/>
      <c r="AM122" s="552"/>
      <c r="AN122" s="552"/>
      <c r="AO122" s="552"/>
      <c r="AP122" s="552"/>
      <c r="AQ122" s="552" t="s">
        <v>1186</v>
      </c>
      <c r="AR122" s="552" t="s">
        <v>2875</v>
      </c>
      <c r="AS122" s="552" t="s">
        <v>6881</v>
      </c>
      <c r="AT122" s="552" t="s">
        <v>726</v>
      </c>
    </row>
    <row r="123" spans="1:46" ht="14.7" customHeight="1">
      <c r="A123" s="706" t="s">
        <v>6119</v>
      </c>
      <c r="B123" s="557" t="s">
        <v>3698</v>
      </c>
      <c r="C123" s="539" t="s">
        <v>6869</v>
      </c>
      <c r="D123" s="709" t="s">
        <v>7078</v>
      </c>
      <c r="E123" s="709" t="s">
        <v>6871</v>
      </c>
      <c r="F123" s="709" t="s">
        <v>6872</v>
      </c>
      <c r="G123" s="709" t="s">
        <v>7073</v>
      </c>
      <c r="H123" s="709"/>
      <c r="I123" s="709"/>
      <c r="J123" s="709" t="s">
        <v>7079</v>
      </c>
      <c r="K123" s="709" t="s">
        <v>7080</v>
      </c>
      <c r="L123" s="709"/>
      <c r="M123" s="709"/>
      <c r="N123" s="709"/>
      <c r="O123" s="709"/>
      <c r="P123" s="709"/>
      <c r="Q123" s="709"/>
      <c r="R123" s="552"/>
      <c r="S123" s="552"/>
      <c r="T123" s="552"/>
      <c r="U123" s="552"/>
      <c r="V123" s="552"/>
      <c r="W123" s="552"/>
      <c r="X123" s="552"/>
      <c r="Y123" s="552"/>
      <c r="Z123" s="552"/>
      <c r="AA123" s="552"/>
      <c r="AB123" s="552"/>
      <c r="AC123" s="552"/>
      <c r="AD123" s="552"/>
      <c r="AE123" s="552"/>
      <c r="AF123" s="552"/>
      <c r="AG123" s="552"/>
      <c r="AH123" s="552"/>
      <c r="AI123" s="552"/>
      <c r="AJ123" s="552"/>
      <c r="AK123" s="552"/>
      <c r="AL123" s="552"/>
      <c r="AM123" s="552"/>
      <c r="AN123" s="552"/>
      <c r="AO123" s="552"/>
      <c r="AP123" s="552"/>
      <c r="AQ123" s="552" t="s">
        <v>1186</v>
      </c>
      <c r="AR123" s="552" t="s">
        <v>2998</v>
      </c>
      <c r="AS123" s="552" t="s">
        <v>6881</v>
      </c>
      <c r="AT123" s="552" t="s">
        <v>726</v>
      </c>
    </row>
    <row r="124" spans="1:46" ht="14.7" customHeight="1">
      <c r="A124" s="706"/>
      <c r="B124" s="557" t="s">
        <v>3698</v>
      </c>
      <c r="C124" s="539" t="s">
        <v>6869</v>
      </c>
      <c r="D124" s="539" t="s">
        <v>2783</v>
      </c>
      <c r="E124" s="539"/>
      <c r="F124" s="539"/>
      <c r="G124" s="539"/>
      <c r="H124" s="552"/>
      <c r="I124" s="552"/>
      <c r="J124" s="552"/>
      <c r="K124" s="552"/>
      <c r="L124" s="552"/>
      <c r="M124" s="552"/>
      <c r="N124" s="552"/>
      <c r="O124" s="552"/>
      <c r="P124" s="552"/>
      <c r="Q124" s="552"/>
      <c r="R124" s="552"/>
      <c r="S124" s="552"/>
      <c r="T124" s="552"/>
      <c r="U124" s="552"/>
      <c r="V124" s="552"/>
      <c r="W124" s="552"/>
      <c r="X124" s="552"/>
      <c r="Y124" s="552"/>
      <c r="Z124" s="552"/>
      <c r="AA124" s="552"/>
      <c r="AB124" s="552"/>
      <c r="AC124" s="552"/>
      <c r="AD124" s="552"/>
      <c r="AE124" s="552"/>
      <c r="AF124" s="552"/>
      <c r="AG124" s="552"/>
      <c r="AH124" s="552"/>
      <c r="AI124" s="552"/>
      <c r="AJ124" s="552"/>
      <c r="AK124" s="552"/>
      <c r="AL124" s="552"/>
      <c r="AM124" s="552"/>
      <c r="AN124" s="552"/>
      <c r="AO124" s="552"/>
      <c r="AP124" s="552"/>
      <c r="AQ124" s="552" t="s">
        <v>1186</v>
      </c>
      <c r="AR124" s="552" t="s">
        <v>2998</v>
      </c>
      <c r="AS124" s="552" t="s">
        <v>6881</v>
      </c>
      <c r="AT124" s="552" t="s">
        <v>726</v>
      </c>
    </row>
    <row r="125" spans="1:46" ht="14.7" customHeight="1">
      <c r="A125" s="706"/>
      <c r="B125" s="557" t="s">
        <v>3698</v>
      </c>
      <c r="C125" s="539" t="s">
        <v>6869</v>
      </c>
      <c r="D125" s="539" t="s">
        <v>2783</v>
      </c>
      <c r="E125" s="539"/>
      <c r="F125" s="539"/>
      <c r="G125" s="539"/>
      <c r="H125" s="552"/>
      <c r="I125" s="552"/>
      <c r="J125" s="552"/>
      <c r="K125" s="552"/>
      <c r="L125" s="552"/>
      <c r="M125" s="552"/>
      <c r="N125" s="552"/>
      <c r="O125" s="552"/>
      <c r="P125" s="552"/>
      <c r="Q125" s="552"/>
      <c r="R125" s="552"/>
      <c r="S125" s="552"/>
      <c r="T125" s="552"/>
      <c r="U125" s="552"/>
      <c r="V125" s="552"/>
      <c r="W125" s="552"/>
      <c r="X125" s="552"/>
      <c r="Y125" s="552"/>
      <c r="Z125" s="552"/>
      <c r="AA125" s="552"/>
      <c r="AB125" s="552"/>
      <c r="AC125" s="552"/>
      <c r="AD125" s="552"/>
      <c r="AE125" s="552"/>
      <c r="AF125" s="552"/>
      <c r="AG125" s="552"/>
      <c r="AH125" s="552"/>
      <c r="AI125" s="552"/>
      <c r="AJ125" s="552"/>
      <c r="AK125" s="552"/>
      <c r="AL125" s="552"/>
      <c r="AM125" s="552"/>
      <c r="AN125" s="552"/>
      <c r="AO125" s="552"/>
      <c r="AP125" s="552"/>
      <c r="AQ125" s="552" t="s">
        <v>1186</v>
      </c>
      <c r="AR125" s="552" t="s">
        <v>2998</v>
      </c>
      <c r="AS125" s="552" t="s">
        <v>6881</v>
      </c>
      <c r="AT125" s="552" t="s">
        <v>726</v>
      </c>
    </row>
    <row r="126" spans="1:46" ht="14.7" customHeight="1">
      <c r="A126" s="706"/>
      <c r="B126" s="557" t="s">
        <v>3698</v>
      </c>
      <c r="C126" s="539" t="s">
        <v>6869</v>
      </c>
      <c r="D126" s="539" t="s">
        <v>2783</v>
      </c>
      <c r="E126" s="539"/>
      <c r="F126" s="539"/>
      <c r="G126" s="539"/>
      <c r="H126" s="552"/>
      <c r="I126" s="552"/>
      <c r="J126" s="552"/>
      <c r="K126" s="552"/>
      <c r="L126" s="552"/>
      <c r="M126" s="552"/>
      <c r="N126" s="552"/>
      <c r="O126" s="552"/>
      <c r="P126" s="552"/>
      <c r="Q126" s="552"/>
      <c r="R126" s="552"/>
      <c r="S126" s="552"/>
      <c r="T126" s="552"/>
      <c r="U126" s="552"/>
      <c r="V126" s="552"/>
      <c r="W126" s="552"/>
      <c r="X126" s="552"/>
      <c r="Y126" s="552"/>
      <c r="Z126" s="552"/>
      <c r="AA126" s="552"/>
      <c r="AB126" s="552"/>
      <c r="AC126" s="552"/>
      <c r="AD126" s="552"/>
      <c r="AE126" s="552"/>
      <c r="AF126" s="552"/>
      <c r="AG126" s="552"/>
      <c r="AH126" s="552"/>
      <c r="AI126" s="552"/>
      <c r="AJ126" s="552"/>
      <c r="AK126" s="552"/>
      <c r="AL126" s="552"/>
      <c r="AM126" s="552"/>
      <c r="AN126" s="552"/>
      <c r="AO126" s="552"/>
      <c r="AP126" s="552"/>
      <c r="AQ126" s="552" t="s">
        <v>1186</v>
      </c>
      <c r="AR126" s="552" t="s">
        <v>2998</v>
      </c>
      <c r="AS126" s="552" t="s">
        <v>6881</v>
      </c>
      <c r="AT126" s="552" t="s">
        <v>726</v>
      </c>
    </row>
    <row r="127" spans="1:46" ht="14.7" customHeight="1">
      <c r="A127" s="706" t="s">
        <v>6120</v>
      </c>
      <c r="B127" s="344" t="s">
        <v>3699</v>
      </c>
      <c r="C127" s="539" t="s">
        <v>6869</v>
      </c>
      <c r="D127" s="709" t="s">
        <v>7081</v>
      </c>
      <c r="E127" s="709" t="s">
        <v>6871</v>
      </c>
      <c r="F127" s="709" t="s">
        <v>6872</v>
      </c>
      <c r="G127" s="709" t="s">
        <v>7073</v>
      </c>
      <c r="H127" s="709"/>
      <c r="I127" s="709"/>
      <c r="J127" s="709" t="s">
        <v>7082</v>
      </c>
      <c r="K127" s="709"/>
      <c r="L127" s="709"/>
      <c r="M127" s="552"/>
      <c r="N127" s="552"/>
      <c r="O127" s="552"/>
      <c r="P127" s="552"/>
      <c r="Q127" s="552"/>
      <c r="R127" s="552"/>
      <c r="S127" s="552"/>
      <c r="T127" s="552"/>
      <c r="U127" s="552"/>
      <c r="V127" s="552"/>
      <c r="W127" s="552"/>
      <c r="X127" s="552"/>
      <c r="Y127" s="552"/>
      <c r="Z127" s="552"/>
      <c r="AA127" s="552"/>
      <c r="AB127" s="552"/>
      <c r="AC127" s="552"/>
      <c r="AD127" s="552"/>
      <c r="AE127" s="552"/>
      <c r="AF127" s="552"/>
      <c r="AG127" s="552"/>
      <c r="AH127" s="552"/>
      <c r="AI127" s="552"/>
      <c r="AJ127" s="552"/>
      <c r="AK127" s="552"/>
      <c r="AL127" s="552"/>
      <c r="AM127" s="552"/>
      <c r="AN127" s="552"/>
      <c r="AO127" s="552"/>
      <c r="AP127" s="709" t="s">
        <v>7083</v>
      </c>
      <c r="AQ127" s="552" t="s">
        <v>1186</v>
      </c>
      <c r="AR127" s="552" t="s">
        <v>2809</v>
      </c>
      <c r="AS127" s="552" t="s">
        <v>6881</v>
      </c>
      <c r="AT127" s="552" t="s">
        <v>726</v>
      </c>
    </row>
    <row r="128" spans="1:46" ht="14.7" customHeight="1">
      <c r="A128" s="706"/>
      <c r="B128" s="344" t="s">
        <v>3699</v>
      </c>
      <c r="C128" s="539" t="s">
        <v>6869</v>
      </c>
      <c r="D128" s="539" t="s">
        <v>2783</v>
      </c>
      <c r="E128" s="539"/>
      <c r="F128" s="539"/>
      <c r="G128" s="539"/>
      <c r="H128" s="552"/>
      <c r="I128" s="552"/>
      <c r="J128" s="552"/>
      <c r="K128" s="552"/>
      <c r="L128" s="552"/>
      <c r="M128" s="552"/>
      <c r="N128" s="552"/>
      <c r="O128" s="552"/>
      <c r="P128" s="552"/>
      <c r="Q128" s="552"/>
      <c r="R128" s="552"/>
      <c r="S128" s="552"/>
      <c r="T128" s="552"/>
      <c r="U128" s="552"/>
      <c r="V128" s="552"/>
      <c r="W128" s="552"/>
      <c r="X128" s="552"/>
      <c r="Y128" s="552"/>
      <c r="Z128" s="552"/>
      <c r="AA128" s="552"/>
      <c r="AB128" s="552"/>
      <c r="AC128" s="552"/>
      <c r="AD128" s="552"/>
      <c r="AE128" s="552"/>
      <c r="AF128" s="552"/>
      <c r="AG128" s="552"/>
      <c r="AH128" s="552"/>
      <c r="AI128" s="552"/>
      <c r="AJ128" s="552"/>
      <c r="AK128" s="552"/>
      <c r="AL128" s="552"/>
      <c r="AM128" s="552"/>
      <c r="AN128" s="552"/>
      <c r="AO128" s="552"/>
      <c r="AP128" s="552"/>
      <c r="AQ128" s="552" t="s">
        <v>1186</v>
      </c>
      <c r="AR128" s="552" t="s">
        <v>2809</v>
      </c>
      <c r="AS128" s="552" t="s">
        <v>6881</v>
      </c>
      <c r="AT128" s="552" t="s">
        <v>726</v>
      </c>
    </row>
    <row r="129" spans="1:46" ht="14.7" customHeight="1">
      <c r="A129" s="706"/>
      <c r="B129" s="344" t="s">
        <v>3699</v>
      </c>
      <c r="C129" s="539" t="s">
        <v>6869</v>
      </c>
      <c r="D129" s="539" t="s">
        <v>2783</v>
      </c>
      <c r="E129" s="539"/>
      <c r="F129" s="539"/>
      <c r="G129" s="539"/>
      <c r="H129" s="552"/>
      <c r="I129" s="552"/>
      <c r="J129" s="552"/>
      <c r="K129" s="552"/>
      <c r="L129" s="552"/>
      <c r="M129" s="552"/>
      <c r="N129" s="552"/>
      <c r="O129" s="552"/>
      <c r="P129" s="552"/>
      <c r="Q129" s="552"/>
      <c r="R129" s="552"/>
      <c r="S129" s="552"/>
      <c r="T129" s="552"/>
      <c r="U129" s="552"/>
      <c r="V129" s="552"/>
      <c r="W129" s="552"/>
      <c r="X129" s="552"/>
      <c r="Y129" s="552"/>
      <c r="Z129" s="552"/>
      <c r="AA129" s="552"/>
      <c r="AB129" s="552"/>
      <c r="AC129" s="552"/>
      <c r="AD129" s="552"/>
      <c r="AE129" s="552"/>
      <c r="AF129" s="552"/>
      <c r="AG129" s="552"/>
      <c r="AH129" s="552"/>
      <c r="AI129" s="552"/>
      <c r="AJ129" s="552"/>
      <c r="AK129" s="552"/>
      <c r="AL129" s="552"/>
      <c r="AM129" s="552"/>
      <c r="AN129" s="552"/>
      <c r="AO129" s="552"/>
      <c r="AP129" s="552"/>
      <c r="AQ129" s="552" t="s">
        <v>1186</v>
      </c>
      <c r="AR129" s="552" t="s">
        <v>2809</v>
      </c>
      <c r="AS129" s="552" t="s">
        <v>6881</v>
      </c>
      <c r="AT129" s="552" t="s">
        <v>726</v>
      </c>
    </row>
    <row r="130" spans="1:46" ht="14.7" customHeight="1">
      <c r="A130" s="706"/>
      <c r="B130" s="344" t="s">
        <v>3699</v>
      </c>
      <c r="C130" s="539" t="s">
        <v>6869</v>
      </c>
      <c r="D130" s="539" t="s">
        <v>2783</v>
      </c>
      <c r="E130" s="539"/>
      <c r="F130" s="539"/>
      <c r="G130" s="539"/>
      <c r="H130" s="552"/>
      <c r="I130" s="552"/>
      <c r="J130" s="552"/>
      <c r="K130" s="552"/>
      <c r="L130" s="552"/>
      <c r="M130" s="552"/>
      <c r="N130" s="552"/>
      <c r="O130" s="552"/>
      <c r="P130" s="552"/>
      <c r="Q130" s="552"/>
      <c r="R130" s="552"/>
      <c r="S130" s="552"/>
      <c r="T130" s="552"/>
      <c r="U130" s="552"/>
      <c r="V130" s="552"/>
      <c r="W130" s="552"/>
      <c r="X130" s="552"/>
      <c r="Y130" s="552"/>
      <c r="Z130" s="552"/>
      <c r="AA130" s="552"/>
      <c r="AB130" s="552"/>
      <c r="AC130" s="552"/>
      <c r="AD130" s="552"/>
      <c r="AE130" s="552"/>
      <c r="AF130" s="552"/>
      <c r="AG130" s="552"/>
      <c r="AH130" s="552"/>
      <c r="AI130" s="552"/>
      <c r="AJ130" s="552"/>
      <c r="AK130" s="552"/>
      <c r="AL130" s="552"/>
      <c r="AM130" s="552"/>
      <c r="AN130" s="552"/>
      <c r="AO130" s="552"/>
      <c r="AP130" s="552"/>
      <c r="AQ130" s="552" t="s">
        <v>1186</v>
      </c>
      <c r="AR130" s="552" t="s">
        <v>2809</v>
      </c>
      <c r="AS130" s="552" t="s">
        <v>6881</v>
      </c>
      <c r="AT130" s="552" t="s">
        <v>726</v>
      </c>
    </row>
    <row r="131" spans="1:46" ht="14.7" customHeight="1">
      <c r="A131" s="706"/>
      <c r="B131" s="344" t="s">
        <v>3699</v>
      </c>
      <c r="C131" s="539" t="s">
        <v>6869</v>
      </c>
      <c r="D131" s="539" t="s">
        <v>2783</v>
      </c>
      <c r="E131" s="539"/>
      <c r="F131" s="539"/>
      <c r="G131" s="539"/>
      <c r="H131" s="552"/>
      <c r="I131" s="552"/>
      <c r="J131" s="552"/>
      <c r="K131" s="552"/>
      <c r="L131" s="552"/>
      <c r="M131" s="552"/>
      <c r="N131" s="552"/>
      <c r="O131" s="552"/>
      <c r="P131" s="552"/>
      <c r="Q131" s="552"/>
      <c r="R131" s="552"/>
      <c r="S131" s="552"/>
      <c r="T131" s="552"/>
      <c r="U131" s="552"/>
      <c r="V131" s="552"/>
      <c r="W131" s="552"/>
      <c r="X131" s="552"/>
      <c r="Y131" s="552"/>
      <c r="Z131" s="552"/>
      <c r="AA131" s="552"/>
      <c r="AB131" s="552"/>
      <c r="AC131" s="552"/>
      <c r="AD131" s="552"/>
      <c r="AE131" s="552"/>
      <c r="AF131" s="552"/>
      <c r="AG131" s="552"/>
      <c r="AH131" s="552"/>
      <c r="AI131" s="552"/>
      <c r="AJ131" s="552"/>
      <c r="AK131" s="552"/>
      <c r="AL131" s="552"/>
      <c r="AM131" s="552"/>
      <c r="AN131" s="552"/>
      <c r="AO131" s="552"/>
      <c r="AP131" s="552"/>
      <c r="AQ131" s="552" t="s">
        <v>1186</v>
      </c>
      <c r="AR131" s="552" t="s">
        <v>2809</v>
      </c>
      <c r="AS131" s="552" t="s">
        <v>6881</v>
      </c>
      <c r="AT131" s="552" t="s">
        <v>726</v>
      </c>
    </row>
    <row r="132" spans="1:46" ht="14.7" customHeight="1">
      <c r="A132" s="706"/>
      <c r="B132" s="559" t="s">
        <v>3700</v>
      </c>
      <c r="C132" s="539" t="s">
        <v>6869</v>
      </c>
      <c r="D132" s="539" t="s">
        <v>2783</v>
      </c>
      <c r="E132" s="539"/>
      <c r="F132" s="539"/>
      <c r="G132" s="539"/>
      <c r="H132" s="552"/>
      <c r="I132" s="552"/>
      <c r="J132" s="552"/>
      <c r="K132" s="552"/>
      <c r="L132" s="552"/>
      <c r="M132" s="552"/>
      <c r="N132" s="552"/>
      <c r="O132" s="552"/>
      <c r="P132" s="552"/>
      <c r="Q132" s="552"/>
      <c r="R132" s="552"/>
      <c r="S132" s="552"/>
      <c r="T132" s="552"/>
      <c r="U132" s="552"/>
      <c r="V132" s="552"/>
      <c r="W132" s="552"/>
      <c r="X132" s="552"/>
      <c r="Y132" s="552"/>
      <c r="Z132" s="552"/>
      <c r="AA132" s="552"/>
      <c r="AB132" s="552"/>
      <c r="AC132" s="552"/>
      <c r="AD132" s="552"/>
      <c r="AE132" s="552"/>
      <c r="AF132" s="552"/>
      <c r="AG132" s="552"/>
      <c r="AH132" s="552"/>
      <c r="AI132" s="552"/>
      <c r="AJ132" s="552"/>
      <c r="AK132" s="552"/>
      <c r="AL132" s="552"/>
      <c r="AM132" s="552"/>
      <c r="AN132" s="552"/>
      <c r="AO132" s="552"/>
      <c r="AP132" s="552"/>
      <c r="AQ132" s="552" t="s">
        <v>1186</v>
      </c>
      <c r="AR132" s="552" t="s">
        <v>2971</v>
      </c>
      <c r="AS132" s="552" t="s">
        <v>6881</v>
      </c>
      <c r="AT132" s="552" t="s">
        <v>726</v>
      </c>
    </row>
    <row r="133" spans="1:46" ht="14.7" customHeight="1">
      <c r="A133" s="706"/>
      <c r="B133" s="559" t="s">
        <v>3700</v>
      </c>
      <c r="C133" s="539" t="s">
        <v>6869</v>
      </c>
      <c r="D133" s="539" t="s">
        <v>2783</v>
      </c>
      <c r="E133" s="539"/>
      <c r="F133" s="539"/>
      <c r="G133" s="539"/>
      <c r="H133" s="552"/>
      <c r="I133" s="552"/>
      <c r="J133" s="552"/>
      <c r="K133" s="552"/>
      <c r="L133" s="552"/>
      <c r="M133" s="552"/>
      <c r="N133" s="552"/>
      <c r="O133" s="552"/>
      <c r="P133" s="552"/>
      <c r="Q133" s="552"/>
      <c r="R133" s="552"/>
      <c r="S133" s="552"/>
      <c r="T133" s="552"/>
      <c r="U133" s="552"/>
      <c r="V133" s="552"/>
      <c r="W133" s="552"/>
      <c r="X133" s="552"/>
      <c r="Y133" s="552"/>
      <c r="Z133" s="552"/>
      <c r="AA133" s="552"/>
      <c r="AB133" s="552"/>
      <c r="AC133" s="552"/>
      <c r="AD133" s="552"/>
      <c r="AE133" s="552"/>
      <c r="AF133" s="552"/>
      <c r="AG133" s="552"/>
      <c r="AH133" s="552"/>
      <c r="AI133" s="552"/>
      <c r="AJ133" s="552"/>
      <c r="AK133" s="552"/>
      <c r="AL133" s="552"/>
      <c r="AM133" s="552"/>
      <c r="AN133" s="552"/>
      <c r="AO133" s="552"/>
      <c r="AP133" s="552"/>
      <c r="AQ133" s="552" t="s">
        <v>1186</v>
      </c>
      <c r="AR133" s="552" t="s">
        <v>2971</v>
      </c>
      <c r="AS133" s="552" t="s">
        <v>6881</v>
      </c>
      <c r="AT133" s="552" t="s">
        <v>726</v>
      </c>
    </row>
    <row r="134" spans="1:46" ht="14.7" customHeight="1">
      <c r="A134" s="706"/>
      <c r="B134" s="711" t="s">
        <v>6055</v>
      </c>
      <c r="C134" s="539" t="s">
        <v>6869</v>
      </c>
      <c r="D134" s="539"/>
      <c r="E134" s="552"/>
      <c r="F134" s="552"/>
      <c r="G134" s="552"/>
      <c r="H134" s="552"/>
      <c r="I134" s="552"/>
      <c r="J134" s="552"/>
      <c r="K134" s="552"/>
      <c r="L134" s="552"/>
      <c r="M134" s="552"/>
      <c r="N134" s="552"/>
      <c r="O134" s="552"/>
      <c r="P134" s="552"/>
      <c r="Q134" s="552"/>
      <c r="R134" s="552"/>
      <c r="S134" s="552"/>
      <c r="T134" s="552"/>
      <c r="U134" s="552"/>
      <c r="V134" s="552"/>
      <c r="W134" s="552"/>
      <c r="X134" s="552"/>
      <c r="Y134" s="552"/>
      <c r="Z134" s="552"/>
      <c r="AA134" s="552"/>
      <c r="AB134" s="552"/>
      <c r="AC134" s="552"/>
      <c r="AD134" s="552"/>
      <c r="AE134" s="552"/>
      <c r="AF134" s="552"/>
      <c r="AG134" s="552"/>
      <c r="AH134" s="552"/>
      <c r="AI134" s="552"/>
      <c r="AJ134" s="552"/>
      <c r="AK134" s="552"/>
      <c r="AL134" s="552"/>
      <c r="AM134" s="552"/>
      <c r="AN134" s="552"/>
      <c r="AO134" s="552"/>
      <c r="AP134" s="552"/>
      <c r="AQ134" s="552" t="s">
        <v>1186</v>
      </c>
      <c r="AR134" s="552" t="s">
        <v>6697</v>
      </c>
      <c r="AS134" s="552" t="s">
        <v>6881</v>
      </c>
      <c r="AT134" s="552" t="s">
        <v>726</v>
      </c>
    </row>
    <row r="135" spans="1:46" ht="14.7" customHeight="1">
      <c r="A135" s="706"/>
      <c r="B135" s="540" t="s">
        <v>3695</v>
      </c>
      <c r="C135" s="539" t="s">
        <v>6869</v>
      </c>
      <c r="D135" s="539" t="s">
        <v>2783</v>
      </c>
      <c r="E135" s="539"/>
      <c r="F135" s="539"/>
      <c r="G135" s="539"/>
      <c r="H135" s="552"/>
      <c r="I135" s="552"/>
      <c r="J135" s="552"/>
      <c r="K135" s="552"/>
      <c r="L135" s="552"/>
      <c r="M135" s="552"/>
      <c r="N135" s="552"/>
      <c r="O135" s="552"/>
      <c r="P135" s="552"/>
      <c r="Q135" s="552"/>
      <c r="R135" s="552"/>
      <c r="S135" s="552"/>
      <c r="T135" s="552"/>
      <c r="U135" s="552"/>
      <c r="V135" s="552"/>
      <c r="W135" s="552"/>
      <c r="X135" s="552"/>
      <c r="Y135" s="552"/>
      <c r="Z135" s="552"/>
      <c r="AA135" s="552"/>
      <c r="AB135" s="552"/>
      <c r="AC135" s="552"/>
      <c r="AD135" s="552"/>
      <c r="AE135" s="552"/>
      <c r="AF135" s="552"/>
      <c r="AG135" s="552"/>
      <c r="AH135" s="552"/>
      <c r="AI135" s="552"/>
      <c r="AJ135" s="552"/>
      <c r="AK135" s="552"/>
      <c r="AL135" s="552"/>
      <c r="AM135" s="552"/>
      <c r="AN135" s="552"/>
      <c r="AO135" s="552"/>
      <c r="AP135" s="552"/>
      <c r="AQ135" s="552" t="s">
        <v>1186</v>
      </c>
      <c r="AR135" s="552" t="s">
        <v>2802</v>
      </c>
      <c r="AS135" s="552" t="s">
        <v>6881</v>
      </c>
      <c r="AT135" s="552" t="s">
        <v>726</v>
      </c>
    </row>
    <row r="136" spans="1:46" ht="14.7" customHeight="1">
      <c r="A136" s="706" t="s">
        <v>6121</v>
      </c>
      <c r="B136" s="540" t="s">
        <v>3695</v>
      </c>
      <c r="C136" s="539" t="s">
        <v>6869</v>
      </c>
      <c r="D136" s="709" t="s">
        <v>7084</v>
      </c>
      <c r="E136" s="709" t="s">
        <v>6925</v>
      </c>
      <c r="F136" s="709" t="s">
        <v>6872</v>
      </c>
      <c r="G136" s="709" t="s">
        <v>7073</v>
      </c>
      <c r="H136" s="709"/>
      <c r="I136" s="709"/>
      <c r="J136" s="709" t="s">
        <v>7085</v>
      </c>
      <c r="K136" s="709"/>
      <c r="L136" s="709"/>
      <c r="M136" s="552"/>
      <c r="N136" s="552"/>
      <c r="O136" s="552"/>
      <c r="P136" s="552"/>
      <c r="Q136" s="552"/>
      <c r="R136" s="552"/>
      <c r="S136" s="552"/>
      <c r="T136" s="552"/>
      <c r="U136" s="552"/>
      <c r="V136" s="552"/>
      <c r="W136" s="552"/>
      <c r="X136" s="552"/>
      <c r="Y136" s="552"/>
      <c r="Z136" s="552"/>
      <c r="AA136" s="552"/>
      <c r="AB136" s="552"/>
      <c r="AC136" s="552"/>
      <c r="AD136" s="552"/>
      <c r="AE136" s="552"/>
      <c r="AF136" s="552"/>
      <c r="AG136" s="552"/>
      <c r="AH136" s="552"/>
      <c r="AI136" s="552"/>
      <c r="AJ136" s="552"/>
      <c r="AK136" s="552"/>
      <c r="AL136" s="552"/>
      <c r="AM136" s="552"/>
      <c r="AN136" s="552"/>
      <c r="AO136" s="552"/>
      <c r="AP136" s="552"/>
      <c r="AQ136" s="552" t="s">
        <v>1186</v>
      </c>
      <c r="AR136" s="552" t="s">
        <v>2802</v>
      </c>
      <c r="AS136" s="552" t="s">
        <v>6881</v>
      </c>
      <c r="AT136" s="552" t="s">
        <v>726</v>
      </c>
    </row>
    <row r="137" spans="1:46" ht="14.7" customHeight="1">
      <c r="A137" s="706" t="s">
        <v>6122</v>
      </c>
      <c r="B137" s="707" t="s">
        <v>3696</v>
      </c>
      <c r="C137" s="539" t="s">
        <v>6869</v>
      </c>
      <c r="D137" s="709" t="s">
        <v>7086</v>
      </c>
      <c r="E137" s="709" t="s">
        <v>6925</v>
      </c>
      <c r="F137" s="709" t="s">
        <v>6872</v>
      </c>
      <c r="G137" s="709" t="s">
        <v>7073</v>
      </c>
      <c r="H137" s="709"/>
      <c r="I137" s="709"/>
      <c r="J137" s="709" t="s">
        <v>7050</v>
      </c>
      <c r="K137" s="709" t="s">
        <v>7087</v>
      </c>
      <c r="L137" s="709"/>
      <c r="M137" s="709"/>
      <c r="N137" s="709"/>
      <c r="O137" s="709"/>
      <c r="P137" s="552"/>
      <c r="Q137" s="552"/>
      <c r="R137" s="552"/>
      <c r="S137" s="552"/>
      <c r="T137" s="552"/>
      <c r="U137" s="552"/>
      <c r="V137" s="552"/>
      <c r="W137" s="552"/>
      <c r="X137" s="552"/>
      <c r="Y137" s="552"/>
      <c r="Z137" s="552"/>
      <c r="AA137" s="552"/>
      <c r="AB137" s="552"/>
      <c r="AC137" s="552"/>
      <c r="AD137" s="552"/>
      <c r="AE137" s="552"/>
      <c r="AF137" s="552"/>
      <c r="AG137" s="552"/>
      <c r="AH137" s="552"/>
      <c r="AI137" s="552"/>
      <c r="AJ137" s="552"/>
      <c r="AK137" s="552"/>
      <c r="AL137" s="552"/>
      <c r="AM137" s="552"/>
      <c r="AN137" s="552"/>
      <c r="AO137" s="552"/>
      <c r="AP137" s="552"/>
      <c r="AQ137" s="552" t="s">
        <v>1186</v>
      </c>
      <c r="AR137" s="552" t="s">
        <v>2805</v>
      </c>
      <c r="AS137" s="552" t="s">
        <v>6881</v>
      </c>
      <c r="AT137" s="552" t="s">
        <v>726</v>
      </c>
    </row>
    <row r="138" spans="1:46" ht="14.7" customHeight="1">
      <c r="A138" s="706"/>
      <c r="B138" s="707" t="s">
        <v>3696</v>
      </c>
      <c r="C138" s="539" t="s">
        <v>6869</v>
      </c>
      <c r="D138" s="539" t="s">
        <v>2783</v>
      </c>
      <c r="E138" s="539"/>
      <c r="F138" s="539"/>
      <c r="G138" s="539"/>
      <c r="H138" s="552"/>
      <c r="I138" s="552"/>
      <c r="J138" s="552"/>
      <c r="K138" s="552"/>
      <c r="L138" s="552"/>
      <c r="M138" s="552"/>
      <c r="N138" s="552"/>
      <c r="O138" s="552"/>
      <c r="P138" s="552"/>
      <c r="Q138" s="552"/>
      <c r="R138" s="552"/>
      <c r="S138" s="552"/>
      <c r="T138" s="552"/>
      <c r="U138" s="552"/>
      <c r="V138" s="552"/>
      <c r="W138" s="552"/>
      <c r="X138" s="552"/>
      <c r="Y138" s="552"/>
      <c r="Z138" s="552"/>
      <c r="AA138" s="552"/>
      <c r="AB138" s="552"/>
      <c r="AC138" s="552"/>
      <c r="AD138" s="552"/>
      <c r="AE138" s="552"/>
      <c r="AF138" s="552"/>
      <c r="AG138" s="552"/>
      <c r="AH138" s="552"/>
      <c r="AI138" s="552"/>
      <c r="AJ138" s="552"/>
      <c r="AK138" s="552"/>
      <c r="AL138" s="552"/>
      <c r="AM138" s="552"/>
      <c r="AN138" s="552"/>
      <c r="AO138" s="552"/>
      <c r="AP138" s="552"/>
      <c r="AQ138" s="552" t="s">
        <v>1186</v>
      </c>
      <c r="AR138" s="552" t="s">
        <v>2805</v>
      </c>
      <c r="AS138" s="552" t="s">
        <v>6881</v>
      </c>
      <c r="AT138" s="552" t="s">
        <v>726</v>
      </c>
    </row>
    <row r="139" spans="1:46" ht="14.7" customHeight="1">
      <c r="A139" s="706"/>
      <c r="B139" s="556" t="s">
        <v>3697</v>
      </c>
      <c r="C139" s="539" t="s">
        <v>6869</v>
      </c>
      <c r="D139" s="539" t="s">
        <v>2783</v>
      </c>
      <c r="E139" s="539"/>
      <c r="F139" s="539"/>
      <c r="G139" s="539"/>
      <c r="H139" s="552"/>
      <c r="I139" s="552"/>
      <c r="J139" s="552"/>
      <c r="K139" s="552"/>
      <c r="L139" s="552"/>
      <c r="M139" s="552"/>
      <c r="N139" s="552"/>
      <c r="O139" s="552"/>
      <c r="P139" s="552"/>
      <c r="Q139" s="552"/>
      <c r="R139" s="552"/>
      <c r="S139" s="552"/>
      <c r="T139" s="552"/>
      <c r="U139" s="552"/>
      <c r="V139" s="552"/>
      <c r="W139" s="552"/>
      <c r="X139" s="552"/>
      <c r="Y139" s="552"/>
      <c r="Z139" s="552"/>
      <c r="AA139" s="552"/>
      <c r="AB139" s="552"/>
      <c r="AC139" s="552"/>
      <c r="AD139" s="552"/>
      <c r="AE139" s="552"/>
      <c r="AF139" s="552"/>
      <c r="AG139" s="552"/>
      <c r="AH139" s="552"/>
      <c r="AI139" s="552"/>
      <c r="AJ139" s="552"/>
      <c r="AK139" s="552"/>
      <c r="AL139" s="552"/>
      <c r="AM139" s="552"/>
      <c r="AN139" s="552"/>
      <c r="AO139" s="552"/>
      <c r="AP139" s="552"/>
      <c r="AQ139" s="552" t="s">
        <v>1186</v>
      </c>
      <c r="AR139" s="552" t="s">
        <v>2875</v>
      </c>
      <c r="AS139" s="552" t="s">
        <v>6881</v>
      </c>
      <c r="AT139" s="552" t="s">
        <v>726</v>
      </c>
    </row>
    <row r="140" spans="1:46" ht="14.7" customHeight="1">
      <c r="A140" s="706"/>
      <c r="B140" s="556" t="s">
        <v>3697</v>
      </c>
      <c r="C140" s="539" t="s">
        <v>6869</v>
      </c>
      <c r="D140" s="539" t="s">
        <v>2783</v>
      </c>
      <c r="E140" s="539"/>
      <c r="F140" s="539"/>
      <c r="G140" s="539"/>
      <c r="H140" s="552"/>
      <c r="I140" s="552"/>
      <c r="J140" s="552"/>
      <c r="K140" s="552"/>
      <c r="L140" s="552"/>
      <c r="M140" s="552"/>
      <c r="N140" s="552"/>
      <c r="O140" s="552"/>
      <c r="P140" s="552"/>
      <c r="Q140" s="552"/>
      <c r="R140" s="552"/>
      <c r="S140" s="552"/>
      <c r="T140" s="552"/>
      <c r="U140" s="552"/>
      <c r="V140" s="552"/>
      <c r="W140" s="552"/>
      <c r="X140" s="552"/>
      <c r="Y140" s="552"/>
      <c r="Z140" s="552"/>
      <c r="AA140" s="552"/>
      <c r="AB140" s="552"/>
      <c r="AC140" s="552"/>
      <c r="AD140" s="552"/>
      <c r="AE140" s="552"/>
      <c r="AF140" s="552"/>
      <c r="AG140" s="552"/>
      <c r="AH140" s="552"/>
      <c r="AI140" s="552"/>
      <c r="AJ140" s="552"/>
      <c r="AK140" s="552"/>
      <c r="AL140" s="552"/>
      <c r="AM140" s="552"/>
      <c r="AN140" s="552"/>
      <c r="AO140" s="552"/>
      <c r="AP140" s="552"/>
      <c r="AQ140" s="552" t="s">
        <v>1186</v>
      </c>
      <c r="AR140" s="552" t="s">
        <v>2875</v>
      </c>
      <c r="AS140" s="552" t="s">
        <v>6881</v>
      </c>
      <c r="AT140" s="552" t="s">
        <v>726</v>
      </c>
    </row>
    <row r="141" spans="1:46" ht="14.7" customHeight="1">
      <c r="A141" s="706" t="s">
        <v>6123</v>
      </c>
      <c r="B141" s="556" t="s">
        <v>3697</v>
      </c>
      <c r="C141" s="539" t="s">
        <v>6869</v>
      </c>
      <c r="D141" s="709" t="s">
        <v>7088</v>
      </c>
      <c r="E141" s="709" t="s">
        <v>6925</v>
      </c>
      <c r="F141" s="709" t="s">
        <v>6872</v>
      </c>
      <c r="G141" s="709" t="s">
        <v>7073</v>
      </c>
      <c r="H141" s="709"/>
      <c r="I141" s="709"/>
      <c r="J141" s="709" t="s">
        <v>7089</v>
      </c>
      <c r="K141" s="709"/>
      <c r="L141" s="709"/>
      <c r="M141" s="709" t="s">
        <v>7090</v>
      </c>
      <c r="N141" s="709"/>
      <c r="O141" s="709"/>
      <c r="P141" s="552"/>
      <c r="Q141" s="552"/>
      <c r="R141" s="552"/>
      <c r="S141" s="552"/>
      <c r="T141" s="552"/>
      <c r="U141" s="552"/>
      <c r="V141" s="552"/>
      <c r="W141" s="552"/>
      <c r="X141" s="552"/>
      <c r="Y141" s="552"/>
      <c r="Z141" s="552"/>
      <c r="AA141" s="552"/>
      <c r="AB141" s="552"/>
      <c r="AC141" s="552"/>
      <c r="AD141" s="552"/>
      <c r="AE141" s="552"/>
      <c r="AF141" s="552"/>
      <c r="AG141" s="552"/>
      <c r="AH141" s="552"/>
      <c r="AI141" s="552"/>
      <c r="AJ141" s="552"/>
      <c r="AK141" s="552"/>
      <c r="AL141" s="552"/>
      <c r="AM141" s="552"/>
      <c r="AN141" s="552"/>
      <c r="AO141" s="552"/>
      <c r="AP141" s="552"/>
      <c r="AQ141" s="552" t="s">
        <v>1186</v>
      </c>
      <c r="AR141" s="552" t="s">
        <v>2875</v>
      </c>
      <c r="AS141" s="552" t="s">
        <v>6881</v>
      </c>
      <c r="AT141" s="552" t="s">
        <v>726</v>
      </c>
    </row>
    <row r="142" spans="1:46" ht="14.7" customHeight="1">
      <c r="A142" s="706"/>
      <c r="B142" s="557" t="s">
        <v>3698</v>
      </c>
      <c r="C142" s="539" t="s">
        <v>6869</v>
      </c>
      <c r="D142" s="539" t="s">
        <v>2783</v>
      </c>
      <c r="E142" s="539"/>
      <c r="F142" s="539"/>
      <c r="G142" s="539"/>
      <c r="H142" s="552"/>
      <c r="I142" s="552"/>
      <c r="J142" s="552"/>
      <c r="K142" s="552"/>
      <c r="L142" s="552"/>
      <c r="M142" s="552"/>
      <c r="N142" s="552"/>
      <c r="O142" s="552"/>
      <c r="P142" s="552"/>
      <c r="Q142" s="552"/>
      <c r="R142" s="552"/>
      <c r="S142" s="552"/>
      <c r="T142" s="552"/>
      <c r="U142" s="552"/>
      <c r="V142" s="552"/>
      <c r="W142" s="552"/>
      <c r="X142" s="552"/>
      <c r="Y142" s="552"/>
      <c r="Z142" s="552"/>
      <c r="AA142" s="552"/>
      <c r="AB142" s="552"/>
      <c r="AC142" s="552"/>
      <c r="AD142" s="552"/>
      <c r="AE142" s="552"/>
      <c r="AF142" s="552"/>
      <c r="AG142" s="552"/>
      <c r="AH142" s="552"/>
      <c r="AI142" s="552"/>
      <c r="AJ142" s="552"/>
      <c r="AK142" s="552"/>
      <c r="AL142" s="552"/>
      <c r="AM142" s="552"/>
      <c r="AN142" s="552"/>
      <c r="AO142" s="552"/>
      <c r="AP142" s="552"/>
      <c r="AQ142" s="552" t="s">
        <v>1186</v>
      </c>
      <c r="AR142" s="552" t="s">
        <v>2998</v>
      </c>
      <c r="AS142" s="552" t="s">
        <v>6881</v>
      </c>
      <c r="AT142" s="552" t="s">
        <v>726</v>
      </c>
    </row>
    <row r="143" spans="1:46" ht="14.7" customHeight="1">
      <c r="A143" s="706" t="s">
        <v>6124</v>
      </c>
      <c r="B143" s="557" t="s">
        <v>3698</v>
      </c>
      <c r="C143" s="539" t="s">
        <v>6869</v>
      </c>
      <c r="D143" s="709" t="s">
        <v>7091</v>
      </c>
      <c r="E143" s="709" t="s">
        <v>6925</v>
      </c>
      <c r="F143" s="709" t="s">
        <v>6872</v>
      </c>
      <c r="G143" s="709" t="s">
        <v>7073</v>
      </c>
      <c r="H143" s="709"/>
      <c r="I143" s="709"/>
      <c r="J143" s="709" t="s">
        <v>7092</v>
      </c>
      <c r="K143" s="709" t="s">
        <v>7093</v>
      </c>
      <c r="L143" s="709"/>
      <c r="M143" s="709"/>
      <c r="N143" s="709"/>
      <c r="O143" s="709"/>
      <c r="P143" s="709"/>
      <c r="Q143" s="709"/>
      <c r="R143" s="552"/>
      <c r="S143" s="552"/>
      <c r="T143" s="552"/>
      <c r="U143" s="552"/>
      <c r="V143" s="552"/>
      <c r="W143" s="552"/>
      <c r="X143" s="552"/>
      <c r="Y143" s="552"/>
      <c r="Z143" s="552"/>
      <c r="AA143" s="552"/>
      <c r="AB143" s="552"/>
      <c r="AC143" s="552"/>
      <c r="AD143" s="552"/>
      <c r="AE143" s="552"/>
      <c r="AF143" s="552"/>
      <c r="AG143" s="552"/>
      <c r="AH143" s="552"/>
      <c r="AI143" s="552"/>
      <c r="AJ143" s="552"/>
      <c r="AK143" s="552"/>
      <c r="AL143" s="552"/>
      <c r="AM143" s="552"/>
      <c r="AN143" s="552"/>
      <c r="AO143" s="552"/>
      <c r="AP143" s="552"/>
      <c r="AQ143" s="552" t="s">
        <v>1186</v>
      </c>
      <c r="AR143" s="552" t="s">
        <v>2998</v>
      </c>
      <c r="AS143" s="552" t="s">
        <v>6881</v>
      </c>
      <c r="AT143" s="552" t="s">
        <v>726</v>
      </c>
    </row>
    <row r="144" spans="1:46" ht="14.7" customHeight="1">
      <c r="A144" s="706"/>
      <c r="B144" s="557" t="s">
        <v>3698</v>
      </c>
      <c r="C144" s="539" t="s">
        <v>6869</v>
      </c>
      <c r="D144" s="539" t="s">
        <v>2783</v>
      </c>
      <c r="E144" s="539"/>
      <c r="F144" s="539"/>
      <c r="G144" s="539"/>
      <c r="H144" s="552"/>
      <c r="I144" s="552"/>
      <c r="J144" s="552"/>
      <c r="K144" s="552"/>
      <c r="L144" s="552"/>
      <c r="M144" s="552"/>
      <c r="N144" s="552"/>
      <c r="O144" s="552"/>
      <c r="P144" s="552"/>
      <c r="Q144" s="552"/>
      <c r="R144" s="552"/>
      <c r="S144" s="552"/>
      <c r="T144" s="552"/>
      <c r="U144" s="552"/>
      <c r="V144" s="552"/>
      <c r="W144" s="552"/>
      <c r="X144" s="552"/>
      <c r="Y144" s="552"/>
      <c r="Z144" s="552"/>
      <c r="AA144" s="552"/>
      <c r="AB144" s="552"/>
      <c r="AC144" s="552"/>
      <c r="AD144" s="552"/>
      <c r="AE144" s="552"/>
      <c r="AF144" s="552"/>
      <c r="AG144" s="552"/>
      <c r="AH144" s="552"/>
      <c r="AI144" s="552"/>
      <c r="AJ144" s="552"/>
      <c r="AK144" s="552"/>
      <c r="AL144" s="552"/>
      <c r="AM144" s="552"/>
      <c r="AN144" s="552"/>
      <c r="AO144" s="552"/>
      <c r="AP144" s="552"/>
      <c r="AQ144" s="552" t="s">
        <v>1186</v>
      </c>
      <c r="AR144" s="552" t="s">
        <v>2998</v>
      </c>
      <c r="AS144" s="552" t="s">
        <v>6881</v>
      </c>
      <c r="AT144" s="552" t="s">
        <v>726</v>
      </c>
    </row>
    <row r="145" spans="1:46" ht="14.7" customHeight="1">
      <c r="A145" s="706"/>
      <c r="B145" s="557" t="s">
        <v>3698</v>
      </c>
      <c r="C145" s="539" t="s">
        <v>6869</v>
      </c>
      <c r="D145" s="539" t="s">
        <v>2783</v>
      </c>
      <c r="E145" s="539"/>
      <c r="F145" s="539"/>
      <c r="G145" s="539"/>
      <c r="H145" s="552"/>
      <c r="I145" s="552"/>
      <c r="J145" s="552"/>
      <c r="K145" s="552"/>
      <c r="L145" s="552"/>
      <c r="M145" s="552"/>
      <c r="N145" s="552"/>
      <c r="O145" s="552"/>
      <c r="P145" s="552"/>
      <c r="Q145" s="552"/>
      <c r="R145" s="552"/>
      <c r="S145" s="552"/>
      <c r="T145" s="552"/>
      <c r="U145" s="552"/>
      <c r="V145" s="552"/>
      <c r="W145" s="552"/>
      <c r="X145" s="552"/>
      <c r="Y145" s="552"/>
      <c r="Z145" s="552"/>
      <c r="AA145" s="552"/>
      <c r="AB145" s="552"/>
      <c r="AC145" s="552"/>
      <c r="AD145" s="552"/>
      <c r="AE145" s="552"/>
      <c r="AF145" s="552"/>
      <c r="AG145" s="552"/>
      <c r="AH145" s="552"/>
      <c r="AI145" s="552"/>
      <c r="AJ145" s="552"/>
      <c r="AK145" s="552"/>
      <c r="AL145" s="552"/>
      <c r="AM145" s="552"/>
      <c r="AN145" s="552"/>
      <c r="AO145" s="552"/>
      <c r="AP145" s="552"/>
      <c r="AQ145" s="552" t="s">
        <v>1186</v>
      </c>
      <c r="AR145" s="552" t="s">
        <v>2998</v>
      </c>
      <c r="AS145" s="552" t="s">
        <v>6881</v>
      </c>
      <c r="AT145" s="552" t="s">
        <v>726</v>
      </c>
    </row>
    <row r="146" spans="1:46" ht="14.7" customHeight="1">
      <c r="A146" s="706"/>
      <c r="B146" s="344" t="s">
        <v>3699</v>
      </c>
      <c r="C146" s="539" t="s">
        <v>6869</v>
      </c>
      <c r="D146" s="539" t="s">
        <v>2783</v>
      </c>
      <c r="E146" s="539"/>
      <c r="F146" s="539"/>
      <c r="G146" s="539"/>
      <c r="H146" s="552"/>
      <c r="I146" s="552"/>
      <c r="J146" s="552"/>
      <c r="K146" s="552"/>
      <c r="L146" s="552"/>
      <c r="M146" s="552"/>
      <c r="N146" s="552"/>
      <c r="O146" s="552"/>
      <c r="P146" s="552"/>
      <c r="Q146" s="552"/>
      <c r="R146" s="552"/>
      <c r="S146" s="552"/>
      <c r="T146" s="552"/>
      <c r="U146" s="552"/>
      <c r="V146" s="552"/>
      <c r="W146" s="552"/>
      <c r="X146" s="552"/>
      <c r="Y146" s="552"/>
      <c r="Z146" s="552"/>
      <c r="AA146" s="552"/>
      <c r="AB146" s="552"/>
      <c r="AC146" s="552"/>
      <c r="AD146" s="552"/>
      <c r="AE146" s="552"/>
      <c r="AF146" s="552"/>
      <c r="AG146" s="552"/>
      <c r="AH146" s="552"/>
      <c r="AI146" s="552"/>
      <c r="AJ146" s="552"/>
      <c r="AK146" s="552"/>
      <c r="AL146" s="552"/>
      <c r="AM146" s="552"/>
      <c r="AN146" s="552"/>
      <c r="AO146" s="552"/>
      <c r="AP146" s="552"/>
      <c r="AQ146" s="552" t="s">
        <v>1186</v>
      </c>
      <c r="AR146" s="552" t="s">
        <v>2809</v>
      </c>
      <c r="AS146" s="552" t="s">
        <v>6881</v>
      </c>
      <c r="AT146" s="552" t="s">
        <v>726</v>
      </c>
    </row>
    <row r="147" spans="1:46" ht="14.7" customHeight="1">
      <c r="A147" s="706" t="s">
        <v>6125</v>
      </c>
      <c r="B147" s="344" t="s">
        <v>3699</v>
      </c>
      <c r="C147" s="539" t="s">
        <v>6869</v>
      </c>
      <c r="D147" s="709" t="s">
        <v>7094</v>
      </c>
      <c r="E147" s="709" t="s">
        <v>6925</v>
      </c>
      <c r="F147" s="709" t="s">
        <v>6872</v>
      </c>
      <c r="G147" s="709" t="s">
        <v>7073</v>
      </c>
      <c r="H147" s="709"/>
      <c r="I147" s="709"/>
      <c r="J147" s="709" t="s">
        <v>7095</v>
      </c>
      <c r="K147" s="709"/>
      <c r="L147" s="709"/>
      <c r="M147" s="552"/>
      <c r="N147" s="552"/>
      <c r="O147" s="552"/>
      <c r="P147" s="552"/>
      <c r="Q147" s="552"/>
      <c r="R147" s="552"/>
      <c r="S147" s="552"/>
      <c r="T147" s="552"/>
      <c r="U147" s="552"/>
      <c r="V147" s="552"/>
      <c r="W147" s="552"/>
      <c r="X147" s="552"/>
      <c r="Y147" s="552"/>
      <c r="Z147" s="552"/>
      <c r="AA147" s="552"/>
      <c r="AB147" s="552"/>
      <c r="AC147" s="552"/>
      <c r="AD147" s="552"/>
      <c r="AE147" s="552"/>
      <c r="AF147" s="552"/>
      <c r="AG147" s="552"/>
      <c r="AH147" s="552"/>
      <c r="AI147" s="552"/>
      <c r="AJ147" s="552"/>
      <c r="AK147" s="552"/>
      <c r="AL147" s="552"/>
      <c r="AM147" s="552"/>
      <c r="AN147" s="552"/>
      <c r="AO147" s="552"/>
      <c r="AP147" s="552"/>
      <c r="AQ147" s="552" t="s">
        <v>1186</v>
      </c>
      <c r="AR147" s="552" t="s">
        <v>2809</v>
      </c>
      <c r="AS147" s="552" t="s">
        <v>6881</v>
      </c>
      <c r="AT147" s="552" t="s">
        <v>726</v>
      </c>
    </row>
    <row r="148" spans="1:46" ht="14.7" customHeight="1">
      <c r="A148" s="706" t="s">
        <v>6126</v>
      </c>
      <c r="B148" s="344" t="s">
        <v>3699</v>
      </c>
      <c r="C148" s="539" t="s">
        <v>6869</v>
      </c>
      <c r="D148" s="709" t="s">
        <v>7096</v>
      </c>
      <c r="E148" s="709" t="s">
        <v>6925</v>
      </c>
      <c r="F148" s="709" t="s">
        <v>6872</v>
      </c>
      <c r="G148" s="709" t="s">
        <v>7073</v>
      </c>
      <c r="H148" s="709"/>
      <c r="I148" s="709"/>
      <c r="J148" s="552" t="s">
        <v>7097</v>
      </c>
      <c r="K148" s="709" t="s">
        <v>7098</v>
      </c>
      <c r="L148" s="709"/>
      <c r="M148" s="709"/>
      <c r="N148" s="709"/>
      <c r="O148" s="709"/>
      <c r="P148" s="552"/>
      <c r="Q148" s="552"/>
      <c r="R148" s="552"/>
      <c r="S148" s="552"/>
      <c r="T148" s="552"/>
      <c r="U148" s="552"/>
      <c r="V148" s="552"/>
      <c r="W148" s="552"/>
      <c r="X148" s="552"/>
      <c r="Y148" s="552"/>
      <c r="Z148" s="552"/>
      <c r="AA148" s="552"/>
      <c r="AB148" s="552"/>
      <c r="AC148" s="552"/>
      <c r="AD148" s="552"/>
      <c r="AE148" s="552"/>
      <c r="AF148" s="552"/>
      <c r="AG148" s="552"/>
      <c r="AH148" s="552"/>
      <c r="AI148" s="552"/>
      <c r="AJ148" s="552"/>
      <c r="AK148" s="552"/>
      <c r="AL148" s="552"/>
      <c r="AM148" s="552"/>
      <c r="AN148" s="552"/>
      <c r="AO148" s="552"/>
      <c r="AP148" s="552"/>
      <c r="AQ148" s="552" t="s">
        <v>1186</v>
      </c>
      <c r="AR148" s="552" t="s">
        <v>2809</v>
      </c>
      <c r="AS148" s="552" t="s">
        <v>6881</v>
      </c>
      <c r="AT148" s="552" t="s">
        <v>726</v>
      </c>
    </row>
    <row r="149" spans="1:46" ht="14.7" customHeight="1">
      <c r="A149" s="706"/>
      <c r="B149" s="344" t="s">
        <v>3699</v>
      </c>
      <c r="C149" s="539" t="s">
        <v>6869</v>
      </c>
      <c r="D149" s="539" t="s">
        <v>2783</v>
      </c>
      <c r="E149" s="539"/>
      <c r="F149" s="539"/>
      <c r="G149" s="539"/>
      <c r="H149" s="552"/>
      <c r="I149" s="552"/>
      <c r="J149" s="709"/>
      <c r="K149" s="552"/>
      <c r="L149" s="552"/>
      <c r="M149" s="552"/>
      <c r="N149" s="552"/>
      <c r="O149" s="552"/>
      <c r="P149" s="552"/>
      <c r="Q149" s="552"/>
      <c r="R149" s="552"/>
      <c r="S149" s="552"/>
      <c r="T149" s="552"/>
      <c r="U149" s="552"/>
      <c r="V149" s="552"/>
      <c r="W149" s="552"/>
      <c r="X149" s="552"/>
      <c r="Y149" s="552"/>
      <c r="Z149" s="552"/>
      <c r="AA149" s="552"/>
      <c r="AB149" s="552"/>
      <c r="AC149" s="552"/>
      <c r="AD149" s="552"/>
      <c r="AE149" s="552"/>
      <c r="AF149" s="552"/>
      <c r="AG149" s="552"/>
      <c r="AH149" s="552"/>
      <c r="AI149" s="552"/>
      <c r="AJ149" s="552"/>
      <c r="AK149" s="552"/>
      <c r="AL149" s="552"/>
      <c r="AM149" s="552"/>
      <c r="AN149" s="552"/>
      <c r="AO149" s="552"/>
      <c r="AP149" s="552"/>
      <c r="AQ149" s="552" t="s">
        <v>1186</v>
      </c>
      <c r="AR149" s="552" t="s">
        <v>2809</v>
      </c>
      <c r="AS149" s="552" t="s">
        <v>6881</v>
      </c>
      <c r="AT149" s="552" t="s">
        <v>726</v>
      </c>
    </row>
    <row r="150" spans="1:46" ht="14.7" customHeight="1">
      <c r="A150" s="706"/>
      <c r="B150" s="344" t="s">
        <v>3699</v>
      </c>
      <c r="C150" s="539" t="s">
        <v>6869</v>
      </c>
      <c r="D150" s="539" t="s">
        <v>2783</v>
      </c>
      <c r="E150" s="539"/>
      <c r="F150" s="539"/>
      <c r="G150" s="539"/>
      <c r="H150" s="552"/>
      <c r="I150" s="552"/>
      <c r="J150" s="552"/>
      <c r="K150" s="552"/>
      <c r="L150" s="552"/>
      <c r="M150" s="552"/>
      <c r="N150" s="552"/>
      <c r="O150" s="552"/>
      <c r="P150" s="552"/>
      <c r="Q150" s="552"/>
      <c r="R150" s="552"/>
      <c r="S150" s="552"/>
      <c r="T150" s="552"/>
      <c r="U150" s="552"/>
      <c r="V150" s="552"/>
      <c r="W150" s="552"/>
      <c r="X150" s="552"/>
      <c r="Y150" s="552"/>
      <c r="Z150" s="552"/>
      <c r="AA150" s="552"/>
      <c r="AB150" s="552"/>
      <c r="AC150" s="552"/>
      <c r="AD150" s="552"/>
      <c r="AE150" s="552"/>
      <c r="AF150" s="552"/>
      <c r="AG150" s="552"/>
      <c r="AH150" s="552"/>
      <c r="AI150" s="552"/>
      <c r="AJ150" s="552"/>
      <c r="AK150" s="552"/>
      <c r="AL150" s="552"/>
      <c r="AM150" s="552"/>
      <c r="AN150" s="552"/>
      <c r="AO150" s="552"/>
      <c r="AP150" s="552"/>
      <c r="AQ150" s="552" t="s">
        <v>1186</v>
      </c>
      <c r="AR150" s="552" t="s">
        <v>2809</v>
      </c>
      <c r="AS150" s="552" t="s">
        <v>6881</v>
      </c>
      <c r="AT150" s="552" t="s">
        <v>726</v>
      </c>
    </row>
    <row r="151" spans="1:46" ht="14.7" customHeight="1">
      <c r="A151" s="706"/>
      <c r="B151" s="559" t="s">
        <v>3700</v>
      </c>
      <c r="C151" s="539" t="s">
        <v>6869</v>
      </c>
      <c r="D151" s="539" t="s">
        <v>2783</v>
      </c>
      <c r="E151" s="539"/>
      <c r="F151" s="539"/>
      <c r="G151" s="539"/>
      <c r="H151" s="552"/>
      <c r="I151" s="552"/>
      <c r="J151" s="552"/>
      <c r="K151" s="552"/>
      <c r="L151" s="552"/>
      <c r="M151" s="552"/>
      <c r="N151" s="552"/>
      <c r="O151" s="552"/>
      <c r="P151" s="552"/>
      <c r="Q151" s="552"/>
      <c r="R151" s="552"/>
      <c r="S151" s="552"/>
      <c r="T151" s="552"/>
      <c r="U151" s="552"/>
      <c r="V151" s="552"/>
      <c r="W151" s="552"/>
      <c r="X151" s="552"/>
      <c r="Y151" s="552"/>
      <c r="Z151" s="552"/>
      <c r="AA151" s="552"/>
      <c r="AB151" s="552"/>
      <c r="AC151" s="552"/>
      <c r="AD151" s="552"/>
      <c r="AE151" s="552"/>
      <c r="AF151" s="552"/>
      <c r="AG151" s="552"/>
      <c r="AH151" s="552"/>
      <c r="AI151" s="552"/>
      <c r="AJ151" s="552"/>
      <c r="AK151" s="552"/>
      <c r="AL151" s="552"/>
      <c r="AM151" s="552"/>
      <c r="AN151" s="552"/>
      <c r="AO151" s="552"/>
      <c r="AP151" s="552"/>
      <c r="AQ151" s="552" t="s">
        <v>1186</v>
      </c>
      <c r="AR151" s="552" t="s">
        <v>2971</v>
      </c>
      <c r="AS151" s="552" t="s">
        <v>6881</v>
      </c>
      <c r="AT151" s="552" t="s">
        <v>726</v>
      </c>
    </row>
    <row r="152" spans="1:46" ht="14.7" customHeight="1">
      <c r="A152" s="706" t="s">
        <v>6127</v>
      </c>
      <c r="B152" s="559" t="s">
        <v>3700</v>
      </c>
      <c r="C152" s="539" t="s">
        <v>6869</v>
      </c>
      <c r="D152" s="709" t="s">
        <v>7099</v>
      </c>
      <c r="E152" s="552" t="s">
        <v>6925</v>
      </c>
      <c r="F152" s="552" t="s">
        <v>6872</v>
      </c>
      <c r="G152" s="552" t="s">
        <v>7073</v>
      </c>
      <c r="H152" s="552"/>
      <c r="I152" s="552"/>
      <c r="J152" s="552" t="s">
        <v>7100</v>
      </c>
      <c r="K152" s="552"/>
      <c r="L152" s="552"/>
      <c r="M152" s="552"/>
      <c r="N152" s="552"/>
      <c r="O152" s="552"/>
      <c r="P152" s="552"/>
      <c r="Q152" s="552"/>
      <c r="R152" s="552"/>
      <c r="S152" s="552"/>
      <c r="T152" s="552"/>
      <c r="U152" s="552"/>
      <c r="V152" s="552"/>
      <c r="W152" s="552"/>
      <c r="X152" s="552"/>
      <c r="Y152" s="552"/>
      <c r="Z152" s="552"/>
      <c r="AA152" s="552"/>
      <c r="AB152" s="552"/>
      <c r="AC152" s="552"/>
      <c r="AD152" s="552"/>
      <c r="AE152" s="552"/>
      <c r="AF152" s="552"/>
      <c r="AG152" s="552"/>
      <c r="AH152" s="552"/>
      <c r="AI152" s="552"/>
      <c r="AJ152" s="552"/>
      <c r="AK152" s="552"/>
      <c r="AL152" s="552"/>
      <c r="AM152" s="552"/>
      <c r="AN152" s="552"/>
      <c r="AO152" s="552" t="s">
        <v>7101</v>
      </c>
      <c r="AP152" s="552"/>
      <c r="AQ152" s="552" t="s">
        <v>1186</v>
      </c>
      <c r="AR152" s="552" t="s">
        <v>2971</v>
      </c>
      <c r="AS152" s="552" t="s">
        <v>6881</v>
      </c>
      <c r="AT152" s="552" t="s">
        <v>726</v>
      </c>
    </row>
    <row r="153" spans="1:46" ht="14.7" customHeight="1">
      <c r="A153" s="706"/>
      <c r="B153" s="711" t="s">
        <v>6055</v>
      </c>
      <c r="C153" s="539" t="s">
        <v>6869</v>
      </c>
      <c r="D153" s="709"/>
      <c r="E153" s="552"/>
      <c r="F153" s="552"/>
      <c r="G153" s="552"/>
      <c r="H153" s="552"/>
      <c r="I153" s="552"/>
      <c r="J153" s="552"/>
      <c r="K153" s="552"/>
      <c r="L153" s="552"/>
      <c r="M153" s="552"/>
      <c r="N153" s="552"/>
      <c r="O153" s="552"/>
      <c r="P153" s="552"/>
      <c r="Q153" s="552"/>
      <c r="R153" s="552"/>
      <c r="S153" s="552"/>
      <c r="T153" s="552"/>
      <c r="U153" s="552"/>
      <c r="V153" s="552"/>
      <c r="W153" s="552"/>
      <c r="X153" s="552"/>
      <c r="Y153" s="552"/>
      <c r="Z153" s="552"/>
      <c r="AA153" s="552"/>
      <c r="AB153" s="552"/>
      <c r="AC153" s="552"/>
      <c r="AD153" s="552"/>
      <c r="AE153" s="552"/>
      <c r="AF153" s="552"/>
      <c r="AG153" s="552"/>
      <c r="AH153" s="552"/>
      <c r="AI153" s="552"/>
      <c r="AJ153" s="552"/>
      <c r="AK153" s="552"/>
      <c r="AL153" s="552"/>
      <c r="AM153" s="552"/>
      <c r="AN153" s="552"/>
      <c r="AO153" s="552"/>
      <c r="AP153" s="552"/>
      <c r="AQ153" s="552" t="s">
        <v>1186</v>
      </c>
      <c r="AR153" s="552" t="s">
        <v>6697</v>
      </c>
      <c r="AS153" s="552" t="s">
        <v>6881</v>
      </c>
      <c r="AT153" s="552" t="s">
        <v>726</v>
      </c>
    </row>
    <row r="154" spans="1:46" ht="14.7" customHeight="1">
      <c r="A154" s="706" t="s">
        <v>6128</v>
      </c>
      <c r="B154" s="540" t="s">
        <v>3695</v>
      </c>
      <c r="C154" s="539" t="s">
        <v>6869</v>
      </c>
      <c r="D154" s="541" t="s">
        <v>7102</v>
      </c>
      <c r="E154" s="552" t="s">
        <v>6871</v>
      </c>
      <c r="F154" s="552" t="s">
        <v>6872</v>
      </c>
      <c r="G154" s="552" t="s">
        <v>7103</v>
      </c>
      <c r="H154" s="552"/>
      <c r="I154" s="552"/>
      <c r="J154" s="552" t="s">
        <v>7104</v>
      </c>
      <c r="K154" s="552"/>
      <c r="L154" s="552"/>
      <c r="M154" s="552"/>
      <c r="N154" s="552"/>
      <c r="O154" s="552"/>
      <c r="P154" s="552"/>
      <c r="Q154" s="552"/>
      <c r="R154" s="552"/>
      <c r="S154" s="552"/>
      <c r="T154" s="552"/>
      <c r="U154" s="552"/>
      <c r="V154" s="552"/>
      <c r="W154" s="552"/>
      <c r="X154" s="552"/>
      <c r="Y154" s="552"/>
      <c r="Z154" s="552"/>
      <c r="AA154" s="552"/>
      <c r="AB154" s="552"/>
      <c r="AC154" s="552"/>
      <c r="AD154" s="552"/>
      <c r="AE154" s="552"/>
      <c r="AF154" s="552"/>
      <c r="AG154" s="552"/>
      <c r="AH154" s="552"/>
      <c r="AI154" s="552"/>
      <c r="AJ154" s="552"/>
      <c r="AK154" s="552"/>
      <c r="AL154" s="552"/>
      <c r="AM154" s="552"/>
      <c r="AN154" s="552"/>
      <c r="AO154" s="552"/>
      <c r="AP154" s="552"/>
      <c r="AQ154" s="552" t="s">
        <v>1186</v>
      </c>
      <c r="AR154" s="552" t="s">
        <v>2802</v>
      </c>
      <c r="AS154" s="552" t="s">
        <v>6881</v>
      </c>
      <c r="AT154" s="552" t="s">
        <v>726</v>
      </c>
    </row>
    <row r="155" spans="1:46" ht="14.7" customHeight="1">
      <c r="A155" s="706"/>
      <c r="B155" s="540" t="s">
        <v>3695</v>
      </c>
      <c r="C155" s="539" t="s">
        <v>6869</v>
      </c>
      <c r="D155" s="539" t="s">
        <v>2783</v>
      </c>
      <c r="E155" s="539"/>
      <c r="F155" s="539"/>
      <c r="G155" s="539"/>
      <c r="H155" s="552"/>
      <c r="I155" s="552"/>
      <c r="J155" s="552"/>
      <c r="K155" s="552"/>
      <c r="L155" s="552"/>
      <c r="M155" s="552"/>
      <c r="N155" s="552"/>
      <c r="O155" s="552"/>
      <c r="P155" s="552"/>
      <c r="Q155" s="552"/>
      <c r="R155" s="552"/>
      <c r="S155" s="552"/>
      <c r="T155" s="552"/>
      <c r="U155" s="552"/>
      <c r="V155" s="552"/>
      <c r="W155" s="552"/>
      <c r="X155" s="552"/>
      <c r="Y155" s="552"/>
      <c r="Z155" s="552"/>
      <c r="AA155" s="552"/>
      <c r="AB155" s="552"/>
      <c r="AC155" s="552"/>
      <c r="AD155" s="552"/>
      <c r="AE155" s="552"/>
      <c r="AF155" s="552"/>
      <c r="AG155" s="552"/>
      <c r="AH155" s="552"/>
      <c r="AI155" s="552"/>
      <c r="AJ155" s="552"/>
      <c r="AK155" s="552"/>
      <c r="AL155" s="552"/>
      <c r="AM155" s="552"/>
      <c r="AN155" s="552"/>
      <c r="AO155" s="552"/>
      <c r="AP155" s="552"/>
      <c r="AQ155" s="552" t="s">
        <v>1186</v>
      </c>
      <c r="AR155" s="552" t="s">
        <v>2802</v>
      </c>
      <c r="AS155" s="552" t="s">
        <v>6881</v>
      </c>
      <c r="AT155" s="552" t="s">
        <v>726</v>
      </c>
    </row>
    <row r="156" spans="1:46" ht="14.7" customHeight="1">
      <c r="A156" s="706" t="s">
        <v>6129</v>
      </c>
      <c r="B156" s="707" t="s">
        <v>3696</v>
      </c>
      <c r="C156" s="539" t="s">
        <v>6869</v>
      </c>
      <c r="D156" s="709" t="s">
        <v>7105</v>
      </c>
      <c r="E156" s="552" t="s">
        <v>6871</v>
      </c>
      <c r="F156" s="552" t="s">
        <v>6872</v>
      </c>
      <c r="G156" s="552" t="s">
        <v>7103</v>
      </c>
      <c r="H156" s="552"/>
      <c r="I156" s="552"/>
      <c r="J156" s="552" t="s">
        <v>7106</v>
      </c>
      <c r="K156" s="552"/>
      <c r="L156" s="552"/>
      <c r="M156" s="552"/>
      <c r="N156" s="552"/>
      <c r="O156" s="552"/>
      <c r="P156" s="552"/>
      <c r="Q156" s="552"/>
      <c r="R156" s="552"/>
      <c r="S156" s="552"/>
      <c r="T156" s="552"/>
      <c r="U156" s="552"/>
      <c r="V156" s="552"/>
      <c r="W156" s="552"/>
      <c r="X156" s="552"/>
      <c r="Y156" s="552"/>
      <c r="Z156" s="552"/>
      <c r="AA156" s="552"/>
      <c r="AB156" s="552"/>
      <c r="AC156" s="552"/>
      <c r="AD156" s="552"/>
      <c r="AE156" s="552"/>
      <c r="AF156" s="552"/>
      <c r="AG156" s="552"/>
      <c r="AH156" s="552"/>
      <c r="AI156" s="552"/>
      <c r="AJ156" s="552"/>
      <c r="AK156" s="552"/>
      <c r="AL156" s="552"/>
      <c r="AM156" s="552"/>
      <c r="AN156" s="552"/>
      <c r="AO156" s="552"/>
      <c r="AP156" s="552"/>
      <c r="AQ156" s="552" t="s">
        <v>1186</v>
      </c>
      <c r="AR156" s="552" t="s">
        <v>2805</v>
      </c>
      <c r="AS156" s="552" t="s">
        <v>6881</v>
      </c>
      <c r="AT156" s="552" t="s">
        <v>726</v>
      </c>
    </row>
    <row r="157" spans="1:46" ht="14.7" customHeight="1">
      <c r="A157" s="706"/>
      <c r="B157" s="707" t="s">
        <v>3696</v>
      </c>
      <c r="C157" s="539" t="s">
        <v>6869</v>
      </c>
      <c r="D157" s="539" t="s">
        <v>2783</v>
      </c>
      <c r="E157" s="539"/>
      <c r="F157" s="539"/>
      <c r="G157" s="539"/>
      <c r="H157" s="552"/>
      <c r="I157" s="552"/>
      <c r="J157" s="552"/>
      <c r="K157" s="552"/>
      <c r="L157" s="552"/>
      <c r="M157" s="552"/>
      <c r="N157" s="552"/>
      <c r="O157" s="552"/>
      <c r="P157" s="552"/>
      <c r="Q157" s="552"/>
      <c r="R157" s="552"/>
      <c r="S157" s="552"/>
      <c r="T157" s="552"/>
      <c r="U157" s="552"/>
      <c r="V157" s="552"/>
      <c r="W157" s="552"/>
      <c r="X157" s="552"/>
      <c r="Y157" s="552"/>
      <c r="Z157" s="552"/>
      <c r="AA157" s="552"/>
      <c r="AB157" s="552"/>
      <c r="AC157" s="552"/>
      <c r="AD157" s="552"/>
      <c r="AE157" s="552"/>
      <c r="AF157" s="552"/>
      <c r="AG157" s="552"/>
      <c r="AH157" s="552"/>
      <c r="AI157" s="552"/>
      <c r="AJ157" s="552"/>
      <c r="AK157" s="552"/>
      <c r="AL157" s="552"/>
      <c r="AM157" s="552"/>
      <c r="AN157" s="552"/>
      <c r="AO157" s="552"/>
      <c r="AP157" s="552"/>
      <c r="AQ157" s="552" t="s">
        <v>1186</v>
      </c>
      <c r="AR157" s="552" t="s">
        <v>2805</v>
      </c>
      <c r="AS157" s="552" t="s">
        <v>6881</v>
      </c>
      <c r="AT157" s="552" t="s">
        <v>726</v>
      </c>
    </row>
    <row r="158" spans="1:46" ht="14.7" customHeight="1">
      <c r="A158" s="706"/>
      <c r="B158" s="556" t="s">
        <v>3697</v>
      </c>
      <c r="C158" s="539" t="s">
        <v>6869</v>
      </c>
      <c r="D158" s="539" t="s">
        <v>2783</v>
      </c>
      <c r="E158" s="539"/>
      <c r="F158" s="539"/>
      <c r="G158" s="539"/>
      <c r="H158" s="552"/>
      <c r="I158" s="552"/>
      <c r="J158" s="552"/>
      <c r="K158" s="552"/>
      <c r="L158" s="552"/>
      <c r="M158" s="552"/>
      <c r="N158" s="552"/>
      <c r="O158" s="552"/>
      <c r="P158" s="552"/>
      <c r="Q158" s="552"/>
      <c r="R158" s="552"/>
      <c r="S158" s="552"/>
      <c r="T158" s="552"/>
      <c r="U158" s="552"/>
      <c r="V158" s="552"/>
      <c r="W158" s="552"/>
      <c r="X158" s="552"/>
      <c r="Y158" s="552"/>
      <c r="Z158" s="552"/>
      <c r="AA158" s="552"/>
      <c r="AB158" s="552"/>
      <c r="AC158" s="552"/>
      <c r="AD158" s="552"/>
      <c r="AE158" s="552"/>
      <c r="AF158" s="552"/>
      <c r="AG158" s="552"/>
      <c r="AH158" s="552"/>
      <c r="AI158" s="552"/>
      <c r="AJ158" s="552"/>
      <c r="AK158" s="552"/>
      <c r="AL158" s="552"/>
      <c r="AM158" s="552"/>
      <c r="AN158" s="552"/>
      <c r="AO158" s="552"/>
      <c r="AP158" s="552"/>
      <c r="AQ158" s="552" t="s">
        <v>1186</v>
      </c>
      <c r="AR158" s="552" t="s">
        <v>2875</v>
      </c>
      <c r="AS158" s="552" t="s">
        <v>6881</v>
      </c>
      <c r="AT158" s="552" t="s">
        <v>726</v>
      </c>
    </row>
    <row r="159" spans="1:46" ht="14.7" customHeight="1">
      <c r="A159" s="706" t="s">
        <v>6130</v>
      </c>
      <c r="B159" s="556" t="s">
        <v>3697</v>
      </c>
      <c r="C159" s="539" t="s">
        <v>6869</v>
      </c>
      <c r="D159" s="709" t="s">
        <v>7107</v>
      </c>
      <c r="E159" s="552" t="s">
        <v>6871</v>
      </c>
      <c r="F159" s="552" t="s">
        <v>6872</v>
      </c>
      <c r="G159" s="552" t="s">
        <v>7103</v>
      </c>
      <c r="H159" s="552"/>
      <c r="I159" s="552"/>
      <c r="J159" s="552" t="s">
        <v>6969</v>
      </c>
      <c r="K159" s="552"/>
      <c r="L159" s="552"/>
      <c r="M159" s="552"/>
      <c r="N159" s="552"/>
      <c r="O159" s="552"/>
      <c r="P159" s="552"/>
      <c r="Q159" s="552"/>
      <c r="R159" s="552"/>
      <c r="S159" s="552"/>
      <c r="T159" s="552"/>
      <c r="U159" s="552"/>
      <c r="V159" s="552"/>
      <c r="W159" s="552"/>
      <c r="X159" s="552"/>
      <c r="Y159" s="552"/>
      <c r="Z159" s="552"/>
      <c r="AA159" s="552"/>
      <c r="AB159" s="552"/>
      <c r="AC159" s="552"/>
      <c r="AD159" s="552"/>
      <c r="AE159" s="552"/>
      <c r="AF159" s="552"/>
      <c r="AG159" s="552"/>
      <c r="AH159" s="552"/>
      <c r="AI159" s="552"/>
      <c r="AJ159" s="552"/>
      <c r="AK159" s="552"/>
      <c r="AL159" s="552"/>
      <c r="AM159" s="552"/>
      <c r="AN159" s="552"/>
      <c r="AO159" s="552"/>
      <c r="AP159" s="552"/>
      <c r="AQ159" s="552" t="s">
        <v>1186</v>
      </c>
      <c r="AR159" s="552" t="s">
        <v>2875</v>
      </c>
      <c r="AS159" s="552" t="s">
        <v>6881</v>
      </c>
      <c r="AT159" s="552" t="s">
        <v>726</v>
      </c>
    </row>
    <row r="160" spans="1:46" ht="14.7" customHeight="1">
      <c r="A160" s="706"/>
      <c r="B160" s="556" t="s">
        <v>3697</v>
      </c>
      <c r="C160" s="539" t="s">
        <v>6869</v>
      </c>
      <c r="D160" s="539" t="s">
        <v>2783</v>
      </c>
      <c r="E160" s="539"/>
      <c r="F160" s="539"/>
      <c r="G160" s="539"/>
      <c r="H160" s="552"/>
      <c r="I160" s="552"/>
      <c r="J160" s="552"/>
      <c r="K160" s="552"/>
      <c r="L160" s="552"/>
      <c r="M160" s="552"/>
      <c r="N160" s="552"/>
      <c r="O160" s="552"/>
      <c r="P160" s="552"/>
      <c r="Q160" s="552"/>
      <c r="R160" s="552"/>
      <c r="S160" s="552"/>
      <c r="T160" s="552"/>
      <c r="U160" s="552"/>
      <c r="V160" s="552"/>
      <c r="W160" s="552"/>
      <c r="X160" s="552"/>
      <c r="Y160" s="552"/>
      <c r="Z160" s="552"/>
      <c r="AA160" s="552"/>
      <c r="AB160" s="552"/>
      <c r="AC160" s="552"/>
      <c r="AD160" s="552"/>
      <c r="AE160" s="552"/>
      <c r="AF160" s="552"/>
      <c r="AG160" s="552"/>
      <c r="AH160" s="552"/>
      <c r="AI160" s="552"/>
      <c r="AJ160" s="552"/>
      <c r="AK160" s="552"/>
      <c r="AL160" s="552"/>
      <c r="AM160" s="552"/>
      <c r="AN160" s="552"/>
      <c r="AO160" s="552"/>
      <c r="AP160" s="552"/>
      <c r="AQ160" s="552" t="s">
        <v>1186</v>
      </c>
      <c r="AR160" s="552" t="s">
        <v>2875</v>
      </c>
      <c r="AS160" s="552" t="s">
        <v>6881</v>
      </c>
      <c r="AT160" s="552" t="s">
        <v>726</v>
      </c>
    </row>
    <row r="161" spans="1:46" ht="14.7" customHeight="1">
      <c r="A161" s="706"/>
      <c r="B161" s="557" t="s">
        <v>3698</v>
      </c>
      <c r="C161" s="539" t="s">
        <v>6869</v>
      </c>
      <c r="D161" s="539" t="s">
        <v>2783</v>
      </c>
      <c r="E161" s="539"/>
      <c r="F161" s="539"/>
      <c r="G161" s="539"/>
      <c r="H161" s="552"/>
      <c r="I161" s="552"/>
      <c r="J161" s="552"/>
      <c r="K161" s="552"/>
      <c r="L161" s="552"/>
      <c r="M161" s="552"/>
      <c r="N161" s="552"/>
      <c r="O161" s="552"/>
      <c r="P161" s="552"/>
      <c r="Q161" s="552"/>
      <c r="R161" s="552"/>
      <c r="S161" s="552"/>
      <c r="T161" s="552"/>
      <c r="U161" s="552"/>
      <c r="V161" s="552"/>
      <c r="W161" s="552"/>
      <c r="X161" s="552"/>
      <c r="Y161" s="552"/>
      <c r="Z161" s="552"/>
      <c r="AA161" s="552"/>
      <c r="AB161" s="552"/>
      <c r="AC161" s="552"/>
      <c r="AD161" s="552"/>
      <c r="AE161" s="552"/>
      <c r="AF161" s="552"/>
      <c r="AG161" s="552"/>
      <c r="AH161" s="552"/>
      <c r="AI161" s="552"/>
      <c r="AJ161" s="552"/>
      <c r="AK161" s="552"/>
      <c r="AL161" s="552"/>
      <c r="AM161" s="552"/>
      <c r="AN161" s="552"/>
      <c r="AO161" s="552"/>
      <c r="AP161" s="552"/>
      <c r="AQ161" s="552" t="s">
        <v>1186</v>
      </c>
      <c r="AR161" s="552" t="s">
        <v>2998</v>
      </c>
      <c r="AS161" s="552" t="s">
        <v>6881</v>
      </c>
      <c r="AT161" s="552" t="s">
        <v>726</v>
      </c>
    </row>
    <row r="162" spans="1:46" ht="14.7" customHeight="1">
      <c r="A162" s="706" t="s">
        <v>6131</v>
      </c>
      <c r="B162" s="557" t="s">
        <v>3698</v>
      </c>
      <c r="C162" s="539" t="s">
        <v>6869</v>
      </c>
      <c r="D162" s="709" t="s">
        <v>7108</v>
      </c>
      <c r="E162" s="552" t="s">
        <v>6871</v>
      </c>
      <c r="F162" s="552" t="s">
        <v>6872</v>
      </c>
      <c r="G162" s="552" t="s">
        <v>7103</v>
      </c>
      <c r="H162" s="552"/>
      <c r="I162" s="552"/>
      <c r="J162" s="552" t="s">
        <v>6883</v>
      </c>
      <c r="K162" s="552"/>
      <c r="L162" s="552"/>
      <c r="M162" s="552"/>
      <c r="N162" s="552"/>
      <c r="O162" s="552"/>
      <c r="P162" s="552"/>
      <c r="Q162" s="552"/>
      <c r="R162" s="552"/>
      <c r="S162" s="552"/>
      <c r="T162" s="552"/>
      <c r="U162" s="552"/>
      <c r="V162" s="552"/>
      <c r="W162" s="552"/>
      <c r="X162" s="552"/>
      <c r="Y162" s="552"/>
      <c r="Z162" s="552"/>
      <c r="AA162" s="552"/>
      <c r="AB162" s="552"/>
      <c r="AC162" s="552"/>
      <c r="AD162" s="552"/>
      <c r="AE162" s="552"/>
      <c r="AF162" s="552"/>
      <c r="AG162" s="552"/>
      <c r="AH162" s="552"/>
      <c r="AI162" s="552"/>
      <c r="AJ162" s="552"/>
      <c r="AK162" s="552"/>
      <c r="AL162" s="552"/>
      <c r="AM162" s="552"/>
      <c r="AN162" s="552"/>
      <c r="AO162" s="712" t="s">
        <v>7109</v>
      </c>
      <c r="AP162" s="552"/>
      <c r="AQ162" s="552" t="s">
        <v>1186</v>
      </c>
      <c r="AR162" s="552" t="s">
        <v>2998</v>
      </c>
      <c r="AS162" s="552" t="s">
        <v>6881</v>
      </c>
      <c r="AT162" s="552" t="s">
        <v>726</v>
      </c>
    </row>
    <row r="163" spans="1:46" ht="14.7" customHeight="1">
      <c r="A163" s="706"/>
      <c r="B163" s="557" t="s">
        <v>3698</v>
      </c>
      <c r="C163" s="539" t="s">
        <v>6869</v>
      </c>
      <c r="D163" s="539" t="s">
        <v>2783</v>
      </c>
      <c r="E163" s="539"/>
      <c r="F163" s="539"/>
      <c r="G163" s="539"/>
      <c r="H163" s="552"/>
      <c r="I163" s="552"/>
      <c r="J163" s="552"/>
      <c r="K163" s="552"/>
      <c r="L163" s="552"/>
      <c r="M163" s="552"/>
      <c r="N163" s="552"/>
      <c r="O163" s="552"/>
      <c r="P163" s="552"/>
      <c r="Q163" s="552"/>
      <c r="R163" s="552"/>
      <c r="S163" s="552"/>
      <c r="T163" s="552"/>
      <c r="U163" s="552"/>
      <c r="V163" s="552"/>
      <c r="W163" s="552"/>
      <c r="X163" s="552"/>
      <c r="Y163" s="552"/>
      <c r="Z163" s="552"/>
      <c r="AA163" s="552"/>
      <c r="AB163" s="552"/>
      <c r="AC163" s="552"/>
      <c r="AD163" s="552"/>
      <c r="AE163" s="552"/>
      <c r="AF163" s="552"/>
      <c r="AG163" s="552"/>
      <c r="AH163" s="552"/>
      <c r="AI163" s="552"/>
      <c r="AJ163" s="552"/>
      <c r="AK163" s="552"/>
      <c r="AL163" s="552"/>
      <c r="AM163" s="552"/>
      <c r="AN163" s="552"/>
      <c r="AO163" s="552"/>
      <c r="AP163" s="552"/>
      <c r="AQ163" s="552" t="s">
        <v>1186</v>
      </c>
      <c r="AR163" s="552" t="s">
        <v>2998</v>
      </c>
      <c r="AS163" s="552" t="s">
        <v>6881</v>
      </c>
      <c r="AT163" s="552" t="s">
        <v>726</v>
      </c>
    </row>
    <row r="164" spans="1:46" ht="14.7" customHeight="1">
      <c r="A164" s="706" t="s">
        <v>6132</v>
      </c>
      <c r="B164" s="557" t="s">
        <v>3698</v>
      </c>
      <c r="C164" s="539" t="s">
        <v>6869</v>
      </c>
      <c r="D164" s="709" t="s">
        <v>7110</v>
      </c>
      <c r="E164" s="552" t="s">
        <v>6871</v>
      </c>
      <c r="F164" s="552" t="s">
        <v>7111</v>
      </c>
      <c r="G164" s="552" t="s">
        <v>7103</v>
      </c>
      <c r="H164" s="552"/>
      <c r="I164" s="552"/>
      <c r="J164" s="552" t="s">
        <v>6947</v>
      </c>
      <c r="K164" s="552"/>
      <c r="L164" s="552"/>
      <c r="M164" s="552"/>
      <c r="N164" s="552"/>
      <c r="O164" s="552"/>
      <c r="P164" s="552"/>
      <c r="Q164" s="552"/>
      <c r="R164" s="552"/>
      <c r="S164" s="552"/>
      <c r="T164" s="552"/>
      <c r="U164" s="552"/>
      <c r="V164" s="552"/>
      <c r="W164" s="552"/>
      <c r="X164" s="552"/>
      <c r="Y164" s="552"/>
      <c r="Z164" s="552"/>
      <c r="AA164" s="552"/>
      <c r="AB164" s="552"/>
      <c r="AC164" s="552"/>
      <c r="AD164" s="552"/>
      <c r="AE164" s="552"/>
      <c r="AF164" s="552"/>
      <c r="AG164" s="552"/>
      <c r="AH164" s="552"/>
      <c r="AI164" s="552"/>
      <c r="AJ164" s="552"/>
      <c r="AK164" s="552"/>
      <c r="AL164" s="552"/>
      <c r="AM164" s="552"/>
      <c r="AN164" s="552"/>
      <c r="AO164" s="552" t="s">
        <v>7112</v>
      </c>
      <c r="AP164" s="552"/>
      <c r="AQ164" s="552" t="s">
        <v>1186</v>
      </c>
      <c r="AR164" s="552" t="s">
        <v>2998</v>
      </c>
      <c r="AS164" s="552" t="s">
        <v>6881</v>
      </c>
      <c r="AT164" s="552" t="s">
        <v>726</v>
      </c>
    </row>
    <row r="165" spans="1:46" ht="14.7" customHeight="1">
      <c r="A165" s="706"/>
      <c r="B165" s="344" t="s">
        <v>3699</v>
      </c>
      <c r="C165" s="539" t="s">
        <v>6869</v>
      </c>
      <c r="D165" s="539" t="s">
        <v>2783</v>
      </c>
      <c r="E165" s="539"/>
      <c r="F165" s="539"/>
      <c r="G165" s="539"/>
      <c r="H165" s="552"/>
      <c r="I165" s="552"/>
      <c r="J165" s="552"/>
      <c r="K165" s="552"/>
      <c r="L165" s="552"/>
      <c r="M165" s="552"/>
      <c r="N165" s="552"/>
      <c r="O165" s="552"/>
      <c r="P165" s="552"/>
      <c r="Q165" s="552"/>
      <c r="R165" s="552"/>
      <c r="S165" s="552"/>
      <c r="T165" s="552"/>
      <c r="U165" s="552"/>
      <c r="V165" s="552"/>
      <c r="W165" s="552"/>
      <c r="X165" s="552"/>
      <c r="Y165" s="552"/>
      <c r="Z165" s="552"/>
      <c r="AA165" s="552"/>
      <c r="AB165" s="552"/>
      <c r="AC165" s="552"/>
      <c r="AD165" s="552"/>
      <c r="AE165" s="552"/>
      <c r="AF165" s="552"/>
      <c r="AG165" s="552"/>
      <c r="AH165" s="552"/>
      <c r="AI165" s="552"/>
      <c r="AJ165" s="552"/>
      <c r="AK165" s="552"/>
      <c r="AL165" s="552"/>
      <c r="AM165" s="552"/>
      <c r="AN165" s="552"/>
      <c r="AO165" s="552"/>
      <c r="AP165" s="552"/>
      <c r="AQ165" s="552" t="s">
        <v>1186</v>
      </c>
      <c r="AR165" s="552" t="s">
        <v>2809</v>
      </c>
      <c r="AS165" s="552" t="s">
        <v>6881</v>
      </c>
      <c r="AT165" s="552" t="s">
        <v>726</v>
      </c>
    </row>
    <row r="166" spans="1:46" ht="14.7" customHeight="1">
      <c r="A166" s="706"/>
      <c r="B166" s="344" t="s">
        <v>3699</v>
      </c>
      <c r="C166" s="539" t="s">
        <v>6869</v>
      </c>
      <c r="D166" s="539" t="s">
        <v>2783</v>
      </c>
      <c r="E166" s="539"/>
      <c r="F166" s="539"/>
      <c r="G166" s="539"/>
      <c r="H166" s="552"/>
      <c r="I166" s="552"/>
      <c r="J166" s="552"/>
      <c r="K166" s="552"/>
      <c r="L166" s="552"/>
      <c r="M166" s="552"/>
      <c r="N166" s="552"/>
      <c r="O166" s="552"/>
      <c r="P166" s="552"/>
      <c r="Q166" s="552"/>
      <c r="R166" s="552"/>
      <c r="S166" s="552"/>
      <c r="T166" s="552"/>
      <c r="U166" s="552"/>
      <c r="V166" s="552"/>
      <c r="W166" s="552"/>
      <c r="X166" s="552"/>
      <c r="Y166" s="552"/>
      <c r="Z166" s="552"/>
      <c r="AA166" s="552"/>
      <c r="AB166" s="552"/>
      <c r="AC166" s="552"/>
      <c r="AD166" s="552"/>
      <c r="AE166" s="552"/>
      <c r="AF166" s="552"/>
      <c r="AG166" s="552"/>
      <c r="AH166" s="552"/>
      <c r="AI166" s="552"/>
      <c r="AJ166" s="552"/>
      <c r="AK166" s="552"/>
      <c r="AL166" s="552"/>
      <c r="AM166" s="552"/>
      <c r="AN166" s="552"/>
      <c r="AO166" s="552"/>
      <c r="AP166" s="552"/>
      <c r="AQ166" s="552" t="s">
        <v>1186</v>
      </c>
      <c r="AR166" s="552" t="s">
        <v>2809</v>
      </c>
      <c r="AS166" s="552" t="s">
        <v>6881</v>
      </c>
      <c r="AT166" s="552" t="s">
        <v>726</v>
      </c>
    </row>
    <row r="167" spans="1:46" ht="14.7" customHeight="1">
      <c r="A167" s="706"/>
      <c r="B167" s="344" t="s">
        <v>3699</v>
      </c>
      <c r="C167" s="539" t="s">
        <v>6869</v>
      </c>
      <c r="D167" s="539" t="s">
        <v>2783</v>
      </c>
      <c r="E167" s="539"/>
      <c r="F167" s="539"/>
      <c r="G167" s="539"/>
      <c r="H167" s="552"/>
      <c r="I167" s="552"/>
      <c r="J167" s="552"/>
      <c r="K167" s="552"/>
      <c r="L167" s="552"/>
      <c r="M167" s="552"/>
      <c r="N167" s="552"/>
      <c r="O167" s="552"/>
      <c r="P167" s="552"/>
      <c r="Q167" s="552"/>
      <c r="R167" s="552"/>
      <c r="S167" s="552"/>
      <c r="T167" s="552"/>
      <c r="U167" s="552"/>
      <c r="V167" s="552"/>
      <c r="W167" s="552"/>
      <c r="X167" s="552"/>
      <c r="Y167" s="552"/>
      <c r="Z167" s="552"/>
      <c r="AA167" s="552"/>
      <c r="AB167" s="552"/>
      <c r="AC167" s="552"/>
      <c r="AD167" s="552"/>
      <c r="AE167" s="552"/>
      <c r="AF167" s="552"/>
      <c r="AG167" s="552"/>
      <c r="AH167" s="552"/>
      <c r="AI167" s="552"/>
      <c r="AJ167" s="552"/>
      <c r="AK167" s="552"/>
      <c r="AL167" s="552"/>
      <c r="AM167" s="552"/>
      <c r="AN167" s="552"/>
      <c r="AO167" s="552"/>
      <c r="AP167" s="552"/>
      <c r="AQ167" s="552" t="s">
        <v>1186</v>
      </c>
      <c r="AR167" s="552" t="s">
        <v>2809</v>
      </c>
      <c r="AS167" s="552" t="s">
        <v>6881</v>
      </c>
      <c r="AT167" s="552" t="s">
        <v>726</v>
      </c>
    </row>
    <row r="168" spans="1:46" ht="14.7" customHeight="1">
      <c r="A168" s="706"/>
      <c r="B168" s="344" t="s">
        <v>3699</v>
      </c>
      <c r="C168" s="539" t="s">
        <v>6869</v>
      </c>
      <c r="D168" s="539" t="s">
        <v>2783</v>
      </c>
      <c r="E168" s="539"/>
      <c r="F168" s="539"/>
      <c r="G168" s="539"/>
      <c r="H168" s="552"/>
      <c r="I168" s="552"/>
      <c r="J168" s="552"/>
      <c r="K168" s="552"/>
      <c r="L168" s="552"/>
      <c r="M168" s="552"/>
      <c r="N168" s="552"/>
      <c r="O168" s="552"/>
      <c r="P168" s="552"/>
      <c r="Q168" s="552"/>
      <c r="R168" s="552"/>
      <c r="S168" s="552"/>
      <c r="T168" s="552"/>
      <c r="U168" s="552"/>
      <c r="V168" s="552"/>
      <c r="W168" s="552"/>
      <c r="X168" s="552"/>
      <c r="Y168" s="552"/>
      <c r="Z168" s="552"/>
      <c r="AA168" s="552"/>
      <c r="AB168" s="552"/>
      <c r="AC168" s="552"/>
      <c r="AD168" s="552"/>
      <c r="AE168" s="552"/>
      <c r="AF168" s="552"/>
      <c r="AG168" s="552"/>
      <c r="AH168" s="552"/>
      <c r="AI168" s="552"/>
      <c r="AJ168" s="552"/>
      <c r="AK168" s="552"/>
      <c r="AL168" s="552"/>
      <c r="AM168" s="552"/>
      <c r="AN168" s="552"/>
      <c r="AO168" s="552"/>
      <c r="AP168" s="552"/>
      <c r="AQ168" s="552" t="s">
        <v>1186</v>
      </c>
      <c r="AR168" s="552" t="s">
        <v>2809</v>
      </c>
      <c r="AS168" s="552" t="s">
        <v>6881</v>
      </c>
      <c r="AT168" s="552" t="s">
        <v>726</v>
      </c>
    </row>
    <row r="169" spans="1:46" ht="14.7" customHeight="1">
      <c r="A169" s="710" t="s">
        <v>6133</v>
      </c>
      <c r="B169" s="344" t="s">
        <v>3699</v>
      </c>
      <c r="C169" s="539" t="s">
        <v>6869</v>
      </c>
      <c r="D169" s="709" t="s">
        <v>2342</v>
      </c>
      <c r="E169" s="552" t="s">
        <v>6871</v>
      </c>
      <c r="F169" s="552" t="s">
        <v>6872</v>
      </c>
      <c r="G169" s="552" t="s">
        <v>7103</v>
      </c>
      <c r="H169" s="552"/>
      <c r="I169" s="552"/>
      <c r="J169" s="712" t="s">
        <v>7113</v>
      </c>
      <c r="K169" s="552"/>
      <c r="L169" s="552"/>
      <c r="M169" s="552"/>
      <c r="N169" s="552"/>
      <c r="O169" s="552"/>
      <c r="P169" s="552"/>
      <c r="Q169" s="552"/>
      <c r="R169" s="552"/>
      <c r="S169" s="552"/>
      <c r="T169" s="552"/>
      <c r="U169" s="552"/>
      <c r="V169" s="552"/>
      <c r="W169" s="552"/>
      <c r="X169" s="552"/>
      <c r="Y169" s="552"/>
      <c r="Z169" s="552"/>
      <c r="AA169" s="552"/>
      <c r="AB169" s="552"/>
      <c r="AC169" s="552"/>
      <c r="AD169" s="552"/>
      <c r="AE169" s="552"/>
      <c r="AF169" s="552"/>
      <c r="AG169" s="552"/>
      <c r="AH169" s="552"/>
      <c r="AI169" s="552"/>
      <c r="AJ169" s="552"/>
      <c r="AK169" s="552"/>
      <c r="AL169" s="552"/>
      <c r="AM169" s="552"/>
      <c r="AN169" s="552"/>
      <c r="AO169" s="712" t="s">
        <v>7114</v>
      </c>
      <c r="AP169" s="552"/>
      <c r="AQ169" s="552" t="s">
        <v>1186</v>
      </c>
      <c r="AR169" s="552" t="s">
        <v>2809</v>
      </c>
      <c r="AS169" s="552" t="s">
        <v>6881</v>
      </c>
      <c r="AT169" s="552" t="s">
        <v>726</v>
      </c>
    </row>
    <row r="170" spans="1:46" ht="14.7" customHeight="1">
      <c r="A170" s="706"/>
      <c r="B170" s="559" t="s">
        <v>3700</v>
      </c>
      <c r="C170" s="539" t="s">
        <v>6869</v>
      </c>
      <c r="D170" s="539" t="s">
        <v>2783</v>
      </c>
      <c r="E170" s="539"/>
      <c r="F170" s="539"/>
      <c r="G170" s="539"/>
      <c r="H170" s="552"/>
      <c r="I170" s="552"/>
      <c r="J170" s="552"/>
      <c r="K170" s="552"/>
      <c r="L170" s="552"/>
      <c r="M170" s="552"/>
      <c r="N170" s="552"/>
      <c r="O170" s="552"/>
      <c r="P170" s="552"/>
      <c r="Q170" s="552"/>
      <c r="R170" s="552"/>
      <c r="S170" s="552"/>
      <c r="T170" s="552"/>
      <c r="U170" s="552"/>
      <c r="V170" s="552"/>
      <c r="W170" s="552"/>
      <c r="X170" s="552"/>
      <c r="Y170" s="552"/>
      <c r="Z170" s="552"/>
      <c r="AA170" s="552"/>
      <c r="AB170" s="552"/>
      <c r="AC170" s="552"/>
      <c r="AD170" s="552"/>
      <c r="AE170" s="552"/>
      <c r="AF170" s="552"/>
      <c r="AG170" s="552"/>
      <c r="AH170" s="552"/>
      <c r="AI170" s="552"/>
      <c r="AJ170" s="552"/>
      <c r="AK170" s="552"/>
      <c r="AL170" s="552"/>
      <c r="AM170" s="552"/>
      <c r="AN170" s="552"/>
      <c r="AO170" s="552"/>
      <c r="AP170" s="552"/>
      <c r="AQ170" s="552" t="s">
        <v>1186</v>
      </c>
      <c r="AR170" s="552" t="s">
        <v>2971</v>
      </c>
      <c r="AS170" s="552" t="s">
        <v>6881</v>
      </c>
      <c r="AT170" s="552" t="s">
        <v>726</v>
      </c>
    </row>
    <row r="171" spans="1:46" ht="14.7" customHeight="1">
      <c r="A171" s="706"/>
      <c r="B171" s="559" t="s">
        <v>3700</v>
      </c>
      <c r="C171" s="539" t="s">
        <v>6869</v>
      </c>
      <c r="D171" s="539" t="s">
        <v>2783</v>
      </c>
      <c r="E171" s="539"/>
      <c r="F171" s="539"/>
      <c r="G171" s="539"/>
      <c r="H171" s="552"/>
      <c r="I171" s="552"/>
      <c r="J171" s="552"/>
      <c r="K171" s="552"/>
      <c r="L171" s="552"/>
      <c r="M171" s="552"/>
      <c r="N171" s="552"/>
      <c r="O171" s="552"/>
      <c r="P171" s="552"/>
      <c r="Q171" s="552"/>
      <c r="R171" s="552"/>
      <c r="S171" s="552"/>
      <c r="T171" s="552"/>
      <c r="U171" s="552"/>
      <c r="V171" s="552"/>
      <c r="W171" s="552"/>
      <c r="X171" s="552"/>
      <c r="Y171" s="552"/>
      <c r="Z171" s="552"/>
      <c r="AA171" s="552"/>
      <c r="AB171" s="552"/>
      <c r="AC171" s="552"/>
      <c r="AD171" s="552"/>
      <c r="AE171" s="552"/>
      <c r="AF171" s="552"/>
      <c r="AG171" s="552"/>
      <c r="AH171" s="552"/>
      <c r="AI171" s="552"/>
      <c r="AJ171" s="552"/>
      <c r="AK171" s="552"/>
      <c r="AL171" s="552"/>
      <c r="AM171" s="552"/>
      <c r="AN171" s="552"/>
      <c r="AO171" s="552"/>
      <c r="AP171" s="552"/>
      <c r="AQ171" s="552" t="s">
        <v>1186</v>
      </c>
      <c r="AR171" s="552" t="s">
        <v>2971</v>
      </c>
      <c r="AS171" s="552" t="s">
        <v>6881</v>
      </c>
      <c r="AT171" s="552" t="s">
        <v>726</v>
      </c>
    </row>
    <row r="172" spans="1:46" ht="14.7" customHeight="1">
      <c r="A172" s="706"/>
      <c r="B172" s="711" t="s">
        <v>6055</v>
      </c>
      <c r="C172" s="539" t="s">
        <v>6869</v>
      </c>
      <c r="D172" s="539"/>
      <c r="E172" s="552"/>
      <c r="F172" s="552"/>
      <c r="G172" s="552"/>
      <c r="H172" s="552"/>
      <c r="I172" s="552"/>
      <c r="J172" s="552"/>
      <c r="K172" s="552"/>
      <c r="L172" s="552"/>
      <c r="M172" s="552"/>
      <c r="N172" s="552"/>
      <c r="O172" s="552"/>
      <c r="P172" s="552"/>
      <c r="Q172" s="552"/>
      <c r="R172" s="552"/>
      <c r="S172" s="552"/>
      <c r="T172" s="552"/>
      <c r="U172" s="552"/>
      <c r="V172" s="552"/>
      <c r="W172" s="552"/>
      <c r="X172" s="552"/>
      <c r="Y172" s="552"/>
      <c r="Z172" s="552"/>
      <c r="AA172" s="552"/>
      <c r="AB172" s="552"/>
      <c r="AC172" s="552"/>
      <c r="AD172" s="552"/>
      <c r="AE172" s="552"/>
      <c r="AF172" s="552"/>
      <c r="AG172" s="552"/>
      <c r="AH172" s="552"/>
      <c r="AI172" s="552"/>
      <c r="AJ172" s="552"/>
      <c r="AK172" s="552"/>
      <c r="AL172" s="552"/>
      <c r="AM172" s="552"/>
      <c r="AN172" s="552"/>
      <c r="AO172" s="552"/>
      <c r="AP172" s="552"/>
      <c r="AQ172" s="552" t="s">
        <v>1186</v>
      </c>
      <c r="AR172" s="552" t="s">
        <v>6697</v>
      </c>
      <c r="AS172" s="552" t="s">
        <v>6881</v>
      </c>
      <c r="AT172" s="552" t="s">
        <v>726</v>
      </c>
    </row>
    <row r="173" spans="1:46" ht="14.7" customHeight="1">
      <c r="A173" s="706" t="s">
        <v>6134</v>
      </c>
      <c r="B173" s="540" t="s">
        <v>3695</v>
      </c>
      <c r="C173" s="539" t="s">
        <v>6869</v>
      </c>
      <c r="D173" s="709" t="s">
        <v>7115</v>
      </c>
      <c r="E173" s="552" t="s">
        <v>6925</v>
      </c>
      <c r="F173" s="552" t="s">
        <v>6872</v>
      </c>
      <c r="G173" s="552" t="s">
        <v>7103</v>
      </c>
      <c r="H173" s="552"/>
      <c r="I173" s="552"/>
      <c r="J173" s="552" t="s">
        <v>6929</v>
      </c>
      <c r="K173" s="552"/>
      <c r="L173" s="552"/>
      <c r="M173" s="552"/>
      <c r="N173" s="552"/>
      <c r="O173" s="552"/>
      <c r="P173" s="552"/>
      <c r="Q173" s="552"/>
      <c r="R173" s="552"/>
      <c r="S173" s="552"/>
      <c r="T173" s="552"/>
      <c r="U173" s="552"/>
      <c r="V173" s="552"/>
      <c r="W173" s="552"/>
      <c r="X173" s="552"/>
      <c r="Y173" s="552"/>
      <c r="Z173" s="552"/>
      <c r="AA173" s="552"/>
      <c r="AB173" s="552"/>
      <c r="AC173" s="552"/>
      <c r="AD173" s="552"/>
      <c r="AE173" s="552"/>
      <c r="AF173" s="552"/>
      <c r="AG173" s="552"/>
      <c r="AH173" s="552"/>
      <c r="AI173" s="552"/>
      <c r="AJ173" s="552"/>
      <c r="AK173" s="552"/>
      <c r="AL173" s="552"/>
      <c r="AM173" s="552"/>
      <c r="AN173" s="552"/>
      <c r="AO173" s="552"/>
      <c r="AP173" s="552"/>
      <c r="AQ173" s="552" t="s">
        <v>1186</v>
      </c>
      <c r="AR173" s="552" t="s">
        <v>2802</v>
      </c>
      <c r="AS173" s="552" t="s">
        <v>6881</v>
      </c>
      <c r="AT173" s="552" t="s">
        <v>726</v>
      </c>
    </row>
    <row r="174" spans="1:46" ht="14.7" customHeight="1">
      <c r="A174" s="706"/>
      <c r="B174" s="540" t="s">
        <v>3695</v>
      </c>
      <c r="C174" s="539" t="s">
        <v>6869</v>
      </c>
      <c r="D174" s="539" t="s">
        <v>2783</v>
      </c>
      <c r="E174" s="539"/>
      <c r="F174" s="539"/>
      <c r="G174" s="539"/>
      <c r="H174" s="552"/>
      <c r="I174" s="552"/>
      <c r="J174" s="552"/>
      <c r="K174" s="552"/>
      <c r="L174" s="552"/>
      <c r="M174" s="552"/>
      <c r="N174" s="552"/>
      <c r="O174" s="552"/>
      <c r="P174" s="552"/>
      <c r="Q174" s="552"/>
      <c r="R174" s="552"/>
      <c r="S174" s="552"/>
      <c r="T174" s="552"/>
      <c r="U174" s="552"/>
      <c r="V174" s="552"/>
      <c r="W174" s="552"/>
      <c r="X174" s="552"/>
      <c r="Y174" s="552"/>
      <c r="Z174" s="552"/>
      <c r="AA174" s="552"/>
      <c r="AB174" s="552"/>
      <c r="AC174" s="552"/>
      <c r="AD174" s="552"/>
      <c r="AE174" s="552"/>
      <c r="AF174" s="552"/>
      <c r="AG174" s="552"/>
      <c r="AH174" s="552"/>
      <c r="AI174" s="552"/>
      <c r="AJ174" s="552"/>
      <c r="AK174" s="552"/>
      <c r="AL174" s="552"/>
      <c r="AM174" s="552"/>
      <c r="AN174" s="552"/>
      <c r="AO174" s="552"/>
      <c r="AP174" s="552"/>
      <c r="AQ174" s="552" t="s">
        <v>1186</v>
      </c>
      <c r="AR174" s="552" t="s">
        <v>2802</v>
      </c>
      <c r="AS174" s="552" t="s">
        <v>6881</v>
      </c>
      <c r="AT174" s="552" t="s">
        <v>726</v>
      </c>
    </row>
    <row r="175" spans="1:46" ht="14.7" customHeight="1">
      <c r="A175" s="706" t="s">
        <v>6135</v>
      </c>
      <c r="B175" s="707" t="s">
        <v>3696</v>
      </c>
      <c r="C175" s="539" t="s">
        <v>6869</v>
      </c>
      <c r="D175" s="709" t="s">
        <v>7116</v>
      </c>
      <c r="E175" s="552" t="s">
        <v>6925</v>
      </c>
      <c r="F175" s="552" t="s">
        <v>6872</v>
      </c>
      <c r="G175" s="552" t="s">
        <v>7103</v>
      </c>
      <c r="H175" s="552"/>
      <c r="I175" s="552"/>
      <c r="J175" s="552" t="s">
        <v>7117</v>
      </c>
      <c r="K175" s="552" t="s">
        <v>7118</v>
      </c>
      <c r="L175" s="552"/>
      <c r="M175" s="552"/>
      <c r="N175" s="552"/>
      <c r="O175" s="552"/>
      <c r="P175" s="552"/>
      <c r="Q175" s="552"/>
      <c r="R175" s="552"/>
      <c r="S175" s="552"/>
      <c r="T175" s="552"/>
      <c r="U175" s="552"/>
      <c r="V175" s="552"/>
      <c r="W175" s="552"/>
      <c r="X175" s="552"/>
      <c r="Y175" s="552"/>
      <c r="Z175" s="552"/>
      <c r="AA175" s="552"/>
      <c r="AB175" s="552"/>
      <c r="AC175" s="552"/>
      <c r="AD175" s="552"/>
      <c r="AE175" s="552"/>
      <c r="AF175" s="552"/>
      <c r="AG175" s="552"/>
      <c r="AH175" s="552"/>
      <c r="AI175" s="552"/>
      <c r="AJ175" s="552"/>
      <c r="AK175" s="552"/>
      <c r="AL175" s="552"/>
      <c r="AM175" s="552"/>
      <c r="AN175" s="552"/>
      <c r="AO175" s="552"/>
      <c r="AP175" s="552"/>
      <c r="AQ175" s="552" t="s">
        <v>1186</v>
      </c>
      <c r="AR175" s="552" t="s">
        <v>2805</v>
      </c>
      <c r="AS175" s="552" t="s">
        <v>6881</v>
      </c>
      <c r="AT175" s="552" t="s">
        <v>726</v>
      </c>
    </row>
    <row r="176" spans="1:46" ht="14.7" customHeight="1">
      <c r="A176" s="706"/>
      <c r="B176" s="707" t="s">
        <v>3696</v>
      </c>
      <c r="C176" s="539" t="s">
        <v>6869</v>
      </c>
      <c r="D176" s="539" t="s">
        <v>2783</v>
      </c>
      <c r="E176" s="539"/>
      <c r="F176" s="539"/>
      <c r="G176" s="539"/>
      <c r="H176" s="552"/>
      <c r="I176" s="552"/>
      <c r="J176" s="552"/>
      <c r="K176" s="552"/>
      <c r="L176" s="552"/>
      <c r="M176" s="552"/>
      <c r="N176" s="552"/>
      <c r="O176" s="552"/>
      <c r="P176" s="552"/>
      <c r="Q176" s="552"/>
      <c r="R176" s="552"/>
      <c r="S176" s="552"/>
      <c r="T176" s="552"/>
      <c r="U176" s="552"/>
      <c r="V176" s="552"/>
      <c r="W176" s="552"/>
      <c r="X176" s="552"/>
      <c r="Y176" s="552"/>
      <c r="Z176" s="552"/>
      <c r="AA176" s="552"/>
      <c r="AB176" s="552"/>
      <c r="AC176" s="552"/>
      <c r="AD176" s="552"/>
      <c r="AE176" s="552"/>
      <c r="AF176" s="552"/>
      <c r="AG176" s="552"/>
      <c r="AH176" s="552"/>
      <c r="AI176" s="552"/>
      <c r="AJ176" s="552"/>
      <c r="AK176" s="552"/>
      <c r="AL176" s="552"/>
      <c r="AM176" s="552"/>
      <c r="AN176" s="552"/>
      <c r="AO176" s="552"/>
      <c r="AP176" s="552"/>
      <c r="AQ176" s="552" t="s">
        <v>1186</v>
      </c>
      <c r="AR176" s="552" t="s">
        <v>2805</v>
      </c>
      <c r="AS176" s="552" t="s">
        <v>6881</v>
      </c>
      <c r="AT176" s="552" t="s">
        <v>726</v>
      </c>
    </row>
    <row r="177" spans="1:46" ht="14.7" customHeight="1">
      <c r="A177" s="706" t="s">
        <v>6136</v>
      </c>
      <c r="B177" s="556" t="s">
        <v>3697</v>
      </c>
      <c r="C177" s="539" t="s">
        <v>6869</v>
      </c>
      <c r="D177" s="709" t="s">
        <v>7119</v>
      </c>
      <c r="E177" s="552" t="s">
        <v>6925</v>
      </c>
      <c r="F177" s="552" t="s">
        <v>6872</v>
      </c>
      <c r="G177" s="552" t="s">
        <v>7103</v>
      </c>
      <c r="H177" s="552"/>
      <c r="I177" s="552"/>
      <c r="J177" s="552" t="s">
        <v>7120</v>
      </c>
      <c r="K177" s="552"/>
      <c r="L177" s="552"/>
      <c r="M177" s="552"/>
      <c r="N177" s="552"/>
      <c r="O177" s="552"/>
      <c r="P177" s="552"/>
      <c r="Q177" s="552"/>
      <c r="R177" s="552"/>
      <c r="S177" s="552"/>
      <c r="T177" s="552"/>
      <c r="U177" s="552"/>
      <c r="V177" s="552"/>
      <c r="W177" s="552"/>
      <c r="X177" s="552"/>
      <c r="Y177" s="552"/>
      <c r="Z177" s="552"/>
      <c r="AA177" s="552"/>
      <c r="AB177" s="552"/>
      <c r="AC177" s="552"/>
      <c r="AD177" s="552"/>
      <c r="AE177" s="552"/>
      <c r="AF177" s="552"/>
      <c r="AG177" s="552"/>
      <c r="AH177" s="552"/>
      <c r="AI177" s="552"/>
      <c r="AJ177" s="552"/>
      <c r="AK177" s="552"/>
      <c r="AL177" s="552"/>
      <c r="AM177" s="552"/>
      <c r="AN177" s="552"/>
      <c r="AO177" s="552"/>
      <c r="AP177" s="552"/>
      <c r="AQ177" s="552" t="s">
        <v>1186</v>
      </c>
      <c r="AR177" s="552" t="s">
        <v>2875</v>
      </c>
      <c r="AS177" s="552" t="s">
        <v>6881</v>
      </c>
      <c r="AT177" s="552" t="s">
        <v>726</v>
      </c>
    </row>
    <row r="178" spans="1:46" ht="14.7" customHeight="1">
      <c r="A178" s="706" t="s">
        <v>6137</v>
      </c>
      <c r="B178" s="556" t="s">
        <v>3697</v>
      </c>
      <c r="C178" s="539" t="s">
        <v>6869</v>
      </c>
      <c r="D178" s="709" t="s">
        <v>7121</v>
      </c>
      <c r="E178" s="552" t="s">
        <v>6925</v>
      </c>
      <c r="F178" s="552" t="s">
        <v>6872</v>
      </c>
      <c r="G178" s="552" t="s">
        <v>7103</v>
      </c>
      <c r="H178" s="552"/>
      <c r="I178" s="552"/>
      <c r="J178" s="552" t="s">
        <v>7122</v>
      </c>
      <c r="K178" s="552" t="s">
        <v>7123</v>
      </c>
      <c r="L178" s="552"/>
      <c r="M178" s="552"/>
      <c r="N178" s="552"/>
      <c r="O178" s="552"/>
      <c r="P178" s="552"/>
      <c r="Q178" s="552"/>
      <c r="R178" s="552"/>
      <c r="S178" s="552"/>
      <c r="T178" s="552"/>
      <c r="U178" s="552"/>
      <c r="V178" s="552"/>
      <c r="W178" s="552"/>
      <c r="X178" s="552"/>
      <c r="Y178" s="552"/>
      <c r="Z178" s="552"/>
      <c r="AA178" s="552"/>
      <c r="AB178" s="552"/>
      <c r="AC178" s="552"/>
      <c r="AD178" s="552"/>
      <c r="AE178" s="552"/>
      <c r="AF178" s="552"/>
      <c r="AG178" s="552"/>
      <c r="AH178" s="552"/>
      <c r="AI178" s="552"/>
      <c r="AJ178" s="552"/>
      <c r="AK178" s="552"/>
      <c r="AL178" s="552"/>
      <c r="AM178" s="552"/>
      <c r="AN178" s="552"/>
      <c r="AO178" s="552"/>
      <c r="AP178" s="552"/>
      <c r="AQ178" s="552" t="s">
        <v>1186</v>
      </c>
      <c r="AR178" s="552" t="s">
        <v>2875</v>
      </c>
      <c r="AS178" s="552" t="s">
        <v>6881</v>
      </c>
      <c r="AT178" s="552" t="s">
        <v>726</v>
      </c>
    </row>
    <row r="179" spans="1:46" ht="14.7" customHeight="1">
      <c r="A179" s="706"/>
      <c r="B179" s="556" t="s">
        <v>3697</v>
      </c>
      <c r="C179" s="539" t="s">
        <v>6869</v>
      </c>
      <c r="D179" s="539" t="s">
        <v>2783</v>
      </c>
      <c r="E179" s="539"/>
      <c r="F179" s="539"/>
      <c r="G179" s="539"/>
      <c r="H179" s="552"/>
      <c r="I179" s="552"/>
      <c r="J179" s="552"/>
      <c r="K179" s="552"/>
      <c r="L179" s="552"/>
      <c r="M179" s="552"/>
      <c r="N179" s="552"/>
      <c r="O179" s="552"/>
      <c r="P179" s="552"/>
      <c r="Q179" s="552"/>
      <c r="R179" s="552"/>
      <c r="S179" s="552"/>
      <c r="T179" s="552"/>
      <c r="U179" s="552"/>
      <c r="V179" s="552"/>
      <c r="W179" s="552"/>
      <c r="X179" s="552"/>
      <c r="Y179" s="552"/>
      <c r="Z179" s="552"/>
      <c r="AA179" s="552"/>
      <c r="AB179" s="552"/>
      <c r="AC179" s="552"/>
      <c r="AD179" s="552"/>
      <c r="AE179" s="552"/>
      <c r="AF179" s="552"/>
      <c r="AG179" s="552"/>
      <c r="AH179" s="552"/>
      <c r="AI179" s="552"/>
      <c r="AJ179" s="552"/>
      <c r="AK179" s="552"/>
      <c r="AL179" s="552"/>
      <c r="AM179" s="552"/>
      <c r="AN179" s="552"/>
      <c r="AO179" s="552"/>
      <c r="AP179" s="552"/>
      <c r="AQ179" s="552" t="s">
        <v>1186</v>
      </c>
      <c r="AR179" s="552" t="s">
        <v>2875</v>
      </c>
      <c r="AS179" s="552" t="s">
        <v>6881</v>
      </c>
      <c r="AT179" s="552" t="s">
        <v>726</v>
      </c>
    </row>
    <row r="180" spans="1:46" ht="14.7" customHeight="1">
      <c r="A180" s="706" t="s">
        <v>7124</v>
      </c>
      <c r="B180" s="557" t="s">
        <v>3698</v>
      </c>
      <c r="C180" s="539" t="s">
        <v>6869</v>
      </c>
      <c r="D180" s="709" t="s">
        <v>7125</v>
      </c>
      <c r="E180" s="552" t="s">
        <v>6925</v>
      </c>
      <c r="F180" s="552" t="s">
        <v>6872</v>
      </c>
      <c r="G180" s="552" t="s">
        <v>7103</v>
      </c>
      <c r="H180" s="552"/>
      <c r="I180" s="552"/>
      <c r="J180" s="552" t="s">
        <v>7126</v>
      </c>
      <c r="K180" s="552"/>
      <c r="L180" s="552"/>
      <c r="M180" s="552"/>
      <c r="N180" s="552"/>
      <c r="O180" s="552"/>
      <c r="P180" s="552"/>
      <c r="Q180" s="552"/>
      <c r="R180" s="552"/>
      <c r="S180" s="552"/>
      <c r="T180" s="552"/>
      <c r="U180" s="552"/>
      <c r="V180" s="552"/>
      <c r="W180" s="552"/>
      <c r="X180" s="552"/>
      <c r="Y180" s="552"/>
      <c r="Z180" s="552"/>
      <c r="AA180" s="552"/>
      <c r="AB180" s="552"/>
      <c r="AC180" s="552"/>
      <c r="AD180" s="552"/>
      <c r="AE180" s="552"/>
      <c r="AF180" s="552"/>
      <c r="AG180" s="552"/>
      <c r="AH180" s="552"/>
      <c r="AI180" s="552"/>
      <c r="AJ180" s="552"/>
      <c r="AK180" s="552"/>
      <c r="AL180" s="552"/>
      <c r="AM180" s="552"/>
      <c r="AN180" s="552"/>
      <c r="AO180" s="552"/>
      <c r="AP180" s="552" t="s">
        <v>7127</v>
      </c>
      <c r="AQ180" s="552" t="s">
        <v>1186</v>
      </c>
      <c r="AR180" s="552" t="s">
        <v>2998</v>
      </c>
      <c r="AS180" s="552" t="s">
        <v>6881</v>
      </c>
      <c r="AT180" s="552" t="s">
        <v>726</v>
      </c>
    </row>
    <row r="181" spans="1:46" ht="14.7" customHeight="1">
      <c r="A181" s="706"/>
      <c r="B181" s="557" t="s">
        <v>3698</v>
      </c>
      <c r="C181" s="539" t="s">
        <v>6869</v>
      </c>
      <c r="D181" s="539" t="s">
        <v>2783</v>
      </c>
      <c r="E181" s="539"/>
      <c r="F181" s="539"/>
      <c r="G181" s="539"/>
      <c r="H181" s="552"/>
      <c r="I181" s="552"/>
      <c r="J181" s="552"/>
      <c r="K181" s="552"/>
      <c r="L181" s="552"/>
      <c r="M181" s="552"/>
      <c r="N181" s="552"/>
      <c r="O181" s="552"/>
      <c r="P181" s="552"/>
      <c r="Q181" s="552"/>
      <c r="R181" s="552"/>
      <c r="S181" s="552"/>
      <c r="T181" s="552"/>
      <c r="U181" s="552"/>
      <c r="V181" s="552"/>
      <c r="W181" s="552"/>
      <c r="X181" s="552"/>
      <c r="Y181" s="552"/>
      <c r="Z181" s="552"/>
      <c r="AA181" s="552"/>
      <c r="AB181" s="552"/>
      <c r="AC181" s="552"/>
      <c r="AD181" s="552"/>
      <c r="AE181" s="552"/>
      <c r="AF181" s="552"/>
      <c r="AG181" s="552"/>
      <c r="AH181" s="552"/>
      <c r="AI181" s="552"/>
      <c r="AJ181" s="552"/>
      <c r="AK181" s="552"/>
      <c r="AL181" s="552"/>
      <c r="AM181" s="552"/>
      <c r="AN181" s="552"/>
      <c r="AO181" s="552"/>
      <c r="AP181" s="552"/>
      <c r="AQ181" s="552" t="s">
        <v>1186</v>
      </c>
      <c r="AR181" s="552" t="s">
        <v>2998</v>
      </c>
      <c r="AS181" s="552" t="s">
        <v>6881</v>
      </c>
      <c r="AT181" s="552" t="s">
        <v>726</v>
      </c>
    </row>
    <row r="182" spans="1:46" ht="14.7" customHeight="1">
      <c r="A182" s="706"/>
      <c r="B182" s="557" t="s">
        <v>3698</v>
      </c>
      <c r="C182" s="539" t="s">
        <v>6869</v>
      </c>
      <c r="D182" s="539" t="s">
        <v>2783</v>
      </c>
      <c r="E182" s="539"/>
      <c r="F182" s="539"/>
      <c r="G182" s="539"/>
      <c r="H182" s="552"/>
      <c r="I182" s="552"/>
      <c r="J182" s="552"/>
      <c r="K182" s="552"/>
      <c r="L182" s="552"/>
      <c r="M182" s="552"/>
      <c r="N182" s="552"/>
      <c r="O182" s="552"/>
      <c r="P182" s="552"/>
      <c r="Q182" s="552"/>
      <c r="R182" s="552"/>
      <c r="S182" s="552"/>
      <c r="T182" s="552"/>
      <c r="U182" s="552"/>
      <c r="V182" s="552"/>
      <c r="W182" s="552"/>
      <c r="X182" s="552"/>
      <c r="Y182" s="552"/>
      <c r="Z182" s="552"/>
      <c r="AA182" s="552"/>
      <c r="AB182" s="552"/>
      <c r="AC182" s="552"/>
      <c r="AD182" s="552"/>
      <c r="AE182" s="552"/>
      <c r="AF182" s="552"/>
      <c r="AG182" s="552"/>
      <c r="AH182" s="552"/>
      <c r="AI182" s="552"/>
      <c r="AJ182" s="552"/>
      <c r="AK182" s="552"/>
      <c r="AL182" s="552"/>
      <c r="AM182" s="552"/>
      <c r="AN182" s="552"/>
      <c r="AO182" s="552"/>
      <c r="AP182" s="552"/>
      <c r="AQ182" s="552" t="s">
        <v>1186</v>
      </c>
      <c r="AR182" s="552" t="s">
        <v>2998</v>
      </c>
      <c r="AS182" s="552" t="s">
        <v>6881</v>
      </c>
      <c r="AT182" s="552" t="s">
        <v>726</v>
      </c>
    </row>
    <row r="183" spans="1:46" ht="14.7" customHeight="1">
      <c r="A183" s="706"/>
      <c r="B183" s="557" t="s">
        <v>3698</v>
      </c>
      <c r="C183" s="539" t="s">
        <v>6869</v>
      </c>
      <c r="D183" s="539" t="s">
        <v>2783</v>
      </c>
      <c r="E183" s="539"/>
      <c r="F183" s="539"/>
      <c r="G183" s="539"/>
      <c r="H183" s="552"/>
      <c r="I183" s="552"/>
      <c r="J183" s="552"/>
      <c r="K183" s="552"/>
      <c r="L183" s="552"/>
      <c r="M183" s="552"/>
      <c r="N183" s="552"/>
      <c r="O183" s="552"/>
      <c r="P183" s="552"/>
      <c r="Q183" s="552"/>
      <c r="R183" s="552"/>
      <c r="S183" s="552"/>
      <c r="T183" s="552"/>
      <c r="U183" s="552"/>
      <c r="V183" s="552"/>
      <c r="W183" s="552"/>
      <c r="X183" s="552"/>
      <c r="Y183" s="552"/>
      <c r="Z183" s="552"/>
      <c r="AA183" s="552"/>
      <c r="AB183" s="552"/>
      <c r="AC183" s="552"/>
      <c r="AD183" s="552"/>
      <c r="AE183" s="552"/>
      <c r="AF183" s="552"/>
      <c r="AG183" s="552"/>
      <c r="AH183" s="552"/>
      <c r="AI183" s="552"/>
      <c r="AJ183" s="552"/>
      <c r="AK183" s="552"/>
      <c r="AL183" s="552"/>
      <c r="AM183" s="552"/>
      <c r="AN183" s="552"/>
      <c r="AO183" s="552"/>
      <c r="AP183" s="552"/>
      <c r="AQ183" s="552" t="s">
        <v>1186</v>
      </c>
      <c r="AR183" s="552" t="s">
        <v>2998</v>
      </c>
      <c r="AS183" s="552" t="s">
        <v>6881</v>
      </c>
      <c r="AT183" s="552" t="s">
        <v>726</v>
      </c>
    </row>
    <row r="184" spans="1:46" ht="14.7" customHeight="1">
      <c r="A184" s="710" t="s">
        <v>6138</v>
      </c>
      <c r="B184" s="344" t="s">
        <v>3699</v>
      </c>
      <c r="C184" s="539" t="s">
        <v>6869</v>
      </c>
      <c r="D184" s="709" t="s">
        <v>7128</v>
      </c>
      <c r="E184" s="552" t="s">
        <v>6925</v>
      </c>
      <c r="F184" s="552" t="s">
        <v>6872</v>
      </c>
      <c r="G184" s="552" t="s">
        <v>7103</v>
      </c>
      <c r="H184" s="552"/>
      <c r="I184" s="552"/>
      <c r="J184" s="552" t="s">
        <v>7129</v>
      </c>
      <c r="K184" s="552"/>
      <c r="L184" s="552"/>
      <c r="M184" s="552"/>
      <c r="N184" s="552"/>
      <c r="O184" s="552"/>
      <c r="P184" s="552"/>
      <c r="Q184" s="552"/>
      <c r="R184" s="552"/>
      <c r="S184" s="552"/>
      <c r="T184" s="552"/>
      <c r="U184" s="552"/>
      <c r="V184" s="552"/>
      <c r="W184" s="552"/>
      <c r="X184" s="552"/>
      <c r="Y184" s="552"/>
      <c r="Z184" s="552"/>
      <c r="AA184" s="552"/>
      <c r="AB184" s="552"/>
      <c r="AC184" s="552"/>
      <c r="AD184" s="552"/>
      <c r="AE184" s="552"/>
      <c r="AF184" s="552"/>
      <c r="AG184" s="552"/>
      <c r="AH184" s="552"/>
      <c r="AI184" s="552"/>
      <c r="AJ184" s="552"/>
      <c r="AK184" s="552"/>
      <c r="AL184" s="552"/>
      <c r="AM184" s="552"/>
      <c r="AN184" s="552"/>
      <c r="AO184" s="712" t="s">
        <v>7130</v>
      </c>
      <c r="AP184" s="552"/>
      <c r="AQ184" s="552" t="s">
        <v>1186</v>
      </c>
      <c r="AR184" s="552" t="s">
        <v>2809</v>
      </c>
      <c r="AS184" s="552" t="s">
        <v>6881</v>
      </c>
      <c r="AT184" s="552" t="s">
        <v>726</v>
      </c>
    </row>
    <row r="185" spans="1:46" ht="14.7" customHeight="1">
      <c r="A185" s="710" t="s">
        <v>7131</v>
      </c>
      <c r="B185" s="344" t="s">
        <v>3699</v>
      </c>
      <c r="C185" s="539" t="s">
        <v>6869</v>
      </c>
      <c r="D185" s="709" t="s">
        <v>7132</v>
      </c>
      <c r="E185" s="552" t="s">
        <v>6925</v>
      </c>
      <c r="F185" s="552" t="s">
        <v>6872</v>
      </c>
      <c r="G185" s="552" t="s">
        <v>7103</v>
      </c>
      <c r="H185" s="552"/>
      <c r="I185" s="552"/>
      <c r="J185" s="552" t="s">
        <v>6947</v>
      </c>
      <c r="K185" s="552"/>
      <c r="L185" s="552"/>
      <c r="M185" s="552"/>
      <c r="N185" s="552"/>
      <c r="O185" s="552"/>
      <c r="P185" s="552"/>
      <c r="Q185" s="552"/>
      <c r="R185" s="552"/>
      <c r="S185" s="552"/>
      <c r="T185" s="552"/>
      <c r="U185" s="552"/>
      <c r="V185" s="552"/>
      <c r="W185" s="552"/>
      <c r="X185" s="552"/>
      <c r="Y185" s="552"/>
      <c r="Z185" s="552"/>
      <c r="AA185" s="552"/>
      <c r="AB185" s="552"/>
      <c r="AC185" s="552"/>
      <c r="AD185" s="552"/>
      <c r="AE185" s="552"/>
      <c r="AF185" s="552"/>
      <c r="AG185" s="552"/>
      <c r="AH185" s="552"/>
      <c r="AI185" s="552"/>
      <c r="AJ185" s="552"/>
      <c r="AK185" s="552"/>
      <c r="AL185" s="552"/>
      <c r="AM185" s="552"/>
      <c r="AN185" s="552"/>
      <c r="AO185" s="552"/>
      <c r="AP185" s="712" t="s">
        <v>7133</v>
      </c>
      <c r="AQ185" s="552" t="s">
        <v>1186</v>
      </c>
      <c r="AR185" s="552" t="s">
        <v>2809</v>
      </c>
      <c r="AS185" s="552" t="s">
        <v>6881</v>
      </c>
      <c r="AT185" s="552" t="s">
        <v>726</v>
      </c>
    </row>
    <row r="186" spans="1:46" ht="14.7" customHeight="1">
      <c r="A186" s="710" t="s">
        <v>6139</v>
      </c>
      <c r="B186" s="344" t="s">
        <v>3699</v>
      </c>
      <c r="C186" s="539" t="s">
        <v>6869</v>
      </c>
      <c r="D186" s="709" t="s">
        <v>7134</v>
      </c>
      <c r="E186" s="552" t="s">
        <v>6925</v>
      </c>
      <c r="F186" s="552" t="s">
        <v>6872</v>
      </c>
      <c r="G186" s="552" t="s">
        <v>7103</v>
      </c>
      <c r="H186" s="552"/>
      <c r="I186" s="552"/>
      <c r="J186" s="552" t="s">
        <v>7135</v>
      </c>
      <c r="K186" s="552"/>
      <c r="L186" s="552"/>
      <c r="M186" s="552"/>
      <c r="N186" s="552"/>
      <c r="O186" s="552"/>
      <c r="P186" s="552"/>
      <c r="Q186" s="552"/>
      <c r="R186" s="552"/>
      <c r="S186" s="552"/>
      <c r="T186" s="552"/>
      <c r="U186" s="552"/>
      <c r="V186" s="552"/>
      <c r="W186" s="552"/>
      <c r="X186" s="552"/>
      <c r="Y186" s="552"/>
      <c r="Z186" s="552"/>
      <c r="AA186" s="552"/>
      <c r="AB186" s="552"/>
      <c r="AC186" s="552"/>
      <c r="AD186" s="552"/>
      <c r="AE186" s="552"/>
      <c r="AF186" s="552"/>
      <c r="AG186" s="552"/>
      <c r="AH186" s="552"/>
      <c r="AI186" s="552"/>
      <c r="AJ186" s="552"/>
      <c r="AK186" s="552"/>
      <c r="AL186" s="552"/>
      <c r="AM186" s="552"/>
      <c r="AN186" s="552"/>
      <c r="AO186" s="552"/>
      <c r="AP186" s="712" t="s">
        <v>7136</v>
      </c>
      <c r="AQ186" s="552" t="s">
        <v>1186</v>
      </c>
      <c r="AR186" s="552" t="s">
        <v>2809</v>
      </c>
      <c r="AS186" s="552" t="s">
        <v>6881</v>
      </c>
      <c r="AT186" s="552" t="s">
        <v>726</v>
      </c>
    </row>
    <row r="187" spans="1:46" ht="14.7" customHeight="1">
      <c r="A187" s="710" t="s">
        <v>6140</v>
      </c>
      <c r="B187" s="344" t="s">
        <v>3699</v>
      </c>
      <c r="C187" s="539" t="s">
        <v>6869</v>
      </c>
      <c r="D187" s="709" t="s">
        <v>7137</v>
      </c>
      <c r="E187" s="552" t="s">
        <v>6925</v>
      </c>
      <c r="F187" s="552" t="s">
        <v>6872</v>
      </c>
      <c r="G187" s="552" t="s">
        <v>7103</v>
      </c>
      <c r="H187" s="552"/>
      <c r="I187" s="552"/>
      <c r="J187" s="552" t="s">
        <v>7019</v>
      </c>
      <c r="K187" s="552"/>
      <c r="L187" s="552"/>
      <c r="M187" s="552"/>
      <c r="N187" s="552"/>
      <c r="O187" s="552"/>
      <c r="P187" s="552"/>
      <c r="Q187" s="552"/>
      <c r="R187" s="552"/>
      <c r="S187" s="552"/>
      <c r="T187" s="552"/>
      <c r="U187" s="552"/>
      <c r="V187" s="552"/>
      <c r="W187" s="552"/>
      <c r="X187" s="552"/>
      <c r="Y187" s="552"/>
      <c r="Z187" s="552"/>
      <c r="AA187" s="552"/>
      <c r="AB187" s="552"/>
      <c r="AC187" s="552"/>
      <c r="AD187" s="552"/>
      <c r="AE187" s="552"/>
      <c r="AF187" s="552"/>
      <c r="AG187" s="552"/>
      <c r="AH187" s="552"/>
      <c r="AI187" s="552"/>
      <c r="AJ187" s="552"/>
      <c r="AK187" s="552"/>
      <c r="AL187" s="552"/>
      <c r="AM187" s="552"/>
      <c r="AN187" s="552"/>
      <c r="AO187" s="712" t="s">
        <v>7138</v>
      </c>
      <c r="AP187" s="552"/>
      <c r="AQ187" s="552" t="s">
        <v>1186</v>
      </c>
      <c r="AR187" s="552" t="s">
        <v>2809</v>
      </c>
      <c r="AS187" s="552" t="s">
        <v>6881</v>
      </c>
      <c r="AT187" s="552" t="s">
        <v>726</v>
      </c>
    </row>
    <row r="188" spans="1:46" ht="14.7" customHeight="1">
      <c r="A188" s="706"/>
      <c r="B188" s="344" t="s">
        <v>3699</v>
      </c>
      <c r="C188" s="539" t="s">
        <v>6869</v>
      </c>
      <c r="D188" s="539" t="s">
        <v>2783</v>
      </c>
      <c r="E188" s="539"/>
      <c r="F188" s="539"/>
      <c r="G188" s="539"/>
      <c r="H188" s="552"/>
      <c r="I188" s="552"/>
      <c r="J188" s="552"/>
      <c r="K188" s="552"/>
      <c r="L188" s="552"/>
      <c r="M188" s="552"/>
      <c r="N188" s="552"/>
      <c r="O188" s="552"/>
      <c r="P188" s="552"/>
      <c r="Q188" s="552"/>
      <c r="R188" s="552"/>
      <c r="S188" s="552"/>
      <c r="T188" s="552"/>
      <c r="U188" s="552"/>
      <c r="V188" s="552"/>
      <c r="W188" s="552"/>
      <c r="X188" s="552"/>
      <c r="Y188" s="552"/>
      <c r="Z188" s="552"/>
      <c r="AA188" s="552"/>
      <c r="AB188" s="552"/>
      <c r="AC188" s="552"/>
      <c r="AD188" s="552"/>
      <c r="AE188" s="552"/>
      <c r="AF188" s="552"/>
      <c r="AG188" s="552"/>
      <c r="AH188" s="552"/>
      <c r="AI188" s="552"/>
      <c r="AJ188" s="552"/>
      <c r="AK188" s="552"/>
      <c r="AL188" s="552"/>
      <c r="AM188" s="552"/>
      <c r="AN188" s="552"/>
      <c r="AO188" s="552"/>
      <c r="AP188" s="552"/>
      <c r="AQ188" s="552" t="s">
        <v>1186</v>
      </c>
      <c r="AR188" s="552" t="s">
        <v>2809</v>
      </c>
      <c r="AS188" s="552" t="s">
        <v>6881</v>
      </c>
      <c r="AT188" s="552" t="s">
        <v>726</v>
      </c>
    </row>
    <row r="189" spans="1:46" ht="14.7" customHeight="1">
      <c r="A189" s="719" t="s">
        <v>6141</v>
      </c>
      <c r="B189" s="559" t="s">
        <v>3700</v>
      </c>
      <c r="C189" s="539" t="s">
        <v>6869</v>
      </c>
      <c r="D189" s="539" t="s">
        <v>7139</v>
      </c>
      <c r="E189" s="552" t="s">
        <v>6925</v>
      </c>
      <c r="F189" s="552" t="s">
        <v>6872</v>
      </c>
      <c r="G189" s="552" t="s">
        <v>7103</v>
      </c>
      <c r="H189" s="552"/>
      <c r="I189" s="552"/>
      <c r="J189" s="552" t="s">
        <v>7070</v>
      </c>
      <c r="K189" s="552"/>
      <c r="L189" s="552"/>
      <c r="M189" s="552"/>
      <c r="N189" s="552"/>
      <c r="O189" s="552"/>
      <c r="P189" s="552"/>
      <c r="Q189" s="552"/>
      <c r="R189" s="552"/>
      <c r="S189" s="552"/>
      <c r="T189" s="552"/>
      <c r="U189" s="552"/>
      <c r="V189" s="552"/>
      <c r="W189" s="552"/>
      <c r="X189" s="552"/>
      <c r="Y189" s="552"/>
      <c r="Z189" s="552"/>
      <c r="AA189" s="552"/>
      <c r="AB189" s="552"/>
      <c r="AC189" s="552"/>
      <c r="AD189" s="552"/>
      <c r="AE189" s="552"/>
      <c r="AF189" s="552"/>
      <c r="AG189" s="552"/>
      <c r="AH189" s="552"/>
      <c r="AI189" s="552"/>
      <c r="AJ189" s="552"/>
      <c r="AK189" s="552"/>
      <c r="AL189" s="552"/>
      <c r="AM189" s="552"/>
      <c r="AN189" s="552"/>
      <c r="AO189" s="552" t="s">
        <v>7140</v>
      </c>
      <c r="AP189" s="552"/>
      <c r="AQ189" s="552" t="s">
        <v>1186</v>
      </c>
      <c r="AR189" s="552" t="s">
        <v>2971</v>
      </c>
      <c r="AS189" s="552" t="s">
        <v>6881</v>
      </c>
      <c r="AT189" s="552" t="s">
        <v>726</v>
      </c>
    </row>
    <row r="190" spans="1:46" ht="14.7" customHeight="1">
      <c r="A190" s="706"/>
      <c r="B190" s="559" t="s">
        <v>3700</v>
      </c>
      <c r="C190" s="539" t="s">
        <v>6869</v>
      </c>
      <c r="D190" s="539" t="s">
        <v>2783</v>
      </c>
      <c r="E190" s="539"/>
      <c r="F190" s="539"/>
      <c r="G190" s="539"/>
      <c r="H190" s="552"/>
      <c r="I190" s="552"/>
      <c r="J190" s="552"/>
      <c r="K190" s="552"/>
      <c r="L190" s="552"/>
      <c r="M190" s="552"/>
      <c r="N190" s="552"/>
      <c r="O190" s="552"/>
      <c r="P190" s="552"/>
      <c r="Q190" s="552"/>
      <c r="R190" s="552"/>
      <c r="S190" s="552"/>
      <c r="T190" s="552"/>
      <c r="U190" s="552"/>
      <c r="V190" s="552"/>
      <c r="W190" s="552"/>
      <c r="X190" s="552"/>
      <c r="Y190" s="552"/>
      <c r="Z190" s="552"/>
      <c r="AA190" s="552"/>
      <c r="AB190" s="552"/>
      <c r="AC190" s="552"/>
      <c r="AD190" s="552"/>
      <c r="AE190" s="552"/>
      <c r="AF190" s="552"/>
      <c r="AG190" s="552"/>
      <c r="AH190" s="552"/>
      <c r="AI190" s="552"/>
      <c r="AJ190" s="552"/>
      <c r="AK190" s="552"/>
      <c r="AL190" s="552"/>
      <c r="AM190" s="552"/>
      <c r="AN190" s="552"/>
      <c r="AO190" s="552"/>
      <c r="AP190" s="552"/>
      <c r="AQ190" s="552" t="s">
        <v>1186</v>
      </c>
      <c r="AR190" s="552" t="s">
        <v>2971</v>
      </c>
      <c r="AS190" s="552" t="s">
        <v>6881</v>
      </c>
      <c r="AT190" s="552" t="s">
        <v>726</v>
      </c>
    </row>
    <row r="191" spans="1:46" ht="14.7" customHeight="1">
      <c r="A191" s="706"/>
      <c r="B191" s="711" t="s">
        <v>6055</v>
      </c>
      <c r="C191" s="539" t="s">
        <v>6869</v>
      </c>
      <c r="D191" s="539"/>
      <c r="E191" s="552"/>
      <c r="F191" s="552"/>
      <c r="G191" s="552"/>
      <c r="H191" s="552"/>
      <c r="I191" s="552"/>
      <c r="J191" s="552"/>
      <c r="K191" s="552"/>
      <c r="L191" s="552"/>
      <c r="M191" s="552"/>
      <c r="N191" s="552"/>
      <c r="O191" s="552"/>
      <c r="P191" s="552"/>
      <c r="Q191" s="552"/>
      <c r="R191" s="552"/>
      <c r="S191" s="552"/>
      <c r="T191" s="552"/>
      <c r="U191" s="552"/>
      <c r="V191" s="552"/>
      <c r="W191" s="552"/>
      <c r="X191" s="552"/>
      <c r="Y191" s="552"/>
      <c r="Z191" s="552"/>
      <c r="AA191" s="552"/>
      <c r="AB191" s="552"/>
      <c r="AC191" s="552"/>
      <c r="AD191" s="552"/>
      <c r="AE191" s="552"/>
      <c r="AF191" s="552"/>
      <c r="AG191" s="552"/>
      <c r="AH191" s="552"/>
      <c r="AI191" s="552"/>
      <c r="AJ191" s="552"/>
      <c r="AK191" s="552"/>
      <c r="AL191" s="552"/>
      <c r="AM191" s="552"/>
      <c r="AN191" s="552"/>
      <c r="AO191" s="552"/>
      <c r="AP191" s="552"/>
      <c r="AQ191" s="552" t="s">
        <v>1186</v>
      </c>
      <c r="AR191" s="552" t="s">
        <v>6697</v>
      </c>
      <c r="AS191" s="552" t="s">
        <v>6881</v>
      </c>
      <c r="AT191" s="552" t="s">
        <v>726</v>
      </c>
    </row>
    <row r="192" spans="1:46" ht="14.7" customHeight="1">
      <c r="A192" s="706" t="s">
        <v>6142</v>
      </c>
      <c r="B192" s="540" t="s">
        <v>3695</v>
      </c>
      <c r="C192" s="539" t="s">
        <v>6869</v>
      </c>
      <c r="D192" s="709" t="s">
        <v>7141</v>
      </c>
      <c r="E192" s="552" t="s">
        <v>6871</v>
      </c>
      <c r="F192" s="552" t="s">
        <v>6872</v>
      </c>
      <c r="G192" s="552" t="s">
        <v>7142</v>
      </c>
      <c r="H192" s="552"/>
      <c r="I192" s="552"/>
      <c r="J192" s="552" t="s">
        <v>7143</v>
      </c>
      <c r="K192" s="552"/>
      <c r="L192" s="552"/>
      <c r="M192" s="552"/>
      <c r="N192" s="552"/>
      <c r="O192" s="552"/>
      <c r="P192" s="552"/>
      <c r="Q192" s="552"/>
      <c r="R192" s="552"/>
      <c r="S192" s="552"/>
      <c r="T192" s="552"/>
      <c r="U192" s="552"/>
      <c r="V192" s="552"/>
      <c r="W192" s="552"/>
      <c r="X192" s="552"/>
      <c r="Y192" s="552"/>
      <c r="Z192" s="552"/>
      <c r="AA192" s="552"/>
      <c r="AB192" s="552"/>
      <c r="AC192" s="552"/>
      <c r="AD192" s="552"/>
      <c r="AE192" s="552"/>
      <c r="AF192" s="552"/>
      <c r="AG192" s="552"/>
      <c r="AH192" s="552"/>
      <c r="AI192" s="552"/>
      <c r="AJ192" s="552"/>
      <c r="AK192" s="552"/>
      <c r="AL192" s="552"/>
      <c r="AM192" s="552"/>
      <c r="AN192" s="552"/>
      <c r="AO192" s="552"/>
      <c r="AP192" s="552"/>
      <c r="AQ192" s="552" t="s">
        <v>1186</v>
      </c>
      <c r="AR192" s="552" t="s">
        <v>2802</v>
      </c>
      <c r="AS192" s="552" t="s">
        <v>6881</v>
      </c>
      <c r="AT192" s="552" t="s">
        <v>726</v>
      </c>
    </row>
    <row r="193" spans="1:46" ht="14.7" customHeight="1">
      <c r="A193" s="706"/>
      <c r="B193" s="540" t="s">
        <v>3695</v>
      </c>
      <c r="C193" s="539" t="s">
        <v>6869</v>
      </c>
      <c r="D193" s="539" t="s">
        <v>2783</v>
      </c>
      <c r="E193" s="539"/>
      <c r="F193" s="539"/>
      <c r="G193" s="539"/>
      <c r="H193" s="552"/>
      <c r="I193" s="552"/>
      <c r="J193" s="552"/>
      <c r="K193" s="552"/>
      <c r="L193" s="552"/>
      <c r="M193" s="552"/>
      <c r="N193" s="552"/>
      <c r="O193" s="552"/>
      <c r="P193" s="552"/>
      <c r="Q193" s="552"/>
      <c r="R193" s="552"/>
      <c r="S193" s="552"/>
      <c r="T193" s="552"/>
      <c r="U193" s="552"/>
      <c r="V193" s="552"/>
      <c r="W193" s="552"/>
      <c r="X193" s="552"/>
      <c r="Y193" s="552"/>
      <c r="Z193" s="552"/>
      <c r="AA193" s="552"/>
      <c r="AB193" s="552"/>
      <c r="AC193" s="552"/>
      <c r="AD193" s="552"/>
      <c r="AE193" s="552"/>
      <c r="AF193" s="552"/>
      <c r="AG193" s="552"/>
      <c r="AH193" s="552"/>
      <c r="AI193" s="552"/>
      <c r="AJ193" s="552"/>
      <c r="AK193" s="552"/>
      <c r="AL193" s="552"/>
      <c r="AM193" s="552"/>
      <c r="AN193" s="552"/>
      <c r="AO193" s="552"/>
      <c r="AP193" s="552"/>
      <c r="AQ193" s="552" t="s">
        <v>1186</v>
      </c>
      <c r="AR193" s="552" t="s">
        <v>2802</v>
      </c>
      <c r="AS193" s="552" t="s">
        <v>6881</v>
      </c>
      <c r="AT193" s="552" t="s">
        <v>726</v>
      </c>
    </row>
    <row r="194" spans="1:46" ht="14.7" customHeight="1">
      <c r="A194" s="706"/>
      <c r="B194" s="707" t="s">
        <v>3696</v>
      </c>
      <c r="C194" s="539" t="s">
        <v>6869</v>
      </c>
      <c r="D194" s="539" t="s">
        <v>2783</v>
      </c>
      <c r="E194" s="539"/>
      <c r="F194" s="539"/>
      <c r="G194" s="539"/>
      <c r="H194" s="552"/>
      <c r="I194" s="552"/>
      <c r="J194" s="552"/>
      <c r="K194" s="552"/>
      <c r="L194" s="552"/>
      <c r="M194" s="552"/>
      <c r="N194" s="552"/>
      <c r="O194" s="552"/>
      <c r="P194" s="552"/>
      <c r="Q194" s="552"/>
      <c r="R194" s="552"/>
      <c r="S194" s="552"/>
      <c r="T194" s="552"/>
      <c r="U194" s="552"/>
      <c r="V194" s="552"/>
      <c r="W194" s="552"/>
      <c r="X194" s="552"/>
      <c r="Y194" s="552"/>
      <c r="Z194" s="552"/>
      <c r="AA194" s="552"/>
      <c r="AB194" s="552"/>
      <c r="AC194" s="552"/>
      <c r="AD194" s="552"/>
      <c r="AE194" s="552"/>
      <c r="AF194" s="552"/>
      <c r="AG194" s="552"/>
      <c r="AH194" s="552"/>
      <c r="AI194" s="552"/>
      <c r="AJ194" s="552"/>
      <c r="AK194" s="552"/>
      <c r="AL194" s="552"/>
      <c r="AM194" s="552"/>
      <c r="AN194" s="552"/>
      <c r="AO194" s="552"/>
      <c r="AP194" s="552"/>
      <c r="AQ194" s="552" t="s">
        <v>1186</v>
      </c>
      <c r="AR194" s="552" t="s">
        <v>2805</v>
      </c>
      <c r="AS194" s="552" t="s">
        <v>6881</v>
      </c>
      <c r="AT194" s="552" t="s">
        <v>726</v>
      </c>
    </row>
    <row r="195" spans="1:46" ht="14.7" customHeight="1">
      <c r="A195" s="706"/>
      <c r="B195" s="707" t="s">
        <v>3696</v>
      </c>
      <c r="C195" s="539" t="s">
        <v>6869</v>
      </c>
      <c r="D195" s="539" t="s">
        <v>2783</v>
      </c>
      <c r="E195" s="539"/>
      <c r="F195" s="539"/>
      <c r="G195" s="539"/>
      <c r="H195" s="552"/>
      <c r="I195" s="552"/>
      <c r="J195" s="552"/>
      <c r="K195" s="552"/>
      <c r="L195" s="552"/>
      <c r="M195" s="552"/>
      <c r="N195" s="552"/>
      <c r="O195" s="552"/>
      <c r="P195" s="552"/>
      <c r="Q195" s="552"/>
      <c r="R195" s="552"/>
      <c r="S195" s="552"/>
      <c r="T195" s="552"/>
      <c r="U195" s="552"/>
      <c r="V195" s="552"/>
      <c r="W195" s="552"/>
      <c r="X195" s="552"/>
      <c r="Y195" s="552"/>
      <c r="Z195" s="552"/>
      <c r="AA195" s="552"/>
      <c r="AB195" s="552"/>
      <c r="AC195" s="552"/>
      <c r="AD195" s="552"/>
      <c r="AE195" s="552"/>
      <c r="AF195" s="552"/>
      <c r="AG195" s="552"/>
      <c r="AH195" s="552"/>
      <c r="AI195" s="552"/>
      <c r="AJ195" s="552"/>
      <c r="AK195" s="552"/>
      <c r="AL195" s="552"/>
      <c r="AM195" s="552"/>
      <c r="AN195" s="552"/>
      <c r="AO195" s="552"/>
      <c r="AP195" s="552"/>
      <c r="AQ195" s="552" t="s">
        <v>1186</v>
      </c>
      <c r="AR195" s="552" t="s">
        <v>2805</v>
      </c>
      <c r="AS195" s="552" t="s">
        <v>6881</v>
      </c>
      <c r="AT195" s="552" t="s">
        <v>726</v>
      </c>
    </row>
    <row r="196" spans="1:46" ht="14.7" customHeight="1">
      <c r="A196" s="710" t="s">
        <v>6143</v>
      </c>
      <c r="B196" s="556" t="s">
        <v>3697</v>
      </c>
      <c r="C196" s="539" t="s">
        <v>6869</v>
      </c>
      <c r="D196" s="709" t="s">
        <v>7144</v>
      </c>
      <c r="E196" s="552" t="s">
        <v>6871</v>
      </c>
      <c r="F196" s="552" t="s">
        <v>6872</v>
      </c>
      <c r="G196" s="552" t="s">
        <v>7142</v>
      </c>
      <c r="H196" s="552"/>
      <c r="I196" s="552"/>
      <c r="J196" s="552" t="s">
        <v>6990</v>
      </c>
      <c r="K196" s="552"/>
      <c r="L196" s="552"/>
      <c r="M196" s="552"/>
      <c r="N196" s="552"/>
      <c r="O196" s="552"/>
      <c r="P196" s="552"/>
      <c r="Q196" s="552"/>
      <c r="R196" s="552"/>
      <c r="S196" s="552"/>
      <c r="T196" s="552"/>
      <c r="U196" s="552"/>
      <c r="V196" s="552"/>
      <c r="W196" s="552"/>
      <c r="X196" s="552"/>
      <c r="Y196" s="552"/>
      <c r="Z196" s="552"/>
      <c r="AA196" s="552"/>
      <c r="AB196" s="552"/>
      <c r="AC196" s="552"/>
      <c r="AD196" s="552"/>
      <c r="AE196" s="552"/>
      <c r="AF196" s="552"/>
      <c r="AG196" s="552"/>
      <c r="AH196" s="552"/>
      <c r="AI196" s="552"/>
      <c r="AJ196" s="552"/>
      <c r="AK196" s="552"/>
      <c r="AL196" s="552"/>
      <c r="AM196" s="552"/>
      <c r="AN196" s="552"/>
      <c r="AO196" s="552" t="s">
        <v>7145</v>
      </c>
      <c r="AP196" s="552"/>
      <c r="AQ196" s="552" t="s">
        <v>1186</v>
      </c>
      <c r="AR196" s="552" t="s">
        <v>2875</v>
      </c>
      <c r="AS196" s="552" t="s">
        <v>6881</v>
      </c>
      <c r="AT196" s="552" t="s">
        <v>726</v>
      </c>
    </row>
    <row r="197" spans="1:46" ht="14.7" customHeight="1">
      <c r="A197" s="706"/>
      <c r="B197" s="556" t="s">
        <v>3697</v>
      </c>
      <c r="C197" s="539" t="s">
        <v>6869</v>
      </c>
      <c r="D197" s="539" t="s">
        <v>2783</v>
      </c>
      <c r="E197" s="539"/>
      <c r="F197" s="539"/>
      <c r="G197" s="539"/>
      <c r="H197" s="552"/>
      <c r="I197" s="552"/>
      <c r="J197" s="552"/>
      <c r="K197" s="552"/>
      <c r="L197" s="552"/>
      <c r="M197" s="552"/>
      <c r="N197" s="552"/>
      <c r="O197" s="552"/>
      <c r="P197" s="552"/>
      <c r="Q197" s="552"/>
      <c r="R197" s="552"/>
      <c r="S197" s="552"/>
      <c r="T197" s="552"/>
      <c r="U197" s="552"/>
      <c r="V197" s="552"/>
      <c r="W197" s="552"/>
      <c r="X197" s="552"/>
      <c r="Y197" s="552"/>
      <c r="Z197" s="552"/>
      <c r="AA197" s="552"/>
      <c r="AB197" s="552"/>
      <c r="AC197" s="552"/>
      <c r="AD197" s="552"/>
      <c r="AE197" s="552"/>
      <c r="AF197" s="552"/>
      <c r="AG197" s="552"/>
      <c r="AH197" s="552"/>
      <c r="AI197" s="552"/>
      <c r="AJ197" s="552"/>
      <c r="AK197" s="552"/>
      <c r="AL197" s="552"/>
      <c r="AM197" s="552"/>
      <c r="AN197" s="552"/>
      <c r="AO197" s="552"/>
      <c r="AP197" s="552"/>
      <c r="AQ197" s="552" t="s">
        <v>1186</v>
      </c>
      <c r="AR197" s="552" t="s">
        <v>2875</v>
      </c>
      <c r="AS197" s="552" t="s">
        <v>6881</v>
      </c>
      <c r="AT197" s="552" t="s">
        <v>726</v>
      </c>
    </row>
    <row r="198" spans="1:46" ht="14.7" customHeight="1">
      <c r="A198" s="706"/>
      <c r="B198" s="556" t="s">
        <v>3697</v>
      </c>
      <c r="C198" s="539" t="s">
        <v>6869</v>
      </c>
      <c r="D198" s="539" t="s">
        <v>2783</v>
      </c>
      <c r="E198" s="539"/>
      <c r="F198" s="539"/>
      <c r="G198" s="539"/>
      <c r="H198" s="552"/>
      <c r="I198" s="552"/>
      <c r="J198" s="552"/>
      <c r="K198" s="552"/>
      <c r="L198" s="552"/>
      <c r="M198" s="552"/>
      <c r="N198" s="552"/>
      <c r="O198" s="552"/>
      <c r="P198" s="552"/>
      <c r="Q198" s="552"/>
      <c r="R198" s="552"/>
      <c r="S198" s="552"/>
      <c r="T198" s="552"/>
      <c r="U198" s="552"/>
      <c r="V198" s="552"/>
      <c r="W198" s="552"/>
      <c r="X198" s="552"/>
      <c r="Y198" s="552"/>
      <c r="Z198" s="552"/>
      <c r="AA198" s="552"/>
      <c r="AB198" s="552"/>
      <c r="AC198" s="552"/>
      <c r="AD198" s="552"/>
      <c r="AE198" s="552"/>
      <c r="AF198" s="552"/>
      <c r="AG198" s="552"/>
      <c r="AH198" s="552"/>
      <c r="AI198" s="552"/>
      <c r="AJ198" s="552"/>
      <c r="AK198" s="552"/>
      <c r="AL198" s="552"/>
      <c r="AM198" s="552"/>
      <c r="AN198" s="552"/>
      <c r="AO198" s="552"/>
      <c r="AP198" s="552"/>
      <c r="AQ198" s="552" t="s">
        <v>1186</v>
      </c>
      <c r="AR198" s="552" t="s">
        <v>2875</v>
      </c>
      <c r="AS198" s="552" t="s">
        <v>6881</v>
      </c>
      <c r="AT198" s="552" t="s">
        <v>726</v>
      </c>
    </row>
    <row r="199" spans="1:46" ht="14.7" customHeight="1">
      <c r="A199" s="710" t="s">
        <v>6144</v>
      </c>
      <c r="B199" s="557" t="s">
        <v>3698</v>
      </c>
      <c r="C199" s="539" t="s">
        <v>6869</v>
      </c>
      <c r="D199" s="709" t="s">
        <v>7146</v>
      </c>
      <c r="E199" s="552" t="s">
        <v>6871</v>
      </c>
      <c r="F199" s="552" t="s">
        <v>6872</v>
      </c>
      <c r="G199" s="552" t="s">
        <v>7142</v>
      </c>
      <c r="H199" s="552"/>
      <c r="I199" s="552"/>
      <c r="J199" s="552" t="s">
        <v>6883</v>
      </c>
      <c r="K199" s="552" t="s">
        <v>7147</v>
      </c>
      <c r="L199" s="552"/>
      <c r="M199" s="552"/>
      <c r="N199" s="552"/>
      <c r="O199" s="552"/>
      <c r="P199" s="552"/>
      <c r="Q199" s="552"/>
      <c r="R199" s="552"/>
      <c r="S199" s="552"/>
      <c r="T199" s="552"/>
      <c r="U199" s="552"/>
      <c r="V199" s="552"/>
      <c r="W199" s="552"/>
      <c r="X199" s="552"/>
      <c r="Y199" s="552"/>
      <c r="Z199" s="552"/>
      <c r="AA199" s="552"/>
      <c r="AB199" s="552"/>
      <c r="AC199" s="552"/>
      <c r="AD199" s="552"/>
      <c r="AE199" s="552"/>
      <c r="AF199" s="552"/>
      <c r="AG199" s="552"/>
      <c r="AH199" s="552"/>
      <c r="AI199" s="552"/>
      <c r="AJ199" s="552"/>
      <c r="AK199" s="552"/>
      <c r="AL199" s="552"/>
      <c r="AM199" s="552"/>
      <c r="AN199" s="552"/>
      <c r="AO199" s="552"/>
      <c r="AP199" s="552"/>
      <c r="AQ199" s="552" t="s">
        <v>1186</v>
      </c>
      <c r="AR199" s="552" t="s">
        <v>2998</v>
      </c>
      <c r="AS199" s="552" t="s">
        <v>6881</v>
      </c>
      <c r="AT199" s="552" t="s">
        <v>726</v>
      </c>
    </row>
    <row r="200" spans="1:46" ht="14.7" customHeight="1">
      <c r="A200" s="706"/>
      <c r="B200" s="557" t="s">
        <v>3698</v>
      </c>
      <c r="C200" s="539" t="s">
        <v>6869</v>
      </c>
      <c r="D200" s="539" t="s">
        <v>2783</v>
      </c>
      <c r="E200" s="539"/>
      <c r="F200" s="539"/>
      <c r="G200" s="539"/>
      <c r="H200" s="552"/>
      <c r="I200" s="552"/>
      <c r="J200" s="552"/>
      <c r="K200" s="552"/>
      <c r="L200" s="552"/>
      <c r="M200" s="552"/>
      <c r="N200" s="552"/>
      <c r="O200" s="552"/>
      <c r="P200" s="552"/>
      <c r="Q200" s="552"/>
      <c r="R200" s="552"/>
      <c r="S200" s="552"/>
      <c r="T200" s="552"/>
      <c r="U200" s="552"/>
      <c r="V200" s="552"/>
      <c r="W200" s="552"/>
      <c r="X200" s="552"/>
      <c r="Y200" s="552"/>
      <c r="Z200" s="552"/>
      <c r="AA200" s="552"/>
      <c r="AB200" s="552"/>
      <c r="AC200" s="552"/>
      <c r="AD200" s="552"/>
      <c r="AE200" s="552"/>
      <c r="AF200" s="552"/>
      <c r="AG200" s="552"/>
      <c r="AH200" s="552"/>
      <c r="AI200" s="552"/>
      <c r="AJ200" s="552"/>
      <c r="AK200" s="552"/>
      <c r="AL200" s="552"/>
      <c r="AM200" s="552"/>
      <c r="AN200" s="552"/>
      <c r="AO200" s="552"/>
      <c r="AP200" s="552"/>
      <c r="AQ200" s="552" t="s">
        <v>1186</v>
      </c>
      <c r="AR200" s="552" t="s">
        <v>2998</v>
      </c>
      <c r="AS200" s="552" t="s">
        <v>6881</v>
      </c>
      <c r="AT200" s="552" t="s">
        <v>726</v>
      </c>
    </row>
    <row r="201" spans="1:46" ht="14.7" customHeight="1">
      <c r="A201" s="706"/>
      <c r="B201" s="557" t="s">
        <v>3698</v>
      </c>
      <c r="C201" s="539" t="s">
        <v>6869</v>
      </c>
      <c r="D201" s="539" t="s">
        <v>2783</v>
      </c>
      <c r="E201" s="539"/>
      <c r="F201" s="539"/>
      <c r="G201" s="539"/>
      <c r="H201" s="552"/>
      <c r="I201" s="552"/>
      <c r="J201" s="552"/>
      <c r="K201" s="552"/>
      <c r="L201" s="552"/>
      <c r="M201" s="552"/>
      <c r="N201" s="552"/>
      <c r="O201" s="552"/>
      <c r="P201" s="552"/>
      <c r="Q201" s="552"/>
      <c r="R201" s="552"/>
      <c r="S201" s="552"/>
      <c r="T201" s="552"/>
      <c r="U201" s="552"/>
      <c r="V201" s="552"/>
      <c r="W201" s="552"/>
      <c r="X201" s="552"/>
      <c r="Y201" s="552"/>
      <c r="Z201" s="552"/>
      <c r="AA201" s="552"/>
      <c r="AB201" s="552"/>
      <c r="AC201" s="552"/>
      <c r="AD201" s="552"/>
      <c r="AE201" s="552"/>
      <c r="AF201" s="552"/>
      <c r="AG201" s="552"/>
      <c r="AH201" s="552"/>
      <c r="AI201" s="552"/>
      <c r="AJ201" s="552"/>
      <c r="AK201" s="552"/>
      <c r="AL201" s="552"/>
      <c r="AM201" s="552"/>
      <c r="AN201" s="552"/>
      <c r="AO201" s="552"/>
      <c r="AP201" s="552"/>
      <c r="AQ201" s="552" t="s">
        <v>1186</v>
      </c>
      <c r="AR201" s="552" t="s">
        <v>2998</v>
      </c>
      <c r="AS201" s="552" t="s">
        <v>6881</v>
      </c>
      <c r="AT201" s="552" t="s">
        <v>726</v>
      </c>
    </row>
    <row r="202" spans="1:46" ht="14.7" customHeight="1">
      <c r="A202" s="706"/>
      <c r="B202" s="557" t="s">
        <v>3698</v>
      </c>
      <c r="C202" s="539" t="s">
        <v>6869</v>
      </c>
      <c r="D202" s="539" t="s">
        <v>2783</v>
      </c>
      <c r="E202" s="539"/>
      <c r="F202" s="539"/>
      <c r="G202" s="539"/>
      <c r="H202" s="552"/>
      <c r="I202" s="552"/>
      <c r="J202" s="552"/>
      <c r="K202" s="552"/>
      <c r="L202" s="552"/>
      <c r="M202" s="552"/>
      <c r="N202" s="552"/>
      <c r="O202" s="552"/>
      <c r="P202" s="552"/>
      <c r="Q202" s="552"/>
      <c r="R202" s="552"/>
      <c r="S202" s="552"/>
      <c r="T202" s="552"/>
      <c r="U202" s="552"/>
      <c r="V202" s="552"/>
      <c r="W202" s="552"/>
      <c r="X202" s="552"/>
      <c r="Y202" s="552"/>
      <c r="Z202" s="552"/>
      <c r="AA202" s="552"/>
      <c r="AB202" s="552"/>
      <c r="AC202" s="552"/>
      <c r="AD202" s="552"/>
      <c r="AE202" s="552"/>
      <c r="AF202" s="552"/>
      <c r="AG202" s="552"/>
      <c r="AH202" s="552"/>
      <c r="AI202" s="552"/>
      <c r="AJ202" s="552"/>
      <c r="AK202" s="552"/>
      <c r="AL202" s="552"/>
      <c r="AM202" s="552"/>
      <c r="AN202" s="552"/>
      <c r="AO202" s="552"/>
      <c r="AP202" s="552"/>
      <c r="AQ202" s="552" t="s">
        <v>1186</v>
      </c>
      <c r="AR202" s="552" t="s">
        <v>2998</v>
      </c>
      <c r="AS202" s="552" t="s">
        <v>6881</v>
      </c>
      <c r="AT202" s="552" t="s">
        <v>726</v>
      </c>
    </row>
    <row r="203" spans="1:46" ht="14.7" customHeight="1">
      <c r="A203" s="710" t="s">
        <v>7148</v>
      </c>
      <c r="B203" s="344" t="s">
        <v>3699</v>
      </c>
      <c r="C203" s="539" t="s">
        <v>6869</v>
      </c>
      <c r="D203" s="709" t="s">
        <v>7149</v>
      </c>
      <c r="E203" s="552" t="s">
        <v>6871</v>
      </c>
      <c r="F203" s="552" t="s">
        <v>6872</v>
      </c>
      <c r="G203" s="552" t="s">
        <v>7142</v>
      </c>
      <c r="H203" s="552"/>
      <c r="I203" s="552"/>
      <c r="J203" s="552" t="s">
        <v>7143</v>
      </c>
      <c r="K203" s="552"/>
      <c r="L203" s="552"/>
      <c r="M203" s="552"/>
      <c r="N203" s="552"/>
      <c r="O203" s="552"/>
      <c r="P203" s="552"/>
      <c r="Q203" s="552"/>
      <c r="R203" s="552"/>
      <c r="S203" s="552"/>
      <c r="T203" s="552"/>
      <c r="U203" s="552"/>
      <c r="V203" s="552"/>
      <c r="W203" s="552"/>
      <c r="X203" s="552"/>
      <c r="Y203" s="552"/>
      <c r="Z203" s="552"/>
      <c r="AA203" s="552"/>
      <c r="AB203" s="552"/>
      <c r="AC203" s="552"/>
      <c r="AD203" s="552"/>
      <c r="AE203" s="552"/>
      <c r="AF203" s="552"/>
      <c r="AG203" s="552"/>
      <c r="AH203" s="552"/>
      <c r="AI203" s="552"/>
      <c r="AJ203" s="552"/>
      <c r="AK203" s="552"/>
      <c r="AL203" s="552"/>
      <c r="AM203" s="552"/>
      <c r="AN203" s="552"/>
      <c r="AO203" s="552"/>
      <c r="AP203" s="712" t="s">
        <v>7150</v>
      </c>
      <c r="AQ203" s="552" t="s">
        <v>1186</v>
      </c>
      <c r="AR203" s="552" t="s">
        <v>2809</v>
      </c>
      <c r="AS203" s="552" t="s">
        <v>6881</v>
      </c>
      <c r="AT203" s="552" t="s">
        <v>726</v>
      </c>
    </row>
    <row r="204" spans="1:46" ht="14.7" customHeight="1">
      <c r="A204" s="706" t="s">
        <v>6145</v>
      </c>
      <c r="B204" s="344" t="s">
        <v>3699</v>
      </c>
      <c r="C204" s="539" t="s">
        <v>6869</v>
      </c>
      <c r="D204" s="709" t="s">
        <v>7151</v>
      </c>
      <c r="E204" s="552" t="s">
        <v>6871</v>
      </c>
      <c r="F204" s="552" t="s">
        <v>6872</v>
      </c>
      <c r="G204" s="552" t="s">
        <v>7142</v>
      </c>
      <c r="H204" s="552"/>
      <c r="I204" s="552"/>
      <c r="J204" s="552" t="s">
        <v>7152</v>
      </c>
      <c r="K204" s="552"/>
      <c r="L204" s="552"/>
      <c r="M204" s="552"/>
      <c r="N204" s="552"/>
      <c r="O204" s="552"/>
      <c r="P204" s="552"/>
      <c r="Q204" s="552"/>
      <c r="R204" s="552"/>
      <c r="S204" s="552"/>
      <c r="T204" s="552"/>
      <c r="U204" s="552"/>
      <c r="V204" s="552">
        <v>1.5</v>
      </c>
      <c r="W204" s="552"/>
      <c r="X204" s="552"/>
      <c r="Y204" s="552"/>
      <c r="Z204" s="552"/>
      <c r="AA204" s="552"/>
      <c r="AB204" s="552"/>
      <c r="AC204" s="552"/>
      <c r="AD204" s="552"/>
      <c r="AE204" s="552"/>
      <c r="AF204" s="552"/>
      <c r="AG204" s="552"/>
      <c r="AH204" s="552"/>
      <c r="AI204" s="552"/>
      <c r="AJ204" s="552"/>
      <c r="AK204" s="552"/>
      <c r="AL204" s="552"/>
      <c r="AM204" s="552"/>
      <c r="AN204" s="552"/>
      <c r="AO204" s="552"/>
      <c r="AP204" s="552"/>
      <c r="AQ204" s="552" t="s">
        <v>1186</v>
      </c>
      <c r="AR204" s="552" t="s">
        <v>2809</v>
      </c>
      <c r="AS204" s="552" t="s">
        <v>6881</v>
      </c>
      <c r="AT204" s="552" t="s">
        <v>726</v>
      </c>
    </row>
    <row r="205" spans="1:46" ht="14.7" customHeight="1">
      <c r="A205" s="706"/>
      <c r="B205" s="344" t="s">
        <v>3699</v>
      </c>
      <c r="C205" s="539" t="s">
        <v>6869</v>
      </c>
      <c r="D205" s="539" t="s">
        <v>2783</v>
      </c>
      <c r="E205" s="539"/>
      <c r="F205" s="539"/>
      <c r="G205" s="539"/>
      <c r="H205" s="552"/>
      <c r="I205" s="552"/>
      <c r="J205" s="552"/>
      <c r="K205" s="552"/>
      <c r="L205" s="552"/>
      <c r="M205" s="552"/>
      <c r="N205" s="552"/>
      <c r="O205" s="552"/>
      <c r="P205" s="552"/>
      <c r="Q205" s="552"/>
      <c r="R205" s="552"/>
      <c r="S205" s="552"/>
      <c r="T205" s="552"/>
      <c r="U205" s="552"/>
      <c r="V205" s="552"/>
      <c r="W205" s="552"/>
      <c r="X205" s="552"/>
      <c r="Y205" s="552"/>
      <c r="Z205" s="552"/>
      <c r="AA205" s="552"/>
      <c r="AB205" s="552"/>
      <c r="AC205" s="552"/>
      <c r="AD205" s="552"/>
      <c r="AE205" s="552"/>
      <c r="AF205" s="552"/>
      <c r="AG205" s="552"/>
      <c r="AH205" s="552"/>
      <c r="AI205" s="552"/>
      <c r="AJ205" s="552"/>
      <c r="AK205" s="552"/>
      <c r="AL205" s="552"/>
      <c r="AM205" s="552"/>
      <c r="AN205" s="552"/>
      <c r="AO205" s="552"/>
      <c r="AP205" s="552"/>
      <c r="AQ205" s="552" t="s">
        <v>1186</v>
      </c>
      <c r="AR205" s="552" t="s">
        <v>2809</v>
      </c>
      <c r="AS205" s="552" t="s">
        <v>6881</v>
      </c>
      <c r="AT205" s="552" t="s">
        <v>726</v>
      </c>
    </row>
    <row r="206" spans="1:46" ht="14.7" customHeight="1">
      <c r="A206" s="706"/>
      <c r="B206" s="344" t="s">
        <v>3699</v>
      </c>
      <c r="C206" s="539" t="s">
        <v>6869</v>
      </c>
      <c r="D206" s="539" t="s">
        <v>2783</v>
      </c>
      <c r="E206" s="539"/>
      <c r="F206" s="539"/>
      <c r="G206" s="539"/>
      <c r="H206" s="552"/>
      <c r="I206" s="552"/>
      <c r="J206" s="552"/>
      <c r="K206" s="552"/>
      <c r="L206" s="552"/>
      <c r="M206" s="552"/>
      <c r="N206" s="552"/>
      <c r="O206" s="552"/>
      <c r="P206" s="552"/>
      <c r="Q206" s="552"/>
      <c r="R206" s="552"/>
      <c r="S206" s="552"/>
      <c r="T206" s="552"/>
      <c r="U206" s="552"/>
      <c r="V206" s="552"/>
      <c r="W206" s="552"/>
      <c r="X206" s="552"/>
      <c r="Y206" s="552"/>
      <c r="Z206" s="552"/>
      <c r="AA206" s="552"/>
      <c r="AB206" s="552"/>
      <c r="AC206" s="552"/>
      <c r="AD206" s="552"/>
      <c r="AE206" s="552"/>
      <c r="AF206" s="552"/>
      <c r="AG206" s="552"/>
      <c r="AH206" s="552"/>
      <c r="AI206" s="552"/>
      <c r="AJ206" s="552"/>
      <c r="AK206" s="552"/>
      <c r="AL206" s="552"/>
      <c r="AM206" s="552"/>
      <c r="AN206" s="552"/>
      <c r="AO206" s="552"/>
      <c r="AP206" s="552"/>
      <c r="AQ206" s="552" t="s">
        <v>1186</v>
      </c>
      <c r="AR206" s="552" t="s">
        <v>2809</v>
      </c>
      <c r="AS206" s="552" t="s">
        <v>6881</v>
      </c>
      <c r="AT206" s="552" t="s">
        <v>726</v>
      </c>
    </row>
    <row r="207" spans="1:46" ht="14.7" customHeight="1">
      <c r="A207" s="706"/>
      <c r="B207" s="344" t="s">
        <v>3699</v>
      </c>
      <c r="C207" s="539" t="s">
        <v>6869</v>
      </c>
      <c r="D207" s="539" t="s">
        <v>2783</v>
      </c>
      <c r="E207" s="539"/>
      <c r="F207" s="539"/>
      <c r="G207" s="539"/>
      <c r="H207" s="552"/>
      <c r="I207" s="552"/>
      <c r="J207" s="552"/>
      <c r="K207" s="552"/>
      <c r="L207" s="552"/>
      <c r="M207" s="552"/>
      <c r="N207" s="552"/>
      <c r="O207" s="552"/>
      <c r="P207" s="552"/>
      <c r="Q207" s="552"/>
      <c r="R207" s="552"/>
      <c r="S207" s="552"/>
      <c r="T207" s="552"/>
      <c r="U207" s="552"/>
      <c r="V207" s="552"/>
      <c r="W207" s="552"/>
      <c r="X207" s="552"/>
      <c r="Y207" s="552"/>
      <c r="Z207" s="552"/>
      <c r="AA207" s="552"/>
      <c r="AB207" s="552"/>
      <c r="AC207" s="552"/>
      <c r="AD207" s="552"/>
      <c r="AE207" s="552"/>
      <c r="AF207" s="552"/>
      <c r="AG207" s="552"/>
      <c r="AH207" s="552"/>
      <c r="AI207" s="552"/>
      <c r="AJ207" s="552"/>
      <c r="AK207" s="552"/>
      <c r="AL207" s="552"/>
      <c r="AM207" s="552"/>
      <c r="AN207" s="552"/>
      <c r="AO207" s="552"/>
      <c r="AP207" s="552"/>
      <c r="AQ207" s="552" t="s">
        <v>1186</v>
      </c>
      <c r="AR207" s="552" t="s">
        <v>2809</v>
      </c>
      <c r="AS207" s="552" t="s">
        <v>6881</v>
      </c>
      <c r="AT207" s="552" t="s">
        <v>726</v>
      </c>
    </row>
    <row r="208" spans="1:46" ht="14.7" customHeight="1">
      <c r="A208" s="706"/>
      <c r="B208" s="559" t="s">
        <v>3700</v>
      </c>
      <c r="C208" s="539" t="s">
        <v>6869</v>
      </c>
      <c r="D208" s="539" t="s">
        <v>2783</v>
      </c>
      <c r="E208" s="539"/>
      <c r="F208" s="539"/>
      <c r="G208" s="539"/>
      <c r="H208" s="552"/>
      <c r="I208" s="552"/>
      <c r="J208" s="552"/>
      <c r="K208" s="552"/>
      <c r="L208" s="552"/>
      <c r="M208" s="552"/>
      <c r="N208" s="552"/>
      <c r="O208" s="552"/>
      <c r="P208" s="552"/>
      <c r="Q208" s="552"/>
      <c r="R208" s="552"/>
      <c r="S208" s="552"/>
      <c r="T208" s="552"/>
      <c r="U208" s="552"/>
      <c r="V208" s="552"/>
      <c r="W208" s="552"/>
      <c r="X208" s="552"/>
      <c r="Y208" s="552"/>
      <c r="Z208" s="552"/>
      <c r="AA208" s="552"/>
      <c r="AB208" s="552"/>
      <c r="AC208" s="552"/>
      <c r="AD208" s="552"/>
      <c r="AE208" s="552"/>
      <c r="AF208" s="552"/>
      <c r="AG208" s="552"/>
      <c r="AH208" s="552"/>
      <c r="AI208" s="552"/>
      <c r="AJ208" s="552"/>
      <c r="AK208" s="552"/>
      <c r="AL208" s="552"/>
      <c r="AM208" s="552"/>
      <c r="AN208" s="552"/>
      <c r="AO208" s="552"/>
      <c r="AP208" s="552"/>
      <c r="AQ208" s="552" t="s">
        <v>1186</v>
      </c>
      <c r="AR208" s="552" t="s">
        <v>2971</v>
      </c>
      <c r="AS208" s="552" t="s">
        <v>6881</v>
      </c>
      <c r="AT208" s="552" t="s">
        <v>726</v>
      </c>
    </row>
    <row r="209" spans="1:46" ht="14.7" customHeight="1">
      <c r="A209" s="706"/>
      <c r="B209" s="559" t="s">
        <v>3700</v>
      </c>
      <c r="C209" s="539" t="s">
        <v>6869</v>
      </c>
      <c r="D209" s="539" t="s">
        <v>2783</v>
      </c>
      <c r="E209" s="539"/>
      <c r="F209" s="539"/>
      <c r="G209" s="539"/>
      <c r="H209" s="552"/>
      <c r="I209" s="552"/>
      <c r="J209" s="552"/>
      <c r="K209" s="552"/>
      <c r="L209" s="552"/>
      <c r="M209" s="552"/>
      <c r="N209" s="552"/>
      <c r="O209" s="552"/>
      <c r="P209" s="552"/>
      <c r="Q209" s="552"/>
      <c r="R209" s="552"/>
      <c r="S209" s="552"/>
      <c r="T209" s="552"/>
      <c r="U209" s="552"/>
      <c r="V209" s="552"/>
      <c r="W209" s="552"/>
      <c r="X209" s="552"/>
      <c r="Y209" s="552"/>
      <c r="Z209" s="552"/>
      <c r="AA209" s="552"/>
      <c r="AB209" s="552"/>
      <c r="AC209" s="552"/>
      <c r="AD209" s="552"/>
      <c r="AE209" s="552"/>
      <c r="AF209" s="552"/>
      <c r="AG209" s="552"/>
      <c r="AH209" s="552"/>
      <c r="AI209" s="552"/>
      <c r="AJ209" s="552"/>
      <c r="AK209" s="552"/>
      <c r="AL209" s="552"/>
      <c r="AM209" s="552"/>
      <c r="AN209" s="552"/>
      <c r="AO209" s="552"/>
      <c r="AP209" s="552"/>
      <c r="AQ209" s="552" t="s">
        <v>1186</v>
      </c>
      <c r="AR209" s="552" t="s">
        <v>2971</v>
      </c>
      <c r="AS209" s="552" t="s">
        <v>6881</v>
      </c>
      <c r="AT209" s="552" t="s">
        <v>726</v>
      </c>
    </row>
    <row r="210" spans="1:46" ht="14.7" customHeight="1">
      <c r="A210" s="706"/>
      <c r="B210" s="711" t="s">
        <v>6055</v>
      </c>
      <c r="C210" s="539" t="s">
        <v>6869</v>
      </c>
      <c r="D210" s="539"/>
      <c r="E210" s="552"/>
      <c r="F210" s="552"/>
      <c r="G210" s="552"/>
      <c r="H210" s="552"/>
      <c r="I210" s="552"/>
      <c r="J210" s="552"/>
      <c r="K210" s="552"/>
      <c r="L210" s="552"/>
      <c r="M210" s="552"/>
      <c r="N210" s="552"/>
      <c r="O210" s="552"/>
      <c r="P210" s="552"/>
      <c r="Q210" s="552"/>
      <c r="R210" s="552"/>
      <c r="S210" s="552"/>
      <c r="T210" s="552"/>
      <c r="U210" s="552"/>
      <c r="V210" s="552"/>
      <c r="W210" s="552"/>
      <c r="X210" s="552"/>
      <c r="Y210" s="552"/>
      <c r="Z210" s="552"/>
      <c r="AA210" s="552"/>
      <c r="AB210" s="552"/>
      <c r="AC210" s="552"/>
      <c r="AD210" s="552"/>
      <c r="AE210" s="552"/>
      <c r="AF210" s="552"/>
      <c r="AG210" s="552"/>
      <c r="AH210" s="552"/>
      <c r="AI210" s="552"/>
      <c r="AJ210" s="552"/>
      <c r="AK210" s="552"/>
      <c r="AL210" s="552"/>
      <c r="AM210" s="552"/>
      <c r="AN210" s="552"/>
      <c r="AO210" s="552"/>
      <c r="AP210" s="552"/>
      <c r="AQ210" s="552" t="s">
        <v>1186</v>
      </c>
      <c r="AR210" s="552" t="s">
        <v>6697</v>
      </c>
      <c r="AS210" s="552" t="s">
        <v>6881</v>
      </c>
      <c r="AT210" s="552" t="s">
        <v>726</v>
      </c>
    </row>
    <row r="211" spans="1:46" ht="14.7" customHeight="1">
      <c r="A211" s="706" t="s">
        <v>6146</v>
      </c>
      <c r="B211" s="540" t="s">
        <v>3695</v>
      </c>
      <c r="C211" s="539" t="s">
        <v>6869</v>
      </c>
      <c r="D211" s="709" t="s">
        <v>7153</v>
      </c>
      <c r="E211" s="552" t="s">
        <v>6925</v>
      </c>
      <c r="F211" s="552" t="s">
        <v>6872</v>
      </c>
      <c r="G211" s="552" t="s">
        <v>7142</v>
      </c>
      <c r="H211" s="552"/>
      <c r="I211" s="552"/>
      <c r="J211" s="552" t="s">
        <v>6957</v>
      </c>
      <c r="K211" s="552" t="s">
        <v>7123</v>
      </c>
      <c r="L211" s="552"/>
      <c r="M211" s="552"/>
      <c r="N211" s="552"/>
      <c r="O211" s="552"/>
      <c r="P211" s="552"/>
      <c r="Q211" s="552"/>
      <c r="R211" s="552"/>
      <c r="S211" s="552"/>
      <c r="T211" s="552"/>
      <c r="U211" s="552"/>
      <c r="V211" s="552"/>
      <c r="W211" s="552"/>
      <c r="X211" s="552"/>
      <c r="Y211" s="552"/>
      <c r="Z211" s="552"/>
      <c r="AA211" s="552"/>
      <c r="AB211" s="552"/>
      <c r="AC211" s="552"/>
      <c r="AD211" s="552"/>
      <c r="AE211" s="552"/>
      <c r="AF211" s="552"/>
      <c r="AG211" s="552"/>
      <c r="AH211" s="552"/>
      <c r="AI211" s="552"/>
      <c r="AJ211" s="552"/>
      <c r="AK211" s="552"/>
      <c r="AL211" s="552"/>
      <c r="AM211" s="552"/>
      <c r="AN211" s="552"/>
      <c r="AO211" s="552"/>
      <c r="AP211" s="552"/>
      <c r="AQ211" s="552" t="s">
        <v>1186</v>
      </c>
      <c r="AR211" s="552" t="s">
        <v>2802</v>
      </c>
      <c r="AS211" s="552" t="s">
        <v>6881</v>
      </c>
      <c r="AT211" s="552" t="s">
        <v>726</v>
      </c>
    </row>
    <row r="212" spans="1:46" ht="14.7" customHeight="1">
      <c r="A212" s="706" t="s">
        <v>6147</v>
      </c>
      <c r="B212" s="540" t="s">
        <v>3695</v>
      </c>
      <c r="C212" s="539" t="s">
        <v>6869</v>
      </c>
      <c r="D212" s="709" t="s">
        <v>7154</v>
      </c>
      <c r="E212" s="552" t="s">
        <v>6925</v>
      </c>
      <c r="F212" s="552" t="s">
        <v>6872</v>
      </c>
      <c r="G212" s="552" t="s">
        <v>7142</v>
      </c>
      <c r="H212" s="552"/>
      <c r="I212" s="552"/>
      <c r="J212" s="552" t="s">
        <v>6883</v>
      </c>
      <c r="K212" s="552"/>
      <c r="L212" s="552"/>
      <c r="M212" s="552"/>
      <c r="N212" s="552"/>
      <c r="O212" s="552"/>
      <c r="P212" s="552"/>
      <c r="Q212" s="552"/>
      <c r="R212" s="552"/>
      <c r="S212" s="552"/>
      <c r="T212" s="552"/>
      <c r="U212" s="552"/>
      <c r="V212" s="552"/>
      <c r="W212" s="552"/>
      <c r="X212" s="552"/>
      <c r="Y212" s="552"/>
      <c r="Z212" s="552"/>
      <c r="AA212" s="552"/>
      <c r="AB212" s="552"/>
      <c r="AC212" s="552"/>
      <c r="AD212" s="552"/>
      <c r="AE212" s="552"/>
      <c r="AF212" s="552"/>
      <c r="AG212" s="552"/>
      <c r="AH212" s="552"/>
      <c r="AI212" s="552"/>
      <c r="AJ212" s="552"/>
      <c r="AK212" s="552"/>
      <c r="AL212" s="552"/>
      <c r="AM212" s="552"/>
      <c r="AN212" s="552"/>
      <c r="AO212" s="552"/>
      <c r="AP212" s="552"/>
      <c r="AQ212" s="552" t="s">
        <v>1186</v>
      </c>
      <c r="AR212" s="552" t="s">
        <v>2802</v>
      </c>
      <c r="AS212" s="552" t="s">
        <v>6881</v>
      </c>
      <c r="AT212" s="552" t="s">
        <v>726</v>
      </c>
    </row>
    <row r="213" spans="1:46" ht="14.7" customHeight="1">
      <c r="A213" s="706" t="s">
        <v>6148</v>
      </c>
      <c r="B213" s="707" t="s">
        <v>3696</v>
      </c>
      <c r="C213" s="539" t="s">
        <v>6869</v>
      </c>
      <c r="D213" s="709" t="s">
        <v>7155</v>
      </c>
      <c r="E213" s="552" t="s">
        <v>6925</v>
      </c>
      <c r="F213" s="552" t="s">
        <v>6872</v>
      </c>
      <c r="G213" s="552" t="s">
        <v>7142</v>
      </c>
      <c r="H213" s="552"/>
      <c r="I213" s="552"/>
      <c r="J213" s="552" t="s">
        <v>7156</v>
      </c>
      <c r="K213" s="552"/>
      <c r="L213" s="552"/>
      <c r="M213" s="552"/>
      <c r="N213" s="552"/>
      <c r="O213" s="552"/>
      <c r="P213" s="552"/>
      <c r="Q213" s="552"/>
      <c r="R213" s="552"/>
      <c r="S213" s="552"/>
      <c r="T213" s="552"/>
      <c r="U213" s="552"/>
      <c r="V213" s="552"/>
      <c r="W213" s="552"/>
      <c r="X213" s="552"/>
      <c r="Y213" s="552"/>
      <c r="Z213" s="552"/>
      <c r="AA213" s="552"/>
      <c r="AB213" s="552"/>
      <c r="AC213" s="552"/>
      <c r="AD213" s="552"/>
      <c r="AE213" s="552"/>
      <c r="AF213" s="552"/>
      <c r="AG213" s="552"/>
      <c r="AH213" s="552"/>
      <c r="AI213" s="552"/>
      <c r="AJ213" s="552"/>
      <c r="AK213" s="552"/>
      <c r="AL213" s="552"/>
      <c r="AM213" s="552"/>
      <c r="AN213" s="552"/>
      <c r="AO213" s="552"/>
      <c r="AP213" s="552"/>
      <c r="AQ213" s="552" t="s">
        <v>1186</v>
      </c>
      <c r="AR213" s="552" t="s">
        <v>2805</v>
      </c>
      <c r="AS213" s="552" t="s">
        <v>6881</v>
      </c>
      <c r="AT213" s="552" t="s">
        <v>726</v>
      </c>
    </row>
    <row r="214" spans="1:46" ht="14.7" customHeight="1">
      <c r="A214" s="706"/>
      <c r="B214" s="707" t="s">
        <v>3696</v>
      </c>
      <c r="C214" s="539" t="s">
        <v>6869</v>
      </c>
      <c r="D214" s="539" t="s">
        <v>2783</v>
      </c>
      <c r="E214" s="539"/>
      <c r="F214" s="539"/>
      <c r="G214" s="539"/>
      <c r="H214" s="552"/>
      <c r="I214" s="552"/>
      <c r="J214" s="552"/>
      <c r="K214" s="552"/>
      <c r="L214" s="552"/>
      <c r="M214" s="552"/>
      <c r="N214" s="552"/>
      <c r="O214" s="552"/>
      <c r="P214" s="552"/>
      <c r="Q214" s="552"/>
      <c r="R214" s="552"/>
      <c r="S214" s="552"/>
      <c r="T214" s="552"/>
      <c r="U214" s="552"/>
      <c r="V214" s="552"/>
      <c r="W214" s="552"/>
      <c r="X214" s="552"/>
      <c r="Y214" s="552"/>
      <c r="Z214" s="552"/>
      <c r="AA214" s="552"/>
      <c r="AB214" s="552"/>
      <c r="AC214" s="552"/>
      <c r="AD214" s="552"/>
      <c r="AE214" s="552"/>
      <c r="AF214" s="552"/>
      <c r="AG214" s="552"/>
      <c r="AH214" s="552"/>
      <c r="AI214" s="552"/>
      <c r="AJ214" s="552"/>
      <c r="AK214" s="552"/>
      <c r="AL214" s="552"/>
      <c r="AM214" s="552"/>
      <c r="AN214" s="552"/>
      <c r="AO214" s="552"/>
      <c r="AP214" s="552"/>
      <c r="AQ214" s="552" t="s">
        <v>1186</v>
      </c>
      <c r="AR214" s="552" t="s">
        <v>2805</v>
      </c>
      <c r="AS214" s="552" t="s">
        <v>6881</v>
      </c>
      <c r="AT214" s="552" t="s">
        <v>726</v>
      </c>
    </row>
    <row r="215" spans="1:46" ht="14.7" customHeight="1">
      <c r="A215" s="706" t="s">
        <v>6149</v>
      </c>
      <c r="B215" s="556" t="s">
        <v>3697</v>
      </c>
      <c r="C215" s="539" t="s">
        <v>6869</v>
      </c>
      <c r="D215" s="709" t="s">
        <v>7157</v>
      </c>
      <c r="E215" s="552" t="s">
        <v>6925</v>
      </c>
      <c r="F215" s="552" t="s">
        <v>6872</v>
      </c>
      <c r="G215" s="552" t="s">
        <v>7142</v>
      </c>
      <c r="H215" s="552"/>
      <c r="I215" s="552"/>
      <c r="J215" s="552" t="s">
        <v>7158</v>
      </c>
      <c r="K215" s="552"/>
      <c r="L215" s="552"/>
      <c r="M215" s="552"/>
      <c r="N215" s="552"/>
      <c r="O215" s="552"/>
      <c r="P215" s="552"/>
      <c r="Q215" s="552"/>
      <c r="R215" s="552"/>
      <c r="S215" s="552"/>
      <c r="T215" s="552"/>
      <c r="U215" s="552"/>
      <c r="V215" s="552"/>
      <c r="W215" s="552"/>
      <c r="X215" s="552"/>
      <c r="Y215" s="552"/>
      <c r="Z215" s="552"/>
      <c r="AA215" s="552"/>
      <c r="AB215" s="552"/>
      <c r="AC215" s="552"/>
      <c r="AD215" s="552"/>
      <c r="AE215" s="552"/>
      <c r="AF215" s="552"/>
      <c r="AG215" s="552"/>
      <c r="AH215" s="552"/>
      <c r="AI215" s="552"/>
      <c r="AJ215" s="552"/>
      <c r="AK215" s="552"/>
      <c r="AL215" s="552"/>
      <c r="AM215" s="552"/>
      <c r="AN215" s="552"/>
      <c r="AO215" s="552"/>
      <c r="AP215" s="552"/>
      <c r="AQ215" s="552" t="s">
        <v>1186</v>
      </c>
      <c r="AR215" s="552" t="s">
        <v>2875</v>
      </c>
      <c r="AS215" s="552" t="s">
        <v>6881</v>
      </c>
      <c r="AT215" s="552" t="s">
        <v>726</v>
      </c>
    </row>
    <row r="216" spans="1:46" ht="14.7" customHeight="1">
      <c r="A216" s="710" t="s">
        <v>6150</v>
      </c>
      <c r="B216" s="556" t="s">
        <v>3697</v>
      </c>
      <c r="C216" s="539" t="s">
        <v>6869</v>
      </c>
      <c r="D216" s="709" t="s">
        <v>7159</v>
      </c>
      <c r="E216" s="552" t="s">
        <v>6925</v>
      </c>
      <c r="F216" s="552" t="s">
        <v>6872</v>
      </c>
      <c r="G216" s="552" t="s">
        <v>7142</v>
      </c>
      <c r="H216" s="552"/>
      <c r="I216" s="552"/>
      <c r="J216" s="552" t="s">
        <v>6990</v>
      </c>
      <c r="K216" s="552" t="s">
        <v>7160</v>
      </c>
      <c r="L216" s="552"/>
      <c r="M216" s="552"/>
      <c r="N216" s="552"/>
      <c r="O216" s="552"/>
      <c r="P216" s="552"/>
      <c r="Q216" s="552"/>
      <c r="R216" s="552"/>
      <c r="S216" s="552"/>
      <c r="T216" s="552"/>
      <c r="U216" s="552"/>
      <c r="V216" s="552"/>
      <c r="W216" s="552"/>
      <c r="X216" s="552"/>
      <c r="Y216" s="552"/>
      <c r="Z216" s="552"/>
      <c r="AA216" s="552"/>
      <c r="AB216" s="552"/>
      <c r="AC216" s="552"/>
      <c r="AD216" s="552"/>
      <c r="AE216" s="552"/>
      <c r="AF216" s="552"/>
      <c r="AG216" s="552"/>
      <c r="AH216" s="552"/>
      <c r="AI216" s="552"/>
      <c r="AJ216" s="552"/>
      <c r="AK216" s="552"/>
      <c r="AL216" s="552"/>
      <c r="AM216" s="552"/>
      <c r="AN216" s="552"/>
      <c r="AO216" s="552"/>
      <c r="AP216" s="552"/>
      <c r="AQ216" s="552" t="s">
        <v>1186</v>
      </c>
      <c r="AR216" s="552" t="s">
        <v>2875</v>
      </c>
      <c r="AS216" s="552" t="s">
        <v>6881</v>
      </c>
      <c r="AT216" s="552" t="s">
        <v>726</v>
      </c>
    </row>
    <row r="217" spans="1:46" ht="14.7" customHeight="1">
      <c r="A217" s="706"/>
      <c r="B217" s="556" t="s">
        <v>3697</v>
      </c>
      <c r="C217" s="539" t="s">
        <v>6869</v>
      </c>
      <c r="D217" s="539" t="s">
        <v>2783</v>
      </c>
      <c r="E217" s="539"/>
      <c r="F217" s="539"/>
      <c r="G217" s="539"/>
      <c r="H217" s="552"/>
      <c r="I217" s="552"/>
      <c r="J217" s="552"/>
      <c r="K217" s="552"/>
      <c r="L217" s="552"/>
      <c r="M217" s="552"/>
      <c r="N217" s="552"/>
      <c r="O217" s="552"/>
      <c r="P217" s="552"/>
      <c r="Q217" s="552"/>
      <c r="R217" s="552"/>
      <c r="S217" s="552"/>
      <c r="T217" s="552"/>
      <c r="U217" s="552"/>
      <c r="V217" s="552"/>
      <c r="W217" s="552"/>
      <c r="X217" s="552"/>
      <c r="Y217" s="552"/>
      <c r="Z217" s="552"/>
      <c r="AA217" s="552"/>
      <c r="AB217" s="552"/>
      <c r="AC217" s="552"/>
      <c r="AD217" s="552"/>
      <c r="AE217" s="552"/>
      <c r="AF217" s="552"/>
      <c r="AG217" s="552"/>
      <c r="AH217" s="552"/>
      <c r="AI217" s="552"/>
      <c r="AJ217" s="552"/>
      <c r="AK217" s="552"/>
      <c r="AL217" s="552"/>
      <c r="AM217" s="552"/>
      <c r="AN217" s="552"/>
      <c r="AO217" s="552"/>
      <c r="AP217" s="552"/>
      <c r="AQ217" s="552" t="s">
        <v>1186</v>
      </c>
      <c r="AR217" s="552" t="s">
        <v>2875</v>
      </c>
      <c r="AS217" s="552" t="s">
        <v>6881</v>
      </c>
      <c r="AT217" s="552" t="s">
        <v>726</v>
      </c>
    </row>
    <row r="218" spans="1:46" ht="14.7" customHeight="1">
      <c r="A218" s="710" t="s">
        <v>6151</v>
      </c>
      <c r="B218" s="557" t="s">
        <v>3698</v>
      </c>
      <c r="C218" s="539" t="s">
        <v>6869</v>
      </c>
      <c r="D218" s="709" t="s">
        <v>7161</v>
      </c>
      <c r="E218" s="552" t="s">
        <v>6925</v>
      </c>
      <c r="F218" s="552" t="s">
        <v>6872</v>
      </c>
      <c r="G218" s="552" t="s">
        <v>7142</v>
      </c>
      <c r="H218" s="552"/>
      <c r="I218" s="552"/>
      <c r="J218" s="552" t="s">
        <v>7162</v>
      </c>
      <c r="K218" s="709" t="s">
        <v>7163</v>
      </c>
      <c r="L218" s="709"/>
      <c r="M218" s="709"/>
      <c r="N218" s="552"/>
      <c r="O218" s="552"/>
      <c r="P218" s="552"/>
      <c r="Q218" s="552"/>
      <c r="R218" s="552"/>
      <c r="S218" s="552"/>
      <c r="T218" s="552"/>
      <c r="U218" s="552"/>
      <c r="V218" s="552"/>
      <c r="W218" s="552"/>
      <c r="X218" s="552"/>
      <c r="Y218" s="552"/>
      <c r="Z218" s="552"/>
      <c r="AA218" s="552"/>
      <c r="AB218" s="552"/>
      <c r="AC218" s="552"/>
      <c r="AD218" s="552"/>
      <c r="AE218" s="552"/>
      <c r="AF218" s="552"/>
      <c r="AG218" s="552"/>
      <c r="AH218" s="552"/>
      <c r="AI218" s="552"/>
      <c r="AJ218" s="552"/>
      <c r="AK218" s="552"/>
      <c r="AL218" s="552"/>
      <c r="AM218" s="552"/>
      <c r="AN218" s="552"/>
      <c r="AO218" s="552"/>
      <c r="AP218" s="552"/>
      <c r="AQ218" s="552" t="s">
        <v>1186</v>
      </c>
      <c r="AR218" s="552" t="s">
        <v>2998</v>
      </c>
      <c r="AS218" s="552" t="s">
        <v>6881</v>
      </c>
      <c r="AT218" s="552" t="s">
        <v>726</v>
      </c>
    </row>
    <row r="219" spans="1:46" ht="14.7" customHeight="1">
      <c r="A219" s="710" t="s">
        <v>6152</v>
      </c>
      <c r="B219" s="557" t="s">
        <v>3698</v>
      </c>
      <c r="C219" s="539" t="s">
        <v>6869</v>
      </c>
      <c r="D219" s="709" t="s">
        <v>7164</v>
      </c>
      <c r="E219" s="552" t="s">
        <v>6925</v>
      </c>
      <c r="F219" s="552" t="s">
        <v>6872</v>
      </c>
      <c r="G219" s="552" t="s">
        <v>7142</v>
      </c>
      <c r="H219" s="552"/>
      <c r="I219" s="552"/>
      <c r="J219" s="709" t="s">
        <v>6947</v>
      </c>
      <c r="K219" s="709" t="s">
        <v>7165</v>
      </c>
      <c r="L219" s="709"/>
      <c r="M219" s="709"/>
      <c r="N219" s="552"/>
      <c r="O219" s="552"/>
      <c r="P219" s="552"/>
      <c r="Q219" s="552"/>
      <c r="R219" s="552"/>
      <c r="S219" s="552"/>
      <c r="T219" s="552"/>
      <c r="U219" s="552"/>
      <c r="V219" s="552"/>
      <c r="W219" s="552"/>
      <c r="X219" s="552"/>
      <c r="Y219" s="552"/>
      <c r="Z219" s="552"/>
      <c r="AA219" s="552"/>
      <c r="AB219" s="552"/>
      <c r="AC219" s="552"/>
      <c r="AD219" s="552"/>
      <c r="AE219" s="552"/>
      <c r="AF219" s="552"/>
      <c r="AG219" s="552"/>
      <c r="AH219" s="552"/>
      <c r="AI219" s="552"/>
      <c r="AJ219" s="552"/>
      <c r="AK219" s="552"/>
      <c r="AL219" s="552"/>
      <c r="AM219" s="552"/>
      <c r="AN219" s="552"/>
      <c r="AO219" s="552"/>
      <c r="AP219" s="552"/>
      <c r="AQ219" s="552" t="s">
        <v>1186</v>
      </c>
      <c r="AR219" s="552" t="s">
        <v>2998</v>
      </c>
      <c r="AS219" s="552" t="s">
        <v>6881</v>
      </c>
      <c r="AT219" s="552" t="s">
        <v>726</v>
      </c>
    </row>
    <row r="220" spans="1:46" ht="14.7" customHeight="1">
      <c r="A220" s="706"/>
      <c r="B220" s="557" t="s">
        <v>3698</v>
      </c>
      <c r="C220" s="539" t="s">
        <v>6869</v>
      </c>
      <c r="D220" s="539" t="s">
        <v>2783</v>
      </c>
      <c r="E220" s="539"/>
      <c r="F220" s="539"/>
      <c r="G220" s="539"/>
      <c r="H220" s="552"/>
      <c r="I220" s="552"/>
      <c r="J220" s="552"/>
      <c r="K220" s="552"/>
      <c r="L220" s="552"/>
      <c r="M220" s="552"/>
      <c r="N220" s="552"/>
      <c r="O220" s="552"/>
      <c r="P220" s="552"/>
      <c r="Q220" s="552"/>
      <c r="R220" s="552"/>
      <c r="S220" s="552"/>
      <c r="T220" s="552"/>
      <c r="U220" s="552"/>
      <c r="V220" s="552"/>
      <c r="W220" s="552"/>
      <c r="X220" s="552"/>
      <c r="Y220" s="552"/>
      <c r="Z220" s="552"/>
      <c r="AA220" s="552"/>
      <c r="AB220" s="552"/>
      <c r="AC220" s="552"/>
      <c r="AD220" s="552"/>
      <c r="AE220" s="552"/>
      <c r="AF220" s="552"/>
      <c r="AG220" s="552"/>
      <c r="AH220" s="552"/>
      <c r="AI220" s="552"/>
      <c r="AJ220" s="552"/>
      <c r="AK220" s="552"/>
      <c r="AL220" s="552"/>
      <c r="AM220" s="552"/>
      <c r="AN220" s="552"/>
      <c r="AO220" s="552"/>
      <c r="AP220" s="552"/>
      <c r="AQ220" s="552" t="s">
        <v>1186</v>
      </c>
      <c r="AR220" s="552" t="s">
        <v>2998</v>
      </c>
      <c r="AS220" s="552" t="s">
        <v>6881</v>
      </c>
      <c r="AT220" s="552" t="s">
        <v>726</v>
      </c>
    </row>
    <row r="221" spans="1:46" ht="14.7" customHeight="1">
      <c r="A221" s="706"/>
      <c r="B221" s="557" t="s">
        <v>3698</v>
      </c>
      <c r="C221" s="539" t="s">
        <v>6869</v>
      </c>
      <c r="D221" s="539" t="s">
        <v>2783</v>
      </c>
      <c r="E221" s="539"/>
      <c r="F221" s="539"/>
      <c r="G221" s="539"/>
      <c r="H221" s="552"/>
      <c r="I221" s="552"/>
      <c r="J221" s="552"/>
      <c r="K221" s="552"/>
      <c r="L221" s="552"/>
      <c r="M221" s="552"/>
      <c r="N221" s="552"/>
      <c r="O221" s="552"/>
      <c r="P221" s="552"/>
      <c r="Q221" s="552"/>
      <c r="R221" s="552"/>
      <c r="S221" s="552"/>
      <c r="T221" s="552"/>
      <c r="U221" s="552"/>
      <c r="V221" s="552"/>
      <c r="W221" s="552"/>
      <c r="X221" s="552"/>
      <c r="Y221" s="552"/>
      <c r="Z221" s="552"/>
      <c r="AA221" s="552"/>
      <c r="AB221" s="552"/>
      <c r="AC221" s="552"/>
      <c r="AD221" s="552"/>
      <c r="AE221" s="552"/>
      <c r="AF221" s="552"/>
      <c r="AG221" s="552"/>
      <c r="AH221" s="552"/>
      <c r="AI221" s="552"/>
      <c r="AJ221" s="552"/>
      <c r="AK221" s="552"/>
      <c r="AL221" s="552"/>
      <c r="AM221" s="552"/>
      <c r="AN221" s="552"/>
      <c r="AO221" s="552"/>
      <c r="AP221" s="552"/>
      <c r="AQ221" s="552" t="s">
        <v>1186</v>
      </c>
      <c r="AR221" s="552" t="s">
        <v>2998</v>
      </c>
      <c r="AS221" s="552" t="s">
        <v>6881</v>
      </c>
      <c r="AT221" s="552" t="s">
        <v>726</v>
      </c>
    </row>
    <row r="222" spans="1:46" ht="14.7" customHeight="1">
      <c r="A222" s="710" t="s">
        <v>6153</v>
      </c>
      <c r="B222" s="344" t="s">
        <v>3699</v>
      </c>
      <c r="C222" s="539" t="s">
        <v>6869</v>
      </c>
      <c r="D222" s="709" t="s">
        <v>7166</v>
      </c>
      <c r="E222" s="552" t="s">
        <v>6925</v>
      </c>
      <c r="F222" s="552" t="s">
        <v>6872</v>
      </c>
      <c r="G222" s="552" t="s">
        <v>7142</v>
      </c>
      <c r="H222" s="552"/>
      <c r="I222" s="552"/>
      <c r="J222" s="709" t="s">
        <v>7167</v>
      </c>
      <c r="K222" s="709"/>
      <c r="L222" s="709"/>
      <c r="M222" s="552"/>
      <c r="N222" s="552"/>
      <c r="O222" s="552"/>
      <c r="P222" s="552"/>
      <c r="Q222" s="552"/>
      <c r="R222" s="552"/>
      <c r="S222" s="552"/>
      <c r="T222" s="552"/>
      <c r="U222" s="552"/>
      <c r="V222" s="552"/>
      <c r="W222" s="552"/>
      <c r="X222" s="552"/>
      <c r="Y222" s="552"/>
      <c r="Z222" s="552"/>
      <c r="AA222" s="552"/>
      <c r="AB222" s="552"/>
      <c r="AC222" s="552"/>
      <c r="AD222" s="552"/>
      <c r="AE222" s="552"/>
      <c r="AF222" s="552"/>
      <c r="AG222" s="552"/>
      <c r="AH222" s="552"/>
      <c r="AI222" s="552"/>
      <c r="AJ222" s="552"/>
      <c r="AK222" s="552"/>
      <c r="AL222" s="552"/>
      <c r="AM222" s="552"/>
      <c r="AN222" s="552"/>
      <c r="AO222" s="709" t="s">
        <v>7168</v>
      </c>
      <c r="AP222" s="709"/>
      <c r="AQ222" s="552" t="s">
        <v>1186</v>
      </c>
      <c r="AR222" s="552" t="s">
        <v>2809</v>
      </c>
      <c r="AS222" s="552" t="s">
        <v>6881</v>
      </c>
      <c r="AT222" s="552" t="s">
        <v>726</v>
      </c>
    </row>
    <row r="223" spans="1:46" ht="14.7" customHeight="1">
      <c r="A223" s="706"/>
      <c r="B223" s="344" t="s">
        <v>3699</v>
      </c>
      <c r="C223" s="539" t="s">
        <v>6869</v>
      </c>
      <c r="D223" s="539" t="s">
        <v>2783</v>
      </c>
      <c r="E223" s="539"/>
      <c r="F223" s="539"/>
      <c r="G223" s="539"/>
      <c r="H223" s="552"/>
      <c r="I223" s="552"/>
      <c r="J223" s="552"/>
      <c r="K223" s="552"/>
      <c r="L223" s="552"/>
      <c r="M223" s="552"/>
      <c r="N223" s="552"/>
      <c r="O223" s="552"/>
      <c r="P223" s="552"/>
      <c r="Q223" s="552"/>
      <c r="R223" s="552"/>
      <c r="S223" s="552"/>
      <c r="T223" s="552"/>
      <c r="U223" s="552"/>
      <c r="V223" s="552"/>
      <c r="W223" s="552"/>
      <c r="X223" s="552"/>
      <c r="Y223" s="552"/>
      <c r="Z223" s="552"/>
      <c r="AA223" s="552"/>
      <c r="AB223" s="552"/>
      <c r="AC223" s="552"/>
      <c r="AD223" s="552"/>
      <c r="AE223" s="552"/>
      <c r="AF223" s="552"/>
      <c r="AG223" s="552"/>
      <c r="AH223" s="552"/>
      <c r="AI223" s="552"/>
      <c r="AJ223" s="552"/>
      <c r="AK223" s="552"/>
      <c r="AL223" s="552"/>
      <c r="AM223" s="552"/>
      <c r="AN223" s="552"/>
      <c r="AO223" s="552"/>
      <c r="AP223" s="552"/>
      <c r="AQ223" s="552" t="s">
        <v>1186</v>
      </c>
      <c r="AR223" s="552" t="s">
        <v>2809</v>
      </c>
      <c r="AS223" s="552" t="s">
        <v>6881</v>
      </c>
      <c r="AT223" s="552" t="s">
        <v>726</v>
      </c>
    </row>
    <row r="224" spans="1:46" ht="14.7" customHeight="1">
      <c r="A224" s="710" t="s">
        <v>6154</v>
      </c>
      <c r="B224" s="344" t="s">
        <v>3699</v>
      </c>
      <c r="C224" s="539" t="s">
        <v>6869</v>
      </c>
      <c r="D224" s="709" t="s">
        <v>7169</v>
      </c>
      <c r="E224" s="552" t="s">
        <v>6925</v>
      </c>
      <c r="F224" s="552" t="s">
        <v>6872</v>
      </c>
      <c r="G224" s="552" t="s">
        <v>7142</v>
      </c>
      <c r="H224" s="552"/>
      <c r="I224" s="552"/>
      <c r="J224" s="709" t="s">
        <v>6892</v>
      </c>
      <c r="K224" s="709" t="s">
        <v>7170</v>
      </c>
      <c r="L224" s="709"/>
      <c r="M224" s="709"/>
      <c r="N224" s="552"/>
      <c r="O224" s="552"/>
      <c r="P224" s="552"/>
      <c r="Q224" s="552"/>
      <c r="R224" s="552"/>
      <c r="S224" s="552"/>
      <c r="T224" s="552"/>
      <c r="U224" s="552"/>
      <c r="V224" s="552"/>
      <c r="W224" s="552"/>
      <c r="X224" s="552"/>
      <c r="Y224" s="552"/>
      <c r="Z224" s="552"/>
      <c r="AA224" s="552"/>
      <c r="AB224" s="552"/>
      <c r="AC224" s="552"/>
      <c r="AD224" s="552"/>
      <c r="AE224" s="552"/>
      <c r="AF224" s="552"/>
      <c r="AG224" s="552"/>
      <c r="AH224" s="552"/>
      <c r="AI224" s="552"/>
      <c r="AJ224" s="552"/>
      <c r="AK224" s="552"/>
      <c r="AL224" s="552"/>
      <c r="AM224" s="552"/>
      <c r="AN224" s="552"/>
      <c r="AO224" s="552"/>
      <c r="AP224" s="552"/>
      <c r="AQ224" s="552" t="s">
        <v>1186</v>
      </c>
      <c r="AR224" s="552" t="s">
        <v>2809</v>
      </c>
      <c r="AS224" s="552" t="s">
        <v>6881</v>
      </c>
      <c r="AT224" s="552" t="s">
        <v>726</v>
      </c>
    </row>
    <row r="225" spans="1:46" ht="14.7" customHeight="1">
      <c r="A225" s="706"/>
      <c r="B225" s="344" t="s">
        <v>3699</v>
      </c>
      <c r="C225" s="539" t="s">
        <v>6869</v>
      </c>
      <c r="D225" s="539" t="s">
        <v>2783</v>
      </c>
      <c r="E225" s="539"/>
      <c r="F225" s="539"/>
      <c r="G225" s="539"/>
      <c r="H225" s="552"/>
      <c r="I225" s="552"/>
      <c r="J225" s="552"/>
      <c r="K225" s="552"/>
      <c r="L225" s="552"/>
      <c r="M225" s="552"/>
      <c r="N225" s="552"/>
      <c r="O225" s="552"/>
      <c r="P225" s="552"/>
      <c r="Q225" s="552"/>
      <c r="R225" s="552"/>
      <c r="S225" s="552"/>
      <c r="T225" s="552"/>
      <c r="U225" s="552"/>
      <c r="V225" s="552"/>
      <c r="W225" s="552"/>
      <c r="X225" s="552"/>
      <c r="Y225" s="552"/>
      <c r="Z225" s="552"/>
      <c r="AA225" s="552"/>
      <c r="AB225" s="552"/>
      <c r="AC225" s="552"/>
      <c r="AD225" s="552"/>
      <c r="AE225" s="552"/>
      <c r="AF225" s="552"/>
      <c r="AG225" s="552"/>
      <c r="AH225" s="552"/>
      <c r="AI225" s="552"/>
      <c r="AJ225" s="552"/>
      <c r="AK225" s="552"/>
      <c r="AL225" s="552"/>
      <c r="AM225" s="552"/>
      <c r="AN225" s="552"/>
      <c r="AO225" s="552"/>
      <c r="AP225" s="552"/>
      <c r="AQ225" s="552" t="s">
        <v>1186</v>
      </c>
      <c r="AR225" s="552" t="s">
        <v>2809</v>
      </c>
      <c r="AS225" s="552" t="s">
        <v>6881</v>
      </c>
      <c r="AT225" s="552" t="s">
        <v>726</v>
      </c>
    </row>
    <row r="226" spans="1:46" ht="14.7" customHeight="1">
      <c r="A226" s="706"/>
      <c r="B226" s="344" t="s">
        <v>3699</v>
      </c>
      <c r="C226" s="539" t="s">
        <v>6869</v>
      </c>
      <c r="D226" s="539" t="s">
        <v>2783</v>
      </c>
      <c r="E226" s="539"/>
      <c r="F226" s="539"/>
      <c r="G226" s="539"/>
      <c r="H226" s="552"/>
      <c r="I226" s="552"/>
      <c r="J226" s="552"/>
      <c r="K226" s="552"/>
      <c r="L226" s="552"/>
      <c r="M226" s="552"/>
      <c r="N226" s="552"/>
      <c r="O226" s="552"/>
      <c r="P226" s="552"/>
      <c r="Q226" s="552"/>
      <c r="R226" s="552"/>
      <c r="S226" s="552"/>
      <c r="T226" s="552"/>
      <c r="U226" s="552"/>
      <c r="V226" s="552"/>
      <c r="W226" s="552"/>
      <c r="X226" s="552"/>
      <c r="Y226" s="552"/>
      <c r="Z226" s="552"/>
      <c r="AA226" s="552"/>
      <c r="AB226" s="552"/>
      <c r="AC226" s="552"/>
      <c r="AD226" s="552"/>
      <c r="AE226" s="552"/>
      <c r="AF226" s="552"/>
      <c r="AG226" s="552"/>
      <c r="AH226" s="552"/>
      <c r="AI226" s="552"/>
      <c r="AJ226" s="552"/>
      <c r="AK226" s="552"/>
      <c r="AL226" s="552"/>
      <c r="AM226" s="552"/>
      <c r="AN226" s="552"/>
      <c r="AO226" s="552"/>
      <c r="AP226" s="552"/>
      <c r="AQ226" s="552" t="s">
        <v>1186</v>
      </c>
      <c r="AR226" s="552" t="s">
        <v>2809</v>
      </c>
      <c r="AS226" s="552" t="s">
        <v>6881</v>
      </c>
      <c r="AT226" s="552" t="s">
        <v>726</v>
      </c>
    </row>
    <row r="227" spans="1:46" ht="14.7" customHeight="1">
      <c r="A227" s="710" t="s">
        <v>6155</v>
      </c>
      <c r="B227" s="559" t="s">
        <v>3700</v>
      </c>
      <c r="C227" s="539" t="s">
        <v>6869</v>
      </c>
      <c r="D227" s="709" t="s">
        <v>7171</v>
      </c>
      <c r="E227" s="552" t="s">
        <v>6925</v>
      </c>
      <c r="F227" s="552" t="s">
        <v>6872</v>
      </c>
      <c r="G227" s="552" t="s">
        <v>7142</v>
      </c>
      <c r="H227" s="552"/>
      <c r="I227" s="552"/>
      <c r="J227" s="552" t="s">
        <v>6912</v>
      </c>
      <c r="K227" s="713" t="s">
        <v>7172</v>
      </c>
      <c r="L227" s="552"/>
      <c r="M227" s="552"/>
      <c r="N227" s="552"/>
      <c r="O227" s="552"/>
      <c r="P227" s="552"/>
      <c r="Q227" s="552"/>
      <c r="R227" s="552"/>
      <c r="S227" s="552"/>
      <c r="T227" s="552"/>
      <c r="U227" s="552"/>
      <c r="V227" s="552"/>
      <c r="W227" s="552"/>
      <c r="X227" s="552"/>
      <c r="Y227" s="552"/>
      <c r="Z227" s="552"/>
      <c r="AA227" s="552"/>
      <c r="AB227" s="552"/>
      <c r="AC227" s="552"/>
      <c r="AD227" s="552"/>
      <c r="AE227" s="552"/>
      <c r="AF227" s="552"/>
      <c r="AG227" s="552"/>
      <c r="AH227" s="552"/>
      <c r="AI227" s="552"/>
      <c r="AJ227" s="552"/>
      <c r="AK227" s="552"/>
      <c r="AL227" s="552"/>
      <c r="AM227" s="552"/>
      <c r="AN227" s="552"/>
      <c r="AO227" s="552"/>
      <c r="AP227" s="552"/>
      <c r="AQ227" s="552" t="s">
        <v>1186</v>
      </c>
      <c r="AR227" s="552" t="s">
        <v>2971</v>
      </c>
      <c r="AS227" s="552" t="s">
        <v>6881</v>
      </c>
      <c r="AT227" s="552" t="s">
        <v>726</v>
      </c>
    </row>
    <row r="228" spans="1:46" ht="14.7" customHeight="1">
      <c r="A228" s="710" t="s">
        <v>6156</v>
      </c>
      <c r="B228" s="559" t="s">
        <v>3700</v>
      </c>
      <c r="C228" s="539" t="s">
        <v>6869</v>
      </c>
      <c r="D228" s="709" t="s">
        <v>7173</v>
      </c>
      <c r="E228" s="552" t="s">
        <v>6925</v>
      </c>
      <c r="F228" s="552" t="s">
        <v>6872</v>
      </c>
      <c r="G228" s="552" t="s">
        <v>7142</v>
      </c>
      <c r="H228" s="552"/>
      <c r="I228" s="552"/>
      <c r="J228" s="709" t="s">
        <v>7174</v>
      </c>
      <c r="K228" s="713" t="s">
        <v>7175</v>
      </c>
      <c r="L228" s="552"/>
      <c r="M228" s="552"/>
      <c r="N228" s="552"/>
      <c r="O228" s="552"/>
      <c r="P228" s="552"/>
      <c r="Q228" s="552"/>
      <c r="R228" s="552"/>
      <c r="S228" s="552"/>
      <c r="T228" s="552"/>
      <c r="U228" s="552"/>
      <c r="V228" s="552"/>
      <c r="W228" s="552"/>
      <c r="X228" s="552"/>
      <c r="Y228" s="552"/>
      <c r="Z228" s="552"/>
      <c r="AA228" s="552"/>
      <c r="AB228" s="552"/>
      <c r="AC228" s="552"/>
      <c r="AD228" s="552"/>
      <c r="AE228" s="552"/>
      <c r="AF228" s="552"/>
      <c r="AG228" s="552"/>
      <c r="AH228" s="552"/>
      <c r="AI228" s="552"/>
      <c r="AJ228" s="552"/>
      <c r="AK228" s="552"/>
      <c r="AL228" s="552"/>
      <c r="AM228" s="552"/>
      <c r="AN228" s="552"/>
      <c r="AO228" s="552"/>
      <c r="AP228" s="552"/>
      <c r="AQ228" s="552" t="s">
        <v>1186</v>
      </c>
      <c r="AR228" s="552" t="s">
        <v>2971</v>
      </c>
      <c r="AS228" s="552" t="s">
        <v>6881</v>
      </c>
      <c r="AT228" s="552" t="s">
        <v>726</v>
      </c>
    </row>
    <row r="229" spans="1:46" ht="14.7" customHeight="1">
      <c r="A229" s="706" t="s">
        <v>7176</v>
      </c>
      <c r="B229" s="711" t="s">
        <v>6055</v>
      </c>
      <c r="C229" s="539" t="s">
        <v>6869</v>
      </c>
      <c r="D229" s="709" t="s">
        <v>7177</v>
      </c>
      <c r="E229" s="552" t="s">
        <v>6925</v>
      </c>
      <c r="F229" s="552" t="s">
        <v>6872</v>
      </c>
      <c r="G229" s="552" t="s">
        <v>7142</v>
      </c>
      <c r="H229" s="552"/>
      <c r="I229" s="552"/>
      <c r="J229" s="709" t="s">
        <v>7178</v>
      </c>
      <c r="K229" s="713" t="s">
        <v>7179</v>
      </c>
      <c r="L229" s="552"/>
      <c r="M229" s="552"/>
      <c r="N229" s="552"/>
      <c r="O229" s="552"/>
      <c r="P229" s="552"/>
      <c r="Q229" s="552"/>
      <c r="R229" s="552"/>
      <c r="S229" s="552"/>
      <c r="T229" s="552"/>
      <c r="U229" s="552"/>
      <c r="V229" s="552"/>
      <c r="W229" s="552"/>
      <c r="X229" s="552"/>
      <c r="Y229" s="552"/>
      <c r="Z229" s="552"/>
      <c r="AA229" s="552"/>
      <c r="AB229" s="552"/>
      <c r="AC229" s="552"/>
      <c r="AD229" s="552"/>
      <c r="AE229" s="552"/>
      <c r="AF229" s="552"/>
      <c r="AG229" s="552"/>
      <c r="AH229" s="552"/>
      <c r="AI229" s="552"/>
      <c r="AJ229" s="552"/>
      <c r="AK229" s="552"/>
      <c r="AL229" s="552"/>
      <c r="AM229" s="552"/>
      <c r="AN229" s="552"/>
      <c r="AO229" s="717" t="s">
        <v>7180</v>
      </c>
      <c r="AP229" s="717" t="s">
        <v>7181</v>
      </c>
      <c r="AQ229" s="552" t="s">
        <v>1186</v>
      </c>
      <c r="AR229" s="552" t="s">
        <v>6697</v>
      </c>
      <c r="AS229" s="552" t="s">
        <v>6881</v>
      </c>
      <c r="AT229" s="552" t="s">
        <v>726</v>
      </c>
    </row>
    <row r="230" spans="1:46" ht="14.7" customHeight="1">
      <c r="A230" s="706" t="s">
        <v>8664</v>
      </c>
      <c r="B230" s="540" t="s">
        <v>3695</v>
      </c>
      <c r="C230" s="539" t="s">
        <v>6869</v>
      </c>
      <c r="D230" s="709" t="s">
        <v>7182</v>
      </c>
      <c r="E230" s="552" t="s">
        <v>6871</v>
      </c>
      <c r="F230" s="552" t="s">
        <v>6872</v>
      </c>
      <c r="G230" s="552" t="s">
        <v>7183</v>
      </c>
      <c r="H230" s="552"/>
      <c r="I230" s="552"/>
      <c r="J230" s="709" t="s">
        <v>7184</v>
      </c>
      <c r="K230" s="709"/>
      <c r="L230" s="709"/>
      <c r="M230" s="552"/>
      <c r="N230" s="552"/>
      <c r="O230" s="552"/>
      <c r="P230" s="552"/>
      <c r="Q230" s="552"/>
      <c r="R230" s="552"/>
      <c r="S230" s="552"/>
      <c r="T230" s="552"/>
      <c r="U230" s="552"/>
      <c r="V230" s="552"/>
      <c r="W230" s="552"/>
      <c r="X230" s="552"/>
      <c r="Y230" s="552"/>
      <c r="Z230" s="552"/>
      <c r="AA230" s="552"/>
      <c r="AB230" s="552"/>
      <c r="AC230" s="552"/>
      <c r="AD230" s="552"/>
      <c r="AE230" s="552"/>
      <c r="AF230" s="552"/>
      <c r="AG230" s="552"/>
      <c r="AH230" s="552"/>
      <c r="AI230" s="552"/>
      <c r="AJ230" s="552"/>
      <c r="AK230" s="552"/>
      <c r="AL230" s="552"/>
      <c r="AM230" s="552"/>
      <c r="AN230" s="552"/>
      <c r="AO230" s="552"/>
      <c r="AP230" s="552"/>
      <c r="AQ230" s="552" t="s">
        <v>1186</v>
      </c>
      <c r="AR230" s="552" t="s">
        <v>2802</v>
      </c>
      <c r="AS230" s="552" t="s">
        <v>6881</v>
      </c>
      <c r="AT230" s="552" t="s">
        <v>726</v>
      </c>
    </row>
    <row r="231" spans="1:46" ht="14.7" customHeight="1">
      <c r="A231" s="706"/>
      <c r="B231" s="540" t="s">
        <v>3695</v>
      </c>
      <c r="C231" s="539" t="s">
        <v>6869</v>
      </c>
      <c r="D231" s="539" t="s">
        <v>2783</v>
      </c>
      <c r="E231" s="539"/>
      <c r="F231" s="539"/>
      <c r="G231" s="539"/>
      <c r="H231" s="552"/>
      <c r="I231" s="552"/>
      <c r="J231" s="552"/>
      <c r="K231" s="552"/>
      <c r="L231" s="552"/>
      <c r="M231" s="552"/>
      <c r="N231" s="552"/>
      <c r="O231" s="552"/>
      <c r="P231" s="552"/>
      <c r="Q231" s="552"/>
      <c r="R231" s="552"/>
      <c r="S231" s="552"/>
      <c r="T231" s="552"/>
      <c r="U231" s="552"/>
      <c r="V231" s="552"/>
      <c r="W231" s="552"/>
      <c r="X231" s="552"/>
      <c r="Y231" s="552"/>
      <c r="Z231" s="552"/>
      <c r="AA231" s="552"/>
      <c r="AB231" s="552"/>
      <c r="AC231" s="552"/>
      <c r="AD231" s="552"/>
      <c r="AE231" s="552"/>
      <c r="AF231" s="552"/>
      <c r="AG231" s="552"/>
      <c r="AH231" s="552"/>
      <c r="AI231" s="552"/>
      <c r="AJ231" s="552"/>
      <c r="AK231" s="552"/>
      <c r="AL231" s="552"/>
      <c r="AM231" s="552"/>
      <c r="AN231" s="552"/>
      <c r="AO231" s="552"/>
      <c r="AP231" s="552"/>
      <c r="AQ231" s="552" t="s">
        <v>1186</v>
      </c>
      <c r="AR231" s="552" t="s">
        <v>2802</v>
      </c>
      <c r="AS231" s="552" t="s">
        <v>6881</v>
      </c>
      <c r="AT231" s="552" t="s">
        <v>726</v>
      </c>
    </row>
    <row r="232" spans="1:46" ht="14.7" customHeight="1">
      <c r="A232" s="706" t="s">
        <v>6158</v>
      </c>
      <c r="B232" s="707" t="s">
        <v>3696</v>
      </c>
      <c r="C232" s="539" t="s">
        <v>6869</v>
      </c>
      <c r="D232" s="709" t="s">
        <v>7185</v>
      </c>
      <c r="E232" s="552" t="s">
        <v>6871</v>
      </c>
      <c r="F232" s="552" t="s">
        <v>6872</v>
      </c>
      <c r="G232" s="552" t="s">
        <v>7183</v>
      </c>
      <c r="H232" s="552"/>
      <c r="I232" s="552"/>
      <c r="J232" s="709" t="s">
        <v>6886</v>
      </c>
      <c r="K232" s="709"/>
      <c r="L232" s="709"/>
      <c r="M232" s="552"/>
      <c r="N232" s="552"/>
      <c r="O232" s="552"/>
      <c r="P232" s="552"/>
      <c r="Q232" s="552"/>
      <c r="R232" s="552"/>
      <c r="S232" s="552"/>
      <c r="T232" s="552"/>
      <c r="U232" s="552"/>
      <c r="V232" s="552"/>
      <c r="W232" s="552"/>
      <c r="X232" s="552"/>
      <c r="Y232" s="552"/>
      <c r="Z232" s="552"/>
      <c r="AA232" s="552"/>
      <c r="AB232" s="552"/>
      <c r="AC232" s="552"/>
      <c r="AD232" s="552"/>
      <c r="AE232" s="552"/>
      <c r="AF232" s="552"/>
      <c r="AG232" s="552"/>
      <c r="AH232" s="552"/>
      <c r="AI232" s="552"/>
      <c r="AJ232" s="552"/>
      <c r="AK232" s="552"/>
      <c r="AL232" s="552"/>
      <c r="AM232" s="552"/>
      <c r="AN232" s="552"/>
      <c r="AO232" s="552"/>
      <c r="AP232" s="712"/>
      <c r="AQ232" s="552" t="s">
        <v>1186</v>
      </c>
      <c r="AR232" s="552" t="s">
        <v>2805</v>
      </c>
      <c r="AS232" s="552" t="s">
        <v>6881</v>
      </c>
      <c r="AT232" s="552" t="s">
        <v>726</v>
      </c>
    </row>
    <row r="233" spans="1:46" ht="14.7" customHeight="1">
      <c r="A233" s="706"/>
      <c r="B233" s="707" t="s">
        <v>3696</v>
      </c>
      <c r="C233" s="539" t="s">
        <v>6869</v>
      </c>
      <c r="D233" s="539" t="s">
        <v>2783</v>
      </c>
      <c r="E233" s="539"/>
      <c r="F233" s="539"/>
      <c r="G233" s="539"/>
      <c r="H233" s="552"/>
      <c r="I233" s="552"/>
      <c r="J233" s="552"/>
      <c r="K233" s="552"/>
      <c r="L233" s="552"/>
      <c r="M233" s="552"/>
      <c r="N233" s="552"/>
      <c r="O233" s="552"/>
      <c r="P233" s="552"/>
      <c r="Q233" s="552"/>
      <c r="R233" s="552"/>
      <c r="S233" s="552"/>
      <c r="T233" s="552"/>
      <c r="U233" s="552"/>
      <c r="V233" s="552"/>
      <c r="W233" s="552"/>
      <c r="X233" s="552"/>
      <c r="Y233" s="552"/>
      <c r="Z233" s="552"/>
      <c r="AA233" s="552"/>
      <c r="AB233" s="552"/>
      <c r="AC233" s="552"/>
      <c r="AD233" s="552"/>
      <c r="AE233" s="552"/>
      <c r="AF233" s="552"/>
      <c r="AG233" s="552"/>
      <c r="AH233" s="552"/>
      <c r="AI233" s="552"/>
      <c r="AJ233" s="552"/>
      <c r="AK233" s="552"/>
      <c r="AL233" s="552"/>
      <c r="AM233" s="552"/>
      <c r="AN233" s="552"/>
      <c r="AO233" s="552"/>
      <c r="AP233" s="552"/>
      <c r="AQ233" s="552" t="s">
        <v>1186</v>
      </c>
      <c r="AR233" s="552" t="s">
        <v>2805</v>
      </c>
      <c r="AS233" s="552" t="s">
        <v>6881</v>
      </c>
      <c r="AT233" s="552" t="s">
        <v>726</v>
      </c>
    </row>
    <row r="234" spans="1:46" ht="14.7" customHeight="1">
      <c r="A234" s="710" t="s">
        <v>7186</v>
      </c>
      <c r="B234" s="556" t="s">
        <v>3697</v>
      </c>
      <c r="C234" s="539" t="s">
        <v>6869</v>
      </c>
      <c r="D234" s="709" t="s">
        <v>7187</v>
      </c>
      <c r="E234" s="552" t="s">
        <v>6871</v>
      </c>
      <c r="F234" s="552" t="s">
        <v>6872</v>
      </c>
      <c r="G234" s="552" t="s">
        <v>7183</v>
      </c>
      <c r="H234" s="552"/>
      <c r="I234" s="552"/>
      <c r="J234" s="709" t="s">
        <v>7188</v>
      </c>
      <c r="K234" s="709"/>
      <c r="L234" s="709"/>
      <c r="M234" s="552"/>
      <c r="N234" s="552"/>
      <c r="O234" s="552"/>
      <c r="P234" s="552"/>
      <c r="Q234" s="552"/>
      <c r="R234" s="552"/>
      <c r="S234" s="552"/>
      <c r="T234" s="552"/>
      <c r="U234" s="552"/>
      <c r="V234" s="552"/>
      <c r="W234" s="552"/>
      <c r="X234" s="552"/>
      <c r="Y234" s="552"/>
      <c r="Z234" s="552"/>
      <c r="AA234" s="552"/>
      <c r="AB234" s="552"/>
      <c r="AC234" s="552"/>
      <c r="AD234" s="552"/>
      <c r="AE234" s="552"/>
      <c r="AF234" s="552"/>
      <c r="AG234" s="552"/>
      <c r="AH234" s="552"/>
      <c r="AI234" s="552"/>
      <c r="AJ234" s="552"/>
      <c r="AK234" s="552"/>
      <c r="AL234" s="552"/>
      <c r="AM234" s="552"/>
      <c r="AN234" s="552"/>
      <c r="AO234" s="552"/>
      <c r="AP234" s="713" t="s">
        <v>7189</v>
      </c>
      <c r="AQ234" s="552" t="s">
        <v>1186</v>
      </c>
      <c r="AR234" s="552" t="s">
        <v>2875</v>
      </c>
      <c r="AS234" s="552" t="s">
        <v>6881</v>
      </c>
      <c r="AT234" s="552" t="s">
        <v>726</v>
      </c>
    </row>
    <row r="235" spans="1:46" ht="14.7" customHeight="1">
      <c r="A235" s="710" t="s">
        <v>6159</v>
      </c>
      <c r="B235" s="556" t="s">
        <v>3697</v>
      </c>
      <c r="C235" s="539" t="s">
        <v>6869</v>
      </c>
      <c r="D235" s="709" t="s">
        <v>7190</v>
      </c>
      <c r="E235" s="552" t="s">
        <v>6871</v>
      </c>
      <c r="F235" s="552" t="s">
        <v>6872</v>
      </c>
      <c r="G235" s="552" t="s">
        <v>7183</v>
      </c>
      <c r="H235" s="552"/>
      <c r="I235" s="552"/>
      <c r="J235" s="709" t="s">
        <v>6892</v>
      </c>
      <c r="K235" s="709"/>
      <c r="L235" s="709"/>
      <c r="M235" s="552"/>
      <c r="N235" s="552"/>
      <c r="O235" s="552"/>
      <c r="P235" s="552"/>
      <c r="Q235" s="552"/>
      <c r="R235" s="552"/>
      <c r="S235" s="552"/>
      <c r="T235" s="552"/>
      <c r="U235" s="552"/>
      <c r="V235" s="552"/>
      <c r="W235" s="552"/>
      <c r="X235" s="552">
        <v>3</v>
      </c>
      <c r="Y235" s="552"/>
      <c r="Z235" s="552"/>
      <c r="AA235" s="552"/>
      <c r="AB235" s="552"/>
      <c r="AC235" s="552"/>
      <c r="AD235" s="552"/>
      <c r="AE235" s="552"/>
      <c r="AF235" s="552"/>
      <c r="AG235" s="552"/>
      <c r="AH235" s="552"/>
      <c r="AI235" s="552"/>
      <c r="AJ235" s="552"/>
      <c r="AK235" s="552"/>
      <c r="AL235" s="552"/>
      <c r="AM235" s="552"/>
      <c r="AN235" s="552"/>
      <c r="AO235" s="552" t="s">
        <v>7191</v>
      </c>
      <c r="AP235" s="552"/>
      <c r="AQ235" s="552" t="s">
        <v>1186</v>
      </c>
      <c r="AR235" s="552" t="s">
        <v>2875</v>
      </c>
      <c r="AS235" s="552" t="s">
        <v>6881</v>
      </c>
      <c r="AT235" s="552" t="s">
        <v>726</v>
      </c>
    </row>
    <row r="236" spans="1:46" ht="14.7" customHeight="1">
      <c r="A236" s="706"/>
      <c r="B236" s="556" t="s">
        <v>3697</v>
      </c>
      <c r="C236" s="539" t="s">
        <v>6869</v>
      </c>
      <c r="D236" s="539" t="s">
        <v>2783</v>
      </c>
      <c r="E236" s="539"/>
      <c r="F236" s="539"/>
      <c r="G236" s="539"/>
      <c r="H236" s="552"/>
      <c r="I236" s="552"/>
      <c r="J236" s="552"/>
      <c r="K236" s="552"/>
      <c r="L236" s="552"/>
      <c r="M236" s="552"/>
      <c r="N236" s="552"/>
      <c r="O236" s="552"/>
      <c r="P236" s="552"/>
      <c r="Q236" s="552"/>
      <c r="R236" s="552"/>
      <c r="S236" s="552"/>
      <c r="T236" s="552"/>
      <c r="U236" s="552"/>
      <c r="V236" s="552"/>
      <c r="W236" s="552"/>
      <c r="X236" s="552"/>
      <c r="Y236" s="552"/>
      <c r="Z236" s="552"/>
      <c r="AA236" s="552"/>
      <c r="AB236" s="552"/>
      <c r="AC236" s="552"/>
      <c r="AD236" s="552"/>
      <c r="AE236" s="552"/>
      <c r="AF236" s="552"/>
      <c r="AG236" s="552"/>
      <c r="AH236" s="552"/>
      <c r="AI236" s="552"/>
      <c r="AJ236" s="552"/>
      <c r="AK236" s="552"/>
      <c r="AL236" s="552"/>
      <c r="AM236" s="552"/>
      <c r="AN236" s="552"/>
      <c r="AO236" s="552"/>
      <c r="AP236" s="552"/>
      <c r="AQ236" s="552" t="s">
        <v>1186</v>
      </c>
      <c r="AR236" s="552" t="s">
        <v>2875</v>
      </c>
      <c r="AS236" s="552" t="s">
        <v>6881</v>
      </c>
      <c r="AT236" s="552" t="s">
        <v>726</v>
      </c>
    </row>
    <row r="237" spans="1:46" ht="14.7" customHeight="1">
      <c r="A237" s="710" t="s">
        <v>6160</v>
      </c>
      <c r="B237" s="557" t="s">
        <v>3698</v>
      </c>
      <c r="C237" s="539" t="s">
        <v>6869</v>
      </c>
      <c r="D237" s="709" t="s">
        <v>7192</v>
      </c>
      <c r="E237" s="552" t="s">
        <v>6871</v>
      </c>
      <c r="F237" s="552" t="s">
        <v>6872</v>
      </c>
      <c r="G237" s="552" t="s">
        <v>7183</v>
      </c>
      <c r="H237" s="552"/>
      <c r="I237" s="552"/>
      <c r="J237" s="709" t="s">
        <v>6883</v>
      </c>
      <c r="K237" s="709" t="s">
        <v>7193</v>
      </c>
      <c r="L237" s="709"/>
      <c r="M237" s="709"/>
      <c r="N237" s="552"/>
      <c r="O237" s="552"/>
      <c r="P237" s="552"/>
      <c r="Q237" s="552"/>
      <c r="R237" s="552"/>
      <c r="S237" s="552"/>
      <c r="T237" s="552"/>
      <c r="U237" s="552"/>
      <c r="V237" s="552"/>
      <c r="W237" s="552"/>
      <c r="X237" s="552"/>
      <c r="Y237" s="552"/>
      <c r="Z237" s="552"/>
      <c r="AA237" s="552"/>
      <c r="AB237" s="552"/>
      <c r="AC237" s="552"/>
      <c r="AD237" s="552"/>
      <c r="AE237" s="552"/>
      <c r="AF237" s="552"/>
      <c r="AG237" s="552"/>
      <c r="AH237" s="552"/>
      <c r="AI237" s="552"/>
      <c r="AJ237" s="552"/>
      <c r="AK237" s="552"/>
      <c r="AL237" s="552"/>
      <c r="AM237" s="552"/>
      <c r="AN237" s="552"/>
      <c r="AO237" s="552"/>
      <c r="AP237" s="552"/>
      <c r="AQ237" s="552" t="s">
        <v>1186</v>
      </c>
      <c r="AR237" s="552" t="s">
        <v>2998</v>
      </c>
      <c r="AS237" s="552" t="s">
        <v>6881</v>
      </c>
      <c r="AT237" s="552" t="s">
        <v>726</v>
      </c>
    </row>
    <row r="238" spans="1:46" ht="14.7" customHeight="1">
      <c r="A238" s="706"/>
      <c r="B238" s="557" t="s">
        <v>3698</v>
      </c>
      <c r="C238" s="539" t="s">
        <v>6869</v>
      </c>
      <c r="D238" s="539" t="s">
        <v>2783</v>
      </c>
      <c r="E238" s="539"/>
      <c r="F238" s="539"/>
      <c r="G238" s="539"/>
      <c r="H238" s="552"/>
      <c r="I238" s="552"/>
      <c r="J238" s="552"/>
      <c r="K238" s="552"/>
      <c r="L238" s="552"/>
      <c r="M238" s="552"/>
      <c r="N238" s="552"/>
      <c r="O238" s="552"/>
      <c r="P238" s="552"/>
      <c r="Q238" s="552"/>
      <c r="R238" s="552"/>
      <c r="S238" s="552"/>
      <c r="T238" s="552"/>
      <c r="U238" s="552"/>
      <c r="V238" s="552"/>
      <c r="W238" s="552"/>
      <c r="X238" s="552"/>
      <c r="Y238" s="552"/>
      <c r="Z238" s="552"/>
      <c r="AA238" s="552"/>
      <c r="AB238" s="552"/>
      <c r="AC238" s="552"/>
      <c r="AD238" s="552"/>
      <c r="AE238" s="552"/>
      <c r="AF238" s="552"/>
      <c r="AG238" s="552"/>
      <c r="AH238" s="552"/>
      <c r="AI238" s="552"/>
      <c r="AJ238" s="552"/>
      <c r="AK238" s="552"/>
      <c r="AL238" s="552"/>
      <c r="AM238" s="552"/>
      <c r="AN238" s="552"/>
      <c r="AO238" s="552"/>
      <c r="AP238" s="552"/>
      <c r="AQ238" s="552" t="s">
        <v>1186</v>
      </c>
      <c r="AR238" s="552" t="s">
        <v>2998</v>
      </c>
      <c r="AS238" s="552" t="s">
        <v>6881</v>
      </c>
      <c r="AT238" s="552" t="s">
        <v>726</v>
      </c>
    </row>
    <row r="239" spans="1:46" ht="14.7" customHeight="1">
      <c r="A239" s="706"/>
      <c r="B239" s="557" t="s">
        <v>3698</v>
      </c>
      <c r="C239" s="539" t="s">
        <v>6869</v>
      </c>
      <c r="D239" s="539" t="s">
        <v>2783</v>
      </c>
      <c r="E239" s="539"/>
      <c r="F239" s="539"/>
      <c r="G239" s="539"/>
      <c r="H239" s="552"/>
      <c r="I239" s="552"/>
      <c r="J239" s="552"/>
      <c r="K239" s="552"/>
      <c r="L239" s="552"/>
      <c r="M239" s="552"/>
      <c r="N239" s="552"/>
      <c r="O239" s="552"/>
      <c r="P239" s="552"/>
      <c r="Q239" s="552"/>
      <c r="R239" s="552"/>
      <c r="S239" s="552"/>
      <c r="T239" s="552"/>
      <c r="U239" s="552"/>
      <c r="V239" s="552"/>
      <c r="W239" s="552"/>
      <c r="X239" s="552"/>
      <c r="Y239" s="552"/>
      <c r="Z239" s="552"/>
      <c r="AA239" s="552"/>
      <c r="AB239" s="552"/>
      <c r="AC239" s="552"/>
      <c r="AD239" s="552"/>
      <c r="AE239" s="552"/>
      <c r="AF239" s="552"/>
      <c r="AG239" s="552"/>
      <c r="AH239" s="552"/>
      <c r="AI239" s="552"/>
      <c r="AJ239" s="552"/>
      <c r="AK239" s="552"/>
      <c r="AL239" s="552"/>
      <c r="AM239" s="552"/>
      <c r="AN239" s="552"/>
      <c r="AO239" s="552"/>
      <c r="AP239" s="552"/>
      <c r="AQ239" s="552" t="s">
        <v>1186</v>
      </c>
      <c r="AR239" s="552" t="s">
        <v>2998</v>
      </c>
      <c r="AS239" s="552" t="s">
        <v>6881</v>
      </c>
      <c r="AT239" s="552" t="s">
        <v>726</v>
      </c>
    </row>
    <row r="240" spans="1:46" ht="14.7" customHeight="1">
      <c r="A240" s="706"/>
      <c r="B240" s="557" t="s">
        <v>3698</v>
      </c>
      <c r="C240" s="539" t="s">
        <v>6869</v>
      </c>
      <c r="D240" s="539" t="s">
        <v>2783</v>
      </c>
      <c r="E240" s="539"/>
      <c r="F240" s="539"/>
      <c r="G240" s="539"/>
      <c r="H240" s="552"/>
      <c r="I240" s="552"/>
      <c r="J240" s="552"/>
      <c r="K240" s="552"/>
      <c r="L240" s="552"/>
      <c r="M240" s="552"/>
      <c r="N240" s="552"/>
      <c r="O240" s="552"/>
      <c r="P240" s="552"/>
      <c r="Q240" s="552"/>
      <c r="R240" s="552"/>
      <c r="S240" s="552"/>
      <c r="T240" s="552"/>
      <c r="U240" s="552"/>
      <c r="V240" s="552"/>
      <c r="W240" s="552"/>
      <c r="X240" s="552"/>
      <c r="Y240" s="552"/>
      <c r="Z240" s="552"/>
      <c r="AA240" s="552"/>
      <c r="AB240" s="552"/>
      <c r="AC240" s="552"/>
      <c r="AD240" s="552"/>
      <c r="AE240" s="552"/>
      <c r="AF240" s="552"/>
      <c r="AG240" s="552"/>
      <c r="AH240" s="552"/>
      <c r="AI240" s="552"/>
      <c r="AJ240" s="552"/>
      <c r="AK240" s="552"/>
      <c r="AL240" s="552"/>
      <c r="AM240" s="552"/>
      <c r="AN240" s="552"/>
      <c r="AO240" s="552"/>
      <c r="AP240" s="552"/>
      <c r="AQ240" s="552" t="s">
        <v>1186</v>
      </c>
      <c r="AR240" s="552" t="s">
        <v>2998</v>
      </c>
      <c r="AS240" s="552" t="s">
        <v>6881</v>
      </c>
      <c r="AT240" s="552" t="s">
        <v>726</v>
      </c>
    </row>
    <row r="241" spans="1:46" ht="14.7" customHeight="1">
      <c r="A241" s="710" t="s">
        <v>6161</v>
      </c>
      <c r="B241" s="344" t="s">
        <v>3699</v>
      </c>
      <c r="C241" s="539" t="s">
        <v>6869</v>
      </c>
      <c r="D241" s="709" t="s">
        <v>7194</v>
      </c>
      <c r="E241" s="552" t="s">
        <v>6871</v>
      </c>
      <c r="F241" s="552" t="s">
        <v>6872</v>
      </c>
      <c r="G241" s="552" t="s">
        <v>7183</v>
      </c>
      <c r="H241" s="552"/>
      <c r="I241" s="552"/>
      <c r="J241" s="709" t="s">
        <v>6947</v>
      </c>
      <c r="K241" s="709" t="s">
        <v>7195</v>
      </c>
      <c r="L241" s="709"/>
      <c r="M241" s="709"/>
      <c r="N241" s="709"/>
      <c r="O241" s="709"/>
      <c r="P241" s="709"/>
      <c r="Q241" s="709"/>
      <c r="R241" s="552"/>
      <c r="S241" s="552"/>
      <c r="T241" s="552"/>
      <c r="U241" s="552"/>
      <c r="V241" s="552"/>
      <c r="W241" s="552"/>
      <c r="X241" s="552"/>
      <c r="Y241" s="552"/>
      <c r="Z241" s="552"/>
      <c r="AA241" s="552"/>
      <c r="AB241" s="552"/>
      <c r="AC241" s="552"/>
      <c r="AD241" s="552"/>
      <c r="AE241" s="552"/>
      <c r="AF241" s="552"/>
      <c r="AG241" s="552"/>
      <c r="AH241" s="552"/>
      <c r="AI241" s="552"/>
      <c r="AJ241" s="552"/>
      <c r="AK241" s="552"/>
      <c r="AL241" s="552"/>
      <c r="AM241" s="552"/>
      <c r="AN241" s="552"/>
      <c r="AO241" s="552"/>
      <c r="AP241" s="552"/>
      <c r="AQ241" s="552" t="s">
        <v>1186</v>
      </c>
      <c r="AR241" s="552" t="s">
        <v>2809</v>
      </c>
      <c r="AS241" s="552" t="s">
        <v>6881</v>
      </c>
      <c r="AT241" s="552" t="s">
        <v>726</v>
      </c>
    </row>
    <row r="242" spans="1:46" ht="14.7" customHeight="1">
      <c r="A242" s="706"/>
      <c r="B242" s="344" t="s">
        <v>3699</v>
      </c>
      <c r="C242" s="539" t="s">
        <v>6869</v>
      </c>
      <c r="D242" s="539" t="s">
        <v>2783</v>
      </c>
      <c r="E242" s="539"/>
      <c r="F242" s="539"/>
      <c r="G242" s="539"/>
      <c r="H242" s="552"/>
      <c r="I242" s="552"/>
      <c r="J242" s="552"/>
      <c r="K242" s="552"/>
      <c r="L242" s="552"/>
      <c r="M242" s="552"/>
      <c r="N242" s="552"/>
      <c r="O242" s="552"/>
      <c r="P242" s="552"/>
      <c r="Q242" s="552"/>
      <c r="R242" s="552"/>
      <c r="S242" s="552"/>
      <c r="T242" s="552"/>
      <c r="U242" s="552"/>
      <c r="V242" s="552"/>
      <c r="W242" s="552"/>
      <c r="X242" s="552"/>
      <c r="Y242" s="552"/>
      <c r="Z242" s="552"/>
      <c r="AA242" s="552"/>
      <c r="AB242" s="552"/>
      <c r="AC242" s="552"/>
      <c r="AD242" s="552"/>
      <c r="AE242" s="552"/>
      <c r="AF242" s="552"/>
      <c r="AG242" s="552"/>
      <c r="AH242" s="552"/>
      <c r="AI242" s="552"/>
      <c r="AJ242" s="552"/>
      <c r="AK242" s="552"/>
      <c r="AL242" s="552"/>
      <c r="AM242" s="552"/>
      <c r="AN242" s="552"/>
      <c r="AO242" s="552"/>
      <c r="AP242" s="552"/>
      <c r="AQ242" s="552" t="s">
        <v>1186</v>
      </c>
      <c r="AR242" s="552" t="s">
        <v>2809</v>
      </c>
      <c r="AS242" s="552" t="s">
        <v>6881</v>
      </c>
      <c r="AT242" s="552" t="s">
        <v>726</v>
      </c>
    </row>
    <row r="243" spans="1:46" ht="14.7" customHeight="1">
      <c r="A243" s="706"/>
      <c r="B243" s="344" t="s">
        <v>3699</v>
      </c>
      <c r="C243" s="539" t="s">
        <v>6869</v>
      </c>
      <c r="D243" s="539" t="s">
        <v>2783</v>
      </c>
      <c r="E243" s="539"/>
      <c r="F243" s="539"/>
      <c r="G243" s="539"/>
      <c r="H243" s="552"/>
      <c r="I243" s="552"/>
      <c r="J243" s="552"/>
      <c r="K243" s="552"/>
      <c r="L243" s="552"/>
      <c r="M243" s="552"/>
      <c r="N243" s="552"/>
      <c r="O243" s="552"/>
      <c r="P243" s="552"/>
      <c r="Q243" s="552"/>
      <c r="R243" s="552"/>
      <c r="S243" s="552"/>
      <c r="T243" s="552"/>
      <c r="U243" s="552"/>
      <c r="V243" s="552"/>
      <c r="W243" s="552"/>
      <c r="X243" s="552"/>
      <c r="Y243" s="552"/>
      <c r="Z243" s="552"/>
      <c r="AA243" s="552"/>
      <c r="AB243" s="552"/>
      <c r="AC243" s="552"/>
      <c r="AD243" s="552"/>
      <c r="AE243" s="552"/>
      <c r="AF243" s="552"/>
      <c r="AG243" s="552"/>
      <c r="AH243" s="552"/>
      <c r="AI243" s="552"/>
      <c r="AJ243" s="552"/>
      <c r="AK243" s="552"/>
      <c r="AL243" s="552"/>
      <c r="AM243" s="552"/>
      <c r="AN243" s="552"/>
      <c r="AO243" s="552"/>
      <c r="AP243" s="552"/>
      <c r="AQ243" s="552" t="s">
        <v>1186</v>
      </c>
      <c r="AR243" s="552" t="s">
        <v>2809</v>
      </c>
      <c r="AS243" s="552" t="s">
        <v>6881</v>
      </c>
      <c r="AT243" s="552" t="s">
        <v>726</v>
      </c>
    </row>
    <row r="244" spans="1:46" ht="14.7" customHeight="1">
      <c r="A244" s="706"/>
      <c r="B244" s="344" t="s">
        <v>3699</v>
      </c>
      <c r="C244" s="539" t="s">
        <v>6869</v>
      </c>
      <c r="D244" s="539" t="s">
        <v>2783</v>
      </c>
      <c r="E244" s="539"/>
      <c r="F244" s="539"/>
      <c r="G244" s="539"/>
      <c r="H244" s="552"/>
      <c r="I244" s="552"/>
      <c r="J244" s="552"/>
      <c r="K244" s="552"/>
      <c r="L244" s="552"/>
      <c r="M244" s="552"/>
      <c r="N244" s="552"/>
      <c r="O244" s="552"/>
      <c r="P244" s="552"/>
      <c r="Q244" s="552"/>
      <c r="R244" s="552"/>
      <c r="S244" s="552"/>
      <c r="T244" s="552"/>
      <c r="U244" s="552"/>
      <c r="V244" s="552"/>
      <c r="W244" s="552"/>
      <c r="X244" s="552"/>
      <c r="Y244" s="552"/>
      <c r="Z244" s="552"/>
      <c r="AA244" s="552"/>
      <c r="AB244" s="552"/>
      <c r="AC244" s="552"/>
      <c r="AD244" s="552"/>
      <c r="AE244" s="552"/>
      <c r="AF244" s="552"/>
      <c r="AG244" s="552"/>
      <c r="AH244" s="552"/>
      <c r="AI244" s="552"/>
      <c r="AJ244" s="552"/>
      <c r="AK244" s="552"/>
      <c r="AL244" s="552"/>
      <c r="AM244" s="552"/>
      <c r="AN244" s="552"/>
      <c r="AO244" s="552"/>
      <c r="AP244" s="552"/>
      <c r="AQ244" s="552" t="s">
        <v>1186</v>
      </c>
      <c r="AR244" s="552" t="s">
        <v>2809</v>
      </c>
      <c r="AS244" s="552" t="s">
        <v>6881</v>
      </c>
      <c r="AT244" s="552" t="s">
        <v>726</v>
      </c>
    </row>
    <row r="245" spans="1:46" ht="14.7" customHeight="1">
      <c r="A245" s="706"/>
      <c r="B245" s="344" t="s">
        <v>3699</v>
      </c>
      <c r="C245" s="539" t="s">
        <v>6869</v>
      </c>
      <c r="D245" s="539" t="s">
        <v>2783</v>
      </c>
      <c r="E245" s="539"/>
      <c r="F245" s="539"/>
      <c r="G245" s="539"/>
      <c r="H245" s="552"/>
      <c r="I245" s="552"/>
      <c r="J245" s="552"/>
      <c r="K245" s="552"/>
      <c r="L245" s="552"/>
      <c r="M245" s="552"/>
      <c r="N245" s="552"/>
      <c r="O245" s="552"/>
      <c r="P245" s="552"/>
      <c r="Q245" s="552"/>
      <c r="R245" s="552"/>
      <c r="S245" s="552"/>
      <c r="T245" s="552"/>
      <c r="U245" s="552"/>
      <c r="V245" s="552"/>
      <c r="W245" s="552"/>
      <c r="X245" s="552"/>
      <c r="Y245" s="552"/>
      <c r="Z245" s="552"/>
      <c r="AA245" s="552"/>
      <c r="AB245" s="552"/>
      <c r="AC245" s="552"/>
      <c r="AD245" s="552"/>
      <c r="AE245" s="552"/>
      <c r="AF245" s="552"/>
      <c r="AG245" s="552"/>
      <c r="AH245" s="552"/>
      <c r="AI245" s="552"/>
      <c r="AJ245" s="552"/>
      <c r="AK245" s="552"/>
      <c r="AL245" s="552"/>
      <c r="AM245" s="552"/>
      <c r="AN245" s="552"/>
      <c r="AO245" s="552"/>
      <c r="AP245" s="552"/>
      <c r="AQ245" s="552" t="s">
        <v>1186</v>
      </c>
      <c r="AR245" s="552" t="s">
        <v>2809</v>
      </c>
      <c r="AS245" s="552" t="s">
        <v>6881</v>
      </c>
      <c r="AT245" s="552" t="s">
        <v>726</v>
      </c>
    </row>
    <row r="246" spans="1:46" ht="14.7" customHeight="1">
      <c r="A246" s="706"/>
      <c r="B246" s="559" t="s">
        <v>3700</v>
      </c>
      <c r="C246" s="539" t="s">
        <v>6869</v>
      </c>
      <c r="D246" s="539" t="s">
        <v>2783</v>
      </c>
      <c r="E246" s="539"/>
      <c r="F246" s="539"/>
      <c r="G246" s="539"/>
      <c r="H246" s="552"/>
      <c r="I246" s="552"/>
      <c r="J246" s="552"/>
      <c r="K246" s="552"/>
      <c r="L246" s="552"/>
      <c r="M246" s="552"/>
      <c r="N246" s="552"/>
      <c r="O246" s="552"/>
      <c r="P246" s="552"/>
      <c r="Q246" s="552"/>
      <c r="R246" s="552"/>
      <c r="S246" s="552"/>
      <c r="T246" s="552"/>
      <c r="U246" s="552"/>
      <c r="V246" s="552"/>
      <c r="W246" s="552"/>
      <c r="X246" s="552"/>
      <c r="Y246" s="552"/>
      <c r="Z246" s="552"/>
      <c r="AA246" s="552"/>
      <c r="AB246" s="552"/>
      <c r="AC246" s="552"/>
      <c r="AD246" s="552"/>
      <c r="AE246" s="552"/>
      <c r="AF246" s="552"/>
      <c r="AG246" s="552"/>
      <c r="AH246" s="552"/>
      <c r="AI246" s="552"/>
      <c r="AJ246" s="552"/>
      <c r="AK246" s="552"/>
      <c r="AL246" s="552"/>
      <c r="AM246" s="552"/>
      <c r="AN246" s="552"/>
      <c r="AO246" s="552"/>
      <c r="AP246" s="552"/>
      <c r="AQ246" s="552" t="s">
        <v>1186</v>
      </c>
      <c r="AR246" s="552" t="s">
        <v>2971</v>
      </c>
      <c r="AS246" s="552" t="s">
        <v>6881</v>
      </c>
      <c r="AT246" s="552" t="s">
        <v>726</v>
      </c>
    </row>
    <row r="247" spans="1:46" ht="14.7" customHeight="1">
      <c r="A247" s="706"/>
      <c r="B247" s="559" t="s">
        <v>3700</v>
      </c>
      <c r="C247" s="539" t="s">
        <v>6869</v>
      </c>
      <c r="D247" s="539" t="s">
        <v>2783</v>
      </c>
      <c r="E247" s="539"/>
      <c r="F247" s="539"/>
      <c r="G247" s="539"/>
      <c r="H247" s="552"/>
      <c r="I247" s="552"/>
      <c r="J247" s="552"/>
      <c r="K247" s="552"/>
      <c r="L247" s="552"/>
      <c r="M247" s="552"/>
      <c r="N247" s="552"/>
      <c r="O247" s="552"/>
      <c r="P247" s="552"/>
      <c r="Q247" s="552"/>
      <c r="R247" s="552"/>
      <c r="S247" s="552"/>
      <c r="T247" s="552"/>
      <c r="U247" s="552"/>
      <c r="V247" s="552"/>
      <c r="W247" s="552"/>
      <c r="X247" s="552"/>
      <c r="Y247" s="552"/>
      <c r="Z247" s="552"/>
      <c r="AA247" s="552"/>
      <c r="AB247" s="552"/>
      <c r="AC247" s="552"/>
      <c r="AD247" s="552"/>
      <c r="AE247" s="552"/>
      <c r="AF247" s="552"/>
      <c r="AG247" s="552"/>
      <c r="AH247" s="552"/>
      <c r="AI247" s="552"/>
      <c r="AJ247" s="552"/>
      <c r="AK247" s="552"/>
      <c r="AL247" s="552"/>
      <c r="AM247" s="552"/>
      <c r="AN247" s="552"/>
      <c r="AO247" s="552"/>
      <c r="AP247" s="552"/>
      <c r="AQ247" s="552" t="s">
        <v>1186</v>
      </c>
      <c r="AR247" s="552" t="s">
        <v>2971</v>
      </c>
      <c r="AS247" s="552" t="s">
        <v>6881</v>
      </c>
      <c r="AT247" s="552" t="s">
        <v>726</v>
      </c>
    </row>
    <row r="248" spans="1:46" ht="14.7" customHeight="1">
      <c r="A248" s="706"/>
      <c r="B248" s="711" t="s">
        <v>6055</v>
      </c>
      <c r="C248" s="539" t="s">
        <v>6869</v>
      </c>
      <c r="D248" s="539"/>
      <c r="E248" s="552"/>
      <c r="F248" s="552"/>
      <c r="G248" s="552"/>
      <c r="H248" s="552"/>
      <c r="I248" s="552"/>
      <c r="J248" s="552"/>
      <c r="K248" s="552"/>
      <c r="L248" s="552"/>
      <c r="M248" s="552"/>
      <c r="N248" s="552"/>
      <c r="O248" s="552"/>
      <c r="P248" s="552"/>
      <c r="Q248" s="552"/>
      <c r="R248" s="552"/>
      <c r="S248" s="552"/>
      <c r="T248" s="552"/>
      <c r="U248" s="552"/>
      <c r="V248" s="552"/>
      <c r="W248" s="552"/>
      <c r="X248" s="552"/>
      <c r="Y248" s="552"/>
      <c r="Z248" s="552"/>
      <c r="AA248" s="552"/>
      <c r="AB248" s="552"/>
      <c r="AC248" s="552"/>
      <c r="AD248" s="552"/>
      <c r="AE248" s="552"/>
      <c r="AF248" s="552"/>
      <c r="AG248" s="552"/>
      <c r="AH248" s="552"/>
      <c r="AI248" s="552"/>
      <c r="AJ248" s="552"/>
      <c r="AK248" s="552"/>
      <c r="AL248" s="552"/>
      <c r="AM248" s="552"/>
      <c r="AN248" s="552"/>
      <c r="AO248" s="552"/>
      <c r="AP248" s="552"/>
      <c r="AQ248" s="552" t="s">
        <v>1186</v>
      </c>
      <c r="AR248" s="552" t="s">
        <v>6697</v>
      </c>
      <c r="AS248" s="552" t="s">
        <v>6881</v>
      </c>
      <c r="AT248" s="552" t="s">
        <v>726</v>
      </c>
    </row>
    <row r="249" spans="1:46" ht="14.7" customHeight="1">
      <c r="A249" s="706" t="s">
        <v>6162</v>
      </c>
      <c r="B249" s="540" t="s">
        <v>3695</v>
      </c>
      <c r="C249" s="539" t="s">
        <v>6869</v>
      </c>
      <c r="D249" s="709" t="s">
        <v>7196</v>
      </c>
      <c r="E249" s="552" t="s">
        <v>6925</v>
      </c>
      <c r="F249" s="552" t="s">
        <v>6872</v>
      </c>
      <c r="G249" s="552" t="s">
        <v>7183</v>
      </c>
      <c r="H249" s="552"/>
      <c r="I249" s="552"/>
      <c r="J249" s="709" t="s">
        <v>7197</v>
      </c>
      <c r="K249" s="709"/>
      <c r="L249" s="709"/>
      <c r="M249" s="552"/>
      <c r="N249" s="552"/>
      <c r="O249" s="552"/>
      <c r="P249" s="552"/>
      <c r="Q249" s="552"/>
      <c r="R249" s="552"/>
      <c r="S249" s="552"/>
      <c r="T249" s="552"/>
      <c r="U249" s="552"/>
      <c r="V249" s="552"/>
      <c r="W249" s="552"/>
      <c r="X249" s="552"/>
      <c r="Y249" s="552"/>
      <c r="Z249" s="552"/>
      <c r="AA249" s="552"/>
      <c r="AB249" s="552"/>
      <c r="AC249" s="552"/>
      <c r="AD249" s="552"/>
      <c r="AE249" s="552"/>
      <c r="AF249" s="552"/>
      <c r="AG249" s="552"/>
      <c r="AH249" s="552"/>
      <c r="AI249" s="552"/>
      <c r="AJ249" s="552"/>
      <c r="AK249" s="552"/>
      <c r="AL249" s="552"/>
      <c r="AM249" s="552"/>
      <c r="AN249" s="552"/>
      <c r="AO249" s="552"/>
      <c r="AP249" s="552"/>
      <c r="AQ249" s="552" t="s">
        <v>1186</v>
      </c>
      <c r="AR249" s="552" t="s">
        <v>2802</v>
      </c>
      <c r="AS249" s="552" t="s">
        <v>6881</v>
      </c>
      <c r="AT249" s="552" t="s">
        <v>726</v>
      </c>
    </row>
    <row r="250" spans="1:46" ht="14.7" customHeight="1">
      <c r="A250" s="706"/>
      <c r="B250" s="540" t="s">
        <v>3695</v>
      </c>
      <c r="C250" s="539" t="s">
        <v>6869</v>
      </c>
      <c r="D250" s="539" t="s">
        <v>2783</v>
      </c>
      <c r="E250" s="539"/>
      <c r="F250" s="539"/>
      <c r="G250" s="539"/>
      <c r="H250" s="552"/>
      <c r="I250" s="552"/>
      <c r="J250" s="552"/>
      <c r="K250" s="552"/>
      <c r="L250" s="552"/>
      <c r="M250" s="552"/>
      <c r="N250" s="552"/>
      <c r="O250" s="552"/>
      <c r="P250" s="552"/>
      <c r="Q250" s="552"/>
      <c r="R250" s="552"/>
      <c r="S250" s="552"/>
      <c r="T250" s="552"/>
      <c r="U250" s="552"/>
      <c r="V250" s="552"/>
      <c r="W250" s="552"/>
      <c r="X250" s="552"/>
      <c r="Y250" s="552"/>
      <c r="Z250" s="552"/>
      <c r="AA250" s="552"/>
      <c r="AB250" s="552"/>
      <c r="AC250" s="552"/>
      <c r="AD250" s="552"/>
      <c r="AE250" s="552"/>
      <c r="AF250" s="552"/>
      <c r="AG250" s="552"/>
      <c r="AH250" s="552"/>
      <c r="AI250" s="552"/>
      <c r="AJ250" s="552"/>
      <c r="AK250" s="552"/>
      <c r="AL250" s="552"/>
      <c r="AM250" s="552"/>
      <c r="AN250" s="552"/>
      <c r="AO250" s="552"/>
      <c r="AP250" s="552"/>
      <c r="AQ250" s="552" t="s">
        <v>1186</v>
      </c>
      <c r="AR250" s="552" t="s">
        <v>2802</v>
      </c>
      <c r="AS250" s="552" t="s">
        <v>6881</v>
      </c>
      <c r="AT250" s="552" t="s">
        <v>726</v>
      </c>
    </row>
    <row r="251" spans="1:46" ht="14.7" customHeight="1">
      <c r="A251" s="706" t="s">
        <v>6163</v>
      </c>
      <c r="B251" s="707" t="s">
        <v>3696</v>
      </c>
      <c r="C251" s="539" t="s">
        <v>6869</v>
      </c>
      <c r="D251" s="709" t="s">
        <v>7198</v>
      </c>
      <c r="E251" s="552" t="s">
        <v>6925</v>
      </c>
      <c r="F251" s="552" t="s">
        <v>6872</v>
      </c>
      <c r="G251" s="552" t="s">
        <v>7183</v>
      </c>
      <c r="H251" s="552"/>
      <c r="I251" s="552"/>
      <c r="J251" s="709" t="s">
        <v>6883</v>
      </c>
      <c r="K251" s="709" t="s">
        <v>7199</v>
      </c>
      <c r="L251" s="709"/>
      <c r="M251" s="709"/>
      <c r="N251" s="709"/>
      <c r="O251" s="552"/>
      <c r="P251" s="552"/>
      <c r="Q251" s="552"/>
      <c r="R251" s="552"/>
      <c r="S251" s="552"/>
      <c r="T251" s="552"/>
      <c r="U251" s="552"/>
      <c r="V251" s="552"/>
      <c r="W251" s="552"/>
      <c r="X251" s="552"/>
      <c r="Y251" s="552"/>
      <c r="Z251" s="552"/>
      <c r="AA251" s="552"/>
      <c r="AB251" s="552"/>
      <c r="AC251" s="552"/>
      <c r="AD251" s="552"/>
      <c r="AE251" s="552"/>
      <c r="AF251" s="552"/>
      <c r="AG251" s="552"/>
      <c r="AH251" s="552"/>
      <c r="AI251" s="552"/>
      <c r="AJ251" s="552"/>
      <c r="AK251" s="552"/>
      <c r="AL251" s="552"/>
      <c r="AM251" s="552"/>
      <c r="AN251" s="552"/>
      <c r="AO251" s="552"/>
      <c r="AP251" s="552"/>
      <c r="AQ251" s="552" t="s">
        <v>1186</v>
      </c>
      <c r="AR251" s="552" t="s">
        <v>2805</v>
      </c>
      <c r="AS251" s="552" t="s">
        <v>6881</v>
      </c>
      <c r="AT251" s="552" t="s">
        <v>726</v>
      </c>
    </row>
    <row r="252" spans="1:46" ht="14.7" customHeight="1">
      <c r="A252" s="706"/>
      <c r="B252" s="707" t="s">
        <v>3696</v>
      </c>
      <c r="C252" s="539" t="s">
        <v>6869</v>
      </c>
      <c r="D252" s="539" t="s">
        <v>2783</v>
      </c>
      <c r="E252" s="539"/>
      <c r="F252" s="539"/>
      <c r="G252" s="539"/>
      <c r="H252" s="552"/>
      <c r="I252" s="552"/>
      <c r="J252" s="552"/>
      <c r="K252" s="552"/>
      <c r="L252" s="552"/>
      <c r="M252" s="552"/>
      <c r="N252" s="552"/>
      <c r="O252" s="552"/>
      <c r="P252" s="552"/>
      <c r="Q252" s="552"/>
      <c r="R252" s="552"/>
      <c r="S252" s="552"/>
      <c r="T252" s="552"/>
      <c r="U252" s="552"/>
      <c r="V252" s="552"/>
      <c r="W252" s="552"/>
      <c r="X252" s="552"/>
      <c r="Y252" s="552"/>
      <c r="Z252" s="552"/>
      <c r="AA252" s="552"/>
      <c r="AB252" s="552"/>
      <c r="AC252" s="552"/>
      <c r="AD252" s="552"/>
      <c r="AE252" s="552"/>
      <c r="AF252" s="552"/>
      <c r="AG252" s="552"/>
      <c r="AH252" s="552"/>
      <c r="AI252" s="552"/>
      <c r="AJ252" s="552"/>
      <c r="AK252" s="552"/>
      <c r="AL252" s="552"/>
      <c r="AM252" s="552"/>
      <c r="AN252" s="552"/>
      <c r="AO252" s="552"/>
      <c r="AP252" s="552"/>
      <c r="AQ252" s="552" t="s">
        <v>1186</v>
      </c>
      <c r="AR252" s="552" t="s">
        <v>2805</v>
      </c>
      <c r="AS252" s="552" t="s">
        <v>6881</v>
      </c>
      <c r="AT252" s="552" t="s">
        <v>726</v>
      </c>
    </row>
    <row r="253" spans="1:46" ht="14.7" customHeight="1">
      <c r="A253" s="710" t="s">
        <v>6164</v>
      </c>
      <c r="B253" s="556" t="s">
        <v>3697</v>
      </c>
      <c r="C253" s="539" t="s">
        <v>6869</v>
      </c>
      <c r="D253" s="709" t="s">
        <v>7200</v>
      </c>
      <c r="E253" s="552" t="s">
        <v>6925</v>
      </c>
      <c r="F253" s="552" t="s">
        <v>6872</v>
      </c>
      <c r="G253" s="552" t="s">
        <v>7183</v>
      </c>
      <c r="H253" s="552"/>
      <c r="I253" s="552"/>
      <c r="J253" s="709" t="s">
        <v>7156</v>
      </c>
      <c r="K253" s="713" t="s">
        <v>7201</v>
      </c>
      <c r="L253" s="552"/>
      <c r="M253" s="552"/>
      <c r="N253" s="552"/>
      <c r="O253" s="552"/>
      <c r="P253" s="552"/>
      <c r="Q253" s="552"/>
      <c r="R253" s="552"/>
      <c r="S253" s="552"/>
      <c r="T253" s="552"/>
      <c r="U253" s="552"/>
      <c r="V253" s="552"/>
      <c r="W253" s="552"/>
      <c r="X253" s="552"/>
      <c r="Y253" s="552"/>
      <c r="Z253" s="552"/>
      <c r="AA253" s="552"/>
      <c r="AB253" s="552"/>
      <c r="AC253" s="552"/>
      <c r="AD253" s="552"/>
      <c r="AE253" s="552"/>
      <c r="AF253" s="552"/>
      <c r="AG253" s="552"/>
      <c r="AH253" s="552"/>
      <c r="AI253" s="552"/>
      <c r="AJ253" s="552"/>
      <c r="AK253" s="552"/>
      <c r="AL253" s="552"/>
      <c r="AM253" s="552"/>
      <c r="AN253" s="552"/>
      <c r="AO253" s="552"/>
      <c r="AP253" s="552"/>
      <c r="AQ253" s="552" t="s">
        <v>1186</v>
      </c>
      <c r="AR253" s="552" t="s">
        <v>2875</v>
      </c>
      <c r="AS253" s="552" t="s">
        <v>6881</v>
      </c>
      <c r="AT253" s="552" t="s">
        <v>726</v>
      </c>
    </row>
    <row r="254" spans="1:46" ht="14.7" customHeight="1">
      <c r="A254" s="706" t="s">
        <v>6165</v>
      </c>
      <c r="B254" s="556" t="s">
        <v>3697</v>
      </c>
      <c r="C254" s="539" t="s">
        <v>6869</v>
      </c>
      <c r="D254" s="709" t="s">
        <v>7202</v>
      </c>
      <c r="E254" s="552" t="s">
        <v>6925</v>
      </c>
      <c r="F254" s="552" t="s">
        <v>6872</v>
      </c>
      <c r="G254" s="552" t="s">
        <v>7183</v>
      </c>
      <c r="H254" s="552"/>
      <c r="I254" s="552"/>
      <c r="J254" s="709" t="s">
        <v>6947</v>
      </c>
      <c r="K254" s="709"/>
      <c r="L254" s="709"/>
      <c r="M254" s="552"/>
      <c r="N254" s="552"/>
      <c r="O254" s="552"/>
      <c r="P254" s="552"/>
      <c r="Q254" s="552"/>
      <c r="R254" s="552"/>
      <c r="S254" s="552"/>
      <c r="T254" s="552"/>
      <c r="U254" s="552"/>
      <c r="V254" s="552"/>
      <c r="W254" s="552"/>
      <c r="X254" s="552"/>
      <c r="Y254" s="552"/>
      <c r="Z254" s="552"/>
      <c r="AA254" s="552"/>
      <c r="AB254" s="552"/>
      <c r="AC254" s="552"/>
      <c r="AD254" s="552"/>
      <c r="AE254" s="552"/>
      <c r="AF254" s="552"/>
      <c r="AG254" s="552"/>
      <c r="AH254" s="552"/>
      <c r="AI254" s="552"/>
      <c r="AJ254" s="552"/>
      <c r="AK254" s="552"/>
      <c r="AL254" s="552"/>
      <c r="AM254" s="552"/>
      <c r="AN254" s="552"/>
      <c r="AO254" s="552"/>
      <c r="AP254" s="552"/>
      <c r="AQ254" s="552" t="s">
        <v>1186</v>
      </c>
      <c r="AR254" s="552" t="s">
        <v>2875</v>
      </c>
      <c r="AS254" s="552" t="s">
        <v>6881</v>
      </c>
      <c r="AT254" s="552" t="s">
        <v>726</v>
      </c>
    </row>
    <row r="255" spans="1:46" ht="14.7" customHeight="1">
      <c r="A255" s="706"/>
      <c r="B255" s="556" t="s">
        <v>3697</v>
      </c>
      <c r="C255" s="539" t="s">
        <v>6869</v>
      </c>
      <c r="D255" s="539" t="s">
        <v>2783</v>
      </c>
      <c r="E255" s="539"/>
      <c r="F255" s="539"/>
      <c r="G255" s="539"/>
      <c r="H255" s="552"/>
      <c r="I255" s="552"/>
      <c r="J255" s="552"/>
      <c r="K255" s="552"/>
      <c r="L255" s="552"/>
      <c r="M255" s="552"/>
      <c r="N255" s="552"/>
      <c r="O255" s="552"/>
      <c r="P255" s="552"/>
      <c r="Q255" s="552"/>
      <c r="R255" s="552"/>
      <c r="S255" s="552"/>
      <c r="T255" s="552"/>
      <c r="U255" s="552"/>
      <c r="V255" s="552"/>
      <c r="W255" s="552"/>
      <c r="X255" s="552"/>
      <c r="Y255" s="552"/>
      <c r="Z255" s="552"/>
      <c r="AA255" s="552"/>
      <c r="AB255" s="552"/>
      <c r="AC255" s="552"/>
      <c r="AD255" s="552"/>
      <c r="AE255" s="552"/>
      <c r="AF255" s="552"/>
      <c r="AG255" s="552"/>
      <c r="AH255" s="552"/>
      <c r="AI255" s="552"/>
      <c r="AJ255" s="552"/>
      <c r="AK255" s="552"/>
      <c r="AL255" s="552"/>
      <c r="AM255" s="552"/>
      <c r="AN255" s="552"/>
      <c r="AO255" s="552"/>
      <c r="AP255" s="552"/>
      <c r="AQ255" s="552" t="s">
        <v>1186</v>
      </c>
      <c r="AR255" s="552" t="s">
        <v>2875</v>
      </c>
      <c r="AS255" s="552" t="s">
        <v>6881</v>
      </c>
      <c r="AT255" s="552" t="s">
        <v>726</v>
      </c>
    </row>
    <row r="256" spans="1:46" ht="14.7" customHeight="1">
      <c r="A256" s="710" t="s">
        <v>7203</v>
      </c>
      <c r="B256" s="557" t="s">
        <v>3698</v>
      </c>
      <c r="C256" s="539" t="s">
        <v>6869</v>
      </c>
      <c r="D256" s="709" t="s">
        <v>7204</v>
      </c>
      <c r="E256" s="552" t="s">
        <v>6925</v>
      </c>
      <c r="F256" s="552" t="s">
        <v>6872</v>
      </c>
      <c r="G256" s="552" t="s">
        <v>7183</v>
      </c>
      <c r="H256" s="552"/>
      <c r="I256" s="552"/>
      <c r="J256" s="709" t="s">
        <v>6912</v>
      </c>
      <c r="K256" s="709"/>
      <c r="L256" s="709"/>
      <c r="M256" s="552"/>
      <c r="N256" s="552"/>
      <c r="O256" s="552"/>
      <c r="P256" s="552"/>
      <c r="Q256" s="552"/>
      <c r="R256" s="552"/>
      <c r="S256" s="552"/>
      <c r="T256" s="552"/>
      <c r="U256" s="552"/>
      <c r="V256" s="552"/>
      <c r="W256" s="552"/>
      <c r="X256" s="552"/>
      <c r="Y256" s="552"/>
      <c r="Z256" s="552"/>
      <c r="AA256" s="552"/>
      <c r="AB256" s="552"/>
      <c r="AC256" s="552"/>
      <c r="AD256" s="552"/>
      <c r="AE256" s="552"/>
      <c r="AF256" s="552"/>
      <c r="AG256" s="552"/>
      <c r="AH256" s="552"/>
      <c r="AI256" s="552"/>
      <c r="AJ256" s="552"/>
      <c r="AK256" s="552"/>
      <c r="AL256" s="552"/>
      <c r="AM256" s="552"/>
      <c r="AN256" s="552"/>
      <c r="AO256" s="552"/>
      <c r="AP256" s="713" t="s">
        <v>7205</v>
      </c>
      <c r="AQ256" s="552" t="s">
        <v>1186</v>
      </c>
      <c r="AR256" s="552" t="s">
        <v>2998</v>
      </c>
      <c r="AS256" s="552" t="s">
        <v>6881</v>
      </c>
      <c r="AT256" s="552" t="s">
        <v>726</v>
      </c>
    </row>
    <row r="257" spans="1:46" ht="14.7" customHeight="1">
      <c r="A257" s="706"/>
      <c r="B257" s="557" t="s">
        <v>3698</v>
      </c>
      <c r="C257" s="539" t="s">
        <v>6869</v>
      </c>
      <c r="D257" s="539" t="s">
        <v>2783</v>
      </c>
      <c r="E257" s="539"/>
      <c r="F257" s="539"/>
      <c r="G257" s="539"/>
      <c r="H257" s="552"/>
      <c r="I257" s="552"/>
      <c r="J257" s="552"/>
      <c r="K257" s="552"/>
      <c r="L257" s="552"/>
      <c r="M257" s="552"/>
      <c r="N257" s="552"/>
      <c r="O257" s="552"/>
      <c r="P257" s="552"/>
      <c r="Q257" s="552"/>
      <c r="R257" s="552"/>
      <c r="S257" s="552"/>
      <c r="T257" s="552"/>
      <c r="U257" s="552"/>
      <c r="V257" s="552"/>
      <c r="W257" s="552"/>
      <c r="X257" s="552"/>
      <c r="Y257" s="552"/>
      <c r="Z257" s="552"/>
      <c r="AA257" s="552"/>
      <c r="AB257" s="552"/>
      <c r="AC257" s="552"/>
      <c r="AD257" s="552"/>
      <c r="AE257" s="552"/>
      <c r="AF257" s="552"/>
      <c r="AG257" s="552"/>
      <c r="AH257" s="552"/>
      <c r="AI257" s="552"/>
      <c r="AJ257" s="552"/>
      <c r="AK257" s="552"/>
      <c r="AL257" s="552"/>
      <c r="AM257" s="552"/>
      <c r="AN257" s="552"/>
      <c r="AO257" s="552"/>
      <c r="AP257" s="552"/>
      <c r="AQ257" s="552" t="s">
        <v>1186</v>
      </c>
      <c r="AR257" s="552" t="s">
        <v>2998</v>
      </c>
      <c r="AS257" s="552" t="s">
        <v>6881</v>
      </c>
      <c r="AT257" s="552" t="s">
        <v>726</v>
      </c>
    </row>
    <row r="258" spans="1:46" ht="14.7" customHeight="1">
      <c r="A258" s="706"/>
      <c r="B258" s="557" t="s">
        <v>3698</v>
      </c>
      <c r="C258" s="539" t="s">
        <v>6869</v>
      </c>
      <c r="D258" s="539" t="s">
        <v>2783</v>
      </c>
      <c r="E258" s="539"/>
      <c r="F258" s="539"/>
      <c r="G258" s="539"/>
      <c r="H258" s="552"/>
      <c r="I258" s="552"/>
      <c r="J258" s="552"/>
      <c r="K258" s="552"/>
      <c r="L258" s="552"/>
      <c r="M258" s="552"/>
      <c r="N258" s="552"/>
      <c r="O258" s="552"/>
      <c r="P258" s="552"/>
      <c r="Q258" s="552"/>
      <c r="R258" s="552"/>
      <c r="S258" s="552"/>
      <c r="T258" s="552"/>
      <c r="U258" s="552"/>
      <c r="V258" s="552"/>
      <c r="W258" s="552"/>
      <c r="X258" s="552"/>
      <c r="Y258" s="552"/>
      <c r="Z258" s="552"/>
      <c r="AA258" s="552"/>
      <c r="AB258" s="552"/>
      <c r="AC258" s="552"/>
      <c r="AD258" s="552"/>
      <c r="AE258" s="552"/>
      <c r="AF258" s="552"/>
      <c r="AG258" s="552"/>
      <c r="AH258" s="552"/>
      <c r="AI258" s="552"/>
      <c r="AJ258" s="552"/>
      <c r="AK258" s="552"/>
      <c r="AL258" s="552"/>
      <c r="AM258" s="552"/>
      <c r="AN258" s="552"/>
      <c r="AO258" s="552"/>
      <c r="AP258" s="552"/>
      <c r="AQ258" s="552" t="s">
        <v>1186</v>
      </c>
      <c r="AR258" s="552" t="s">
        <v>2998</v>
      </c>
      <c r="AS258" s="552" t="s">
        <v>6881</v>
      </c>
      <c r="AT258" s="552" t="s">
        <v>726</v>
      </c>
    </row>
    <row r="259" spans="1:46" ht="14.7" customHeight="1">
      <c r="A259" s="706"/>
      <c r="B259" s="557" t="s">
        <v>3698</v>
      </c>
      <c r="C259" s="539" t="s">
        <v>6869</v>
      </c>
      <c r="D259" s="539" t="s">
        <v>2783</v>
      </c>
      <c r="E259" s="539"/>
      <c r="F259" s="539"/>
      <c r="G259" s="539"/>
      <c r="H259" s="552"/>
      <c r="I259" s="552"/>
      <c r="J259" s="552"/>
      <c r="K259" s="552"/>
      <c r="L259" s="552"/>
      <c r="M259" s="552"/>
      <c r="N259" s="552"/>
      <c r="O259" s="552"/>
      <c r="P259" s="552"/>
      <c r="Q259" s="552"/>
      <c r="R259" s="552"/>
      <c r="S259" s="552"/>
      <c r="T259" s="552"/>
      <c r="U259" s="552"/>
      <c r="V259" s="552"/>
      <c r="W259" s="552"/>
      <c r="X259" s="552"/>
      <c r="Y259" s="552"/>
      <c r="Z259" s="552"/>
      <c r="AA259" s="552"/>
      <c r="AB259" s="552"/>
      <c r="AC259" s="552"/>
      <c r="AD259" s="552"/>
      <c r="AE259" s="552"/>
      <c r="AF259" s="552"/>
      <c r="AG259" s="552"/>
      <c r="AH259" s="552"/>
      <c r="AI259" s="552"/>
      <c r="AJ259" s="552"/>
      <c r="AK259" s="552"/>
      <c r="AL259" s="552"/>
      <c r="AM259" s="552"/>
      <c r="AN259" s="552"/>
      <c r="AO259" s="552"/>
      <c r="AP259" s="552"/>
      <c r="AQ259" s="552" t="s">
        <v>1186</v>
      </c>
      <c r="AR259" s="552" t="s">
        <v>2998</v>
      </c>
      <c r="AS259" s="552" t="s">
        <v>6881</v>
      </c>
      <c r="AT259" s="552" t="s">
        <v>726</v>
      </c>
    </row>
    <row r="260" spans="1:46" ht="14.7" customHeight="1">
      <c r="A260" s="710" t="s">
        <v>7206</v>
      </c>
      <c r="B260" s="344" t="s">
        <v>3699</v>
      </c>
      <c r="C260" s="539" t="s">
        <v>6869</v>
      </c>
      <c r="D260" s="709" t="s">
        <v>7207</v>
      </c>
      <c r="E260" s="552" t="s">
        <v>6925</v>
      </c>
      <c r="F260" s="552" t="s">
        <v>6872</v>
      </c>
      <c r="G260" s="552" t="s">
        <v>7183</v>
      </c>
      <c r="H260" s="552"/>
      <c r="I260" s="552"/>
      <c r="J260" s="709" t="s">
        <v>7007</v>
      </c>
      <c r="K260" s="709"/>
      <c r="L260" s="709"/>
      <c r="M260" s="552"/>
      <c r="N260" s="552"/>
      <c r="O260" s="552"/>
      <c r="P260" s="552"/>
      <c r="Q260" s="552"/>
      <c r="R260" s="552"/>
      <c r="S260" s="552"/>
      <c r="T260" s="552"/>
      <c r="U260" s="552"/>
      <c r="V260" s="552"/>
      <c r="W260" s="552"/>
      <c r="X260" s="552"/>
      <c r="Y260" s="552"/>
      <c r="Z260" s="552"/>
      <c r="AA260" s="552"/>
      <c r="AB260" s="552"/>
      <c r="AC260" s="552"/>
      <c r="AD260" s="552"/>
      <c r="AE260" s="552"/>
      <c r="AF260" s="552"/>
      <c r="AG260" s="552"/>
      <c r="AH260" s="552"/>
      <c r="AI260" s="552"/>
      <c r="AJ260" s="552"/>
      <c r="AK260" s="552"/>
      <c r="AL260" s="552"/>
      <c r="AM260" s="552"/>
      <c r="AN260" s="552"/>
      <c r="AO260" s="552"/>
      <c r="AP260" s="713" t="s">
        <v>7208</v>
      </c>
      <c r="AQ260" s="552" t="s">
        <v>1186</v>
      </c>
      <c r="AR260" s="552" t="s">
        <v>2809</v>
      </c>
      <c r="AS260" s="552" t="s">
        <v>6881</v>
      </c>
      <c r="AT260" s="552" t="s">
        <v>726</v>
      </c>
    </row>
    <row r="261" spans="1:46" ht="14.7" customHeight="1">
      <c r="A261" s="706"/>
      <c r="B261" s="344" t="s">
        <v>3699</v>
      </c>
      <c r="C261" s="539" t="s">
        <v>6869</v>
      </c>
      <c r="D261" s="539" t="s">
        <v>2783</v>
      </c>
      <c r="E261" s="539"/>
      <c r="F261" s="539"/>
      <c r="G261" s="539"/>
      <c r="H261" s="552"/>
      <c r="I261" s="552"/>
      <c r="J261" s="552"/>
      <c r="K261" s="552"/>
      <c r="L261" s="552"/>
      <c r="M261" s="552"/>
      <c r="N261" s="552"/>
      <c r="O261" s="552"/>
      <c r="P261" s="552"/>
      <c r="Q261" s="552"/>
      <c r="R261" s="552"/>
      <c r="S261" s="552"/>
      <c r="T261" s="552"/>
      <c r="U261" s="552"/>
      <c r="V261" s="552"/>
      <c r="W261" s="552"/>
      <c r="X261" s="552"/>
      <c r="Y261" s="552"/>
      <c r="Z261" s="552"/>
      <c r="AA261" s="552"/>
      <c r="AB261" s="552"/>
      <c r="AC261" s="552"/>
      <c r="AD261" s="552"/>
      <c r="AE261" s="552"/>
      <c r="AF261" s="552"/>
      <c r="AG261" s="552"/>
      <c r="AH261" s="552"/>
      <c r="AI261" s="552"/>
      <c r="AJ261" s="552"/>
      <c r="AK261" s="552"/>
      <c r="AL261" s="552"/>
      <c r="AM261" s="552"/>
      <c r="AN261" s="552"/>
      <c r="AO261" s="552"/>
      <c r="AP261" s="552"/>
      <c r="AQ261" s="552" t="s">
        <v>1186</v>
      </c>
      <c r="AR261" s="552" t="s">
        <v>2809</v>
      </c>
      <c r="AS261" s="552" t="s">
        <v>6881</v>
      </c>
      <c r="AT261" s="552" t="s">
        <v>726</v>
      </c>
    </row>
    <row r="262" spans="1:46" ht="14.7" customHeight="1">
      <c r="A262" s="706"/>
      <c r="B262" s="344" t="s">
        <v>3699</v>
      </c>
      <c r="C262" s="539" t="s">
        <v>6869</v>
      </c>
      <c r="D262" s="539" t="s">
        <v>2783</v>
      </c>
      <c r="E262" s="539"/>
      <c r="F262" s="539"/>
      <c r="G262" s="539"/>
      <c r="H262" s="552"/>
      <c r="I262" s="552"/>
      <c r="J262" s="552"/>
      <c r="K262" s="552"/>
      <c r="L262" s="552"/>
      <c r="M262" s="552"/>
      <c r="N262" s="552"/>
      <c r="O262" s="552"/>
      <c r="P262" s="552"/>
      <c r="Q262" s="552"/>
      <c r="R262" s="552"/>
      <c r="S262" s="552"/>
      <c r="T262" s="552"/>
      <c r="U262" s="552"/>
      <c r="V262" s="552"/>
      <c r="W262" s="552"/>
      <c r="X262" s="552"/>
      <c r="Y262" s="552"/>
      <c r="Z262" s="552"/>
      <c r="AA262" s="552"/>
      <c r="AB262" s="552"/>
      <c r="AC262" s="552"/>
      <c r="AD262" s="552"/>
      <c r="AE262" s="552"/>
      <c r="AF262" s="552"/>
      <c r="AG262" s="552"/>
      <c r="AH262" s="552"/>
      <c r="AI262" s="552"/>
      <c r="AJ262" s="552"/>
      <c r="AK262" s="552"/>
      <c r="AL262" s="552"/>
      <c r="AM262" s="552"/>
      <c r="AN262" s="552"/>
      <c r="AO262" s="552"/>
      <c r="AP262" s="552"/>
      <c r="AQ262" s="552" t="s">
        <v>1186</v>
      </c>
      <c r="AR262" s="552" t="s">
        <v>2809</v>
      </c>
      <c r="AS262" s="552" t="s">
        <v>6881</v>
      </c>
      <c r="AT262" s="552" t="s">
        <v>726</v>
      </c>
    </row>
    <row r="263" spans="1:46" ht="14.7" customHeight="1">
      <c r="A263" s="706"/>
      <c r="B263" s="344" t="s">
        <v>3699</v>
      </c>
      <c r="C263" s="539" t="s">
        <v>6869</v>
      </c>
      <c r="D263" s="539" t="s">
        <v>2783</v>
      </c>
      <c r="E263" s="539"/>
      <c r="F263" s="539"/>
      <c r="G263" s="539"/>
      <c r="H263" s="552"/>
      <c r="I263" s="552"/>
      <c r="J263" s="552"/>
      <c r="K263" s="552"/>
      <c r="L263" s="552"/>
      <c r="M263" s="552"/>
      <c r="N263" s="552"/>
      <c r="O263" s="552"/>
      <c r="P263" s="552"/>
      <c r="Q263" s="552"/>
      <c r="R263" s="552"/>
      <c r="S263" s="552"/>
      <c r="T263" s="552"/>
      <c r="U263" s="552"/>
      <c r="V263" s="552"/>
      <c r="W263" s="552"/>
      <c r="X263" s="552"/>
      <c r="Y263" s="552"/>
      <c r="Z263" s="552"/>
      <c r="AA263" s="552"/>
      <c r="AB263" s="552"/>
      <c r="AC263" s="552"/>
      <c r="AD263" s="552"/>
      <c r="AE263" s="552"/>
      <c r="AF263" s="552"/>
      <c r="AG263" s="552"/>
      <c r="AH263" s="552"/>
      <c r="AI263" s="552"/>
      <c r="AJ263" s="552"/>
      <c r="AK263" s="552"/>
      <c r="AL263" s="552"/>
      <c r="AM263" s="552"/>
      <c r="AN263" s="552"/>
      <c r="AO263" s="552"/>
      <c r="AP263" s="552"/>
      <c r="AQ263" s="552" t="s">
        <v>1186</v>
      </c>
      <c r="AR263" s="552" t="s">
        <v>2809</v>
      </c>
      <c r="AS263" s="552" t="s">
        <v>6881</v>
      </c>
      <c r="AT263" s="552" t="s">
        <v>726</v>
      </c>
    </row>
    <row r="264" spans="1:46" ht="14.7" customHeight="1">
      <c r="A264" s="706"/>
      <c r="B264" s="344" t="s">
        <v>3699</v>
      </c>
      <c r="C264" s="539" t="s">
        <v>6869</v>
      </c>
      <c r="D264" s="539" t="s">
        <v>2783</v>
      </c>
      <c r="E264" s="539"/>
      <c r="F264" s="539"/>
      <c r="G264" s="539"/>
      <c r="H264" s="552"/>
      <c r="I264" s="552"/>
      <c r="J264" s="552"/>
      <c r="K264" s="552"/>
      <c r="L264" s="552"/>
      <c r="M264" s="552"/>
      <c r="N264" s="552"/>
      <c r="O264" s="552"/>
      <c r="P264" s="552"/>
      <c r="Q264" s="552"/>
      <c r="R264" s="552"/>
      <c r="S264" s="552"/>
      <c r="T264" s="552"/>
      <c r="U264" s="552"/>
      <c r="V264" s="552"/>
      <c r="W264" s="552"/>
      <c r="X264" s="552"/>
      <c r="Y264" s="552"/>
      <c r="Z264" s="552"/>
      <c r="AA264" s="552"/>
      <c r="AB264" s="552"/>
      <c r="AC264" s="552"/>
      <c r="AD264" s="552"/>
      <c r="AE264" s="552"/>
      <c r="AF264" s="552"/>
      <c r="AG264" s="552"/>
      <c r="AH264" s="552"/>
      <c r="AI264" s="552"/>
      <c r="AJ264" s="552"/>
      <c r="AK264" s="552"/>
      <c r="AL264" s="552"/>
      <c r="AM264" s="552"/>
      <c r="AN264" s="552"/>
      <c r="AO264" s="552"/>
      <c r="AP264" s="552"/>
      <c r="AQ264" s="552" t="s">
        <v>1186</v>
      </c>
      <c r="AR264" s="552" t="s">
        <v>2809</v>
      </c>
      <c r="AS264" s="552" t="s">
        <v>6881</v>
      </c>
      <c r="AT264" s="552" t="s">
        <v>726</v>
      </c>
    </row>
    <row r="265" spans="1:46" ht="14.7" customHeight="1">
      <c r="A265" s="706" t="s">
        <v>6166</v>
      </c>
      <c r="B265" s="559" t="s">
        <v>3700</v>
      </c>
      <c r="C265" s="539" t="s">
        <v>6869</v>
      </c>
      <c r="D265" s="709" t="s">
        <v>7209</v>
      </c>
      <c r="E265" s="552" t="s">
        <v>6925</v>
      </c>
      <c r="F265" s="552" t="s">
        <v>6872</v>
      </c>
      <c r="G265" s="552" t="s">
        <v>7183</v>
      </c>
      <c r="H265" s="552"/>
      <c r="I265" s="552"/>
      <c r="J265" s="709" t="s">
        <v>7178</v>
      </c>
      <c r="K265" s="709"/>
      <c r="L265" s="709"/>
      <c r="M265" s="552"/>
      <c r="N265" s="552"/>
      <c r="O265" s="552"/>
      <c r="P265" s="552"/>
      <c r="Q265" s="552"/>
      <c r="R265" s="552"/>
      <c r="S265" s="552"/>
      <c r="T265" s="552"/>
      <c r="U265" s="552"/>
      <c r="V265" s="552"/>
      <c r="W265" s="552"/>
      <c r="X265" s="552"/>
      <c r="Y265" s="552"/>
      <c r="Z265" s="552"/>
      <c r="AA265" s="552"/>
      <c r="AB265" s="552"/>
      <c r="AC265" s="552"/>
      <c r="AD265" s="552"/>
      <c r="AE265" s="552"/>
      <c r="AF265" s="552"/>
      <c r="AG265" s="552"/>
      <c r="AH265" s="552"/>
      <c r="AI265" s="552"/>
      <c r="AJ265" s="552"/>
      <c r="AK265" s="552"/>
      <c r="AL265" s="552"/>
      <c r="AM265" s="552"/>
      <c r="AN265" s="552"/>
      <c r="AO265" s="552"/>
      <c r="AP265" s="552"/>
      <c r="AQ265" s="552" t="s">
        <v>1186</v>
      </c>
      <c r="AR265" s="552" t="s">
        <v>2971</v>
      </c>
      <c r="AS265" s="552" t="s">
        <v>6881</v>
      </c>
      <c r="AT265" s="552" t="s">
        <v>726</v>
      </c>
    </row>
    <row r="266" spans="1:46" ht="14.7" customHeight="1">
      <c r="A266" s="706"/>
      <c r="B266" s="559" t="s">
        <v>3700</v>
      </c>
      <c r="C266" s="539" t="s">
        <v>6869</v>
      </c>
      <c r="D266" s="539" t="s">
        <v>2783</v>
      </c>
      <c r="E266" s="539"/>
      <c r="F266" s="539"/>
      <c r="G266" s="539"/>
      <c r="H266" s="552"/>
      <c r="I266" s="552"/>
      <c r="J266" s="552"/>
      <c r="K266" s="552"/>
      <c r="L266" s="552"/>
      <c r="M266" s="552"/>
      <c r="N266" s="552"/>
      <c r="O266" s="552"/>
      <c r="P266" s="552"/>
      <c r="Q266" s="552"/>
      <c r="R266" s="552"/>
      <c r="S266" s="552"/>
      <c r="T266" s="552"/>
      <c r="U266" s="552"/>
      <c r="V266" s="552"/>
      <c r="W266" s="552"/>
      <c r="X266" s="552"/>
      <c r="Y266" s="552"/>
      <c r="Z266" s="552"/>
      <c r="AA266" s="552"/>
      <c r="AB266" s="552"/>
      <c r="AC266" s="552"/>
      <c r="AD266" s="552"/>
      <c r="AE266" s="552"/>
      <c r="AF266" s="552"/>
      <c r="AG266" s="552"/>
      <c r="AH266" s="552"/>
      <c r="AI266" s="552"/>
      <c r="AJ266" s="552"/>
      <c r="AK266" s="552"/>
      <c r="AL266" s="552"/>
      <c r="AM266" s="552"/>
      <c r="AN266" s="552"/>
      <c r="AO266" s="552"/>
      <c r="AP266" s="552"/>
      <c r="AQ266" s="552" t="s">
        <v>1186</v>
      </c>
      <c r="AR266" s="552" t="s">
        <v>2971</v>
      </c>
      <c r="AS266" s="552" t="s">
        <v>6881</v>
      </c>
      <c r="AT266" s="552" t="s">
        <v>726</v>
      </c>
    </row>
    <row r="267" spans="1:46" ht="14.7" customHeight="1">
      <c r="A267" s="706"/>
      <c r="B267" s="711" t="s">
        <v>6055</v>
      </c>
      <c r="C267" s="539" t="s">
        <v>6869</v>
      </c>
      <c r="D267" s="539"/>
      <c r="E267" s="552"/>
      <c r="F267" s="552"/>
      <c r="G267" s="552"/>
      <c r="H267" s="552"/>
      <c r="I267" s="552"/>
      <c r="J267" s="552"/>
      <c r="K267" s="552"/>
      <c r="L267" s="552"/>
      <c r="M267" s="552"/>
      <c r="N267" s="552"/>
      <c r="O267" s="552"/>
      <c r="P267" s="552"/>
      <c r="Q267" s="552"/>
      <c r="R267" s="552"/>
      <c r="S267" s="552"/>
      <c r="T267" s="552"/>
      <c r="U267" s="552"/>
      <c r="V267" s="552"/>
      <c r="W267" s="552"/>
      <c r="X267" s="552"/>
      <c r="Y267" s="552"/>
      <c r="Z267" s="552"/>
      <c r="AA267" s="552"/>
      <c r="AB267" s="552"/>
      <c r="AC267" s="552"/>
      <c r="AD267" s="552"/>
      <c r="AE267" s="552"/>
      <c r="AF267" s="552"/>
      <c r="AG267" s="552"/>
      <c r="AH267" s="552"/>
      <c r="AI267" s="552"/>
      <c r="AJ267" s="552"/>
      <c r="AK267" s="552"/>
      <c r="AL267" s="552"/>
      <c r="AM267" s="552"/>
      <c r="AN267" s="552"/>
      <c r="AO267" s="552"/>
      <c r="AP267" s="552"/>
      <c r="AQ267" s="552" t="s">
        <v>1186</v>
      </c>
      <c r="AR267" s="552" t="s">
        <v>6697</v>
      </c>
      <c r="AS267" s="552" t="s">
        <v>6881</v>
      </c>
      <c r="AT267" s="552" t="s">
        <v>726</v>
      </c>
    </row>
    <row r="268" spans="1:46" ht="14.7" customHeight="1">
      <c r="A268" s="706" t="s">
        <v>6167</v>
      </c>
      <c r="B268" s="540" t="s">
        <v>3695</v>
      </c>
      <c r="C268" s="539" t="s">
        <v>6869</v>
      </c>
      <c r="D268" s="709" t="s">
        <v>7210</v>
      </c>
      <c r="E268" s="552" t="s">
        <v>6925</v>
      </c>
      <c r="F268" s="552" t="s">
        <v>6872</v>
      </c>
      <c r="G268" s="552" t="s">
        <v>7211</v>
      </c>
      <c r="H268" s="552"/>
      <c r="I268" s="552"/>
      <c r="J268" s="709" t="s">
        <v>7212</v>
      </c>
      <c r="K268" s="709"/>
      <c r="L268" s="709"/>
      <c r="M268" s="552"/>
      <c r="N268" s="552"/>
      <c r="O268" s="552"/>
      <c r="P268" s="552"/>
      <c r="Q268" s="552"/>
      <c r="R268" s="552"/>
      <c r="S268" s="552"/>
      <c r="T268" s="552"/>
      <c r="U268" s="552"/>
      <c r="V268" s="552"/>
      <c r="W268" s="552"/>
      <c r="X268" s="552"/>
      <c r="Y268" s="552"/>
      <c r="Z268" s="552"/>
      <c r="AA268" s="552"/>
      <c r="AB268" s="552"/>
      <c r="AC268" s="552"/>
      <c r="AD268" s="552"/>
      <c r="AE268" s="552"/>
      <c r="AF268" s="552"/>
      <c r="AG268" s="552"/>
      <c r="AH268" s="552"/>
      <c r="AI268" s="552"/>
      <c r="AJ268" s="552"/>
      <c r="AK268" s="552"/>
      <c r="AL268" s="552"/>
      <c r="AM268" s="552"/>
      <c r="AN268" s="552"/>
      <c r="AO268" s="552"/>
      <c r="AP268" s="552"/>
      <c r="AQ268" s="552" t="s">
        <v>1186</v>
      </c>
      <c r="AR268" s="552" t="s">
        <v>2802</v>
      </c>
      <c r="AS268" s="552" t="s">
        <v>6881</v>
      </c>
      <c r="AT268" s="552" t="s">
        <v>726</v>
      </c>
    </row>
    <row r="269" spans="1:46" ht="14.7" customHeight="1">
      <c r="A269" s="710" t="s">
        <v>6168</v>
      </c>
      <c r="B269" s="540" t="s">
        <v>3695</v>
      </c>
      <c r="C269" s="539" t="s">
        <v>6869</v>
      </c>
      <c r="D269" s="709" t="s">
        <v>7213</v>
      </c>
      <c r="E269" s="552" t="s">
        <v>6925</v>
      </c>
      <c r="F269" s="552" t="s">
        <v>6872</v>
      </c>
      <c r="G269" s="552" t="s">
        <v>7211</v>
      </c>
      <c r="H269" s="552"/>
      <c r="I269" s="552"/>
      <c r="J269" s="709" t="s">
        <v>7214</v>
      </c>
      <c r="K269" s="709"/>
      <c r="L269" s="709"/>
      <c r="M269" s="552"/>
      <c r="N269" s="552"/>
      <c r="O269" s="552"/>
      <c r="P269" s="552"/>
      <c r="Q269" s="552"/>
      <c r="R269" s="552"/>
      <c r="S269" s="552"/>
      <c r="T269" s="552"/>
      <c r="U269" s="552"/>
      <c r="V269" s="552"/>
      <c r="W269" s="552"/>
      <c r="X269" s="552"/>
      <c r="Y269" s="552"/>
      <c r="Z269" s="552"/>
      <c r="AA269" s="552"/>
      <c r="AB269" s="552"/>
      <c r="AC269" s="552"/>
      <c r="AD269" s="552"/>
      <c r="AE269" s="552"/>
      <c r="AF269" s="552"/>
      <c r="AG269" s="552"/>
      <c r="AH269" s="552"/>
      <c r="AI269" s="552"/>
      <c r="AJ269" s="552"/>
      <c r="AK269" s="552"/>
      <c r="AL269" s="552"/>
      <c r="AM269" s="552"/>
      <c r="AN269" s="552"/>
      <c r="AO269" s="709" t="s">
        <v>7215</v>
      </c>
      <c r="AP269" s="709"/>
      <c r="AQ269" s="552" t="s">
        <v>1186</v>
      </c>
      <c r="AR269" s="552" t="s">
        <v>2802</v>
      </c>
      <c r="AS269" s="552" t="s">
        <v>6881</v>
      </c>
      <c r="AT269" s="552" t="s">
        <v>726</v>
      </c>
    </row>
    <row r="270" spans="1:46" ht="14.7" customHeight="1">
      <c r="A270" s="710" t="s">
        <v>6169</v>
      </c>
      <c r="B270" s="707" t="s">
        <v>3696</v>
      </c>
      <c r="C270" s="539" t="s">
        <v>6869</v>
      </c>
      <c r="D270" s="709" t="s">
        <v>7216</v>
      </c>
      <c r="E270" s="552" t="s">
        <v>6925</v>
      </c>
      <c r="F270" s="552" t="s">
        <v>6872</v>
      </c>
      <c r="G270" s="552" t="s">
        <v>7211</v>
      </c>
      <c r="H270" s="552"/>
      <c r="I270" s="552"/>
      <c r="J270" s="709" t="s">
        <v>6934</v>
      </c>
      <c r="K270" s="709"/>
      <c r="L270" s="709"/>
      <c r="M270" s="552"/>
      <c r="N270" s="552"/>
      <c r="O270" s="552"/>
      <c r="P270" s="552"/>
      <c r="Q270" s="552"/>
      <c r="R270" s="552"/>
      <c r="S270" s="552"/>
      <c r="T270" s="552"/>
      <c r="U270" s="552"/>
      <c r="V270" s="552"/>
      <c r="W270" s="552"/>
      <c r="X270" s="552"/>
      <c r="Y270" s="552"/>
      <c r="Z270" s="552"/>
      <c r="AA270" s="552"/>
      <c r="AB270" s="552"/>
      <c r="AC270" s="552"/>
      <c r="AD270" s="552"/>
      <c r="AE270" s="552"/>
      <c r="AF270" s="552"/>
      <c r="AG270" s="552"/>
      <c r="AH270" s="552"/>
      <c r="AI270" s="552"/>
      <c r="AJ270" s="552"/>
      <c r="AK270" s="552"/>
      <c r="AL270" s="552"/>
      <c r="AM270" s="552"/>
      <c r="AN270" s="552"/>
      <c r="AO270" s="709" t="s">
        <v>7217</v>
      </c>
      <c r="AP270" s="709"/>
      <c r="AQ270" s="552" t="s">
        <v>1186</v>
      </c>
      <c r="AR270" s="552" t="s">
        <v>2805</v>
      </c>
      <c r="AS270" s="552" t="s">
        <v>6881</v>
      </c>
      <c r="AT270" s="552" t="s">
        <v>726</v>
      </c>
    </row>
    <row r="271" spans="1:46" ht="14.7" customHeight="1">
      <c r="A271" s="706"/>
      <c r="B271" s="707" t="s">
        <v>3696</v>
      </c>
      <c r="C271" s="539" t="s">
        <v>6869</v>
      </c>
      <c r="D271" s="539" t="s">
        <v>2783</v>
      </c>
      <c r="E271" s="539"/>
      <c r="F271" s="539"/>
      <c r="G271" s="539"/>
      <c r="H271" s="552"/>
      <c r="I271" s="552"/>
      <c r="J271" s="552"/>
      <c r="K271" s="552"/>
      <c r="L271" s="552"/>
      <c r="M271" s="552"/>
      <c r="N271" s="552"/>
      <c r="O271" s="552"/>
      <c r="P271" s="552"/>
      <c r="Q271" s="552"/>
      <c r="R271" s="552"/>
      <c r="S271" s="552"/>
      <c r="T271" s="552"/>
      <c r="U271" s="552"/>
      <c r="V271" s="552"/>
      <c r="W271" s="552"/>
      <c r="X271" s="552"/>
      <c r="Y271" s="552"/>
      <c r="Z271" s="552"/>
      <c r="AA271" s="552"/>
      <c r="AB271" s="552"/>
      <c r="AC271" s="552"/>
      <c r="AD271" s="552"/>
      <c r="AE271" s="552"/>
      <c r="AF271" s="552"/>
      <c r="AG271" s="552"/>
      <c r="AH271" s="552"/>
      <c r="AI271" s="552"/>
      <c r="AJ271" s="552"/>
      <c r="AK271" s="552"/>
      <c r="AL271" s="552"/>
      <c r="AM271" s="552"/>
      <c r="AN271" s="552"/>
      <c r="AO271" s="709"/>
      <c r="AP271" s="552"/>
      <c r="AQ271" s="552" t="s">
        <v>1186</v>
      </c>
      <c r="AR271" s="552" t="s">
        <v>2805</v>
      </c>
      <c r="AS271" s="552" t="s">
        <v>6881</v>
      </c>
      <c r="AT271" s="552" t="s">
        <v>726</v>
      </c>
    </row>
    <row r="272" spans="1:46" ht="14.7" customHeight="1">
      <c r="A272" s="710" t="s">
        <v>6170</v>
      </c>
      <c r="B272" s="556" t="s">
        <v>3697</v>
      </c>
      <c r="C272" s="539" t="s">
        <v>6869</v>
      </c>
      <c r="D272" s="709" t="s">
        <v>7218</v>
      </c>
      <c r="E272" s="552" t="s">
        <v>6925</v>
      </c>
      <c r="F272" s="552" t="s">
        <v>6872</v>
      </c>
      <c r="G272" s="552" t="s">
        <v>7211</v>
      </c>
      <c r="H272" s="552"/>
      <c r="I272" s="552"/>
      <c r="J272" s="709" t="s">
        <v>7219</v>
      </c>
      <c r="K272" s="709"/>
      <c r="L272" s="709"/>
      <c r="M272" s="552"/>
      <c r="N272" s="552"/>
      <c r="O272" s="552"/>
      <c r="P272" s="552"/>
      <c r="Q272" s="552"/>
      <c r="R272" s="552"/>
      <c r="S272" s="552"/>
      <c r="T272" s="552"/>
      <c r="U272" s="552"/>
      <c r="V272" s="552"/>
      <c r="W272" s="552"/>
      <c r="X272" s="552"/>
      <c r="Y272" s="552"/>
      <c r="Z272" s="552"/>
      <c r="AA272" s="552"/>
      <c r="AB272" s="552"/>
      <c r="AC272" s="552"/>
      <c r="AD272" s="552"/>
      <c r="AE272" s="552"/>
      <c r="AF272" s="552"/>
      <c r="AG272" s="552"/>
      <c r="AH272" s="552"/>
      <c r="AI272" s="552"/>
      <c r="AJ272" s="552"/>
      <c r="AK272" s="552"/>
      <c r="AL272" s="552"/>
      <c r="AM272" s="552"/>
      <c r="AN272" s="552"/>
      <c r="AO272" s="552" t="s">
        <v>7220</v>
      </c>
      <c r="AP272" s="552"/>
      <c r="AQ272" s="552" t="s">
        <v>1186</v>
      </c>
      <c r="AR272" s="552" t="s">
        <v>2875</v>
      </c>
      <c r="AS272" s="552" t="s">
        <v>6881</v>
      </c>
      <c r="AT272" s="552" t="s">
        <v>726</v>
      </c>
    </row>
    <row r="273" spans="1:46" ht="14.7" customHeight="1">
      <c r="A273" s="706" t="s">
        <v>6171</v>
      </c>
      <c r="B273" s="556" t="s">
        <v>3697</v>
      </c>
      <c r="C273" s="539" t="s">
        <v>6869</v>
      </c>
      <c r="D273" s="709" t="s">
        <v>7221</v>
      </c>
      <c r="E273" s="552" t="s">
        <v>6925</v>
      </c>
      <c r="F273" s="552" t="s">
        <v>6872</v>
      </c>
      <c r="G273" s="552" t="s">
        <v>7211</v>
      </c>
      <c r="H273" s="552"/>
      <c r="I273" s="552"/>
      <c r="J273" s="709" t="s">
        <v>7222</v>
      </c>
      <c r="K273" s="709"/>
      <c r="L273" s="709"/>
      <c r="M273" s="552"/>
      <c r="N273" s="552"/>
      <c r="O273" s="552"/>
      <c r="P273" s="552"/>
      <c r="Q273" s="552"/>
      <c r="R273" s="552"/>
      <c r="S273" s="552"/>
      <c r="T273" s="552"/>
      <c r="U273" s="552"/>
      <c r="V273" s="552"/>
      <c r="W273" s="552"/>
      <c r="X273" s="552"/>
      <c r="Y273" s="552"/>
      <c r="Z273" s="552"/>
      <c r="AA273" s="552"/>
      <c r="AB273" s="552"/>
      <c r="AC273" s="552"/>
      <c r="AD273" s="552"/>
      <c r="AE273" s="552"/>
      <c r="AF273" s="552"/>
      <c r="AG273" s="552"/>
      <c r="AH273" s="552"/>
      <c r="AI273" s="552"/>
      <c r="AJ273" s="552"/>
      <c r="AK273" s="552"/>
      <c r="AL273" s="552"/>
      <c r="AM273" s="552"/>
      <c r="AN273" s="552"/>
      <c r="AO273" s="552"/>
      <c r="AP273" s="552"/>
      <c r="AQ273" s="552" t="s">
        <v>1186</v>
      </c>
      <c r="AR273" s="552" t="s">
        <v>2875</v>
      </c>
      <c r="AS273" s="552" t="s">
        <v>6881</v>
      </c>
      <c r="AT273" s="552" t="s">
        <v>726</v>
      </c>
    </row>
    <row r="274" spans="1:46" ht="14.7" customHeight="1">
      <c r="A274" s="710" t="s">
        <v>6172</v>
      </c>
      <c r="B274" s="556" t="s">
        <v>3697</v>
      </c>
      <c r="C274" s="539" t="s">
        <v>6869</v>
      </c>
      <c r="D274" s="709" t="s">
        <v>7223</v>
      </c>
      <c r="E274" s="552" t="s">
        <v>6925</v>
      </c>
      <c r="F274" s="552" t="s">
        <v>6872</v>
      </c>
      <c r="G274" s="552" t="s">
        <v>7211</v>
      </c>
      <c r="H274" s="552"/>
      <c r="I274" s="552"/>
      <c r="J274" s="709" t="s">
        <v>7224</v>
      </c>
      <c r="K274" s="709"/>
      <c r="L274" s="709"/>
      <c r="M274" s="552"/>
      <c r="N274" s="552"/>
      <c r="O274" s="552"/>
      <c r="P274" s="552"/>
      <c r="Q274" s="552"/>
      <c r="R274" s="552"/>
      <c r="S274" s="552"/>
      <c r="T274" s="552"/>
      <c r="U274" s="552"/>
      <c r="V274" s="552"/>
      <c r="W274" s="552"/>
      <c r="X274" s="552"/>
      <c r="Y274" s="552"/>
      <c r="Z274" s="552"/>
      <c r="AA274" s="552"/>
      <c r="AB274" s="552"/>
      <c r="AC274" s="552"/>
      <c r="AD274" s="552"/>
      <c r="AE274" s="552"/>
      <c r="AF274" s="552"/>
      <c r="AG274" s="552"/>
      <c r="AH274" s="552"/>
      <c r="AI274" s="552"/>
      <c r="AJ274" s="552"/>
      <c r="AK274" s="552"/>
      <c r="AL274" s="552"/>
      <c r="AM274" s="552"/>
      <c r="AN274" s="552"/>
      <c r="AO274" s="552"/>
      <c r="AP274" s="709" t="s">
        <v>7225</v>
      </c>
      <c r="AQ274" s="552" t="s">
        <v>1186</v>
      </c>
      <c r="AR274" s="552" t="s">
        <v>2875</v>
      </c>
      <c r="AS274" s="552" t="s">
        <v>6881</v>
      </c>
      <c r="AT274" s="552" t="s">
        <v>726</v>
      </c>
    </row>
    <row r="275" spans="1:46" ht="14.7" customHeight="1">
      <c r="A275" s="710" t="s">
        <v>6173</v>
      </c>
      <c r="B275" s="557" t="s">
        <v>3698</v>
      </c>
      <c r="C275" s="539" t="s">
        <v>6869</v>
      </c>
      <c r="D275" s="709" t="s">
        <v>7226</v>
      </c>
      <c r="E275" s="552" t="s">
        <v>6925</v>
      </c>
      <c r="F275" s="552" t="s">
        <v>6872</v>
      </c>
      <c r="G275" s="552" t="s">
        <v>7211</v>
      </c>
      <c r="H275" s="552"/>
      <c r="I275" s="552"/>
      <c r="J275" s="709" t="s">
        <v>7227</v>
      </c>
      <c r="K275" s="709"/>
      <c r="L275" s="552" t="s">
        <v>7228</v>
      </c>
      <c r="M275" s="552"/>
      <c r="N275" s="552"/>
      <c r="O275" s="552"/>
      <c r="P275" s="552"/>
      <c r="Q275" s="552"/>
      <c r="R275" s="552"/>
      <c r="S275" s="552"/>
      <c r="T275" s="552"/>
      <c r="U275" s="552"/>
      <c r="V275" s="552"/>
      <c r="W275" s="552"/>
      <c r="X275" s="552"/>
      <c r="Y275" s="552"/>
      <c r="Z275" s="552"/>
      <c r="AA275" s="552"/>
      <c r="AB275" s="552"/>
      <c r="AC275" s="552"/>
      <c r="AD275" s="552"/>
      <c r="AE275" s="552"/>
      <c r="AF275" s="552"/>
      <c r="AG275" s="552"/>
      <c r="AH275" s="552"/>
      <c r="AI275" s="552"/>
      <c r="AJ275" s="552"/>
      <c r="AK275" s="552"/>
      <c r="AL275" s="552"/>
      <c r="AM275" s="552"/>
      <c r="AN275" s="552"/>
      <c r="AO275" s="552"/>
      <c r="AP275" s="552"/>
      <c r="AQ275" s="552" t="s">
        <v>1186</v>
      </c>
      <c r="AR275" s="552" t="s">
        <v>2998</v>
      </c>
      <c r="AS275" s="552" t="s">
        <v>6881</v>
      </c>
      <c r="AT275" s="552" t="s">
        <v>726</v>
      </c>
    </row>
    <row r="276" spans="1:46" ht="14.7" customHeight="1">
      <c r="A276" s="710" t="s">
        <v>7229</v>
      </c>
      <c r="B276" s="557" t="s">
        <v>3698</v>
      </c>
      <c r="C276" s="539" t="s">
        <v>6869</v>
      </c>
      <c r="D276" s="709" t="s">
        <v>7230</v>
      </c>
      <c r="E276" s="552" t="s">
        <v>6925</v>
      </c>
      <c r="F276" s="552" t="s">
        <v>6872</v>
      </c>
      <c r="G276" s="552" t="s">
        <v>7211</v>
      </c>
      <c r="H276" s="552"/>
      <c r="I276" s="552"/>
      <c r="J276" s="709" t="s">
        <v>7231</v>
      </c>
      <c r="K276" s="709"/>
      <c r="L276" s="709"/>
      <c r="M276" s="552"/>
      <c r="N276" s="552"/>
      <c r="O276" s="552"/>
      <c r="P276" s="552"/>
      <c r="Q276" s="552"/>
      <c r="R276" s="552"/>
      <c r="S276" s="552"/>
      <c r="T276" s="552"/>
      <c r="U276" s="552"/>
      <c r="V276" s="552">
        <v>1</v>
      </c>
      <c r="W276" s="552"/>
      <c r="X276" s="552"/>
      <c r="Y276" s="552"/>
      <c r="Z276" s="552"/>
      <c r="AA276" s="552"/>
      <c r="AB276" s="552"/>
      <c r="AC276" s="552"/>
      <c r="AD276" s="552"/>
      <c r="AE276" s="552"/>
      <c r="AF276" s="552"/>
      <c r="AG276" s="552"/>
      <c r="AH276" s="552"/>
      <c r="AI276" s="552"/>
      <c r="AJ276" s="552"/>
      <c r="AK276" s="552"/>
      <c r="AL276" s="552"/>
      <c r="AM276" s="552"/>
      <c r="AN276" s="552"/>
      <c r="AO276" s="552"/>
      <c r="AP276" s="552" t="s">
        <v>7232</v>
      </c>
      <c r="AQ276" s="552" t="s">
        <v>1186</v>
      </c>
      <c r="AR276" s="552" t="s">
        <v>2998</v>
      </c>
      <c r="AS276" s="552" t="s">
        <v>6881</v>
      </c>
      <c r="AT276" s="552" t="s">
        <v>726</v>
      </c>
    </row>
    <row r="277" spans="1:46" ht="14.7" customHeight="1">
      <c r="A277" s="706"/>
      <c r="B277" s="557" t="s">
        <v>3698</v>
      </c>
      <c r="C277" s="539" t="s">
        <v>6869</v>
      </c>
      <c r="D277" s="539" t="s">
        <v>2783</v>
      </c>
      <c r="E277" s="539"/>
      <c r="F277" s="539"/>
      <c r="G277" s="539"/>
      <c r="H277" s="552"/>
      <c r="I277" s="552"/>
      <c r="J277" s="552"/>
      <c r="K277" s="552"/>
      <c r="L277" s="552"/>
      <c r="M277" s="552"/>
      <c r="N277" s="552"/>
      <c r="O277" s="552"/>
      <c r="P277" s="552"/>
      <c r="Q277" s="552"/>
      <c r="R277" s="552"/>
      <c r="S277" s="552"/>
      <c r="T277" s="552"/>
      <c r="U277" s="552"/>
      <c r="V277" s="552"/>
      <c r="W277" s="552"/>
      <c r="X277" s="552"/>
      <c r="Y277" s="552"/>
      <c r="Z277" s="552"/>
      <c r="AA277" s="552"/>
      <c r="AB277" s="552"/>
      <c r="AC277" s="552"/>
      <c r="AD277" s="552"/>
      <c r="AE277" s="552"/>
      <c r="AF277" s="552"/>
      <c r="AG277" s="552"/>
      <c r="AH277" s="552"/>
      <c r="AI277" s="552"/>
      <c r="AJ277" s="552"/>
      <c r="AK277" s="552"/>
      <c r="AL277" s="552"/>
      <c r="AM277" s="552"/>
      <c r="AN277" s="552"/>
      <c r="AO277" s="552"/>
      <c r="AP277" s="552"/>
      <c r="AQ277" s="552" t="s">
        <v>1186</v>
      </c>
      <c r="AR277" s="552" t="s">
        <v>2998</v>
      </c>
      <c r="AS277" s="552" t="s">
        <v>6881</v>
      </c>
      <c r="AT277" s="552" t="s">
        <v>726</v>
      </c>
    </row>
    <row r="278" spans="1:46" ht="14.7" customHeight="1">
      <c r="A278" s="706"/>
      <c r="B278" s="557" t="s">
        <v>3698</v>
      </c>
      <c r="C278" s="539" t="s">
        <v>6869</v>
      </c>
      <c r="D278" s="539" t="s">
        <v>2783</v>
      </c>
      <c r="E278" s="539"/>
      <c r="F278" s="539"/>
      <c r="G278" s="539"/>
      <c r="H278" s="552"/>
      <c r="I278" s="552"/>
      <c r="J278" s="552"/>
      <c r="K278" s="552"/>
      <c r="L278" s="552"/>
      <c r="M278" s="552"/>
      <c r="N278" s="552"/>
      <c r="O278" s="552"/>
      <c r="P278" s="552"/>
      <c r="Q278" s="552"/>
      <c r="R278" s="552"/>
      <c r="S278" s="552"/>
      <c r="T278" s="552"/>
      <c r="U278" s="552"/>
      <c r="V278" s="552"/>
      <c r="W278" s="552"/>
      <c r="X278" s="552"/>
      <c r="Y278" s="552"/>
      <c r="Z278" s="552"/>
      <c r="AA278" s="552"/>
      <c r="AB278" s="552"/>
      <c r="AC278" s="552"/>
      <c r="AD278" s="552"/>
      <c r="AE278" s="552"/>
      <c r="AF278" s="552"/>
      <c r="AG278" s="552"/>
      <c r="AH278" s="552"/>
      <c r="AI278" s="552"/>
      <c r="AJ278" s="552"/>
      <c r="AK278" s="552"/>
      <c r="AL278" s="552"/>
      <c r="AM278" s="552"/>
      <c r="AN278" s="552"/>
      <c r="AO278" s="552"/>
      <c r="AP278" s="552"/>
      <c r="AQ278" s="552" t="s">
        <v>1186</v>
      </c>
      <c r="AR278" s="552" t="s">
        <v>2998</v>
      </c>
      <c r="AS278" s="552" t="s">
        <v>6881</v>
      </c>
      <c r="AT278" s="552" t="s">
        <v>726</v>
      </c>
    </row>
    <row r="279" spans="1:46" ht="14.7" customHeight="1">
      <c r="A279" s="710" t="s">
        <v>6174</v>
      </c>
      <c r="B279" s="344" t="s">
        <v>3699</v>
      </c>
      <c r="C279" s="539" t="s">
        <v>6869</v>
      </c>
      <c r="D279" s="709" t="s">
        <v>7233</v>
      </c>
      <c r="E279" s="552" t="s">
        <v>6925</v>
      </c>
      <c r="F279" s="552" t="s">
        <v>6872</v>
      </c>
      <c r="G279" s="552" t="s">
        <v>7211</v>
      </c>
      <c r="H279" s="552"/>
      <c r="I279" s="709" t="s">
        <v>169</v>
      </c>
      <c r="J279" s="709" t="s">
        <v>7234</v>
      </c>
      <c r="K279" s="709"/>
      <c r="L279" s="709"/>
      <c r="M279" s="552"/>
      <c r="N279" s="552"/>
      <c r="O279" s="552"/>
      <c r="P279" s="552"/>
      <c r="Q279" s="552"/>
      <c r="R279" s="552"/>
      <c r="S279" s="552"/>
      <c r="T279" s="552"/>
      <c r="U279" s="552"/>
      <c r="V279" s="552"/>
      <c r="W279" s="552"/>
      <c r="X279" s="552"/>
      <c r="Y279" s="552"/>
      <c r="Z279" s="552"/>
      <c r="AA279" s="552"/>
      <c r="AB279" s="552"/>
      <c r="AC279" s="552"/>
      <c r="AD279" s="552"/>
      <c r="AE279" s="552"/>
      <c r="AF279" s="552"/>
      <c r="AG279" s="552"/>
      <c r="AH279" s="552"/>
      <c r="AI279" s="552"/>
      <c r="AJ279" s="552"/>
      <c r="AK279" s="552"/>
      <c r="AL279" s="552"/>
      <c r="AM279" s="552"/>
      <c r="AN279" s="552"/>
      <c r="AO279" s="709" t="s">
        <v>7235</v>
      </c>
      <c r="AP279" s="709"/>
      <c r="AQ279" s="552" t="s">
        <v>1186</v>
      </c>
      <c r="AR279" s="552" t="s">
        <v>2809</v>
      </c>
      <c r="AS279" s="552" t="s">
        <v>6881</v>
      </c>
      <c r="AT279" s="552" t="s">
        <v>726</v>
      </c>
    </row>
    <row r="280" spans="1:46" ht="14.7" customHeight="1">
      <c r="A280" s="710" t="s">
        <v>6175</v>
      </c>
      <c r="B280" s="344" t="s">
        <v>3699</v>
      </c>
      <c r="C280" s="539" t="s">
        <v>6869</v>
      </c>
      <c r="D280" s="709" t="s">
        <v>7236</v>
      </c>
      <c r="E280" s="552" t="s">
        <v>6925</v>
      </c>
      <c r="F280" s="552" t="s">
        <v>6872</v>
      </c>
      <c r="G280" s="552" t="s">
        <v>7211</v>
      </c>
      <c r="H280" s="552"/>
      <c r="I280" s="552"/>
      <c r="J280" s="713" t="s">
        <v>7237</v>
      </c>
      <c r="K280" s="552"/>
      <c r="L280" s="552"/>
      <c r="M280" s="552"/>
      <c r="N280" s="552"/>
      <c r="O280" s="552"/>
      <c r="P280" s="552">
        <v>10</v>
      </c>
      <c r="Q280" s="552"/>
      <c r="R280" s="552"/>
      <c r="S280" s="552"/>
      <c r="T280" s="552"/>
      <c r="U280" s="552"/>
      <c r="V280" s="552"/>
      <c r="W280" s="552"/>
      <c r="X280" s="552"/>
      <c r="Y280" s="552"/>
      <c r="Z280" s="552"/>
      <c r="AA280" s="552"/>
      <c r="AB280" s="552"/>
      <c r="AC280" s="552"/>
      <c r="AD280" s="552"/>
      <c r="AE280" s="552"/>
      <c r="AF280" s="552"/>
      <c r="AG280" s="552"/>
      <c r="AH280" s="552"/>
      <c r="AI280" s="552"/>
      <c r="AJ280" s="552"/>
      <c r="AK280" s="552"/>
      <c r="AL280" s="552"/>
      <c r="AM280" s="552"/>
      <c r="AN280" s="552"/>
      <c r="AO280" s="709" t="s">
        <v>7238</v>
      </c>
      <c r="AP280" s="709"/>
      <c r="AQ280" s="552" t="s">
        <v>1186</v>
      </c>
      <c r="AR280" s="552" t="s">
        <v>2809</v>
      </c>
      <c r="AS280" s="552" t="s">
        <v>6881</v>
      </c>
      <c r="AT280" s="552" t="s">
        <v>726</v>
      </c>
    </row>
    <row r="281" spans="1:46" ht="14.7" customHeight="1">
      <c r="A281" s="706"/>
      <c r="B281" s="344" t="s">
        <v>3699</v>
      </c>
      <c r="C281" s="539" t="s">
        <v>6869</v>
      </c>
      <c r="D281" s="539" t="s">
        <v>2783</v>
      </c>
      <c r="E281" s="539"/>
      <c r="F281" s="539"/>
      <c r="G281" s="539"/>
      <c r="H281" s="552"/>
      <c r="I281" s="552"/>
      <c r="J281" s="552"/>
      <c r="K281" s="552"/>
      <c r="L281" s="552"/>
      <c r="M281" s="552"/>
      <c r="N281" s="552"/>
      <c r="O281" s="552"/>
      <c r="P281" s="552"/>
      <c r="Q281" s="552"/>
      <c r="R281" s="552"/>
      <c r="S281" s="552"/>
      <c r="T281" s="552"/>
      <c r="U281" s="552"/>
      <c r="V281" s="552"/>
      <c r="W281" s="552"/>
      <c r="X281" s="552"/>
      <c r="Y281" s="552"/>
      <c r="Z281" s="552"/>
      <c r="AA281" s="552"/>
      <c r="AB281" s="552"/>
      <c r="AC281" s="552"/>
      <c r="AD281" s="552"/>
      <c r="AE281" s="552"/>
      <c r="AF281" s="552"/>
      <c r="AG281" s="552"/>
      <c r="AH281" s="552"/>
      <c r="AI281" s="552"/>
      <c r="AJ281" s="552"/>
      <c r="AK281" s="552"/>
      <c r="AL281" s="552"/>
      <c r="AM281" s="552"/>
      <c r="AN281" s="552"/>
      <c r="AO281" s="552"/>
      <c r="AP281" s="552"/>
      <c r="AQ281" s="552" t="s">
        <v>1186</v>
      </c>
      <c r="AR281" s="552" t="s">
        <v>2809</v>
      </c>
      <c r="AS281" s="552" t="s">
        <v>6881</v>
      </c>
      <c r="AT281" s="552" t="s">
        <v>726</v>
      </c>
    </row>
    <row r="282" spans="1:46" ht="14.7" customHeight="1">
      <c r="A282" s="706"/>
      <c r="B282" s="344" t="s">
        <v>3699</v>
      </c>
      <c r="C282" s="539" t="s">
        <v>6869</v>
      </c>
      <c r="D282" s="539" t="s">
        <v>2783</v>
      </c>
      <c r="E282" s="539"/>
      <c r="F282" s="539"/>
      <c r="G282" s="539"/>
      <c r="H282" s="552"/>
      <c r="I282" s="552"/>
      <c r="J282" s="552"/>
      <c r="K282" s="552"/>
      <c r="L282" s="552"/>
      <c r="M282" s="552"/>
      <c r="N282" s="552"/>
      <c r="O282" s="552"/>
      <c r="P282" s="552"/>
      <c r="Q282" s="552"/>
      <c r="R282" s="552"/>
      <c r="S282" s="552"/>
      <c r="T282" s="552"/>
      <c r="U282" s="552"/>
      <c r="V282" s="552"/>
      <c r="W282" s="552"/>
      <c r="X282" s="552"/>
      <c r="Y282" s="552"/>
      <c r="Z282" s="552"/>
      <c r="AA282" s="552"/>
      <c r="AB282" s="552"/>
      <c r="AC282" s="552"/>
      <c r="AD282" s="552"/>
      <c r="AE282" s="552"/>
      <c r="AF282" s="552"/>
      <c r="AG282" s="552"/>
      <c r="AH282" s="552"/>
      <c r="AI282" s="552"/>
      <c r="AJ282" s="552"/>
      <c r="AK282" s="552"/>
      <c r="AL282" s="552"/>
      <c r="AM282" s="552"/>
      <c r="AN282" s="552"/>
      <c r="AO282" s="552"/>
      <c r="AP282" s="552"/>
      <c r="AQ282" s="552" t="s">
        <v>1186</v>
      </c>
      <c r="AR282" s="552" t="s">
        <v>2809</v>
      </c>
      <c r="AS282" s="552" t="s">
        <v>6881</v>
      </c>
      <c r="AT282" s="552" t="s">
        <v>726</v>
      </c>
    </row>
    <row r="283" spans="1:46" ht="14.7" customHeight="1">
      <c r="A283" s="706"/>
      <c r="B283" s="344" t="s">
        <v>3699</v>
      </c>
      <c r="C283" s="539" t="s">
        <v>6869</v>
      </c>
      <c r="D283" s="539" t="s">
        <v>2783</v>
      </c>
      <c r="E283" s="539"/>
      <c r="F283" s="539"/>
      <c r="G283" s="539"/>
      <c r="H283" s="552"/>
      <c r="I283" s="552"/>
      <c r="J283" s="552"/>
      <c r="K283" s="552"/>
      <c r="L283" s="552"/>
      <c r="M283" s="552"/>
      <c r="N283" s="552"/>
      <c r="O283" s="552"/>
      <c r="P283" s="552"/>
      <c r="Q283" s="552"/>
      <c r="R283" s="552"/>
      <c r="S283" s="552"/>
      <c r="T283" s="552"/>
      <c r="U283" s="552"/>
      <c r="V283" s="552"/>
      <c r="W283" s="552"/>
      <c r="X283" s="552"/>
      <c r="Y283" s="552"/>
      <c r="Z283" s="552"/>
      <c r="AA283" s="552"/>
      <c r="AB283" s="552"/>
      <c r="AC283" s="552"/>
      <c r="AD283" s="552"/>
      <c r="AE283" s="552"/>
      <c r="AF283" s="552"/>
      <c r="AG283" s="552"/>
      <c r="AH283" s="552"/>
      <c r="AI283" s="552"/>
      <c r="AJ283" s="552"/>
      <c r="AK283" s="552"/>
      <c r="AL283" s="552"/>
      <c r="AM283" s="552"/>
      <c r="AN283" s="552"/>
      <c r="AO283" s="552"/>
      <c r="AP283" s="552"/>
      <c r="AQ283" s="552" t="s">
        <v>1186</v>
      </c>
      <c r="AR283" s="552" t="s">
        <v>2809</v>
      </c>
      <c r="AS283" s="552" t="s">
        <v>6881</v>
      </c>
      <c r="AT283" s="552" t="s">
        <v>726</v>
      </c>
    </row>
    <row r="284" spans="1:46" ht="14.7" customHeight="1">
      <c r="A284" s="710" t="s">
        <v>7239</v>
      </c>
      <c r="B284" s="559" t="s">
        <v>3700</v>
      </c>
      <c r="C284" s="539" t="s">
        <v>6869</v>
      </c>
      <c r="D284" s="709" t="s">
        <v>7240</v>
      </c>
      <c r="E284" s="552" t="s">
        <v>6925</v>
      </c>
      <c r="F284" s="552" t="s">
        <v>6872</v>
      </c>
      <c r="G284" s="552" t="s">
        <v>7211</v>
      </c>
      <c r="H284" s="552"/>
      <c r="I284" s="552"/>
      <c r="J284" s="709" t="s">
        <v>6883</v>
      </c>
      <c r="K284" s="709"/>
      <c r="L284" s="709"/>
      <c r="M284" s="552"/>
      <c r="N284" s="552"/>
      <c r="O284" s="552"/>
      <c r="P284" s="552"/>
      <c r="Q284" s="552"/>
      <c r="R284" s="552"/>
      <c r="S284" s="552"/>
      <c r="T284" s="552"/>
      <c r="U284" s="552"/>
      <c r="V284" s="552"/>
      <c r="W284" s="552"/>
      <c r="X284" s="552"/>
      <c r="Y284" s="552"/>
      <c r="Z284" s="552"/>
      <c r="AA284" s="552"/>
      <c r="AB284" s="552"/>
      <c r="AC284" s="552"/>
      <c r="AD284" s="552"/>
      <c r="AE284" s="552"/>
      <c r="AF284" s="552"/>
      <c r="AG284" s="552"/>
      <c r="AH284" s="552"/>
      <c r="AI284" s="552"/>
      <c r="AJ284" s="552"/>
      <c r="AK284" s="552"/>
      <c r="AL284" s="552"/>
      <c r="AM284" s="552"/>
      <c r="AN284" s="552"/>
      <c r="AO284" s="552"/>
      <c r="AP284" s="717" t="s">
        <v>7241</v>
      </c>
      <c r="AQ284" s="552" t="s">
        <v>1186</v>
      </c>
      <c r="AR284" s="552" t="s">
        <v>2971</v>
      </c>
      <c r="AS284" s="552" t="s">
        <v>6881</v>
      </c>
      <c r="AT284" s="552" t="s">
        <v>726</v>
      </c>
    </row>
    <row r="285" spans="1:46" ht="14.7" customHeight="1">
      <c r="A285" s="706"/>
      <c r="B285" s="559" t="s">
        <v>3700</v>
      </c>
      <c r="C285" s="539" t="s">
        <v>6869</v>
      </c>
      <c r="D285" s="539" t="s">
        <v>2783</v>
      </c>
      <c r="E285" s="539"/>
      <c r="F285" s="539"/>
      <c r="G285" s="539"/>
      <c r="H285" s="552"/>
      <c r="I285" s="552"/>
      <c r="J285" s="552"/>
      <c r="K285" s="552"/>
      <c r="L285" s="552"/>
      <c r="M285" s="552"/>
      <c r="N285" s="552"/>
      <c r="O285" s="552"/>
      <c r="P285" s="552"/>
      <c r="Q285" s="552"/>
      <c r="R285" s="552"/>
      <c r="S285" s="552"/>
      <c r="T285" s="552"/>
      <c r="U285" s="552"/>
      <c r="V285" s="552"/>
      <c r="W285" s="552"/>
      <c r="X285" s="552"/>
      <c r="Y285" s="552"/>
      <c r="Z285" s="552"/>
      <c r="AA285" s="552"/>
      <c r="AB285" s="552"/>
      <c r="AC285" s="552"/>
      <c r="AD285" s="552"/>
      <c r="AE285" s="552"/>
      <c r="AF285" s="552"/>
      <c r="AG285" s="552"/>
      <c r="AH285" s="552"/>
      <c r="AI285" s="552"/>
      <c r="AJ285" s="552"/>
      <c r="AK285" s="552"/>
      <c r="AL285" s="552"/>
      <c r="AM285" s="552"/>
      <c r="AN285" s="552"/>
      <c r="AO285" s="552"/>
      <c r="AP285" s="552"/>
      <c r="AQ285" s="552" t="s">
        <v>1186</v>
      </c>
      <c r="AR285" s="552" t="s">
        <v>2971</v>
      </c>
      <c r="AS285" s="552" t="s">
        <v>6881</v>
      </c>
      <c r="AT285" s="552" t="s">
        <v>726</v>
      </c>
    </row>
    <row r="286" spans="1:46" ht="14.7" customHeight="1">
      <c r="A286" s="706"/>
      <c r="B286" s="711" t="s">
        <v>6055</v>
      </c>
      <c r="C286" s="539" t="s">
        <v>6869</v>
      </c>
      <c r="D286" s="539"/>
      <c r="E286" s="552"/>
      <c r="F286" s="552"/>
      <c r="G286" s="552"/>
      <c r="H286" s="552"/>
      <c r="I286" s="552"/>
      <c r="J286" s="552"/>
      <c r="K286" s="552"/>
      <c r="L286" s="552"/>
      <c r="M286" s="552"/>
      <c r="N286" s="552"/>
      <c r="O286" s="552"/>
      <c r="P286" s="552"/>
      <c r="Q286" s="552"/>
      <c r="R286" s="552"/>
      <c r="S286" s="552"/>
      <c r="T286" s="552"/>
      <c r="U286" s="552"/>
      <c r="V286" s="552"/>
      <c r="W286" s="552"/>
      <c r="X286" s="552"/>
      <c r="Y286" s="552"/>
      <c r="Z286" s="552"/>
      <c r="AA286" s="552"/>
      <c r="AB286" s="552"/>
      <c r="AC286" s="552"/>
      <c r="AD286" s="552"/>
      <c r="AE286" s="552"/>
      <c r="AF286" s="552"/>
      <c r="AG286" s="552"/>
      <c r="AH286" s="552"/>
      <c r="AI286" s="552"/>
      <c r="AJ286" s="552"/>
      <c r="AK286" s="552"/>
      <c r="AL286" s="552"/>
      <c r="AM286" s="552"/>
      <c r="AN286" s="552"/>
      <c r="AO286" s="552"/>
      <c r="AP286" s="552"/>
      <c r="AQ286" s="552" t="s">
        <v>1186</v>
      </c>
      <c r="AR286" s="552" t="s">
        <v>6697</v>
      </c>
      <c r="AS286" s="552" t="s">
        <v>6881</v>
      </c>
      <c r="AT286" s="552" t="s">
        <v>726</v>
      </c>
    </row>
    <row r="287" spans="1:46" ht="14.7" customHeight="1">
      <c r="A287" s="706" t="s">
        <v>6176</v>
      </c>
      <c r="B287" s="540" t="s">
        <v>3695</v>
      </c>
      <c r="C287" s="539" t="s">
        <v>6869</v>
      </c>
      <c r="D287" s="709" t="s">
        <v>7242</v>
      </c>
      <c r="E287" s="552" t="s">
        <v>6925</v>
      </c>
      <c r="F287" s="552" t="s">
        <v>6872</v>
      </c>
      <c r="G287" s="552" t="s">
        <v>7243</v>
      </c>
      <c r="H287" s="552"/>
      <c r="I287" s="552"/>
      <c r="J287" s="709" t="s">
        <v>6883</v>
      </c>
      <c r="K287" s="709"/>
      <c r="L287" s="709"/>
      <c r="M287" s="552"/>
      <c r="N287" s="552"/>
      <c r="O287" s="552"/>
      <c r="P287" s="552"/>
      <c r="Q287" s="552"/>
      <c r="R287" s="552"/>
      <c r="S287" s="552"/>
      <c r="T287" s="552"/>
      <c r="U287" s="552"/>
      <c r="V287" s="552"/>
      <c r="W287" s="552"/>
      <c r="X287" s="552"/>
      <c r="Y287" s="552"/>
      <c r="Z287" s="552"/>
      <c r="AA287" s="552"/>
      <c r="AB287" s="552"/>
      <c r="AC287" s="552"/>
      <c r="AD287" s="552"/>
      <c r="AE287" s="552"/>
      <c r="AF287" s="552"/>
      <c r="AG287" s="552"/>
      <c r="AH287" s="552"/>
      <c r="AI287" s="552"/>
      <c r="AJ287" s="552"/>
      <c r="AK287" s="552"/>
      <c r="AL287" s="552"/>
      <c r="AM287" s="552"/>
      <c r="AN287" s="552"/>
      <c r="AO287" s="552"/>
      <c r="AP287" s="552"/>
      <c r="AQ287" s="552" t="s">
        <v>1186</v>
      </c>
      <c r="AR287" s="552" t="s">
        <v>2802</v>
      </c>
      <c r="AS287" s="552" t="s">
        <v>6881</v>
      </c>
      <c r="AT287" s="552" t="s">
        <v>726</v>
      </c>
    </row>
    <row r="288" spans="1:46" ht="14.7" customHeight="1">
      <c r="A288" s="706"/>
      <c r="B288" s="540" t="s">
        <v>3695</v>
      </c>
      <c r="C288" s="539" t="s">
        <v>6869</v>
      </c>
      <c r="D288" s="539" t="s">
        <v>2783</v>
      </c>
      <c r="E288" s="539"/>
      <c r="F288" s="539"/>
      <c r="G288" s="539"/>
      <c r="H288" s="552"/>
      <c r="I288" s="552"/>
      <c r="J288" s="552"/>
      <c r="K288" s="552"/>
      <c r="L288" s="552"/>
      <c r="M288" s="552"/>
      <c r="N288" s="552"/>
      <c r="O288" s="552"/>
      <c r="P288" s="552"/>
      <c r="Q288" s="552"/>
      <c r="R288" s="552"/>
      <c r="S288" s="552"/>
      <c r="T288" s="552"/>
      <c r="U288" s="552"/>
      <c r="V288" s="552"/>
      <c r="W288" s="552"/>
      <c r="X288" s="552"/>
      <c r="Y288" s="552"/>
      <c r="Z288" s="552"/>
      <c r="AA288" s="552"/>
      <c r="AB288" s="552"/>
      <c r="AC288" s="552"/>
      <c r="AD288" s="552"/>
      <c r="AE288" s="552"/>
      <c r="AF288" s="552"/>
      <c r="AG288" s="552"/>
      <c r="AH288" s="552"/>
      <c r="AI288" s="552"/>
      <c r="AJ288" s="552"/>
      <c r="AK288" s="552"/>
      <c r="AL288" s="552"/>
      <c r="AM288" s="552"/>
      <c r="AN288" s="552"/>
      <c r="AO288" s="552"/>
      <c r="AP288" s="552"/>
      <c r="AQ288" s="552" t="s">
        <v>1186</v>
      </c>
      <c r="AR288" s="552" t="s">
        <v>2802</v>
      </c>
      <c r="AS288" s="552" t="s">
        <v>6881</v>
      </c>
      <c r="AT288" s="552" t="s">
        <v>726</v>
      </c>
    </row>
    <row r="289" spans="1:46" ht="14.7" customHeight="1">
      <c r="A289" s="706" t="s">
        <v>6177</v>
      </c>
      <c r="B289" s="707" t="s">
        <v>3696</v>
      </c>
      <c r="C289" s="539" t="s">
        <v>6869</v>
      </c>
      <c r="D289" s="709" t="s">
        <v>7244</v>
      </c>
      <c r="E289" s="552" t="s">
        <v>6925</v>
      </c>
      <c r="F289" s="552" t="s">
        <v>6872</v>
      </c>
      <c r="G289" s="552" t="s">
        <v>7243</v>
      </c>
      <c r="H289" s="552"/>
      <c r="I289" s="552"/>
      <c r="J289" s="709" t="s">
        <v>6905</v>
      </c>
      <c r="K289" s="709"/>
      <c r="L289" s="709"/>
      <c r="M289" s="552"/>
      <c r="N289" s="552"/>
      <c r="O289" s="552"/>
      <c r="P289" s="552"/>
      <c r="Q289" s="552"/>
      <c r="R289" s="552"/>
      <c r="S289" s="552"/>
      <c r="T289" s="552"/>
      <c r="U289" s="552"/>
      <c r="V289" s="552"/>
      <c r="W289" s="552"/>
      <c r="X289" s="552"/>
      <c r="Y289" s="552"/>
      <c r="Z289" s="552"/>
      <c r="AA289" s="552"/>
      <c r="AB289" s="552"/>
      <c r="AC289" s="552"/>
      <c r="AD289" s="552"/>
      <c r="AE289" s="552"/>
      <c r="AF289" s="552"/>
      <c r="AG289" s="552"/>
      <c r="AH289" s="552"/>
      <c r="AI289" s="552"/>
      <c r="AJ289" s="552"/>
      <c r="AK289" s="552"/>
      <c r="AL289" s="552"/>
      <c r="AM289" s="552"/>
      <c r="AN289" s="552"/>
      <c r="AO289" s="552"/>
      <c r="AP289" s="552"/>
      <c r="AQ289" s="552" t="s">
        <v>1186</v>
      </c>
      <c r="AR289" s="552" t="s">
        <v>2805</v>
      </c>
      <c r="AS289" s="552" t="s">
        <v>6881</v>
      </c>
      <c r="AT289" s="552" t="s">
        <v>726</v>
      </c>
    </row>
    <row r="290" spans="1:46" ht="14.7" customHeight="1">
      <c r="A290" s="706"/>
      <c r="B290" s="707" t="s">
        <v>3696</v>
      </c>
      <c r="C290" s="539" t="s">
        <v>6869</v>
      </c>
      <c r="D290" s="539" t="s">
        <v>2783</v>
      </c>
      <c r="E290" s="539"/>
      <c r="F290" s="539"/>
      <c r="G290" s="539"/>
      <c r="H290" s="552"/>
      <c r="I290" s="552"/>
      <c r="J290" s="552"/>
      <c r="K290" s="552"/>
      <c r="L290" s="552"/>
      <c r="M290" s="552"/>
      <c r="N290" s="552"/>
      <c r="O290" s="552"/>
      <c r="P290" s="552"/>
      <c r="Q290" s="552"/>
      <c r="R290" s="552"/>
      <c r="S290" s="552"/>
      <c r="T290" s="552"/>
      <c r="U290" s="552"/>
      <c r="V290" s="552"/>
      <c r="W290" s="552"/>
      <c r="X290" s="552"/>
      <c r="Y290" s="552"/>
      <c r="Z290" s="552"/>
      <c r="AA290" s="552"/>
      <c r="AB290" s="552"/>
      <c r="AC290" s="552"/>
      <c r="AD290" s="552"/>
      <c r="AE290" s="552"/>
      <c r="AF290" s="552"/>
      <c r="AG290" s="552"/>
      <c r="AH290" s="552"/>
      <c r="AI290" s="552"/>
      <c r="AJ290" s="552"/>
      <c r="AK290" s="552"/>
      <c r="AL290" s="552"/>
      <c r="AM290" s="552"/>
      <c r="AN290" s="552"/>
      <c r="AO290" s="552"/>
      <c r="AP290" s="552"/>
      <c r="AQ290" s="552" t="s">
        <v>1186</v>
      </c>
      <c r="AR290" s="552" t="s">
        <v>2805</v>
      </c>
      <c r="AS290" s="552" t="s">
        <v>6881</v>
      </c>
      <c r="AT290" s="552" t="s">
        <v>726</v>
      </c>
    </row>
    <row r="291" spans="1:46" ht="14.7" customHeight="1">
      <c r="A291" s="706" t="s">
        <v>6178</v>
      </c>
      <c r="B291" s="556" t="s">
        <v>3697</v>
      </c>
      <c r="C291" s="539" t="s">
        <v>6869</v>
      </c>
      <c r="D291" s="709" t="s">
        <v>7245</v>
      </c>
      <c r="E291" s="552" t="s">
        <v>6925</v>
      </c>
      <c r="F291" s="552" t="s">
        <v>6872</v>
      </c>
      <c r="G291" s="552" t="s">
        <v>7243</v>
      </c>
      <c r="H291" s="552"/>
      <c r="I291" s="552"/>
      <c r="J291" s="709" t="s">
        <v>7246</v>
      </c>
      <c r="K291" s="709"/>
      <c r="L291" s="709"/>
      <c r="M291" s="552"/>
      <c r="N291" s="552"/>
      <c r="O291" s="552"/>
      <c r="P291" s="552"/>
      <c r="Q291" s="552"/>
      <c r="R291" s="552"/>
      <c r="S291" s="552"/>
      <c r="T291" s="552"/>
      <c r="U291" s="552"/>
      <c r="V291" s="552"/>
      <c r="W291" s="552"/>
      <c r="X291" s="552"/>
      <c r="Y291" s="552"/>
      <c r="Z291" s="552"/>
      <c r="AA291" s="552"/>
      <c r="AB291" s="552"/>
      <c r="AC291" s="552"/>
      <c r="AD291" s="552"/>
      <c r="AE291" s="552"/>
      <c r="AF291" s="552"/>
      <c r="AG291" s="552"/>
      <c r="AH291" s="552"/>
      <c r="AI291" s="552"/>
      <c r="AJ291" s="552"/>
      <c r="AK291" s="552"/>
      <c r="AL291" s="552"/>
      <c r="AM291" s="552"/>
      <c r="AN291" s="552"/>
      <c r="AO291" s="552"/>
      <c r="AP291" s="552"/>
      <c r="AQ291" s="552" t="s">
        <v>1186</v>
      </c>
      <c r="AR291" s="552" t="s">
        <v>2875</v>
      </c>
      <c r="AS291" s="552" t="s">
        <v>6881</v>
      </c>
      <c r="AT291" s="552" t="s">
        <v>726</v>
      </c>
    </row>
    <row r="292" spans="1:46" ht="14.7" customHeight="1">
      <c r="A292" s="710" t="s">
        <v>7247</v>
      </c>
      <c r="B292" s="556" t="s">
        <v>3697</v>
      </c>
      <c r="C292" s="539" t="s">
        <v>6869</v>
      </c>
      <c r="D292" s="709" t="s">
        <v>7248</v>
      </c>
      <c r="E292" s="552" t="s">
        <v>6925</v>
      </c>
      <c r="F292" s="552" t="s">
        <v>6872</v>
      </c>
      <c r="G292" s="552" t="s">
        <v>7243</v>
      </c>
      <c r="H292" s="552"/>
      <c r="I292" s="552"/>
      <c r="J292" s="709" t="s">
        <v>7197</v>
      </c>
      <c r="K292" s="709"/>
      <c r="L292" s="709"/>
      <c r="M292" s="552"/>
      <c r="N292" s="552"/>
      <c r="O292" s="552"/>
      <c r="P292" s="552"/>
      <c r="Q292" s="552"/>
      <c r="R292" s="552"/>
      <c r="S292" s="552"/>
      <c r="T292" s="552"/>
      <c r="U292" s="552"/>
      <c r="V292" s="552"/>
      <c r="W292" s="552"/>
      <c r="X292" s="552"/>
      <c r="Y292" s="552"/>
      <c r="Z292" s="552"/>
      <c r="AA292" s="552"/>
      <c r="AB292" s="552"/>
      <c r="AC292" s="552"/>
      <c r="AD292" s="552"/>
      <c r="AE292" s="552"/>
      <c r="AF292" s="552"/>
      <c r="AG292" s="552"/>
      <c r="AH292" s="552"/>
      <c r="AI292" s="552"/>
      <c r="AJ292" s="552"/>
      <c r="AK292" s="552"/>
      <c r="AL292" s="552"/>
      <c r="AM292" s="552"/>
      <c r="AN292" s="552"/>
      <c r="AO292" s="552"/>
      <c r="AP292" s="709" t="s">
        <v>7249</v>
      </c>
      <c r="AQ292" s="552" t="s">
        <v>1186</v>
      </c>
      <c r="AR292" s="552" t="s">
        <v>2875</v>
      </c>
      <c r="AS292" s="552" t="s">
        <v>6881</v>
      </c>
      <c r="AT292" s="552" t="s">
        <v>726</v>
      </c>
    </row>
    <row r="293" spans="1:46" ht="14.7" customHeight="1">
      <c r="A293" s="706"/>
      <c r="B293" s="556" t="s">
        <v>3697</v>
      </c>
      <c r="C293" s="539" t="s">
        <v>6869</v>
      </c>
      <c r="D293" s="539" t="s">
        <v>2783</v>
      </c>
      <c r="E293" s="539"/>
      <c r="F293" s="539"/>
      <c r="G293" s="539"/>
      <c r="H293" s="552"/>
      <c r="I293" s="552"/>
      <c r="J293" s="552"/>
      <c r="K293" s="552"/>
      <c r="L293" s="552"/>
      <c r="M293" s="552"/>
      <c r="N293" s="552"/>
      <c r="O293" s="552"/>
      <c r="P293" s="552"/>
      <c r="Q293" s="552"/>
      <c r="R293" s="552"/>
      <c r="S293" s="552"/>
      <c r="T293" s="552"/>
      <c r="U293" s="552"/>
      <c r="V293" s="552"/>
      <c r="W293" s="552"/>
      <c r="X293" s="552"/>
      <c r="Y293" s="552"/>
      <c r="Z293" s="552"/>
      <c r="AA293" s="552"/>
      <c r="AB293" s="552"/>
      <c r="AC293" s="552"/>
      <c r="AD293" s="552"/>
      <c r="AE293" s="552"/>
      <c r="AF293" s="552"/>
      <c r="AG293" s="552"/>
      <c r="AH293" s="552"/>
      <c r="AI293" s="552"/>
      <c r="AJ293" s="552"/>
      <c r="AK293" s="552"/>
      <c r="AL293" s="552"/>
      <c r="AM293" s="552"/>
      <c r="AN293" s="552"/>
      <c r="AO293" s="552"/>
      <c r="AP293" s="552"/>
      <c r="AQ293" s="552" t="s">
        <v>1186</v>
      </c>
      <c r="AR293" s="552" t="s">
        <v>2875</v>
      </c>
      <c r="AS293" s="552" t="s">
        <v>6881</v>
      </c>
      <c r="AT293" s="552" t="s">
        <v>726</v>
      </c>
    </row>
    <row r="294" spans="1:46" ht="14.7" customHeight="1">
      <c r="A294" s="710" t="s">
        <v>7250</v>
      </c>
      <c r="B294" s="557" t="s">
        <v>3698</v>
      </c>
      <c r="C294" s="539" t="s">
        <v>6869</v>
      </c>
      <c r="D294" s="709" t="s">
        <v>7251</v>
      </c>
      <c r="E294" s="552" t="s">
        <v>6925</v>
      </c>
      <c r="F294" s="552" t="s">
        <v>6872</v>
      </c>
      <c r="G294" s="552" t="s">
        <v>7243</v>
      </c>
      <c r="H294" s="552"/>
      <c r="I294" s="552"/>
      <c r="J294" s="709" t="s">
        <v>7252</v>
      </c>
      <c r="K294" s="709" t="s">
        <v>7253</v>
      </c>
      <c r="L294" s="709"/>
      <c r="M294" s="709"/>
      <c r="N294" s="552"/>
      <c r="O294" s="552"/>
      <c r="P294" s="552"/>
      <c r="Q294" s="552"/>
      <c r="R294" s="552"/>
      <c r="S294" s="552"/>
      <c r="T294" s="552"/>
      <c r="U294" s="552"/>
      <c r="V294" s="552"/>
      <c r="W294" s="552"/>
      <c r="X294" s="552"/>
      <c r="Y294" s="552"/>
      <c r="Z294" s="552"/>
      <c r="AA294" s="552"/>
      <c r="AB294" s="552"/>
      <c r="AC294" s="552"/>
      <c r="AD294" s="552"/>
      <c r="AE294" s="552"/>
      <c r="AF294" s="552"/>
      <c r="AG294" s="552"/>
      <c r="AH294" s="552"/>
      <c r="AI294" s="552"/>
      <c r="AJ294" s="552"/>
      <c r="AK294" s="552"/>
      <c r="AL294" s="552"/>
      <c r="AM294" s="552"/>
      <c r="AN294" s="552"/>
      <c r="AO294" s="552"/>
      <c r="AP294" s="713" t="s">
        <v>7254</v>
      </c>
      <c r="AQ294" s="552" t="s">
        <v>1186</v>
      </c>
      <c r="AR294" s="552" t="s">
        <v>2998</v>
      </c>
      <c r="AS294" s="552" t="s">
        <v>6881</v>
      </c>
      <c r="AT294" s="552" t="s">
        <v>726</v>
      </c>
    </row>
    <row r="295" spans="1:46" ht="14.7" customHeight="1">
      <c r="A295" s="710" t="s">
        <v>7255</v>
      </c>
      <c r="B295" s="557" t="s">
        <v>3698</v>
      </c>
      <c r="C295" s="539" t="s">
        <v>6869</v>
      </c>
      <c r="D295" s="709" t="s">
        <v>7256</v>
      </c>
      <c r="E295" s="552" t="s">
        <v>6925</v>
      </c>
      <c r="F295" s="552" t="s">
        <v>6872</v>
      </c>
      <c r="G295" s="552" t="s">
        <v>7243</v>
      </c>
      <c r="H295" s="552"/>
      <c r="I295" s="552"/>
      <c r="J295" s="709" t="s">
        <v>7257</v>
      </c>
      <c r="K295" s="709"/>
      <c r="L295" s="552"/>
      <c r="M295" s="552"/>
      <c r="N295" s="552"/>
      <c r="O295" s="552"/>
      <c r="P295" s="552"/>
      <c r="Q295" s="552"/>
      <c r="R295" s="552"/>
      <c r="S295" s="552"/>
      <c r="T295" s="552"/>
      <c r="U295" s="552"/>
      <c r="V295" s="552"/>
      <c r="W295" s="552"/>
      <c r="X295" s="552"/>
      <c r="Y295" s="552"/>
      <c r="Z295" s="552"/>
      <c r="AA295" s="552"/>
      <c r="AB295" s="552"/>
      <c r="AC295" s="552"/>
      <c r="AD295" s="552"/>
      <c r="AE295" s="552"/>
      <c r="AF295" s="552"/>
      <c r="AG295" s="552"/>
      <c r="AH295" s="552"/>
      <c r="AI295" s="552"/>
      <c r="AJ295" s="552"/>
      <c r="AK295" s="552"/>
      <c r="AL295" s="552"/>
      <c r="AM295" s="552"/>
      <c r="AN295" s="552"/>
      <c r="AO295" s="552"/>
      <c r="AP295" s="709" t="s">
        <v>7258</v>
      </c>
      <c r="AQ295" s="552" t="s">
        <v>1186</v>
      </c>
      <c r="AR295" s="552" t="s">
        <v>2998</v>
      </c>
      <c r="AS295" s="552" t="s">
        <v>6881</v>
      </c>
      <c r="AT295" s="552" t="s">
        <v>726</v>
      </c>
    </row>
    <row r="296" spans="1:46" ht="14.7" customHeight="1">
      <c r="A296" s="706"/>
      <c r="B296" s="557" t="s">
        <v>3698</v>
      </c>
      <c r="C296" s="539" t="s">
        <v>6869</v>
      </c>
      <c r="D296" s="539" t="s">
        <v>2783</v>
      </c>
      <c r="E296" s="539"/>
      <c r="F296" s="539"/>
      <c r="G296" s="539"/>
      <c r="H296" s="552"/>
      <c r="I296" s="552"/>
      <c r="J296" s="552"/>
      <c r="K296" s="552"/>
      <c r="L296" s="552"/>
      <c r="M296" s="552"/>
      <c r="N296" s="552"/>
      <c r="O296" s="552"/>
      <c r="P296" s="552"/>
      <c r="Q296" s="552"/>
      <c r="R296" s="552"/>
      <c r="S296" s="552"/>
      <c r="T296" s="552"/>
      <c r="U296" s="552"/>
      <c r="V296" s="552"/>
      <c r="W296" s="552"/>
      <c r="X296" s="552"/>
      <c r="Y296" s="552"/>
      <c r="Z296" s="552"/>
      <c r="AA296" s="552"/>
      <c r="AB296" s="552"/>
      <c r="AC296" s="552"/>
      <c r="AD296" s="552"/>
      <c r="AE296" s="552"/>
      <c r="AF296" s="552"/>
      <c r="AG296" s="552"/>
      <c r="AH296" s="552"/>
      <c r="AI296" s="552"/>
      <c r="AJ296" s="552"/>
      <c r="AK296" s="552"/>
      <c r="AL296" s="552"/>
      <c r="AM296" s="552"/>
      <c r="AN296" s="552"/>
      <c r="AO296" s="552"/>
      <c r="AP296" s="552"/>
      <c r="AQ296" s="552" t="s">
        <v>1186</v>
      </c>
      <c r="AR296" s="552" t="s">
        <v>2998</v>
      </c>
      <c r="AS296" s="552" t="s">
        <v>6881</v>
      </c>
      <c r="AT296" s="552" t="s">
        <v>726</v>
      </c>
    </row>
    <row r="297" spans="1:46" ht="14.7" customHeight="1">
      <c r="A297" s="706"/>
      <c r="B297" s="557" t="s">
        <v>3698</v>
      </c>
      <c r="C297" s="539" t="s">
        <v>6869</v>
      </c>
      <c r="D297" s="539" t="s">
        <v>2783</v>
      </c>
      <c r="E297" s="539"/>
      <c r="F297" s="539"/>
      <c r="G297" s="539"/>
      <c r="H297" s="552"/>
      <c r="I297" s="552"/>
      <c r="J297" s="552"/>
      <c r="K297" s="552"/>
      <c r="L297" s="552"/>
      <c r="M297" s="552"/>
      <c r="N297" s="552"/>
      <c r="O297" s="552"/>
      <c r="P297" s="552"/>
      <c r="Q297" s="552"/>
      <c r="R297" s="552"/>
      <c r="S297" s="552"/>
      <c r="T297" s="552"/>
      <c r="U297" s="552"/>
      <c r="V297" s="552"/>
      <c r="W297" s="552"/>
      <c r="X297" s="552"/>
      <c r="Y297" s="552"/>
      <c r="Z297" s="552"/>
      <c r="AA297" s="552"/>
      <c r="AB297" s="552"/>
      <c r="AC297" s="552"/>
      <c r="AD297" s="552"/>
      <c r="AE297" s="552"/>
      <c r="AF297" s="552"/>
      <c r="AG297" s="552"/>
      <c r="AH297" s="552"/>
      <c r="AI297" s="552"/>
      <c r="AJ297" s="552"/>
      <c r="AK297" s="552"/>
      <c r="AL297" s="552"/>
      <c r="AM297" s="552"/>
      <c r="AN297" s="552"/>
      <c r="AO297" s="552"/>
      <c r="AP297" s="552"/>
      <c r="AQ297" s="552" t="s">
        <v>1186</v>
      </c>
      <c r="AR297" s="552" t="s">
        <v>2998</v>
      </c>
      <c r="AS297" s="552" t="s">
        <v>6881</v>
      </c>
      <c r="AT297" s="552" t="s">
        <v>726</v>
      </c>
    </row>
    <row r="298" spans="1:46" ht="14.7" customHeight="1">
      <c r="A298" s="710" t="s">
        <v>6179</v>
      </c>
      <c r="B298" s="344" t="s">
        <v>3699</v>
      </c>
      <c r="C298" s="539" t="s">
        <v>6869</v>
      </c>
      <c r="D298" s="709" t="s">
        <v>7259</v>
      </c>
      <c r="E298" s="552" t="s">
        <v>6925</v>
      </c>
      <c r="F298" s="552" t="s">
        <v>6872</v>
      </c>
      <c r="G298" s="552" t="s">
        <v>7243</v>
      </c>
      <c r="H298" s="552"/>
      <c r="I298" s="552"/>
      <c r="J298" s="709" t="s">
        <v>6912</v>
      </c>
      <c r="K298" s="709"/>
      <c r="L298" s="713" t="s">
        <v>7260</v>
      </c>
      <c r="M298" s="552"/>
      <c r="N298" s="552"/>
      <c r="O298" s="552"/>
      <c r="P298" s="552"/>
      <c r="Q298" s="552"/>
      <c r="R298" s="552"/>
      <c r="S298" s="552"/>
      <c r="T298" s="552"/>
      <c r="U298" s="552"/>
      <c r="V298" s="552"/>
      <c r="W298" s="552"/>
      <c r="X298" s="552"/>
      <c r="Y298" s="552"/>
      <c r="Z298" s="552"/>
      <c r="AA298" s="552"/>
      <c r="AB298" s="552"/>
      <c r="AC298" s="552"/>
      <c r="AD298" s="552"/>
      <c r="AE298" s="552"/>
      <c r="AF298" s="552"/>
      <c r="AG298" s="552"/>
      <c r="AH298" s="552"/>
      <c r="AI298" s="552"/>
      <c r="AJ298" s="552"/>
      <c r="AK298" s="552"/>
      <c r="AL298" s="552"/>
      <c r="AM298" s="552"/>
      <c r="AN298" s="552"/>
      <c r="AO298" s="552"/>
      <c r="AP298" s="552"/>
      <c r="AQ298" s="552" t="s">
        <v>1186</v>
      </c>
      <c r="AR298" s="552" t="s">
        <v>2809</v>
      </c>
      <c r="AS298" s="552" t="s">
        <v>6881</v>
      </c>
      <c r="AT298" s="552" t="s">
        <v>726</v>
      </c>
    </row>
    <row r="299" spans="1:46" ht="14.7" customHeight="1">
      <c r="A299" s="706"/>
      <c r="B299" s="344" t="s">
        <v>3699</v>
      </c>
      <c r="C299" s="539" t="s">
        <v>6869</v>
      </c>
      <c r="D299" s="539" t="s">
        <v>2783</v>
      </c>
      <c r="E299" s="539"/>
      <c r="F299" s="539"/>
      <c r="G299" s="539"/>
      <c r="H299" s="552"/>
      <c r="I299" s="552"/>
      <c r="J299" s="552"/>
      <c r="K299" s="552"/>
      <c r="L299" s="552"/>
      <c r="M299" s="552"/>
      <c r="N299" s="552"/>
      <c r="O299" s="552"/>
      <c r="P299" s="552"/>
      <c r="Q299" s="552"/>
      <c r="R299" s="552"/>
      <c r="S299" s="552"/>
      <c r="T299" s="552"/>
      <c r="U299" s="552"/>
      <c r="V299" s="552"/>
      <c r="W299" s="552"/>
      <c r="X299" s="552"/>
      <c r="Y299" s="552"/>
      <c r="Z299" s="552"/>
      <c r="AA299" s="552"/>
      <c r="AB299" s="552"/>
      <c r="AC299" s="552"/>
      <c r="AD299" s="552"/>
      <c r="AE299" s="552"/>
      <c r="AF299" s="552"/>
      <c r="AG299" s="552"/>
      <c r="AH299" s="552"/>
      <c r="AI299" s="552"/>
      <c r="AJ299" s="552"/>
      <c r="AK299" s="552"/>
      <c r="AL299" s="552"/>
      <c r="AM299" s="552"/>
      <c r="AN299" s="552"/>
      <c r="AO299" s="552"/>
      <c r="AP299" s="552"/>
      <c r="AQ299" s="552" t="s">
        <v>1186</v>
      </c>
      <c r="AR299" s="552" t="s">
        <v>2809</v>
      </c>
      <c r="AS299" s="552" t="s">
        <v>6881</v>
      </c>
      <c r="AT299" s="552" t="s">
        <v>726</v>
      </c>
    </row>
    <row r="300" spans="1:46" ht="14.7" customHeight="1">
      <c r="A300" s="706"/>
      <c r="B300" s="344" t="s">
        <v>3699</v>
      </c>
      <c r="C300" s="539" t="s">
        <v>6869</v>
      </c>
      <c r="D300" s="539" t="s">
        <v>2783</v>
      </c>
      <c r="E300" s="539"/>
      <c r="F300" s="539"/>
      <c r="G300" s="539"/>
      <c r="H300" s="552"/>
      <c r="I300" s="552"/>
      <c r="J300" s="552"/>
      <c r="K300" s="552"/>
      <c r="L300" s="552"/>
      <c r="M300" s="552"/>
      <c r="N300" s="552"/>
      <c r="O300" s="552"/>
      <c r="P300" s="552"/>
      <c r="Q300" s="552"/>
      <c r="R300" s="552"/>
      <c r="S300" s="552"/>
      <c r="T300" s="552"/>
      <c r="U300" s="552"/>
      <c r="V300" s="552"/>
      <c r="W300" s="552"/>
      <c r="X300" s="552"/>
      <c r="Y300" s="552"/>
      <c r="Z300" s="552"/>
      <c r="AA300" s="552"/>
      <c r="AB300" s="552"/>
      <c r="AC300" s="552"/>
      <c r="AD300" s="552"/>
      <c r="AE300" s="552"/>
      <c r="AF300" s="552"/>
      <c r="AG300" s="552"/>
      <c r="AH300" s="552"/>
      <c r="AI300" s="552"/>
      <c r="AJ300" s="552"/>
      <c r="AK300" s="552"/>
      <c r="AL300" s="552"/>
      <c r="AM300" s="552"/>
      <c r="AN300" s="552"/>
      <c r="AO300" s="552"/>
      <c r="AP300" s="552"/>
      <c r="AQ300" s="552" t="s">
        <v>1186</v>
      </c>
      <c r="AR300" s="552" t="s">
        <v>2809</v>
      </c>
      <c r="AS300" s="552" t="s">
        <v>6881</v>
      </c>
      <c r="AT300" s="552" t="s">
        <v>726</v>
      </c>
    </row>
    <row r="301" spans="1:46" ht="14.7" customHeight="1">
      <c r="A301" s="706"/>
      <c r="B301" s="344" t="s">
        <v>3699</v>
      </c>
      <c r="C301" s="539" t="s">
        <v>6869</v>
      </c>
      <c r="D301" s="539" t="s">
        <v>2783</v>
      </c>
      <c r="E301" s="539"/>
      <c r="F301" s="539"/>
      <c r="G301" s="539"/>
      <c r="H301" s="552"/>
      <c r="I301" s="552"/>
      <c r="J301" s="552"/>
      <c r="K301" s="552"/>
      <c r="L301" s="552"/>
      <c r="M301" s="552"/>
      <c r="N301" s="552"/>
      <c r="O301" s="552"/>
      <c r="P301" s="552"/>
      <c r="Q301" s="552"/>
      <c r="R301" s="552"/>
      <c r="S301" s="552"/>
      <c r="T301" s="552"/>
      <c r="U301" s="552"/>
      <c r="V301" s="552"/>
      <c r="W301" s="552"/>
      <c r="X301" s="552"/>
      <c r="Y301" s="552"/>
      <c r="Z301" s="552"/>
      <c r="AA301" s="552"/>
      <c r="AB301" s="552"/>
      <c r="AC301" s="552"/>
      <c r="AD301" s="552"/>
      <c r="AE301" s="552"/>
      <c r="AF301" s="552"/>
      <c r="AG301" s="552"/>
      <c r="AH301" s="552"/>
      <c r="AI301" s="552"/>
      <c r="AJ301" s="552"/>
      <c r="AK301" s="552"/>
      <c r="AL301" s="552"/>
      <c r="AM301" s="552"/>
      <c r="AN301" s="552"/>
      <c r="AO301" s="552"/>
      <c r="AP301" s="552"/>
      <c r="AQ301" s="552" t="s">
        <v>1186</v>
      </c>
      <c r="AR301" s="552" t="s">
        <v>2809</v>
      </c>
      <c r="AS301" s="552" t="s">
        <v>6881</v>
      </c>
      <c r="AT301" s="552" t="s">
        <v>726</v>
      </c>
    </row>
    <row r="302" spans="1:46" ht="14.7" customHeight="1">
      <c r="A302" s="706"/>
      <c r="B302" s="344" t="s">
        <v>3699</v>
      </c>
      <c r="C302" s="539" t="s">
        <v>6869</v>
      </c>
      <c r="D302" s="539" t="s">
        <v>2783</v>
      </c>
      <c r="E302" s="539"/>
      <c r="F302" s="539"/>
      <c r="G302" s="539"/>
      <c r="H302" s="552"/>
      <c r="I302" s="552"/>
      <c r="J302" s="552"/>
      <c r="K302" s="552"/>
      <c r="L302" s="552"/>
      <c r="M302" s="552"/>
      <c r="N302" s="552"/>
      <c r="O302" s="552"/>
      <c r="P302" s="552"/>
      <c r="Q302" s="552"/>
      <c r="R302" s="552"/>
      <c r="S302" s="552"/>
      <c r="T302" s="552"/>
      <c r="U302" s="552"/>
      <c r="V302" s="552"/>
      <c r="W302" s="552"/>
      <c r="X302" s="552"/>
      <c r="Y302" s="552"/>
      <c r="Z302" s="552"/>
      <c r="AA302" s="552"/>
      <c r="AB302" s="552"/>
      <c r="AC302" s="552"/>
      <c r="AD302" s="552"/>
      <c r="AE302" s="552"/>
      <c r="AF302" s="552"/>
      <c r="AG302" s="552"/>
      <c r="AH302" s="552"/>
      <c r="AI302" s="552"/>
      <c r="AJ302" s="552"/>
      <c r="AK302" s="552"/>
      <c r="AL302" s="552"/>
      <c r="AM302" s="552"/>
      <c r="AN302" s="552"/>
      <c r="AO302" s="552"/>
      <c r="AP302" s="552"/>
      <c r="AQ302" s="552" t="s">
        <v>1186</v>
      </c>
      <c r="AR302" s="552" t="s">
        <v>2809</v>
      </c>
      <c r="AS302" s="552" t="s">
        <v>6881</v>
      </c>
      <c r="AT302" s="552" t="s">
        <v>726</v>
      </c>
    </row>
    <row r="303" spans="1:46" ht="14.7" customHeight="1">
      <c r="A303" s="706"/>
      <c r="B303" s="559" t="s">
        <v>3700</v>
      </c>
      <c r="C303" s="539" t="s">
        <v>6869</v>
      </c>
      <c r="D303" s="539" t="s">
        <v>2783</v>
      </c>
      <c r="E303" s="539"/>
      <c r="F303" s="539"/>
      <c r="G303" s="539"/>
      <c r="H303" s="552"/>
      <c r="I303" s="552"/>
      <c r="J303" s="552"/>
      <c r="K303" s="552"/>
      <c r="L303" s="552"/>
      <c r="M303" s="552"/>
      <c r="N303" s="552"/>
      <c r="O303" s="552"/>
      <c r="P303" s="552"/>
      <c r="Q303" s="552"/>
      <c r="R303" s="552"/>
      <c r="S303" s="552"/>
      <c r="T303" s="552"/>
      <c r="U303" s="552"/>
      <c r="V303" s="552"/>
      <c r="W303" s="552"/>
      <c r="X303" s="552"/>
      <c r="Y303" s="552"/>
      <c r="Z303" s="552"/>
      <c r="AA303" s="552"/>
      <c r="AB303" s="552"/>
      <c r="AC303" s="552"/>
      <c r="AD303" s="552"/>
      <c r="AE303" s="552"/>
      <c r="AF303" s="552"/>
      <c r="AG303" s="552"/>
      <c r="AH303" s="552"/>
      <c r="AI303" s="552"/>
      <c r="AJ303" s="552"/>
      <c r="AK303" s="552"/>
      <c r="AL303" s="552"/>
      <c r="AM303" s="552"/>
      <c r="AN303" s="552"/>
      <c r="AO303" s="552"/>
      <c r="AP303" s="552"/>
      <c r="AQ303" s="552" t="s">
        <v>1186</v>
      </c>
      <c r="AR303" s="552" t="s">
        <v>2971</v>
      </c>
      <c r="AS303" s="552" t="s">
        <v>6881</v>
      </c>
      <c r="AT303" s="552" t="s">
        <v>726</v>
      </c>
    </row>
    <row r="304" spans="1:46" ht="14.7" customHeight="1">
      <c r="A304" s="710" t="s">
        <v>6180</v>
      </c>
      <c r="B304" s="559" t="s">
        <v>3700</v>
      </c>
      <c r="C304" s="539" t="s">
        <v>6869</v>
      </c>
      <c r="D304" s="709" t="s">
        <v>7261</v>
      </c>
      <c r="E304" s="552" t="s">
        <v>6925</v>
      </c>
      <c r="F304" s="552" t="s">
        <v>6872</v>
      </c>
      <c r="G304" s="552" t="s">
        <v>7243</v>
      </c>
      <c r="H304" s="552"/>
      <c r="I304" s="709" t="s">
        <v>7262</v>
      </c>
      <c r="J304" s="709" t="s">
        <v>7263</v>
      </c>
      <c r="K304" s="709"/>
      <c r="L304" s="709"/>
      <c r="M304" s="709"/>
      <c r="N304" s="552"/>
      <c r="O304" s="552"/>
      <c r="P304" s="552"/>
      <c r="Q304" s="552"/>
      <c r="R304" s="552"/>
      <c r="S304" s="552"/>
      <c r="T304" s="552"/>
      <c r="U304" s="552"/>
      <c r="V304" s="552"/>
      <c r="W304" s="552"/>
      <c r="X304" s="552"/>
      <c r="Y304" s="552"/>
      <c r="Z304" s="552"/>
      <c r="AA304" s="552"/>
      <c r="AB304" s="552"/>
      <c r="AC304" s="552"/>
      <c r="AD304" s="552"/>
      <c r="AE304" s="552"/>
      <c r="AF304" s="552"/>
      <c r="AG304" s="552"/>
      <c r="AH304" s="552"/>
      <c r="AI304" s="552"/>
      <c r="AJ304" s="552"/>
      <c r="AK304" s="552"/>
      <c r="AL304" s="552"/>
      <c r="AM304" s="552"/>
      <c r="AN304" s="552"/>
      <c r="AO304" s="713" t="s">
        <v>7264</v>
      </c>
      <c r="AP304" s="552"/>
      <c r="AQ304" s="552" t="s">
        <v>1186</v>
      </c>
      <c r="AR304" s="552" t="s">
        <v>2971</v>
      </c>
      <c r="AS304" s="552" t="s">
        <v>6881</v>
      </c>
      <c r="AT304" s="552" t="s">
        <v>726</v>
      </c>
    </row>
    <row r="305" spans="1:46" ht="14.7" customHeight="1">
      <c r="A305" s="706"/>
      <c r="B305" s="711" t="s">
        <v>6055</v>
      </c>
      <c r="C305" s="539" t="s">
        <v>6869</v>
      </c>
      <c r="D305" s="709"/>
      <c r="E305" s="552"/>
      <c r="F305" s="552"/>
      <c r="G305" s="552"/>
      <c r="H305" s="552"/>
      <c r="I305" s="709"/>
      <c r="J305" s="709"/>
      <c r="K305" s="552"/>
      <c r="L305" s="552"/>
      <c r="M305" s="552"/>
      <c r="N305" s="552"/>
      <c r="O305" s="552"/>
      <c r="P305" s="552"/>
      <c r="Q305" s="552"/>
      <c r="R305" s="552"/>
      <c r="S305" s="552"/>
      <c r="T305" s="552"/>
      <c r="U305" s="552"/>
      <c r="V305" s="552"/>
      <c r="W305" s="552"/>
      <c r="X305" s="552"/>
      <c r="Y305" s="552"/>
      <c r="Z305" s="552"/>
      <c r="AA305" s="552"/>
      <c r="AB305" s="552"/>
      <c r="AC305" s="552"/>
      <c r="AD305" s="552"/>
      <c r="AE305" s="552"/>
      <c r="AF305" s="552"/>
      <c r="AG305" s="552"/>
      <c r="AH305" s="552"/>
      <c r="AI305" s="552"/>
      <c r="AJ305" s="552"/>
      <c r="AK305" s="552"/>
      <c r="AL305" s="552"/>
      <c r="AM305" s="552"/>
      <c r="AN305" s="552"/>
      <c r="AO305" s="713"/>
      <c r="AP305" s="552"/>
      <c r="AQ305" s="552" t="s">
        <v>1186</v>
      </c>
      <c r="AR305" s="552" t="s">
        <v>6697</v>
      </c>
      <c r="AS305" s="552" t="s">
        <v>6881</v>
      </c>
      <c r="AT305" s="552" t="s">
        <v>726</v>
      </c>
    </row>
    <row r="306" spans="1:46" ht="14.7" customHeight="1">
      <c r="A306" s="710" t="s">
        <v>6181</v>
      </c>
      <c r="B306" s="540" t="s">
        <v>3695</v>
      </c>
      <c r="C306" s="539" t="s">
        <v>6869</v>
      </c>
      <c r="D306" s="709" t="s">
        <v>7265</v>
      </c>
      <c r="E306" s="552" t="s">
        <v>6871</v>
      </c>
      <c r="F306" s="552" t="s">
        <v>6872</v>
      </c>
      <c r="G306" s="552" t="s">
        <v>7266</v>
      </c>
      <c r="H306" s="552"/>
      <c r="I306" s="713" t="s">
        <v>7267</v>
      </c>
      <c r="J306" s="709" t="s">
        <v>7268</v>
      </c>
      <c r="K306" s="709"/>
      <c r="L306" s="709"/>
      <c r="M306" s="552"/>
      <c r="N306" s="552"/>
      <c r="O306" s="552"/>
      <c r="P306" s="552"/>
      <c r="Q306" s="552"/>
      <c r="R306" s="552"/>
      <c r="S306" s="552"/>
      <c r="T306" s="552"/>
      <c r="U306" s="552"/>
      <c r="V306" s="552"/>
      <c r="W306" s="552"/>
      <c r="X306" s="552"/>
      <c r="Y306" s="552"/>
      <c r="Z306" s="552"/>
      <c r="AA306" s="552"/>
      <c r="AB306" s="552"/>
      <c r="AC306" s="552"/>
      <c r="AD306" s="552"/>
      <c r="AE306" s="552"/>
      <c r="AF306" s="552"/>
      <c r="AG306" s="552"/>
      <c r="AH306" s="552"/>
      <c r="AI306" s="552"/>
      <c r="AJ306" s="552"/>
      <c r="AK306" s="552"/>
      <c r="AL306" s="552"/>
      <c r="AM306" s="552"/>
      <c r="AN306" s="552"/>
      <c r="AO306" s="552"/>
      <c r="AP306" s="552"/>
      <c r="AQ306" s="552" t="s">
        <v>1186</v>
      </c>
      <c r="AR306" s="552" t="s">
        <v>2802</v>
      </c>
      <c r="AS306" s="552" t="s">
        <v>6967</v>
      </c>
      <c r="AT306" s="552" t="s">
        <v>726</v>
      </c>
    </row>
    <row r="307" spans="1:46" ht="14.7" customHeight="1">
      <c r="A307" s="710" t="s">
        <v>6182</v>
      </c>
      <c r="B307" s="540" t="s">
        <v>3695</v>
      </c>
      <c r="C307" s="539" t="s">
        <v>6869</v>
      </c>
      <c r="D307" s="709" t="s">
        <v>7269</v>
      </c>
      <c r="E307" s="552" t="s">
        <v>6871</v>
      </c>
      <c r="F307" s="552" t="s">
        <v>6872</v>
      </c>
      <c r="G307" s="552" t="s">
        <v>7266</v>
      </c>
      <c r="H307" s="552"/>
      <c r="I307" s="712" t="s">
        <v>7270</v>
      </c>
      <c r="J307" s="709" t="s">
        <v>7271</v>
      </c>
      <c r="K307" s="709"/>
      <c r="L307" s="709"/>
      <c r="M307" s="552"/>
      <c r="N307" s="552"/>
      <c r="O307" s="552"/>
      <c r="P307" s="552"/>
      <c r="Q307" s="552"/>
      <c r="R307" s="552"/>
      <c r="S307" s="552"/>
      <c r="T307" s="552"/>
      <c r="U307" s="552"/>
      <c r="V307" s="552"/>
      <c r="W307" s="552"/>
      <c r="X307" s="552"/>
      <c r="Y307" s="552"/>
      <c r="Z307" s="552"/>
      <c r="AA307" s="552"/>
      <c r="AB307" s="552"/>
      <c r="AC307" s="552"/>
      <c r="AD307" s="552"/>
      <c r="AE307" s="552"/>
      <c r="AF307" s="552"/>
      <c r="AG307" s="552"/>
      <c r="AH307" s="552"/>
      <c r="AI307" s="552"/>
      <c r="AJ307" s="552"/>
      <c r="AK307" s="552"/>
      <c r="AL307" s="552"/>
      <c r="AM307" s="552"/>
      <c r="AN307" s="552"/>
      <c r="AO307" s="552"/>
      <c r="AP307" s="552"/>
      <c r="AQ307" s="552" t="s">
        <v>1186</v>
      </c>
      <c r="AR307" s="552" t="s">
        <v>2802</v>
      </c>
      <c r="AS307" s="552" t="s">
        <v>6967</v>
      </c>
      <c r="AT307" s="552" t="s">
        <v>726</v>
      </c>
    </row>
    <row r="308" spans="1:46" ht="14.7" customHeight="1">
      <c r="A308" s="710" t="s">
        <v>6183</v>
      </c>
      <c r="B308" s="707" t="s">
        <v>3696</v>
      </c>
      <c r="C308" s="539" t="s">
        <v>6869</v>
      </c>
      <c r="D308" s="709" t="s">
        <v>7272</v>
      </c>
      <c r="E308" s="552" t="s">
        <v>6871</v>
      </c>
      <c r="F308" s="552" t="s">
        <v>6872</v>
      </c>
      <c r="G308" s="552" t="s">
        <v>7266</v>
      </c>
      <c r="H308" s="552"/>
      <c r="I308" s="712" t="s">
        <v>7273</v>
      </c>
      <c r="J308" s="709" t="s">
        <v>7274</v>
      </c>
      <c r="K308" s="709"/>
      <c r="L308" s="709"/>
      <c r="M308" s="552"/>
      <c r="N308" s="552"/>
      <c r="O308" s="552"/>
      <c r="P308" s="552"/>
      <c r="Q308" s="552"/>
      <c r="R308" s="552"/>
      <c r="S308" s="552"/>
      <c r="T308" s="552"/>
      <c r="U308" s="552"/>
      <c r="V308" s="552"/>
      <c r="W308" s="552"/>
      <c r="X308" s="552"/>
      <c r="Y308" s="552"/>
      <c r="Z308" s="552"/>
      <c r="AA308" s="552"/>
      <c r="AB308" s="552"/>
      <c r="AC308" s="552"/>
      <c r="AD308" s="552"/>
      <c r="AE308" s="552"/>
      <c r="AF308" s="552"/>
      <c r="AG308" s="552"/>
      <c r="AH308" s="552"/>
      <c r="AI308" s="552"/>
      <c r="AJ308" s="552"/>
      <c r="AK308" s="552"/>
      <c r="AL308" s="552"/>
      <c r="AM308" s="552"/>
      <c r="AN308" s="552"/>
      <c r="AO308" s="552"/>
      <c r="AP308" s="552"/>
      <c r="AQ308" s="552" t="s">
        <v>1186</v>
      </c>
      <c r="AR308" s="552" t="s">
        <v>2805</v>
      </c>
      <c r="AS308" s="552" t="s">
        <v>6967</v>
      </c>
      <c r="AT308" s="552" t="s">
        <v>726</v>
      </c>
    </row>
    <row r="309" spans="1:46" ht="14.7" customHeight="1">
      <c r="A309" s="706"/>
      <c r="B309" s="707" t="s">
        <v>3696</v>
      </c>
      <c r="C309" s="539" t="s">
        <v>6869</v>
      </c>
      <c r="D309" s="539" t="s">
        <v>2783</v>
      </c>
      <c r="E309" s="539"/>
      <c r="F309" s="539"/>
      <c r="G309" s="539"/>
      <c r="H309" s="552"/>
      <c r="I309" s="552"/>
      <c r="J309" s="552"/>
      <c r="K309" s="552"/>
      <c r="L309" s="552"/>
      <c r="M309" s="552"/>
      <c r="N309" s="552"/>
      <c r="O309" s="552"/>
      <c r="P309" s="552"/>
      <c r="Q309" s="552"/>
      <c r="R309" s="552"/>
      <c r="S309" s="552"/>
      <c r="T309" s="552"/>
      <c r="U309" s="552"/>
      <c r="V309" s="552"/>
      <c r="W309" s="552"/>
      <c r="X309" s="552"/>
      <c r="Y309" s="552"/>
      <c r="Z309" s="552"/>
      <c r="AA309" s="552"/>
      <c r="AB309" s="552"/>
      <c r="AC309" s="552"/>
      <c r="AD309" s="552"/>
      <c r="AE309" s="552"/>
      <c r="AF309" s="552"/>
      <c r="AG309" s="552"/>
      <c r="AH309" s="552"/>
      <c r="AI309" s="552"/>
      <c r="AJ309" s="552"/>
      <c r="AK309" s="552"/>
      <c r="AL309" s="552"/>
      <c r="AM309" s="552"/>
      <c r="AN309" s="552"/>
      <c r="AO309" s="552"/>
      <c r="AP309" s="552"/>
      <c r="AQ309" s="552" t="s">
        <v>1186</v>
      </c>
      <c r="AR309" s="552" t="s">
        <v>2805</v>
      </c>
      <c r="AS309" s="552" t="s">
        <v>6967</v>
      </c>
      <c r="AT309" s="552" t="s">
        <v>726</v>
      </c>
    </row>
    <row r="310" spans="1:46" ht="14.7" customHeight="1">
      <c r="A310" s="710" t="s">
        <v>6184</v>
      </c>
      <c r="B310" s="556" t="s">
        <v>3697</v>
      </c>
      <c r="C310" s="539" t="s">
        <v>6869</v>
      </c>
      <c r="D310" s="709" t="s">
        <v>7275</v>
      </c>
      <c r="E310" s="552" t="s">
        <v>6871</v>
      </c>
      <c r="F310" s="552" t="s">
        <v>6872</v>
      </c>
      <c r="G310" s="552" t="s">
        <v>7266</v>
      </c>
      <c r="H310" s="552"/>
      <c r="I310" s="713" t="s">
        <v>7276</v>
      </c>
      <c r="J310" s="709" t="s">
        <v>7277</v>
      </c>
      <c r="K310" s="709" t="s">
        <v>7278</v>
      </c>
      <c r="L310" s="709"/>
      <c r="M310" s="709"/>
      <c r="N310" s="709"/>
      <c r="O310" s="709"/>
      <c r="P310" s="709"/>
      <c r="Q310" s="709"/>
      <c r="R310" s="709"/>
      <c r="S310" s="552"/>
      <c r="T310" s="552"/>
      <c r="U310" s="552"/>
      <c r="V310" s="552"/>
      <c r="W310" s="552"/>
      <c r="X310" s="552"/>
      <c r="Y310" s="552"/>
      <c r="Z310" s="552"/>
      <c r="AA310" s="552"/>
      <c r="AB310" s="552"/>
      <c r="AC310" s="552"/>
      <c r="AD310" s="552"/>
      <c r="AE310" s="552"/>
      <c r="AF310" s="552"/>
      <c r="AG310" s="552"/>
      <c r="AH310" s="552"/>
      <c r="AI310" s="552"/>
      <c r="AJ310" s="552"/>
      <c r="AK310" s="552"/>
      <c r="AL310" s="552"/>
      <c r="AM310" s="552"/>
      <c r="AN310" s="552"/>
      <c r="AO310" s="552"/>
      <c r="AP310" s="552"/>
      <c r="AQ310" s="552" t="s">
        <v>1186</v>
      </c>
      <c r="AR310" s="552" t="s">
        <v>2875</v>
      </c>
      <c r="AS310" s="552" t="s">
        <v>6967</v>
      </c>
      <c r="AT310" s="552" t="s">
        <v>726</v>
      </c>
    </row>
    <row r="311" spans="1:46" ht="14.7" customHeight="1">
      <c r="A311" s="710" t="s">
        <v>6185</v>
      </c>
      <c r="B311" s="556" t="s">
        <v>3697</v>
      </c>
      <c r="C311" s="539" t="s">
        <v>6869</v>
      </c>
      <c r="D311" s="709" t="s">
        <v>7279</v>
      </c>
      <c r="E311" s="552" t="s">
        <v>6871</v>
      </c>
      <c r="F311" s="552" t="s">
        <v>6872</v>
      </c>
      <c r="G311" s="552" t="s">
        <v>7266</v>
      </c>
      <c r="H311" s="552"/>
      <c r="I311" s="712" t="s">
        <v>7280</v>
      </c>
      <c r="J311" s="709" t="s">
        <v>6878</v>
      </c>
      <c r="K311" s="709"/>
      <c r="L311" s="709"/>
      <c r="M311" s="552"/>
      <c r="N311" s="552"/>
      <c r="O311" s="552"/>
      <c r="P311" s="552"/>
      <c r="Q311" s="552"/>
      <c r="R311" s="552"/>
      <c r="S311" s="552"/>
      <c r="T311" s="552"/>
      <c r="U311" s="552"/>
      <c r="V311" s="552"/>
      <c r="W311" s="552"/>
      <c r="X311" s="552"/>
      <c r="Y311" s="552"/>
      <c r="Z311" s="552"/>
      <c r="AA311" s="552"/>
      <c r="AB311" s="552"/>
      <c r="AC311" s="552"/>
      <c r="AD311" s="552"/>
      <c r="AE311" s="552"/>
      <c r="AF311" s="552"/>
      <c r="AG311" s="552"/>
      <c r="AH311" s="552"/>
      <c r="AI311" s="552"/>
      <c r="AJ311" s="552"/>
      <c r="AK311" s="552"/>
      <c r="AL311" s="552"/>
      <c r="AM311" s="552"/>
      <c r="AN311" s="552"/>
      <c r="AO311" s="552"/>
      <c r="AP311" s="552"/>
      <c r="AQ311" s="552" t="s">
        <v>1186</v>
      </c>
      <c r="AR311" s="552" t="s">
        <v>2875</v>
      </c>
      <c r="AS311" s="552" t="s">
        <v>6967</v>
      </c>
      <c r="AT311" s="552" t="s">
        <v>726</v>
      </c>
    </row>
    <row r="312" spans="1:46" ht="14.7" customHeight="1">
      <c r="A312" s="706" t="s">
        <v>6186</v>
      </c>
      <c r="B312" s="556" t="s">
        <v>3697</v>
      </c>
      <c r="C312" s="539" t="s">
        <v>6869</v>
      </c>
      <c r="D312" s="709" t="s">
        <v>7281</v>
      </c>
      <c r="E312" s="552" t="s">
        <v>6871</v>
      </c>
      <c r="F312" s="552" t="s">
        <v>6872</v>
      </c>
      <c r="G312" s="552" t="s">
        <v>7266</v>
      </c>
      <c r="H312" s="552"/>
      <c r="I312" s="552"/>
      <c r="J312" s="709" t="s">
        <v>6892</v>
      </c>
      <c r="K312" s="709" t="s">
        <v>7282</v>
      </c>
      <c r="L312" s="709"/>
      <c r="M312" s="709"/>
      <c r="N312" s="552"/>
      <c r="O312" s="552"/>
      <c r="P312" s="552"/>
      <c r="Q312" s="552"/>
      <c r="R312" s="552"/>
      <c r="S312" s="552"/>
      <c r="T312" s="552"/>
      <c r="U312" s="552"/>
      <c r="V312" s="552"/>
      <c r="W312" s="552"/>
      <c r="X312" s="552"/>
      <c r="Y312" s="552"/>
      <c r="Z312" s="552"/>
      <c r="AA312" s="552"/>
      <c r="AB312" s="552"/>
      <c r="AC312" s="552"/>
      <c r="AD312" s="552"/>
      <c r="AE312" s="552"/>
      <c r="AF312" s="552"/>
      <c r="AG312" s="552"/>
      <c r="AH312" s="552"/>
      <c r="AI312" s="552"/>
      <c r="AJ312" s="552"/>
      <c r="AK312" s="552"/>
      <c r="AL312" s="552"/>
      <c r="AM312" s="552"/>
      <c r="AN312" s="552"/>
      <c r="AO312" s="552"/>
      <c r="AP312" s="552"/>
      <c r="AQ312" s="552" t="s">
        <v>1186</v>
      </c>
      <c r="AR312" s="552" t="s">
        <v>2875</v>
      </c>
      <c r="AS312" s="552" t="s">
        <v>6967</v>
      </c>
      <c r="AT312" s="552" t="s">
        <v>726</v>
      </c>
    </row>
    <row r="313" spans="1:46" ht="14.7" customHeight="1">
      <c r="A313" s="710" t="s">
        <v>7283</v>
      </c>
      <c r="B313" s="557" t="s">
        <v>3698</v>
      </c>
      <c r="C313" s="539" t="s">
        <v>6869</v>
      </c>
      <c r="D313" s="709" t="s">
        <v>7284</v>
      </c>
      <c r="E313" s="552" t="s">
        <v>6871</v>
      </c>
      <c r="F313" s="552" t="s">
        <v>6872</v>
      </c>
      <c r="G313" s="552" t="s">
        <v>7266</v>
      </c>
      <c r="H313" s="552"/>
      <c r="I313" s="552"/>
      <c r="J313" s="709" t="s">
        <v>7285</v>
      </c>
      <c r="K313" s="709"/>
      <c r="L313" s="709"/>
      <c r="M313" s="552"/>
      <c r="N313" s="552"/>
      <c r="O313" s="552"/>
      <c r="P313" s="552"/>
      <c r="Q313" s="552"/>
      <c r="R313" s="552"/>
      <c r="S313" s="552"/>
      <c r="T313" s="552"/>
      <c r="U313" s="552"/>
      <c r="V313" s="552"/>
      <c r="W313" s="552"/>
      <c r="X313" s="552"/>
      <c r="Y313" s="552"/>
      <c r="Z313" s="552"/>
      <c r="AA313" s="552"/>
      <c r="AB313" s="552"/>
      <c r="AC313" s="552"/>
      <c r="AD313" s="552"/>
      <c r="AE313" s="552"/>
      <c r="AF313" s="552"/>
      <c r="AG313" s="552"/>
      <c r="AH313" s="552"/>
      <c r="AI313" s="552"/>
      <c r="AJ313" s="552"/>
      <c r="AK313" s="552"/>
      <c r="AL313" s="552"/>
      <c r="AM313" s="552"/>
      <c r="AN313" s="552"/>
      <c r="AO313" s="552"/>
      <c r="AP313" s="713" t="s">
        <v>7286</v>
      </c>
      <c r="AQ313" s="552" t="s">
        <v>1186</v>
      </c>
      <c r="AR313" s="552" t="s">
        <v>2998</v>
      </c>
      <c r="AS313" s="552" t="s">
        <v>6967</v>
      </c>
      <c r="AT313" s="552" t="s">
        <v>726</v>
      </c>
    </row>
    <row r="314" spans="1:46" ht="14.7" customHeight="1">
      <c r="A314" s="710" t="s">
        <v>6187</v>
      </c>
      <c r="B314" s="557" t="s">
        <v>3698</v>
      </c>
      <c r="C314" s="539" t="s">
        <v>6869</v>
      </c>
      <c r="D314" s="709" t="s">
        <v>7287</v>
      </c>
      <c r="E314" s="552" t="s">
        <v>6871</v>
      </c>
      <c r="F314" s="552" t="s">
        <v>6872</v>
      </c>
      <c r="G314" s="552" t="s">
        <v>7266</v>
      </c>
      <c r="H314" s="552"/>
      <c r="I314" s="713" t="s">
        <v>7288</v>
      </c>
      <c r="J314" s="709" t="s">
        <v>7184</v>
      </c>
      <c r="K314" s="709"/>
      <c r="L314" s="709"/>
      <c r="M314" s="552"/>
      <c r="N314" s="552"/>
      <c r="O314" s="552"/>
      <c r="P314" s="552"/>
      <c r="Q314" s="552"/>
      <c r="R314" s="552"/>
      <c r="S314" s="552"/>
      <c r="T314" s="552"/>
      <c r="U314" s="552"/>
      <c r="V314" s="552"/>
      <c r="W314" s="552"/>
      <c r="X314" s="552"/>
      <c r="Y314" s="552"/>
      <c r="Z314" s="552"/>
      <c r="AA314" s="552"/>
      <c r="AB314" s="552"/>
      <c r="AC314" s="552"/>
      <c r="AD314" s="552"/>
      <c r="AE314" s="552"/>
      <c r="AF314" s="552"/>
      <c r="AG314" s="552"/>
      <c r="AH314" s="552"/>
      <c r="AI314" s="552"/>
      <c r="AJ314" s="552"/>
      <c r="AK314" s="552"/>
      <c r="AL314" s="552"/>
      <c r="AM314" s="552"/>
      <c r="AN314" s="552"/>
      <c r="AO314" s="552"/>
      <c r="AP314" s="552"/>
      <c r="AQ314" s="552" t="s">
        <v>1186</v>
      </c>
      <c r="AR314" s="552" t="s">
        <v>2998</v>
      </c>
      <c r="AS314" s="552" t="s">
        <v>6967</v>
      </c>
      <c r="AT314" s="552" t="s">
        <v>726</v>
      </c>
    </row>
    <row r="315" spans="1:46" ht="14.7" customHeight="1">
      <c r="A315" s="710" t="s">
        <v>6188</v>
      </c>
      <c r="B315" s="557" t="s">
        <v>3698</v>
      </c>
      <c r="C315" s="539" t="s">
        <v>6869</v>
      </c>
      <c r="D315" s="709" t="s">
        <v>7289</v>
      </c>
      <c r="E315" s="552" t="s">
        <v>6871</v>
      </c>
      <c r="F315" s="552" t="s">
        <v>6872</v>
      </c>
      <c r="G315" s="552" t="s">
        <v>7266</v>
      </c>
      <c r="H315" s="552"/>
      <c r="I315" s="713" t="s">
        <v>7288</v>
      </c>
      <c r="J315" s="709" t="s">
        <v>7290</v>
      </c>
      <c r="K315" s="709"/>
      <c r="L315" s="709"/>
      <c r="M315" s="552"/>
      <c r="N315" s="552"/>
      <c r="O315" s="552"/>
      <c r="P315" s="552"/>
      <c r="Q315" s="552"/>
      <c r="R315" s="552"/>
      <c r="S315" s="552"/>
      <c r="T315" s="552"/>
      <c r="U315" s="552"/>
      <c r="V315" s="552"/>
      <c r="W315" s="552"/>
      <c r="X315" s="552"/>
      <c r="Y315" s="552"/>
      <c r="Z315" s="552"/>
      <c r="AA315" s="552"/>
      <c r="AB315" s="552"/>
      <c r="AC315" s="552"/>
      <c r="AD315" s="552"/>
      <c r="AE315" s="552"/>
      <c r="AF315" s="552"/>
      <c r="AG315" s="552"/>
      <c r="AH315" s="552"/>
      <c r="AI315" s="552"/>
      <c r="AJ315" s="552"/>
      <c r="AK315" s="552"/>
      <c r="AL315" s="552"/>
      <c r="AM315" s="552"/>
      <c r="AN315" s="552"/>
      <c r="AO315" s="552"/>
      <c r="AP315" s="552"/>
      <c r="AQ315" s="552" t="s">
        <v>1186</v>
      </c>
      <c r="AR315" s="552" t="s">
        <v>2998</v>
      </c>
      <c r="AS315" s="552" t="s">
        <v>6967</v>
      </c>
      <c r="AT315" s="552" t="s">
        <v>726</v>
      </c>
    </row>
    <row r="316" spans="1:46" ht="14.7" customHeight="1">
      <c r="A316" s="706"/>
      <c r="B316" s="557" t="s">
        <v>3698</v>
      </c>
      <c r="C316" s="539" t="s">
        <v>6869</v>
      </c>
      <c r="D316" s="539" t="s">
        <v>2783</v>
      </c>
      <c r="E316" s="539"/>
      <c r="F316" s="539"/>
      <c r="G316" s="539"/>
      <c r="H316" s="552"/>
      <c r="I316" s="709"/>
      <c r="J316" s="552"/>
      <c r="K316" s="552"/>
      <c r="L316" s="552"/>
      <c r="M316" s="552"/>
      <c r="N316" s="552"/>
      <c r="O316" s="552"/>
      <c r="P316" s="552"/>
      <c r="Q316" s="552"/>
      <c r="R316" s="552"/>
      <c r="S316" s="552"/>
      <c r="T316" s="552"/>
      <c r="U316" s="552"/>
      <c r="V316" s="552"/>
      <c r="W316" s="552"/>
      <c r="X316" s="552"/>
      <c r="Y316" s="552"/>
      <c r="Z316" s="552"/>
      <c r="AA316" s="552"/>
      <c r="AB316" s="552"/>
      <c r="AC316" s="552"/>
      <c r="AD316" s="552"/>
      <c r="AE316" s="552"/>
      <c r="AF316" s="552"/>
      <c r="AG316" s="552"/>
      <c r="AH316" s="552"/>
      <c r="AI316" s="552"/>
      <c r="AJ316" s="552"/>
      <c r="AK316" s="552"/>
      <c r="AL316" s="552"/>
      <c r="AM316" s="552"/>
      <c r="AN316" s="552"/>
      <c r="AO316" s="552"/>
      <c r="AP316" s="552"/>
      <c r="AQ316" s="552" t="s">
        <v>1186</v>
      </c>
      <c r="AR316" s="552" t="s">
        <v>2998</v>
      </c>
      <c r="AS316" s="552" t="s">
        <v>6967</v>
      </c>
      <c r="AT316" s="552" t="s">
        <v>726</v>
      </c>
    </row>
    <row r="317" spans="1:46" ht="14.7" customHeight="1">
      <c r="A317" s="710" t="s">
        <v>6189</v>
      </c>
      <c r="B317" s="344" t="s">
        <v>3699</v>
      </c>
      <c r="C317" s="539" t="s">
        <v>6869</v>
      </c>
      <c r="D317" s="709" t="s">
        <v>7291</v>
      </c>
      <c r="E317" s="552" t="s">
        <v>6871</v>
      </c>
      <c r="F317" s="552" t="s">
        <v>6872</v>
      </c>
      <c r="G317" s="552" t="s">
        <v>7266</v>
      </c>
      <c r="H317" s="552"/>
      <c r="I317" s="552" t="s">
        <v>7046</v>
      </c>
      <c r="J317" s="709" t="s">
        <v>7292</v>
      </c>
      <c r="K317" s="709"/>
      <c r="L317" s="552"/>
      <c r="M317" s="552"/>
      <c r="N317" s="552"/>
      <c r="O317" s="552"/>
      <c r="P317" s="552"/>
      <c r="Q317" s="552"/>
      <c r="R317" s="552"/>
      <c r="S317" s="552"/>
      <c r="T317" s="552"/>
      <c r="U317" s="552"/>
      <c r="V317" s="552"/>
      <c r="W317" s="552"/>
      <c r="X317" s="552"/>
      <c r="Y317" s="552"/>
      <c r="Z317" s="552"/>
      <c r="AA317" s="552"/>
      <c r="AB317" s="552"/>
      <c r="AC317" s="552"/>
      <c r="AD317" s="552"/>
      <c r="AE317" s="552"/>
      <c r="AF317" s="552"/>
      <c r="AG317" s="552"/>
      <c r="AH317" s="552"/>
      <c r="AI317" s="552"/>
      <c r="AJ317" s="552"/>
      <c r="AK317" s="552"/>
      <c r="AL317" s="552"/>
      <c r="AM317" s="552"/>
      <c r="AN317" s="552"/>
      <c r="AO317" s="713" t="s">
        <v>7293</v>
      </c>
      <c r="AP317" s="552"/>
      <c r="AQ317" s="552" t="s">
        <v>1186</v>
      </c>
      <c r="AR317" s="552" t="s">
        <v>2809</v>
      </c>
      <c r="AS317" s="552" t="s">
        <v>6967</v>
      </c>
      <c r="AT317" s="552" t="s">
        <v>726</v>
      </c>
    </row>
    <row r="318" spans="1:46" ht="14.7" customHeight="1">
      <c r="A318" s="710" t="s">
        <v>6190</v>
      </c>
      <c r="B318" s="344" t="s">
        <v>3699</v>
      </c>
      <c r="C318" s="539" t="s">
        <v>6869</v>
      </c>
      <c r="D318" s="709" t="s">
        <v>7294</v>
      </c>
      <c r="E318" s="552" t="s">
        <v>6871</v>
      </c>
      <c r="F318" s="552" t="s">
        <v>6872</v>
      </c>
      <c r="G318" s="552" t="s">
        <v>7266</v>
      </c>
      <c r="H318" s="552"/>
      <c r="I318" s="552"/>
      <c r="J318" s="709" t="s">
        <v>7295</v>
      </c>
      <c r="K318" s="709"/>
      <c r="L318" s="709"/>
      <c r="M318" s="709"/>
      <c r="N318" s="552"/>
      <c r="O318" s="552"/>
      <c r="P318" s="552"/>
      <c r="Q318" s="552"/>
      <c r="R318" s="552"/>
      <c r="S318" s="552"/>
      <c r="T318" s="552"/>
      <c r="U318" s="552"/>
      <c r="V318" s="552"/>
      <c r="W318" s="552"/>
      <c r="X318" s="552"/>
      <c r="Y318" s="552"/>
      <c r="Z318" s="552"/>
      <c r="AA318" s="552"/>
      <c r="AB318" s="552"/>
      <c r="AC318" s="552"/>
      <c r="AD318" s="552"/>
      <c r="AE318" s="552"/>
      <c r="AF318" s="552"/>
      <c r="AG318" s="552"/>
      <c r="AH318" s="552"/>
      <c r="AI318" s="552"/>
      <c r="AJ318" s="552"/>
      <c r="AK318" s="552"/>
      <c r="AL318" s="552"/>
      <c r="AM318" s="552"/>
      <c r="AN318" s="552"/>
      <c r="AO318" s="713" t="s">
        <v>7296</v>
      </c>
      <c r="AP318" s="552"/>
      <c r="AQ318" s="552" t="s">
        <v>1186</v>
      </c>
      <c r="AR318" s="552" t="s">
        <v>2809</v>
      </c>
      <c r="AS318" s="552" t="s">
        <v>6967</v>
      </c>
      <c r="AT318" s="552" t="s">
        <v>726</v>
      </c>
    </row>
    <row r="319" spans="1:46" ht="14.7" customHeight="1">
      <c r="A319" s="710" t="s">
        <v>6191</v>
      </c>
      <c r="B319" s="344" t="s">
        <v>3699</v>
      </c>
      <c r="C319" s="539" t="s">
        <v>6869</v>
      </c>
      <c r="D319" s="709" t="s">
        <v>7297</v>
      </c>
      <c r="E319" s="552" t="s">
        <v>6871</v>
      </c>
      <c r="F319" s="552" t="s">
        <v>6872</v>
      </c>
      <c r="G319" s="552" t="s">
        <v>7266</v>
      </c>
      <c r="H319" s="552"/>
      <c r="I319" s="552"/>
      <c r="J319" s="709" t="s">
        <v>7298</v>
      </c>
      <c r="K319" s="709"/>
      <c r="L319" s="552"/>
      <c r="M319" s="552"/>
      <c r="N319" s="552"/>
      <c r="O319" s="552"/>
      <c r="P319" s="552"/>
      <c r="Q319" s="552"/>
      <c r="R319" s="552"/>
      <c r="S319" s="552"/>
      <c r="T319" s="552"/>
      <c r="U319" s="552"/>
      <c r="V319" s="552"/>
      <c r="W319" s="552"/>
      <c r="X319" s="552"/>
      <c r="Y319" s="552"/>
      <c r="Z319" s="552"/>
      <c r="AA319" s="552"/>
      <c r="AB319" s="552"/>
      <c r="AC319" s="552"/>
      <c r="AD319" s="552"/>
      <c r="AE319" s="552"/>
      <c r="AF319" s="552"/>
      <c r="AG319" s="552"/>
      <c r="AH319" s="552"/>
      <c r="AI319" s="552"/>
      <c r="AJ319" s="552"/>
      <c r="AK319" s="552"/>
      <c r="AL319" s="552"/>
      <c r="AM319" s="552"/>
      <c r="AN319" s="552"/>
      <c r="AO319" s="713" t="s">
        <v>7299</v>
      </c>
      <c r="AP319" s="552"/>
      <c r="AQ319" s="552" t="s">
        <v>1186</v>
      </c>
      <c r="AR319" s="552" t="s">
        <v>2809</v>
      </c>
      <c r="AS319" s="552" t="s">
        <v>6967</v>
      </c>
      <c r="AT319" s="552" t="s">
        <v>726</v>
      </c>
    </row>
    <row r="320" spans="1:46" ht="14.7" customHeight="1">
      <c r="A320" s="710" t="s">
        <v>6192</v>
      </c>
      <c r="B320" s="344" t="s">
        <v>3699</v>
      </c>
      <c r="C320" s="539" t="s">
        <v>6869</v>
      </c>
      <c r="D320" s="709" t="s">
        <v>7300</v>
      </c>
      <c r="E320" s="552" t="s">
        <v>6871</v>
      </c>
      <c r="F320" s="552" t="s">
        <v>6872</v>
      </c>
      <c r="G320" s="552" t="s">
        <v>7266</v>
      </c>
      <c r="H320" s="552"/>
      <c r="I320" s="709" t="s">
        <v>6908</v>
      </c>
      <c r="J320" s="709" t="s">
        <v>7143</v>
      </c>
      <c r="K320" s="709" t="s">
        <v>7301</v>
      </c>
      <c r="L320" s="709"/>
      <c r="M320" s="709"/>
      <c r="N320" s="709"/>
      <c r="O320" s="709"/>
      <c r="P320" s="709"/>
      <c r="Q320" s="709"/>
      <c r="R320" s="552"/>
      <c r="S320" s="552"/>
      <c r="T320" s="552"/>
      <c r="U320" s="552"/>
      <c r="V320" s="552"/>
      <c r="W320" s="552"/>
      <c r="X320" s="552"/>
      <c r="Y320" s="552"/>
      <c r="Z320" s="552"/>
      <c r="AA320" s="552"/>
      <c r="AB320" s="552"/>
      <c r="AC320" s="552"/>
      <c r="AD320" s="552"/>
      <c r="AE320" s="552"/>
      <c r="AF320" s="552"/>
      <c r="AG320" s="552"/>
      <c r="AH320" s="552"/>
      <c r="AI320" s="552"/>
      <c r="AJ320" s="552"/>
      <c r="AK320" s="552"/>
      <c r="AL320" s="552"/>
      <c r="AM320" s="552"/>
      <c r="AN320" s="552"/>
      <c r="AO320" s="552"/>
      <c r="AP320" s="552"/>
      <c r="AQ320" s="552" t="s">
        <v>1186</v>
      </c>
      <c r="AR320" s="552" t="s">
        <v>2809</v>
      </c>
      <c r="AS320" s="552" t="s">
        <v>6967</v>
      </c>
      <c r="AT320" s="552" t="s">
        <v>726</v>
      </c>
    </row>
    <row r="321" spans="1:46" ht="14.7" customHeight="1">
      <c r="A321" s="706"/>
      <c r="B321" s="344" t="s">
        <v>3699</v>
      </c>
      <c r="C321" s="539" t="s">
        <v>6869</v>
      </c>
      <c r="D321" s="539" t="s">
        <v>2783</v>
      </c>
      <c r="E321" s="539"/>
      <c r="F321" s="539"/>
      <c r="G321" s="539"/>
      <c r="H321" s="552"/>
      <c r="I321" s="552"/>
      <c r="J321" s="552"/>
      <c r="K321" s="552"/>
      <c r="L321" s="552"/>
      <c r="M321" s="552"/>
      <c r="N321" s="552"/>
      <c r="O321" s="552"/>
      <c r="P321" s="552"/>
      <c r="Q321" s="552"/>
      <c r="R321" s="552"/>
      <c r="S321" s="552"/>
      <c r="T321" s="552"/>
      <c r="U321" s="552"/>
      <c r="V321" s="552"/>
      <c r="W321" s="552"/>
      <c r="X321" s="552"/>
      <c r="Y321" s="552"/>
      <c r="Z321" s="552"/>
      <c r="AA321" s="552"/>
      <c r="AB321" s="552"/>
      <c r="AC321" s="552"/>
      <c r="AD321" s="552"/>
      <c r="AE321" s="552"/>
      <c r="AF321" s="552"/>
      <c r="AG321" s="552"/>
      <c r="AH321" s="552"/>
      <c r="AI321" s="552"/>
      <c r="AJ321" s="552"/>
      <c r="AK321" s="552"/>
      <c r="AL321" s="552"/>
      <c r="AM321" s="552"/>
      <c r="AN321" s="552"/>
      <c r="AO321" s="552"/>
      <c r="AP321" s="552"/>
      <c r="AQ321" s="552" t="s">
        <v>1186</v>
      </c>
      <c r="AR321" s="552" t="s">
        <v>2809</v>
      </c>
      <c r="AS321" s="552" t="s">
        <v>6967</v>
      </c>
      <c r="AT321" s="552" t="s">
        <v>726</v>
      </c>
    </row>
    <row r="322" spans="1:46" ht="14.7" customHeight="1">
      <c r="A322" s="710" t="s">
        <v>6193</v>
      </c>
      <c r="B322" s="559" t="s">
        <v>3700</v>
      </c>
      <c r="C322" s="539" t="s">
        <v>6869</v>
      </c>
      <c r="D322" s="709" t="s">
        <v>7302</v>
      </c>
      <c r="E322" s="552" t="s">
        <v>6925</v>
      </c>
      <c r="F322" s="552" t="s">
        <v>6872</v>
      </c>
      <c r="G322" s="552" t="s">
        <v>7266</v>
      </c>
      <c r="H322" s="712" t="s">
        <v>7303</v>
      </c>
      <c r="I322" s="713"/>
      <c r="J322" s="552" t="s">
        <v>6957</v>
      </c>
      <c r="K322" s="709" t="s">
        <v>7304</v>
      </c>
      <c r="L322" s="709"/>
      <c r="M322" s="709"/>
      <c r="N322" s="552"/>
      <c r="O322" s="552"/>
      <c r="P322" s="552"/>
      <c r="Q322" s="552"/>
      <c r="R322" s="552"/>
      <c r="S322" s="552"/>
      <c r="T322" s="552"/>
      <c r="U322" s="552"/>
      <c r="V322" s="552"/>
      <c r="W322" s="552"/>
      <c r="X322" s="552"/>
      <c r="Y322" s="552"/>
      <c r="Z322" s="552"/>
      <c r="AA322" s="552"/>
      <c r="AB322" s="552"/>
      <c r="AC322" s="552"/>
      <c r="AD322" s="552"/>
      <c r="AE322" s="552"/>
      <c r="AF322" s="552"/>
      <c r="AG322" s="552"/>
      <c r="AH322" s="552"/>
      <c r="AI322" s="552"/>
      <c r="AJ322" s="552"/>
      <c r="AK322" s="552"/>
      <c r="AL322" s="552"/>
      <c r="AM322" s="552"/>
      <c r="AN322" s="552"/>
      <c r="AO322" s="709" t="s">
        <v>7305</v>
      </c>
      <c r="AP322" s="709"/>
      <c r="AQ322" s="552" t="s">
        <v>1186</v>
      </c>
      <c r="AR322" s="552" t="s">
        <v>2971</v>
      </c>
      <c r="AS322" s="552" t="s">
        <v>6967</v>
      </c>
      <c r="AT322" s="552" t="s">
        <v>726</v>
      </c>
    </row>
    <row r="323" spans="1:46" ht="14.7" customHeight="1">
      <c r="A323" s="710" t="s">
        <v>6194</v>
      </c>
      <c r="B323" s="559" t="s">
        <v>3700</v>
      </c>
      <c r="C323" s="539" t="s">
        <v>6869</v>
      </c>
      <c r="D323" s="709" t="s">
        <v>7306</v>
      </c>
      <c r="E323" s="709" t="s">
        <v>6871</v>
      </c>
      <c r="F323" s="709" t="s">
        <v>6872</v>
      </c>
      <c r="G323" s="709" t="s">
        <v>7266</v>
      </c>
      <c r="H323" s="709"/>
      <c r="I323" s="709"/>
      <c r="J323" s="709" t="s">
        <v>7307</v>
      </c>
      <c r="K323" s="709"/>
      <c r="L323" s="709"/>
      <c r="M323" s="552"/>
      <c r="N323" s="552"/>
      <c r="O323" s="552"/>
      <c r="P323" s="552"/>
      <c r="Q323" s="552"/>
      <c r="R323" s="552"/>
      <c r="S323" s="552"/>
      <c r="T323" s="552"/>
      <c r="U323" s="552"/>
      <c r="V323" s="552"/>
      <c r="W323" s="552"/>
      <c r="X323" s="552"/>
      <c r="Y323" s="552"/>
      <c r="Z323" s="552"/>
      <c r="AA323" s="552"/>
      <c r="AB323" s="552"/>
      <c r="AC323" s="552"/>
      <c r="AD323" s="552"/>
      <c r="AE323" s="552"/>
      <c r="AF323" s="552"/>
      <c r="AG323" s="552"/>
      <c r="AH323" s="552"/>
      <c r="AI323" s="552"/>
      <c r="AJ323" s="552"/>
      <c r="AK323" s="552"/>
      <c r="AL323" s="552"/>
      <c r="AM323" s="552"/>
      <c r="AN323" s="552"/>
      <c r="AO323" s="709" t="s">
        <v>7308</v>
      </c>
      <c r="AP323" s="709"/>
      <c r="AQ323" s="552" t="s">
        <v>1186</v>
      </c>
      <c r="AR323" s="552" t="s">
        <v>2971</v>
      </c>
      <c r="AS323" s="552" t="s">
        <v>6967</v>
      </c>
      <c r="AT323" s="552" t="s">
        <v>726</v>
      </c>
    </row>
    <row r="324" spans="1:46" ht="14.7" customHeight="1">
      <c r="A324" s="706"/>
      <c r="B324" s="711" t="s">
        <v>6055</v>
      </c>
      <c r="C324" s="539" t="s">
        <v>6869</v>
      </c>
      <c r="D324" s="709"/>
      <c r="E324" s="709"/>
      <c r="F324" s="709"/>
      <c r="G324" s="709"/>
      <c r="H324" s="709"/>
      <c r="I324" s="552"/>
      <c r="J324" s="709"/>
      <c r="K324" s="552"/>
      <c r="L324" s="552"/>
      <c r="M324" s="552"/>
      <c r="N324" s="552"/>
      <c r="O324" s="552"/>
      <c r="P324" s="552"/>
      <c r="Q324" s="552"/>
      <c r="R324" s="552"/>
      <c r="S324" s="552"/>
      <c r="T324" s="552"/>
      <c r="U324" s="552"/>
      <c r="V324" s="552"/>
      <c r="W324" s="552"/>
      <c r="X324" s="552"/>
      <c r="Y324" s="552"/>
      <c r="Z324" s="552"/>
      <c r="AA324" s="552"/>
      <c r="AB324" s="552"/>
      <c r="AC324" s="552"/>
      <c r="AD324" s="552"/>
      <c r="AE324" s="552"/>
      <c r="AF324" s="552"/>
      <c r="AG324" s="552"/>
      <c r="AH324" s="552"/>
      <c r="AI324" s="552"/>
      <c r="AJ324" s="552"/>
      <c r="AK324" s="552"/>
      <c r="AL324" s="552"/>
      <c r="AM324" s="552"/>
      <c r="AN324" s="552"/>
      <c r="AO324" s="709"/>
      <c r="AP324" s="552"/>
      <c r="AQ324" s="552" t="s">
        <v>1186</v>
      </c>
      <c r="AR324" s="552" t="s">
        <v>6697</v>
      </c>
      <c r="AS324" s="552" t="s">
        <v>6967</v>
      </c>
      <c r="AT324" s="552" t="s">
        <v>726</v>
      </c>
    </row>
    <row r="325" spans="1:46" ht="14.7" customHeight="1">
      <c r="A325" s="706" t="s">
        <v>6195</v>
      </c>
      <c r="B325" s="540" t="s">
        <v>3695</v>
      </c>
      <c r="C325" s="539" t="s">
        <v>6869</v>
      </c>
      <c r="D325" s="709" t="s">
        <v>7309</v>
      </c>
      <c r="E325" s="552" t="s">
        <v>6925</v>
      </c>
      <c r="F325" s="552" t="s">
        <v>6872</v>
      </c>
      <c r="G325" s="552" t="s">
        <v>7310</v>
      </c>
      <c r="H325" s="552"/>
      <c r="I325" s="552"/>
      <c r="J325" s="709" t="s">
        <v>6929</v>
      </c>
      <c r="K325" s="709"/>
      <c r="L325" s="709"/>
      <c r="M325" s="552"/>
      <c r="N325" s="552"/>
      <c r="O325" s="552"/>
      <c r="P325" s="552"/>
      <c r="Q325" s="552"/>
      <c r="R325" s="552"/>
      <c r="S325" s="552"/>
      <c r="T325" s="552"/>
      <c r="U325" s="552"/>
      <c r="V325" s="552"/>
      <c r="W325" s="552"/>
      <c r="X325" s="552"/>
      <c r="Y325" s="552"/>
      <c r="Z325" s="552"/>
      <c r="AA325" s="552"/>
      <c r="AB325" s="552"/>
      <c r="AC325" s="552"/>
      <c r="AD325" s="552"/>
      <c r="AE325" s="552"/>
      <c r="AF325" s="552"/>
      <c r="AG325" s="552"/>
      <c r="AH325" s="552"/>
      <c r="AI325" s="552"/>
      <c r="AJ325" s="552"/>
      <c r="AK325" s="552"/>
      <c r="AL325" s="552"/>
      <c r="AM325" s="552"/>
      <c r="AN325" s="552"/>
      <c r="AO325" s="552"/>
      <c r="AP325" s="552"/>
      <c r="AQ325" s="552" t="s">
        <v>1186</v>
      </c>
      <c r="AR325" s="552" t="s">
        <v>2802</v>
      </c>
      <c r="AS325" s="552" t="s">
        <v>6967</v>
      </c>
      <c r="AT325" s="552" t="s">
        <v>726</v>
      </c>
    </row>
    <row r="326" spans="1:46" ht="14.7" customHeight="1">
      <c r="A326" s="706"/>
      <c r="B326" s="540" t="s">
        <v>3695</v>
      </c>
      <c r="C326" s="539" t="s">
        <v>6869</v>
      </c>
      <c r="D326" s="539" t="s">
        <v>2783</v>
      </c>
      <c r="E326" s="539"/>
      <c r="F326" s="539"/>
      <c r="G326" s="539"/>
      <c r="H326" s="552"/>
      <c r="I326" s="552"/>
      <c r="J326" s="552"/>
      <c r="K326" s="552"/>
      <c r="L326" s="552"/>
      <c r="M326" s="552"/>
      <c r="N326" s="552"/>
      <c r="O326" s="552"/>
      <c r="P326" s="552"/>
      <c r="Q326" s="552"/>
      <c r="R326" s="552"/>
      <c r="S326" s="552"/>
      <c r="T326" s="552"/>
      <c r="U326" s="552"/>
      <c r="V326" s="552"/>
      <c r="W326" s="552"/>
      <c r="X326" s="552"/>
      <c r="Y326" s="552"/>
      <c r="Z326" s="552"/>
      <c r="AA326" s="552"/>
      <c r="AB326" s="552"/>
      <c r="AC326" s="552"/>
      <c r="AD326" s="552"/>
      <c r="AE326" s="552"/>
      <c r="AF326" s="552"/>
      <c r="AG326" s="552"/>
      <c r="AH326" s="552"/>
      <c r="AI326" s="552"/>
      <c r="AJ326" s="552"/>
      <c r="AK326" s="552"/>
      <c r="AL326" s="552"/>
      <c r="AM326" s="552"/>
      <c r="AN326" s="552"/>
      <c r="AO326" s="552"/>
      <c r="AP326" s="552"/>
      <c r="AQ326" s="552" t="s">
        <v>1186</v>
      </c>
      <c r="AR326" s="552" t="s">
        <v>2802</v>
      </c>
      <c r="AS326" s="552" t="s">
        <v>6967</v>
      </c>
      <c r="AT326" s="552" t="s">
        <v>726</v>
      </c>
    </row>
    <row r="327" spans="1:46" ht="14.7" customHeight="1">
      <c r="A327" s="706" t="s">
        <v>6196</v>
      </c>
      <c r="B327" s="707" t="s">
        <v>3696</v>
      </c>
      <c r="C327" s="539" t="s">
        <v>6869</v>
      </c>
      <c r="D327" s="709" t="s">
        <v>7311</v>
      </c>
      <c r="E327" s="552" t="s">
        <v>6925</v>
      </c>
      <c r="F327" s="552" t="s">
        <v>6872</v>
      </c>
      <c r="G327" s="552" t="s">
        <v>7310</v>
      </c>
      <c r="H327" s="552"/>
      <c r="I327" s="552"/>
      <c r="J327" s="709" t="s">
        <v>7312</v>
      </c>
      <c r="K327" s="709"/>
      <c r="L327" s="709"/>
      <c r="M327" s="552"/>
      <c r="N327" s="552"/>
      <c r="O327" s="552"/>
      <c r="P327" s="552"/>
      <c r="Q327" s="552"/>
      <c r="R327" s="552"/>
      <c r="S327" s="552"/>
      <c r="T327" s="552"/>
      <c r="U327" s="552"/>
      <c r="V327" s="552"/>
      <c r="W327" s="552"/>
      <c r="X327" s="552"/>
      <c r="Y327" s="552"/>
      <c r="Z327" s="552"/>
      <c r="AA327" s="552"/>
      <c r="AB327" s="552"/>
      <c r="AC327" s="552"/>
      <c r="AD327" s="552"/>
      <c r="AE327" s="552"/>
      <c r="AF327" s="552"/>
      <c r="AG327" s="552"/>
      <c r="AH327" s="552"/>
      <c r="AI327" s="552"/>
      <c r="AJ327" s="552"/>
      <c r="AK327" s="552"/>
      <c r="AL327" s="552"/>
      <c r="AM327" s="552"/>
      <c r="AN327" s="552"/>
      <c r="AO327" s="552"/>
      <c r="AP327" s="552"/>
      <c r="AQ327" s="552" t="s">
        <v>1186</v>
      </c>
      <c r="AR327" s="552" t="s">
        <v>2805</v>
      </c>
      <c r="AS327" s="552" t="s">
        <v>6967</v>
      </c>
      <c r="AT327" s="552" t="s">
        <v>726</v>
      </c>
    </row>
    <row r="328" spans="1:46" ht="14.7" customHeight="1">
      <c r="A328" s="706"/>
      <c r="B328" s="707" t="s">
        <v>3696</v>
      </c>
      <c r="C328" s="539" t="s">
        <v>6869</v>
      </c>
      <c r="D328" s="539" t="s">
        <v>2783</v>
      </c>
      <c r="E328" s="539"/>
      <c r="F328" s="539"/>
      <c r="G328" s="539"/>
      <c r="H328" s="552"/>
      <c r="I328" s="552"/>
      <c r="J328" s="552"/>
      <c r="K328" s="552"/>
      <c r="L328" s="552"/>
      <c r="M328" s="552"/>
      <c r="N328" s="552"/>
      <c r="O328" s="552"/>
      <c r="P328" s="552"/>
      <c r="Q328" s="552"/>
      <c r="R328" s="552"/>
      <c r="S328" s="552"/>
      <c r="T328" s="552"/>
      <c r="U328" s="552"/>
      <c r="V328" s="552"/>
      <c r="W328" s="552"/>
      <c r="X328" s="552"/>
      <c r="Y328" s="552"/>
      <c r="Z328" s="552"/>
      <c r="AA328" s="552"/>
      <c r="AB328" s="552"/>
      <c r="AC328" s="552"/>
      <c r="AD328" s="552"/>
      <c r="AE328" s="552"/>
      <c r="AF328" s="552"/>
      <c r="AG328" s="552"/>
      <c r="AH328" s="552"/>
      <c r="AI328" s="552"/>
      <c r="AJ328" s="552"/>
      <c r="AK328" s="552"/>
      <c r="AL328" s="552"/>
      <c r="AM328" s="552"/>
      <c r="AN328" s="552"/>
      <c r="AO328" s="552"/>
      <c r="AP328" s="552"/>
      <c r="AQ328" s="552" t="s">
        <v>1186</v>
      </c>
      <c r="AR328" s="552" t="s">
        <v>2805</v>
      </c>
      <c r="AS328" s="552" t="s">
        <v>6967</v>
      </c>
      <c r="AT328" s="552" t="s">
        <v>726</v>
      </c>
    </row>
    <row r="329" spans="1:46" ht="14.7" customHeight="1">
      <c r="A329" s="706" t="s">
        <v>6197</v>
      </c>
      <c r="B329" s="556" t="s">
        <v>3697</v>
      </c>
      <c r="C329" s="539" t="s">
        <v>6869</v>
      </c>
      <c r="D329" s="709" t="s">
        <v>7313</v>
      </c>
      <c r="E329" s="552" t="s">
        <v>6925</v>
      </c>
      <c r="F329" s="552" t="s">
        <v>6872</v>
      </c>
      <c r="G329" s="552" t="s">
        <v>7310</v>
      </c>
      <c r="H329" s="552"/>
      <c r="I329" s="552"/>
      <c r="J329" s="709" t="s">
        <v>7314</v>
      </c>
      <c r="K329" s="709"/>
      <c r="L329" s="709"/>
      <c r="M329" s="552"/>
      <c r="N329" s="552"/>
      <c r="O329" s="552"/>
      <c r="P329" s="552"/>
      <c r="Q329" s="552"/>
      <c r="R329" s="552"/>
      <c r="S329" s="552"/>
      <c r="T329" s="552"/>
      <c r="U329" s="552"/>
      <c r="V329" s="552"/>
      <c r="W329" s="552"/>
      <c r="X329" s="552"/>
      <c r="Y329" s="552"/>
      <c r="Z329" s="552"/>
      <c r="AA329" s="552"/>
      <c r="AB329" s="552"/>
      <c r="AC329" s="552"/>
      <c r="AD329" s="552"/>
      <c r="AE329" s="552"/>
      <c r="AF329" s="552"/>
      <c r="AG329" s="552"/>
      <c r="AH329" s="552"/>
      <c r="AI329" s="552"/>
      <c r="AJ329" s="552"/>
      <c r="AK329" s="552"/>
      <c r="AL329" s="552"/>
      <c r="AM329" s="552"/>
      <c r="AN329" s="552"/>
      <c r="AO329" s="552"/>
      <c r="AP329" s="552"/>
      <c r="AQ329" s="552" t="s">
        <v>1186</v>
      </c>
      <c r="AR329" s="552" t="s">
        <v>2875</v>
      </c>
      <c r="AS329" s="552" t="s">
        <v>6967</v>
      </c>
      <c r="AT329" s="552" t="s">
        <v>726</v>
      </c>
    </row>
    <row r="330" spans="1:46" ht="14.7" customHeight="1">
      <c r="A330" s="710" t="s">
        <v>7315</v>
      </c>
      <c r="B330" s="556" t="s">
        <v>3697</v>
      </c>
      <c r="C330" s="539" t="s">
        <v>6869</v>
      </c>
      <c r="D330" s="709" t="s">
        <v>7316</v>
      </c>
      <c r="E330" s="552" t="s">
        <v>6925</v>
      </c>
      <c r="F330" s="552" t="s">
        <v>6872</v>
      </c>
      <c r="G330" s="552" t="s">
        <v>7310</v>
      </c>
      <c r="H330" s="552"/>
      <c r="I330" s="552"/>
      <c r="J330" s="709" t="s">
        <v>7317</v>
      </c>
      <c r="K330" s="709"/>
      <c r="L330" s="709"/>
      <c r="M330" s="552"/>
      <c r="N330" s="552"/>
      <c r="O330" s="552"/>
      <c r="P330" s="552"/>
      <c r="Q330" s="552"/>
      <c r="R330" s="552"/>
      <c r="S330" s="552"/>
      <c r="T330" s="552"/>
      <c r="U330" s="552"/>
      <c r="V330" s="552"/>
      <c r="W330" s="552"/>
      <c r="X330" s="552"/>
      <c r="Y330" s="552"/>
      <c r="Z330" s="552"/>
      <c r="AA330" s="552"/>
      <c r="AB330" s="552"/>
      <c r="AC330" s="552"/>
      <c r="AD330" s="552"/>
      <c r="AE330" s="552"/>
      <c r="AF330" s="552"/>
      <c r="AG330" s="552"/>
      <c r="AH330" s="552"/>
      <c r="AI330" s="552"/>
      <c r="AJ330" s="552"/>
      <c r="AK330" s="552"/>
      <c r="AL330" s="552"/>
      <c r="AM330" s="552"/>
      <c r="AN330" s="552"/>
      <c r="AO330" s="552"/>
      <c r="AP330" s="709" t="s">
        <v>7318</v>
      </c>
      <c r="AQ330" s="552" t="s">
        <v>1186</v>
      </c>
      <c r="AR330" s="552" t="s">
        <v>2875</v>
      </c>
      <c r="AS330" s="552" t="s">
        <v>6967</v>
      </c>
      <c r="AT330" s="552" t="s">
        <v>726</v>
      </c>
    </row>
    <row r="331" spans="1:46" ht="14.7" customHeight="1">
      <c r="A331" s="706"/>
      <c r="B331" s="556" t="s">
        <v>3697</v>
      </c>
      <c r="C331" s="539" t="s">
        <v>6869</v>
      </c>
      <c r="D331" s="539" t="s">
        <v>2783</v>
      </c>
      <c r="E331" s="539"/>
      <c r="F331" s="539"/>
      <c r="G331" s="539"/>
      <c r="H331" s="552"/>
      <c r="I331" s="552"/>
      <c r="J331" s="552"/>
      <c r="K331" s="552"/>
      <c r="L331" s="552"/>
      <c r="M331" s="552"/>
      <c r="N331" s="552"/>
      <c r="O331" s="552"/>
      <c r="P331" s="552"/>
      <c r="Q331" s="552"/>
      <c r="R331" s="552"/>
      <c r="S331" s="552"/>
      <c r="T331" s="552"/>
      <c r="U331" s="552"/>
      <c r="V331" s="552"/>
      <c r="W331" s="552"/>
      <c r="X331" s="552"/>
      <c r="Y331" s="552"/>
      <c r="Z331" s="552"/>
      <c r="AA331" s="552"/>
      <c r="AB331" s="552"/>
      <c r="AC331" s="552"/>
      <c r="AD331" s="552"/>
      <c r="AE331" s="552"/>
      <c r="AF331" s="552"/>
      <c r="AG331" s="552"/>
      <c r="AH331" s="552"/>
      <c r="AI331" s="552"/>
      <c r="AJ331" s="552"/>
      <c r="AK331" s="552"/>
      <c r="AL331" s="552"/>
      <c r="AM331" s="552"/>
      <c r="AN331" s="552"/>
      <c r="AO331" s="552"/>
      <c r="AP331" s="552"/>
      <c r="AQ331" s="552" t="s">
        <v>1186</v>
      </c>
      <c r="AR331" s="552" t="s">
        <v>2875</v>
      </c>
      <c r="AS331" s="552" t="s">
        <v>6967</v>
      </c>
      <c r="AT331" s="552" t="s">
        <v>726</v>
      </c>
    </row>
    <row r="332" spans="1:46" ht="14.7" customHeight="1">
      <c r="A332" s="710" t="s">
        <v>6198</v>
      </c>
      <c r="B332" s="557" t="s">
        <v>3698</v>
      </c>
      <c r="C332" s="539" t="s">
        <v>6869</v>
      </c>
      <c r="D332" s="709" t="s">
        <v>7319</v>
      </c>
      <c r="E332" s="552" t="s">
        <v>6925</v>
      </c>
      <c r="F332" s="552" t="s">
        <v>6872</v>
      </c>
      <c r="G332" s="552" t="s">
        <v>7310</v>
      </c>
      <c r="H332" s="552"/>
      <c r="I332" s="552"/>
      <c r="J332" s="709" t="s">
        <v>7320</v>
      </c>
      <c r="K332" s="709"/>
      <c r="L332" s="709"/>
      <c r="M332" s="552"/>
      <c r="N332" s="552"/>
      <c r="O332" s="552"/>
      <c r="P332" s="552"/>
      <c r="Q332" s="552"/>
      <c r="R332" s="552"/>
      <c r="S332" s="552"/>
      <c r="T332" s="552"/>
      <c r="U332" s="552"/>
      <c r="V332" s="552"/>
      <c r="W332" s="552"/>
      <c r="X332" s="552"/>
      <c r="Y332" s="552"/>
      <c r="Z332" s="552"/>
      <c r="AA332" s="552"/>
      <c r="AB332" s="552"/>
      <c r="AC332" s="552"/>
      <c r="AD332" s="552"/>
      <c r="AE332" s="552"/>
      <c r="AF332" s="552"/>
      <c r="AG332" s="552"/>
      <c r="AH332" s="552"/>
      <c r="AI332" s="552"/>
      <c r="AJ332" s="552"/>
      <c r="AK332" s="552"/>
      <c r="AL332" s="552"/>
      <c r="AM332" s="552"/>
      <c r="AN332" s="552"/>
      <c r="AO332" s="552"/>
      <c r="AP332" s="709" t="s">
        <v>7321</v>
      </c>
      <c r="AQ332" s="552" t="s">
        <v>1186</v>
      </c>
      <c r="AR332" s="552" t="s">
        <v>2998</v>
      </c>
      <c r="AS332" s="552" t="s">
        <v>6967</v>
      </c>
      <c r="AT332" s="552" t="s">
        <v>726</v>
      </c>
    </row>
    <row r="333" spans="1:46" ht="14.7" customHeight="1">
      <c r="A333" s="710" t="s">
        <v>6199</v>
      </c>
      <c r="B333" s="557" t="s">
        <v>3698</v>
      </c>
      <c r="C333" s="539" t="s">
        <v>6869</v>
      </c>
      <c r="D333" s="709" t="s">
        <v>7322</v>
      </c>
      <c r="E333" s="552" t="s">
        <v>6925</v>
      </c>
      <c r="F333" s="552" t="s">
        <v>6872</v>
      </c>
      <c r="G333" s="552" t="s">
        <v>7310</v>
      </c>
      <c r="H333" s="552"/>
      <c r="I333" s="552"/>
      <c r="J333" s="709" t="s">
        <v>7126</v>
      </c>
      <c r="K333" s="709"/>
      <c r="L333" s="709"/>
      <c r="M333" s="552"/>
      <c r="N333" s="552"/>
      <c r="O333" s="552"/>
      <c r="P333" s="552"/>
      <c r="Q333" s="552"/>
      <c r="R333" s="552"/>
      <c r="S333" s="552"/>
      <c r="T333" s="552"/>
      <c r="U333" s="552"/>
      <c r="V333" s="552"/>
      <c r="W333" s="552"/>
      <c r="X333" s="552"/>
      <c r="Y333" s="552"/>
      <c r="Z333" s="552"/>
      <c r="AA333" s="552"/>
      <c r="AB333" s="552"/>
      <c r="AC333" s="552"/>
      <c r="AD333" s="552"/>
      <c r="AE333" s="552"/>
      <c r="AF333" s="552"/>
      <c r="AG333" s="552"/>
      <c r="AH333" s="552"/>
      <c r="AI333" s="552"/>
      <c r="AJ333" s="552"/>
      <c r="AK333" s="552"/>
      <c r="AL333" s="552"/>
      <c r="AM333" s="552"/>
      <c r="AN333" s="552"/>
      <c r="AO333" s="552"/>
      <c r="AP333" s="713" t="s">
        <v>7323</v>
      </c>
      <c r="AQ333" s="552" t="s">
        <v>1186</v>
      </c>
      <c r="AR333" s="552" t="s">
        <v>2998</v>
      </c>
      <c r="AS333" s="552" t="s">
        <v>6967</v>
      </c>
      <c r="AT333" s="552" t="s">
        <v>726</v>
      </c>
    </row>
    <row r="334" spans="1:46" ht="14.7" customHeight="1">
      <c r="A334" s="706"/>
      <c r="B334" s="557" t="s">
        <v>3698</v>
      </c>
      <c r="C334" s="539" t="s">
        <v>6869</v>
      </c>
      <c r="D334" s="539" t="s">
        <v>2783</v>
      </c>
      <c r="E334" s="539"/>
      <c r="F334" s="539"/>
      <c r="G334" s="539"/>
      <c r="H334" s="552"/>
      <c r="I334" s="552"/>
      <c r="J334" s="552"/>
      <c r="K334" s="552"/>
      <c r="L334" s="552"/>
      <c r="M334" s="552"/>
      <c r="N334" s="552"/>
      <c r="O334" s="552"/>
      <c r="P334" s="552"/>
      <c r="Q334" s="552"/>
      <c r="R334" s="552"/>
      <c r="S334" s="552"/>
      <c r="T334" s="552"/>
      <c r="U334" s="552"/>
      <c r="V334" s="552"/>
      <c r="W334" s="552"/>
      <c r="X334" s="552"/>
      <c r="Y334" s="552"/>
      <c r="Z334" s="552"/>
      <c r="AA334" s="552"/>
      <c r="AB334" s="552"/>
      <c r="AC334" s="552"/>
      <c r="AD334" s="552"/>
      <c r="AE334" s="552"/>
      <c r="AF334" s="552"/>
      <c r="AG334" s="552"/>
      <c r="AH334" s="552"/>
      <c r="AI334" s="552"/>
      <c r="AJ334" s="552"/>
      <c r="AK334" s="552"/>
      <c r="AL334" s="552"/>
      <c r="AM334" s="552"/>
      <c r="AN334" s="552"/>
      <c r="AO334" s="552"/>
      <c r="AP334" s="552"/>
      <c r="AQ334" s="552" t="s">
        <v>1186</v>
      </c>
      <c r="AR334" s="552" t="s">
        <v>2998</v>
      </c>
      <c r="AS334" s="552" t="s">
        <v>6967</v>
      </c>
      <c r="AT334" s="552" t="s">
        <v>726</v>
      </c>
    </row>
    <row r="335" spans="1:46" ht="14.7" customHeight="1">
      <c r="A335" s="706"/>
      <c r="B335" s="557" t="s">
        <v>3698</v>
      </c>
      <c r="C335" s="539" t="s">
        <v>6869</v>
      </c>
      <c r="D335" s="539" t="s">
        <v>2783</v>
      </c>
      <c r="E335" s="539"/>
      <c r="F335" s="539"/>
      <c r="G335" s="539"/>
      <c r="H335" s="552"/>
      <c r="I335" s="552"/>
      <c r="J335" s="552"/>
      <c r="K335" s="552"/>
      <c r="L335" s="552"/>
      <c r="M335" s="552"/>
      <c r="N335" s="552"/>
      <c r="O335" s="552"/>
      <c r="P335" s="552"/>
      <c r="Q335" s="552"/>
      <c r="R335" s="552"/>
      <c r="S335" s="552"/>
      <c r="T335" s="552"/>
      <c r="U335" s="552"/>
      <c r="V335" s="552"/>
      <c r="W335" s="552"/>
      <c r="X335" s="552"/>
      <c r="Y335" s="552"/>
      <c r="Z335" s="552"/>
      <c r="AA335" s="552"/>
      <c r="AB335" s="552"/>
      <c r="AC335" s="552"/>
      <c r="AD335" s="552"/>
      <c r="AE335" s="552"/>
      <c r="AF335" s="552"/>
      <c r="AG335" s="552"/>
      <c r="AH335" s="552"/>
      <c r="AI335" s="552"/>
      <c r="AJ335" s="552"/>
      <c r="AK335" s="552"/>
      <c r="AL335" s="552"/>
      <c r="AM335" s="552"/>
      <c r="AN335" s="552"/>
      <c r="AO335" s="552"/>
      <c r="AP335" s="552"/>
      <c r="AQ335" s="552" t="s">
        <v>1186</v>
      </c>
      <c r="AR335" s="552" t="s">
        <v>2998</v>
      </c>
      <c r="AS335" s="552" t="s">
        <v>6967</v>
      </c>
      <c r="AT335" s="552" t="s">
        <v>726</v>
      </c>
    </row>
    <row r="336" spans="1:46" ht="14.7" customHeight="1">
      <c r="A336" s="710" t="s">
        <v>6200</v>
      </c>
      <c r="B336" s="344" t="s">
        <v>3699</v>
      </c>
      <c r="C336" s="539" t="s">
        <v>6869</v>
      </c>
      <c r="D336" s="709" t="s">
        <v>7324</v>
      </c>
      <c r="E336" s="552" t="s">
        <v>6925</v>
      </c>
      <c r="F336" s="552" t="s">
        <v>6872</v>
      </c>
      <c r="G336" s="552" t="s">
        <v>7310</v>
      </c>
      <c r="H336" s="552"/>
      <c r="I336" s="552"/>
      <c r="J336" s="709" t="s">
        <v>7325</v>
      </c>
      <c r="K336" s="709"/>
      <c r="L336" s="709"/>
      <c r="M336" s="709"/>
      <c r="N336" s="552"/>
      <c r="O336" s="552"/>
      <c r="P336" s="552"/>
      <c r="Q336" s="552"/>
      <c r="R336" s="552"/>
      <c r="S336" s="552"/>
      <c r="T336" s="552"/>
      <c r="U336" s="552"/>
      <c r="V336" s="552"/>
      <c r="W336" s="552"/>
      <c r="X336" s="552"/>
      <c r="Y336" s="552"/>
      <c r="Z336" s="552"/>
      <c r="AA336" s="552"/>
      <c r="AB336" s="552"/>
      <c r="AC336" s="552"/>
      <c r="AD336" s="552"/>
      <c r="AE336" s="552"/>
      <c r="AF336" s="552"/>
      <c r="AG336" s="552"/>
      <c r="AH336" s="552"/>
      <c r="AI336" s="552"/>
      <c r="AJ336" s="552"/>
      <c r="AK336" s="552"/>
      <c r="AL336" s="552"/>
      <c r="AM336" s="552"/>
      <c r="AN336" s="552"/>
      <c r="AO336" s="713" t="s">
        <v>7326</v>
      </c>
      <c r="AP336" s="552"/>
      <c r="AQ336" s="552" t="s">
        <v>1186</v>
      </c>
      <c r="AR336" s="552" t="s">
        <v>2809</v>
      </c>
      <c r="AS336" s="552" t="s">
        <v>6967</v>
      </c>
      <c r="AT336" s="552" t="s">
        <v>726</v>
      </c>
    </row>
    <row r="337" spans="1:46" ht="14.7" customHeight="1">
      <c r="A337" s="710" t="s">
        <v>6201</v>
      </c>
      <c r="B337" s="344" t="s">
        <v>3699</v>
      </c>
      <c r="C337" s="539" t="s">
        <v>6869</v>
      </c>
      <c r="D337" s="709" t="s">
        <v>7327</v>
      </c>
      <c r="E337" s="552" t="s">
        <v>6925</v>
      </c>
      <c r="F337" s="552" t="s">
        <v>6872</v>
      </c>
      <c r="G337" s="552" t="s">
        <v>7310</v>
      </c>
      <c r="H337" s="552"/>
      <c r="I337" s="552"/>
      <c r="J337" s="709" t="s">
        <v>7328</v>
      </c>
      <c r="K337" s="713" t="s">
        <v>7329</v>
      </c>
      <c r="L337" s="552"/>
      <c r="M337" s="552"/>
      <c r="N337" s="552"/>
      <c r="O337" s="552"/>
      <c r="P337" s="552"/>
      <c r="Q337" s="552"/>
      <c r="R337" s="552"/>
      <c r="S337" s="552"/>
      <c r="T337" s="552"/>
      <c r="U337" s="552"/>
      <c r="V337" s="552"/>
      <c r="W337" s="552"/>
      <c r="X337" s="552"/>
      <c r="Y337" s="552"/>
      <c r="Z337" s="552"/>
      <c r="AA337" s="552"/>
      <c r="AB337" s="552"/>
      <c r="AC337" s="552"/>
      <c r="AD337" s="552"/>
      <c r="AE337" s="552"/>
      <c r="AF337" s="552"/>
      <c r="AG337" s="552"/>
      <c r="AH337" s="552"/>
      <c r="AI337" s="552"/>
      <c r="AJ337" s="552"/>
      <c r="AK337" s="552"/>
      <c r="AL337" s="552"/>
      <c r="AM337" s="552"/>
      <c r="AN337" s="552"/>
      <c r="AO337" s="552"/>
      <c r="AP337" s="552"/>
      <c r="AQ337" s="552" t="s">
        <v>1186</v>
      </c>
      <c r="AR337" s="552" t="s">
        <v>2809</v>
      </c>
      <c r="AS337" s="552" t="s">
        <v>6967</v>
      </c>
      <c r="AT337" s="552" t="s">
        <v>726</v>
      </c>
    </row>
    <row r="338" spans="1:46" ht="14.7" customHeight="1">
      <c r="A338" s="710" t="s">
        <v>6202</v>
      </c>
      <c r="B338" s="344" t="s">
        <v>3699</v>
      </c>
      <c r="C338" s="539" t="s">
        <v>6869</v>
      </c>
      <c r="D338" s="709" t="s">
        <v>7330</v>
      </c>
      <c r="E338" s="552" t="s">
        <v>6925</v>
      </c>
      <c r="F338" s="552" t="s">
        <v>6872</v>
      </c>
      <c r="G338" s="552" t="s">
        <v>7310</v>
      </c>
      <c r="H338" s="552"/>
      <c r="I338" s="552"/>
      <c r="J338" s="709" t="s">
        <v>6947</v>
      </c>
      <c r="K338" s="709"/>
      <c r="L338" s="709"/>
      <c r="M338" s="552"/>
      <c r="N338" s="552"/>
      <c r="O338" s="552"/>
      <c r="P338" s="552"/>
      <c r="Q338" s="552"/>
      <c r="R338" s="552"/>
      <c r="S338" s="552"/>
      <c r="T338" s="552"/>
      <c r="U338" s="552"/>
      <c r="V338" s="552"/>
      <c r="W338" s="552"/>
      <c r="X338" s="552"/>
      <c r="Y338" s="552"/>
      <c r="Z338" s="552"/>
      <c r="AA338" s="552"/>
      <c r="AB338" s="552"/>
      <c r="AC338" s="552"/>
      <c r="AD338" s="552"/>
      <c r="AE338" s="552"/>
      <c r="AF338" s="552"/>
      <c r="AG338" s="552"/>
      <c r="AH338" s="552"/>
      <c r="AI338" s="552"/>
      <c r="AJ338" s="552"/>
      <c r="AK338" s="552"/>
      <c r="AL338" s="552"/>
      <c r="AM338" s="552"/>
      <c r="AN338" s="552"/>
      <c r="AO338" s="709" t="s">
        <v>7331</v>
      </c>
      <c r="AP338" s="552" t="s">
        <v>7332</v>
      </c>
      <c r="AQ338" s="552" t="s">
        <v>1186</v>
      </c>
      <c r="AR338" s="552" t="s">
        <v>2809</v>
      </c>
      <c r="AS338" s="552" t="s">
        <v>6967</v>
      </c>
      <c r="AT338" s="552" t="s">
        <v>726</v>
      </c>
    </row>
    <row r="339" spans="1:46" ht="14.7" customHeight="1">
      <c r="A339" s="706"/>
      <c r="B339" s="344" t="s">
        <v>3699</v>
      </c>
      <c r="C339" s="539" t="s">
        <v>6869</v>
      </c>
      <c r="D339" s="539" t="s">
        <v>2783</v>
      </c>
      <c r="E339" s="539"/>
      <c r="F339" s="539"/>
      <c r="G339" s="539"/>
      <c r="H339" s="552"/>
      <c r="I339" s="552"/>
      <c r="J339" s="552"/>
      <c r="K339" s="552"/>
      <c r="L339" s="552"/>
      <c r="M339" s="552"/>
      <c r="N339" s="552"/>
      <c r="O339" s="552"/>
      <c r="P339" s="552"/>
      <c r="Q339" s="552"/>
      <c r="R339" s="552"/>
      <c r="S339" s="552"/>
      <c r="T339" s="552"/>
      <c r="U339" s="552"/>
      <c r="V339" s="552"/>
      <c r="W339" s="552"/>
      <c r="X339" s="552"/>
      <c r="Y339" s="552"/>
      <c r="Z339" s="552"/>
      <c r="AA339" s="552"/>
      <c r="AB339" s="552"/>
      <c r="AC339" s="552"/>
      <c r="AD339" s="552"/>
      <c r="AE339" s="552"/>
      <c r="AF339" s="552"/>
      <c r="AG339" s="552"/>
      <c r="AH339" s="552"/>
      <c r="AI339" s="552"/>
      <c r="AJ339" s="552"/>
      <c r="AK339" s="552"/>
      <c r="AL339" s="552"/>
      <c r="AM339" s="552"/>
      <c r="AN339" s="552"/>
      <c r="AO339" s="552"/>
      <c r="AP339" s="552"/>
      <c r="AQ339" s="552" t="s">
        <v>1186</v>
      </c>
      <c r="AR339" s="552" t="s">
        <v>2809</v>
      </c>
      <c r="AS339" s="552" t="s">
        <v>6967</v>
      </c>
      <c r="AT339" s="552" t="s">
        <v>726</v>
      </c>
    </row>
    <row r="340" spans="1:46" ht="14.7" customHeight="1">
      <c r="A340" s="706"/>
      <c r="B340" s="344" t="s">
        <v>3699</v>
      </c>
      <c r="C340" s="539" t="s">
        <v>6869</v>
      </c>
      <c r="D340" s="539" t="s">
        <v>2783</v>
      </c>
      <c r="E340" s="539"/>
      <c r="F340" s="539"/>
      <c r="G340" s="539"/>
      <c r="H340" s="552"/>
      <c r="I340" s="552"/>
      <c r="J340" s="552"/>
      <c r="K340" s="552"/>
      <c r="L340" s="552"/>
      <c r="M340" s="552"/>
      <c r="N340" s="552"/>
      <c r="O340" s="552"/>
      <c r="P340" s="552"/>
      <c r="Q340" s="552"/>
      <c r="R340" s="552"/>
      <c r="S340" s="552"/>
      <c r="T340" s="552"/>
      <c r="U340" s="552"/>
      <c r="V340" s="552"/>
      <c r="W340" s="552"/>
      <c r="X340" s="552"/>
      <c r="Y340" s="552"/>
      <c r="Z340" s="552"/>
      <c r="AA340" s="552"/>
      <c r="AB340" s="552"/>
      <c r="AC340" s="552"/>
      <c r="AD340" s="552"/>
      <c r="AE340" s="552"/>
      <c r="AF340" s="552"/>
      <c r="AG340" s="552"/>
      <c r="AH340" s="552"/>
      <c r="AI340" s="552"/>
      <c r="AJ340" s="552"/>
      <c r="AK340" s="552"/>
      <c r="AL340" s="552"/>
      <c r="AM340" s="552"/>
      <c r="AN340" s="552"/>
      <c r="AO340" s="552"/>
      <c r="AP340" s="552"/>
      <c r="AQ340" s="552" t="s">
        <v>1186</v>
      </c>
      <c r="AR340" s="552" t="s">
        <v>2809</v>
      </c>
      <c r="AS340" s="552" t="s">
        <v>6967</v>
      </c>
      <c r="AT340" s="552" t="s">
        <v>726</v>
      </c>
    </row>
    <row r="341" spans="1:46" ht="14.7" customHeight="1">
      <c r="A341" s="710" t="s">
        <v>6203</v>
      </c>
      <c r="B341" s="559" t="s">
        <v>3700</v>
      </c>
      <c r="C341" s="539" t="s">
        <v>6869</v>
      </c>
      <c r="D341" s="709" t="s">
        <v>7333</v>
      </c>
      <c r="E341" s="552" t="s">
        <v>6925</v>
      </c>
      <c r="F341" s="552" t="s">
        <v>6872</v>
      </c>
      <c r="G341" s="552" t="s">
        <v>7310</v>
      </c>
      <c r="H341" s="552"/>
      <c r="I341" s="552"/>
      <c r="J341" s="709" t="s">
        <v>7334</v>
      </c>
      <c r="K341" s="709"/>
      <c r="L341" s="552"/>
      <c r="M341" s="552"/>
      <c r="N341" s="552"/>
      <c r="O341" s="552"/>
      <c r="P341" s="552"/>
      <c r="Q341" s="552"/>
      <c r="R341" s="552"/>
      <c r="S341" s="552"/>
      <c r="T341" s="552"/>
      <c r="U341" s="552"/>
      <c r="V341" s="552"/>
      <c r="W341" s="552"/>
      <c r="X341" s="552"/>
      <c r="Y341" s="552"/>
      <c r="Z341" s="552"/>
      <c r="AA341" s="552"/>
      <c r="AB341" s="552"/>
      <c r="AC341" s="552"/>
      <c r="AD341" s="552"/>
      <c r="AE341" s="552"/>
      <c r="AF341" s="552"/>
      <c r="AG341" s="552"/>
      <c r="AH341" s="552"/>
      <c r="AI341" s="552"/>
      <c r="AJ341" s="552"/>
      <c r="AK341" s="552"/>
      <c r="AL341" s="552"/>
      <c r="AM341" s="552"/>
      <c r="AN341" s="552"/>
      <c r="AO341" s="712" t="s">
        <v>7335</v>
      </c>
      <c r="AP341" s="552"/>
      <c r="AQ341" s="552" t="s">
        <v>1186</v>
      </c>
      <c r="AR341" s="552" t="s">
        <v>2971</v>
      </c>
      <c r="AS341" s="552" t="s">
        <v>6967</v>
      </c>
      <c r="AT341" s="552" t="s">
        <v>726</v>
      </c>
    </row>
    <row r="342" spans="1:46" ht="14.7" customHeight="1">
      <c r="A342" s="706"/>
      <c r="B342" s="559" t="s">
        <v>3700</v>
      </c>
      <c r="C342" s="539" t="s">
        <v>6869</v>
      </c>
      <c r="D342" s="539" t="s">
        <v>2783</v>
      </c>
      <c r="E342" s="539"/>
      <c r="F342" s="539"/>
      <c r="G342" s="539"/>
      <c r="H342" s="552"/>
      <c r="I342" s="552"/>
      <c r="J342" s="552"/>
      <c r="K342" s="552"/>
      <c r="L342" s="552"/>
      <c r="M342" s="552"/>
      <c r="N342" s="552"/>
      <c r="O342" s="552"/>
      <c r="P342" s="552"/>
      <c r="Q342" s="552"/>
      <c r="R342" s="552"/>
      <c r="S342" s="552"/>
      <c r="T342" s="552"/>
      <c r="U342" s="552"/>
      <c r="V342" s="552"/>
      <c r="W342" s="552"/>
      <c r="X342" s="552"/>
      <c r="Y342" s="552"/>
      <c r="Z342" s="552"/>
      <c r="AA342" s="552"/>
      <c r="AB342" s="552"/>
      <c r="AC342" s="552"/>
      <c r="AD342" s="552"/>
      <c r="AE342" s="552"/>
      <c r="AF342" s="552"/>
      <c r="AG342" s="552"/>
      <c r="AH342" s="552"/>
      <c r="AI342" s="552"/>
      <c r="AJ342" s="552"/>
      <c r="AK342" s="552"/>
      <c r="AL342" s="552"/>
      <c r="AM342" s="552"/>
      <c r="AN342" s="552"/>
      <c r="AO342" s="552"/>
      <c r="AP342" s="552"/>
      <c r="AQ342" s="552" t="s">
        <v>1186</v>
      </c>
      <c r="AR342" s="552" t="s">
        <v>2971</v>
      </c>
      <c r="AS342" s="552" t="s">
        <v>6967</v>
      </c>
      <c r="AT342" s="552" t="s">
        <v>726</v>
      </c>
    </row>
    <row r="343" spans="1:46" ht="14.7" customHeight="1">
      <c r="A343" s="706"/>
      <c r="B343" s="711" t="s">
        <v>6055</v>
      </c>
      <c r="C343" s="539" t="s">
        <v>6869</v>
      </c>
      <c r="D343" s="539"/>
      <c r="E343" s="552"/>
      <c r="F343" s="552"/>
      <c r="G343" s="552"/>
      <c r="H343" s="552"/>
      <c r="I343" s="552"/>
      <c r="J343" s="552"/>
      <c r="K343" s="552"/>
      <c r="L343" s="552"/>
      <c r="M343" s="552"/>
      <c r="N343" s="552"/>
      <c r="O343" s="552"/>
      <c r="P343" s="552"/>
      <c r="Q343" s="552"/>
      <c r="R343" s="552"/>
      <c r="S343" s="552"/>
      <c r="T343" s="552"/>
      <c r="U343" s="552"/>
      <c r="V343" s="552"/>
      <c r="W343" s="552"/>
      <c r="X343" s="552"/>
      <c r="Y343" s="552"/>
      <c r="Z343" s="552"/>
      <c r="AA343" s="552"/>
      <c r="AB343" s="552"/>
      <c r="AC343" s="552"/>
      <c r="AD343" s="552"/>
      <c r="AE343" s="552"/>
      <c r="AF343" s="552"/>
      <c r="AG343" s="552"/>
      <c r="AH343" s="552"/>
      <c r="AI343" s="552"/>
      <c r="AJ343" s="552"/>
      <c r="AK343" s="552"/>
      <c r="AL343" s="552"/>
      <c r="AM343" s="552"/>
      <c r="AN343" s="552"/>
      <c r="AO343" s="552"/>
      <c r="AP343" s="552"/>
      <c r="AQ343" s="552" t="s">
        <v>1186</v>
      </c>
      <c r="AR343" s="552" t="s">
        <v>6697</v>
      </c>
      <c r="AS343" s="552" t="s">
        <v>6967</v>
      </c>
      <c r="AT343" s="552" t="s">
        <v>726</v>
      </c>
    </row>
    <row r="344" spans="1:46" ht="14.7" customHeight="1">
      <c r="A344" s="706" t="s">
        <v>6204</v>
      </c>
      <c r="B344" s="540" t="s">
        <v>3695</v>
      </c>
      <c r="C344" s="539" t="s">
        <v>6869</v>
      </c>
      <c r="D344" s="709" t="s">
        <v>7336</v>
      </c>
      <c r="E344" s="552" t="s">
        <v>6871</v>
      </c>
      <c r="F344" s="552" t="s">
        <v>7111</v>
      </c>
      <c r="G344" s="552" t="s">
        <v>7337</v>
      </c>
      <c r="H344" s="552"/>
      <c r="I344" s="552"/>
      <c r="J344" s="709" t="s">
        <v>7338</v>
      </c>
      <c r="K344" s="709" t="s">
        <v>7339</v>
      </c>
      <c r="L344" s="709"/>
      <c r="M344" s="709"/>
      <c r="N344" s="552"/>
      <c r="O344" s="552"/>
      <c r="P344" s="552"/>
      <c r="Q344" s="552"/>
      <c r="R344" s="552"/>
      <c r="S344" s="552"/>
      <c r="T344" s="552"/>
      <c r="U344" s="552"/>
      <c r="V344" s="552"/>
      <c r="W344" s="552"/>
      <c r="X344" s="552"/>
      <c r="Y344" s="552"/>
      <c r="Z344" s="552"/>
      <c r="AA344" s="552"/>
      <c r="AB344" s="552"/>
      <c r="AC344" s="552"/>
      <c r="AD344" s="552"/>
      <c r="AE344" s="552"/>
      <c r="AF344" s="552"/>
      <c r="AG344" s="552"/>
      <c r="AH344" s="552"/>
      <c r="AI344" s="552"/>
      <c r="AJ344" s="552"/>
      <c r="AK344" s="552"/>
      <c r="AL344" s="552"/>
      <c r="AM344" s="552"/>
      <c r="AN344" s="552"/>
      <c r="AO344" s="552"/>
      <c r="AP344" s="552"/>
      <c r="AQ344" s="552" t="s">
        <v>1186</v>
      </c>
      <c r="AR344" s="552" t="s">
        <v>2802</v>
      </c>
      <c r="AS344" s="552" t="s">
        <v>6967</v>
      </c>
      <c r="AT344" s="552" t="s">
        <v>726</v>
      </c>
    </row>
    <row r="345" spans="1:46" ht="14.7" customHeight="1">
      <c r="A345" s="706"/>
      <c r="B345" s="540" t="s">
        <v>3695</v>
      </c>
      <c r="C345" s="539" t="s">
        <v>6869</v>
      </c>
      <c r="D345" s="539" t="s">
        <v>2783</v>
      </c>
      <c r="E345" s="539"/>
      <c r="F345" s="539"/>
      <c r="G345" s="539"/>
      <c r="H345" s="552"/>
      <c r="I345" s="552"/>
      <c r="J345" s="552"/>
      <c r="K345" s="552"/>
      <c r="L345" s="552"/>
      <c r="M345" s="552"/>
      <c r="N345" s="552"/>
      <c r="O345" s="552"/>
      <c r="P345" s="552"/>
      <c r="Q345" s="552"/>
      <c r="R345" s="552"/>
      <c r="S345" s="552"/>
      <c r="T345" s="552"/>
      <c r="U345" s="552"/>
      <c r="V345" s="552"/>
      <c r="W345" s="552"/>
      <c r="X345" s="552"/>
      <c r="Y345" s="552"/>
      <c r="Z345" s="552"/>
      <c r="AA345" s="552"/>
      <c r="AB345" s="552"/>
      <c r="AC345" s="552"/>
      <c r="AD345" s="552"/>
      <c r="AE345" s="552"/>
      <c r="AF345" s="552"/>
      <c r="AG345" s="552"/>
      <c r="AH345" s="552"/>
      <c r="AI345" s="552"/>
      <c r="AJ345" s="552"/>
      <c r="AK345" s="552"/>
      <c r="AL345" s="552"/>
      <c r="AM345" s="552"/>
      <c r="AN345" s="552"/>
      <c r="AO345" s="552"/>
      <c r="AP345" s="552"/>
      <c r="AQ345" s="552" t="s">
        <v>1186</v>
      </c>
      <c r="AR345" s="552" t="s">
        <v>2802</v>
      </c>
      <c r="AS345" s="552" t="s">
        <v>6967</v>
      </c>
      <c r="AT345" s="552" t="s">
        <v>726</v>
      </c>
    </row>
    <row r="346" spans="1:46" ht="14.7" customHeight="1">
      <c r="A346" s="706" t="s">
        <v>6205</v>
      </c>
      <c r="B346" s="707" t="s">
        <v>3696</v>
      </c>
      <c r="C346" s="539" t="s">
        <v>6869</v>
      </c>
      <c r="D346" s="709" t="s">
        <v>7340</v>
      </c>
      <c r="E346" s="552" t="s">
        <v>6871</v>
      </c>
      <c r="F346" s="552" t="s">
        <v>7111</v>
      </c>
      <c r="G346" s="552" t="s">
        <v>7337</v>
      </c>
      <c r="H346" s="552"/>
      <c r="I346" s="552"/>
      <c r="J346" s="709" t="s">
        <v>7143</v>
      </c>
      <c r="K346" s="709" t="s">
        <v>7341</v>
      </c>
      <c r="L346" s="709"/>
      <c r="M346" s="709"/>
      <c r="N346" s="552"/>
      <c r="O346" s="552"/>
      <c r="P346" s="552"/>
      <c r="Q346" s="552"/>
      <c r="R346" s="552"/>
      <c r="S346" s="552"/>
      <c r="T346" s="552"/>
      <c r="U346" s="552"/>
      <c r="V346" s="552"/>
      <c r="W346" s="552"/>
      <c r="X346" s="552"/>
      <c r="Y346" s="552"/>
      <c r="Z346" s="552"/>
      <c r="AA346" s="552"/>
      <c r="AB346" s="552"/>
      <c r="AC346" s="552"/>
      <c r="AD346" s="552"/>
      <c r="AE346" s="552"/>
      <c r="AF346" s="552"/>
      <c r="AG346" s="552"/>
      <c r="AH346" s="552"/>
      <c r="AI346" s="552"/>
      <c r="AJ346" s="552"/>
      <c r="AK346" s="552"/>
      <c r="AL346" s="552"/>
      <c r="AM346" s="552"/>
      <c r="AN346" s="552"/>
      <c r="AO346" s="552"/>
      <c r="AP346" s="552"/>
      <c r="AQ346" s="552" t="s">
        <v>1186</v>
      </c>
      <c r="AR346" s="552" t="s">
        <v>2805</v>
      </c>
      <c r="AS346" s="552" t="s">
        <v>6967</v>
      </c>
      <c r="AT346" s="552" t="s">
        <v>726</v>
      </c>
    </row>
    <row r="347" spans="1:46" ht="14.7" customHeight="1">
      <c r="A347" s="706"/>
      <c r="B347" s="707" t="s">
        <v>3696</v>
      </c>
      <c r="C347" s="539" t="s">
        <v>6869</v>
      </c>
      <c r="D347" s="539" t="s">
        <v>2783</v>
      </c>
      <c r="E347" s="539"/>
      <c r="F347" s="539"/>
      <c r="G347" s="539"/>
      <c r="H347" s="552"/>
      <c r="I347" s="552"/>
      <c r="J347" s="552"/>
      <c r="K347" s="552"/>
      <c r="L347" s="552"/>
      <c r="M347" s="552"/>
      <c r="N347" s="552"/>
      <c r="O347" s="552"/>
      <c r="P347" s="552"/>
      <c r="Q347" s="552"/>
      <c r="R347" s="552"/>
      <c r="S347" s="552"/>
      <c r="T347" s="552"/>
      <c r="U347" s="552"/>
      <c r="V347" s="552"/>
      <c r="W347" s="552"/>
      <c r="X347" s="552"/>
      <c r="Y347" s="552"/>
      <c r="Z347" s="552"/>
      <c r="AA347" s="552"/>
      <c r="AB347" s="552"/>
      <c r="AC347" s="552"/>
      <c r="AD347" s="552"/>
      <c r="AE347" s="552"/>
      <c r="AF347" s="552"/>
      <c r="AG347" s="552"/>
      <c r="AH347" s="552"/>
      <c r="AI347" s="552"/>
      <c r="AJ347" s="552"/>
      <c r="AK347" s="552"/>
      <c r="AL347" s="552"/>
      <c r="AM347" s="552"/>
      <c r="AN347" s="552"/>
      <c r="AO347" s="552"/>
      <c r="AP347" s="552"/>
      <c r="AQ347" s="552" t="s">
        <v>1186</v>
      </c>
      <c r="AR347" s="552" t="s">
        <v>2805</v>
      </c>
      <c r="AS347" s="552" t="s">
        <v>6967</v>
      </c>
      <c r="AT347" s="552" t="s">
        <v>726</v>
      </c>
    </row>
    <row r="348" spans="1:46" ht="14.7" customHeight="1">
      <c r="A348" s="706" t="s">
        <v>6206</v>
      </c>
      <c r="B348" s="556" t="s">
        <v>3697</v>
      </c>
      <c r="C348" s="539" t="s">
        <v>6869</v>
      </c>
      <c r="D348" s="709" t="s">
        <v>7342</v>
      </c>
      <c r="E348" s="552" t="s">
        <v>6871</v>
      </c>
      <c r="F348" s="552" t="s">
        <v>7111</v>
      </c>
      <c r="G348" s="552" t="s">
        <v>7337</v>
      </c>
      <c r="H348" s="552"/>
      <c r="I348" s="552"/>
      <c r="J348" s="709" t="s">
        <v>7343</v>
      </c>
      <c r="K348" s="709"/>
      <c r="L348" s="709"/>
      <c r="M348" s="552"/>
      <c r="N348" s="552"/>
      <c r="O348" s="552"/>
      <c r="P348" s="552"/>
      <c r="Q348" s="552"/>
      <c r="R348" s="552"/>
      <c r="S348" s="552"/>
      <c r="T348" s="552"/>
      <c r="U348" s="552"/>
      <c r="V348" s="552"/>
      <c r="W348" s="552"/>
      <c r="X348" s="552"/>
      <c r="Y348" s="552"/>
      <c r="Z348" s="552"/>
      <c r="AA348" s="552"/>
      <c r="AB348" s="552"/>
      <c r="AC348" s="552"/>
      <c r="AD348" s="552"/>
      <c r="AE348" s="552"/>
      <c r="AF348" s="552"/>
      <c r="AG348" s="552"/>
      <c r="AH348" s="552"/>
      <c r="AI348" s="552"/>
      <c r="AJ348" s="552"/>
      <c r="AK348" s="552"/>
      <c r="AL348" s="552"/>
      <c r="AM348" s="552"/>
      <c r="AN348" s="552"/>
      <c r="AO348" s="552"/>
      <c r="AP348" s="552"/>
      <c r="AQ348" s="552" t="s">
        <v>1186</v>
      </c>
      <c r="AR348" s="552" t="s">
        <v>2875</v>
      </c>
      <c r="AS348" s="552" t="s">
        <v>6967</v>
      </c>
      <c r="AT348" s="552" t="s">
        <v>726</v>
      </c>
    </row>
    <row r="349" spans="1:46" ht="14.7" customHeight="1">
      <c r="A349" s="706" t="s">
        <v>6207</v>
      </c>
      <c r="B349" s="556" t="s">
        <v>3697</v>
      </c>
      <c r="C349" s="539" t="s">
        <v>6869</v>
      </c>
      <c r="D349" s="709" t="s">
        <v>7344</v>
      </c>
      <c r="E349" s="552" t="s">
        <v>6871</v>
      </c>
      <c r="F349" s="552" t="s">
        <v>7111</v>
      </c>
      <c r="G349" s="552" t="s">
        <v>7337</v>
      </c>
      <c r="H349" s="552"/>
      <c r="I349" s="552"/>
      <c r="J349" s="709" t="s">
        <v>6874</v>
      </c>
      <c r="K349" s="709" t="s">
        <v>7345</v>
      </c>
      <c r="L349" s="709"/>
      <c r="M349" s="709"/>
      <c r="N349" s="552"/>
      <c r="O349" s="552"/>
      <c r="P349" s="552"/>
      <c r="Q349" s="552"/>
      <c r="R349" s="552"/>
      <c r="S349" s="552"/>
      <c r="T349" s="552"/>
      <c r="U349" s="552"/>
      <c r="V349" s="552"/>
      <c r="W349" s="552"/>
      <c r="X349" s="552"/>
      <c r="Y349" s="552"/>
      <c r="Z349" s="552"/>
      <c r="AA349" s="552"/>
      <c r="AB349" s="552"/>
      <c r="AC349" s="552"/>
      <c r="AD349" s="552"/>
      <c r="AE349" s="552"/>
      <c r="AF349" s="552"/>
      <c r="AG349" s="552"/>
      <c r="AH349" s="552"/>
      <c r="AI349" s="552"/>
      <c r="AJ349" s="552"/>
      <c r="AK349" s="552"/>
      <c r="AL349" s="552"/>
      <c r="AM349" s="552"/>
      <c r="AN349" s="552"/>
      <c r="AO349" s="552"/>
      <c r="AP349" s="552"/>
      <c r="AQ349" s="552" t="s">
        <v>1186</v>
      </c>
      <c r="AR349" s="552" t="s">
        <v>2875</v>
      </c>
      <c r="AS349" s="552" t="s">
        <v>6967</v>
      </c>
      <c r="AT349" s="552" t="s">
        <v>726</v>
      </c>
    </row>
    <row r="350" spans="1:46" ht="14.7" customHeight="1">
      <c r="A350" s="706"/>
      <c r="B350" s="556" t="s">
        <v>3697</v>
      </c>
      <c r="C350" s="539" t="s">
        <v>6869</v>
      </c>
      <c r="D350" s="539" t="s">
        <v>2783</v>
      </c>
      <c r="E350" s="539"/>
      <c r="F350" s="539"/>
      <c r="G350" s="539"/>
      <c r="H350" s="552"/>
      <c r="I350" s="552"/>
      <c r="J350" s="552"/>
      <c r="K350" s="552"/>
      <c r="L350" s="552"/>
      <c r="M350" s="552"/>
      <c r="N350" s="552"/>
      <c r="O350" s="552"/>
      <c r="P350" s="552"/>
      <c r="Q350" s="552"/>
      <c r="R350" s="552"/>
      <c r="S350" s="552"/>
      <c r="T350" s="552"/>
      <c r="U350" s="552"/>
      <c r="V350" s="552"/>
      <c r="W350" s="552"/>
      <c r="X350" s="552"/>
      <c r="Y350" s="552"/>
      <c r="Z350" s="552"/>
      <c r="AA350" s="552"/>
      <c r="AB350" s="552"/>
      <c r="AC350" s="552"/>
      <c r="AD350" s="552"/>
      <c r="AE350" s="552"/>
      <c r="AF350" s="552"/>
      <c r="AG350" s="552"/>
      <c r="AH350" s="552"/>
      <c r="AI350" s="552"/>
      <c r="AJ350" s="552"/>
      <c r="AK350" s="552"/>
      <c r="AL350" s="552"/>
      <c r="AM350" s="552"/>
      <c r="AN350" s="552"/>
      <c r="AO350" s="552"/>
      <c r="AP350" s="552"/>
      <c r="AQ350" s="552" t="s">
        <v>1186</v>
      </c>
      <c r="AR350" s="552" t="s">
        <v>2875</v>
      </c>
      <c r="AS350" s="552" t="s">
        <v>6967</v>
      </c>
      <c r="AT350" s="552" t="s">
        <v>726</v>
      </c>
    </row>
    <row r="351" spans="1:46" ht="14.7" customHeight="1">
      <c r="A351" s="706" t="s">
        <v>6208</v>
      </c>
      <c r="B351" s="557" t="s">
        <v>3698</v>
      </c>
      <c r="C351" s="539" t="s">
        <v>6869</v>
      </c>
      <c r="D351" s="709" t="s">
        <v>7346</v>
      </c>
      <c r="E351" s="552" t="s">
        <v>6871</v>
      </c>
      <c r="F351" s="552" t="s">
        <v>6872</v>
      </c>
      <c r="G351" s="552" t="s">
        <v>7337</v>
      </c>
      <c r="H351" s="552"/>
      <c r="I351" s="552"/>
      <c r="J351" s="709" t="s">
        <v>7274</v>
      </c>
      <c r="K351" s="709" t="s">
        <v>7347</v>
      </c>
      <c r="L351" s="709"/>
      <c r="M351" s="709"/>
      <c r="N351" s="552"/>
      <c r="O351" s="552"/>
      <c r="P351" s="552"/>
      <c r="Q351" s="552"/>
      <c r="R351" s="552"/>
      <c r="S351" s="552"/>
      <c r="T351" s="552"/>
      <c r="U351" s="552"/>
      <c r="V351" s="552"/>
      <c r="W351" s="552"/>
      <c r="X351" s="552"/>
      <c r="Y351" s="552"/>
      <c r="Z351" s="552"/>
      <c r="AA351" s="552"/>
      <c r="AB351" s="552"/>
      <c r="AC351" s="552"/>
      <c r="AD351" s="552"/>
      <c r="AE351" s="552"/>
      <c r="AF351" s="552"/>
      <c r="AG351" s="552"/>
      <c r="AH351" s="552"/>
      <c r="AI351" s="552"/>
      <c r="AJ351" s="552"/>
      <c r="AK351" s="552"/>
      <c r="AL351" s="552"/>
      <c r="AM351" s="552"/>
      <c r="AN351" s="552"/>
      <c r="AO351" s="552"/>
      <c r="AP351" s="552"/>
      <c r="AQ351" s="552" t="s">
        <v>1186</v>
      </c>
      <c r="AR351" s="552" t="s">
        <v>2998</v>
      </c>
      <c r="AS351" s="552" t="s">
        <v>6967</v>
      </c>
      <c r="AT351" s="552" t="s">
        <v>726</v>
      </c>
    </row>
    <row r="352" spans="1:46" ht="14.7" customHeight="1">
      <c r="A352" s="710" t="s">
        <v>6209</v>
      </c>
      <c r="B352" s="557" t="s">
        <v>3698</v>
      </c>
      <c r="C352" s="539" t="s">
        <v>6869</v>
      </c>
      <c r="D352" s="709" t="s">
        <v>7348</v>
      </c>
      <c r="E352" s="552" t="s">
        <v>6871</v>
      </c>
      <c r="F352" s="552" t="s">
        <v>7111</v>
      </c>
      <c r="G352" s="552" t="s">
        <v>7337</v>
      </c>
      <c r="H352" s="552"/>
      <c r="I352" s="552"/>
      <c r="J352" s="709" t="s">
        <v>7156</v>
      </c>
      <c r="K352" s="713" t="s">
        <v>7349</v>
      </c>
      <c r="L352" s="552"/>
      <c r="M352" s="552"/>
      <c r="N352" s="552"/>
      <c r="O352" s="552"/>
      <c r="P352" s="552"/>
      <c r="Q352" s="552"/>
      <c r="R352" s="552"/>
      <c r="S352" s="552"/>
      <c r="T352" s="552"/>
      <c r="U352" s="552"/>
      <c r="V352" s="552"/>
      <c r="W352" s="552"/>
      <c r="X352" s="552"/>
      <c r="Y352" s="552"/>
      <c r="Z352" s="552"/>
      <c r="AA352" s="552"/>
      <c r="AB352" s="552"/>
      <c r="AC352" s="552"/>
      <c r="AD352" s="552"/>
      <c r="AE352" s="552"/>
      <c r="AF352" s="552"/>
      <c r="AG352" s="552"/>
      <c r="AH352" s="552"/>
      <c r="AI352" s="552"/>
      <c r="AJ352" s="552"/>
      <c r="AK352" s="552"/>
      <c r="AL352" s="552"/>
      <c r="AM352" s="552"/>
      <c r="AN352" s="552"/>
      <c r="AO352" s="552"/>
      <c r="AP352" s="552"/>
      <c r="AQ352" s="552" t="s">
        <v>1186</v>
      </c>
      <c r="AR352" s="552" t="s">
        <v>2998</v>
      </c>
      <c r="AS352" s="552" t="s">
        <v>6967</v>
      </c>
      <c r="AT352" s="552" t="s">
        <v>726</v>
      </c>
    </row>
    <row r="353" spans="1:46" ht="14.7" customHeight="1">
      <c r="A353" s="706"/>
      <c r="B353" s="557" t="s">
        <v>3698</v>
      </c>
      <c r="C353" s="539" t="s">
        <v>6869</v>
      </c>
      <c r="D353" s="539" t="s">
        <v>2783</v>
      </c>
      <c r="E353" s="539"/>
      <c r="F353" s="539"/>
      <c r="G353" s="539"/>
      <c r="H353" s="552"/>
      <c r="I353" s="552"/>
      <c r="J353" s="552"/>
      <c r="K353" s="552"/>
      <c r="L353" s="552"/>
      <c r="M353" s="552"/>
      <c r="N353" s="552"/>
      <c r="O353" s="552"/>
      <c r="P353" s="552"/>
      <c r="Q353" s="552"/>
      <c r="R353" s="552"/>
      <c r="S353" s="552"/>
      <c r="T353" s="552"/>
      <c r="U353" s="552"/>
      <c r="V353" s="552"/>
      <c r="W353" s="552"/>
      <c r="X353" s="552"/>
      <c r="Y353" s="552"/>
      <c r="Z353" s="552"/>
      <c r="AA353" s="552"/>
      <c r="AB353" s="552"/>
      <c r="AC353" s="552"/>
      <c r="AD353" s="552"/>
      <c r="AE353" s="552"/>
      <c r="AF353" s="552"/>
      <c r="AG353" s="552"/>
      <c r="AH353" s="552"/>
      <c r="AI353" s="552"/>
      <c r="AJ353" s="552"/>
      <c r="AK353" s="552"/>
      <c r="AL353" s="552"/>
      <c r="AM353" s="552"/>
      <c r="AN353" s="552"/>
      <c r="AO353" s="552"/>
      <c r="AP353" s="552"/>
      <c r="AQ353" s="552" t="s">
        <v>1186</v>
      </c>
      <c r="AR353" s="552" t="s">
        <v>2998</v>
      </c>
      <c r="AS353" s="552" t="s">
        <v>6967</v>
      </c>
      <c r="AT353" s="552" t="s">
        <v>726</v>
      </c>
    </row>
    <row r="354" spans="1:46" ht="14.7" customHeight="1">
      <c r="A354" s="706"/>
      <c r="B354" s="557" t="s">
        <v>3698</v>
      </c>
      <c r="C354" s="539" t="s">
        <v>6869</v>
      </c>
      <c r="D354" s="539" t="s">
        <v>2783</v>
      </c>
      <c r="E354" s="539"/>
      <c r="F354" s="539"/>
      <c r="G354" s="539"/>
      <c r="H354" s="552"/>
      <c r="I354" s="552"/>
      <c r="J354" s="552"/>
      <c r="K354" s="552"/>
      <c r="L354" s="552"/>
      <c r="M354" s="552"/>
      <c r="N354" s="552"/>
      <c r="O354" s="552"/>
      <c r="P354" s="552"/>
      <c r="Q354" s="552"/>
      <c r="R354" s="552"/>
      <c r="S354" s="552"/>
      <c r="T354" s="552"/>
      <c r="U354" s="552"/>
      <c r="V354" s="552"/>
      <c r="W354" s="552"/>
      <c r="X354" s="552"/>
      <c r="Y354" s="552"/>
      <c r="Z354" s="552"/>
      <c r="AA354" s="552"/>
      <c r="AB354" s="552"/>
      <c r="AC354" s="552"/>
      <c r="AD354" s="552"/>
      <c r="AE354" s="552"/>
      <c r="AF354" s="552"/>
      <c r="AG354" s="552"/>
      <c r="AH354" s="552"/>
      <c r="AI354" s="552"/>
      <c r="AJ354" s="552"/>
      <c r="AK354" s="552"/>
      <c r="AL354" s="552"/>
      <c r="AM354" s="552"/>
      <c r="AN354" s="552"/>
      <c r="AO354" s="552"/>
      <c r="AP354" s="552"/>
      <c r="AQ354" s="552" t="s">
        <v>1186</v>
      </c>
      <c r="AR354" s="552" t="s">
        <v>2998</v>
      </c>
      <c r="AS354" s="552" t="s">
        <v>6967</v>
      </c>
      <c r="AT354" s="552" t="s">
        <v>726</v>
      </c>
    </row>
    <row r="355" spans="1:46" ht="14.7" customHeight="1">
      <c r="A355" s="710" t="s">
        <v>6210</v>
      </c>
      <c r="B355" s="344" t="s">
        <v>3699</v>
      </c>
      <c r="C355" s="539" t="s">
        <v>6869</v>
      </c>
      <c r="D355" s="709" t="s">
        <v>7350</v>
      </c>
      <c r="E355" s="552" t="s">
        <v>6871</v>
      </c>
      <c r="F355" s="552" t="s">
        <v>6872</v>
      </c>
      <c r="G355" s="552" t="s">
        <v>7337</v>
      </c>
      <c r="H355" s="552"/>
      <c r="I355" s="552"/>
      <c r="J355" s="709" t="s">
        <v>7351</v>
      </c>
      <c r="K355" s="709"/>
      <c r="L355" s="713" t="s">
        <v>7352</v>
      </c>
      <c r="M355" s="552"/>
      <c r="N355" s="552"/>
      <c r="O355" s="552"/>
      <c r="P355" s="552"/>
      <c r="Q355" s="552"/>
      <c r="R355" s="552"/>
      <c r="S355" s="552"/>
      <c r="T355" s="552"/>
      <c r="U355" s="552"/>
      <c r="V355" s="552"/>
      <c r="W355" s="552"/>
      <c r="X355" s="552"/>
      <c r="Y355" s="552"/>
      <c r="Z355" s="552"/>
      <c r="AA355" s="552"/>
      <c r="AB355" s="552"/>
      <c r="AC355" s="552"/>
      <c r="AD355" s="552"/>
      <c r="AE355" s="552"/>
      <c r="AF355" s="552"/>
      <c r="AG355" s="552"/>
      <c r="AH355" s="552"/>
      <c r="AI355" s="552"/>
      <c r="AJ355" s="552"/>
      <c r="AK355" s="552"/>
      <c r="AL355" s="552"/>
      <c r="AM355" s="552"/>
      <c r="AN355" s="552"/>
      <c r="AO355" s="552"/>
      <c r="AP355" s="552"/>
      <c r="AQ355" s="552" t="s">
        <v>1186</v>
      </c>
      <c r="AR355" s="552" t="s">
        <v>2809</v>
      </c>
      <c r="AS355" s="552" t="s">
        <v>6967</v>
      </c>
      <c r="AT355" s="552" t="s">
        <v>726</v>
      </c>
    </row>
    <row r="356" spans="1:46" ht="14.7" customHeight="1">
      <c r="A356" s="710" t="s">
        <v>6211</v>
      </c>
      <c r="B356" s="344" t="s">
        <v>3699</v>
      </c>
      <c r="C356" s="539" t="s">
        <v>6869</v>
      </c>
      <c r="D356" s="709" t="s">
        <v>7353</v>
      </c>
      <c r="E356" s="552" t="s">
        <v>6871</v>
      </c>
      <c r="F356" s="552" t="s">
        <v>7111</v>
      </c>
      <c r="G356" s="552" t="s">
        <v>7337</v>
      </c>
      <c r="H356" s="552"/>
      <c r="I356" s="552"/>
      <c r="J356" s="709" t="s">
        <v>7246</v>
      </c>
      <c r="K356" s="709" t="s">
        <v>7354</v>
      </c>
      <c r="L356" s="709"/>
      <c r="M356" s="709"/>
      <c r="N356" s="552"/>
      <c r="O356" s="552"/>
      <c r="P356" s="552"/>
      <c r="Q356" s="552"/>
      <c r="R356" s="552"/>
      <c r="S356" s="552"/>
      <c r="T356" s="552"/>
      <c r="U356" s="552"/>
      <c r="V356" s="552"/>
      <c r="W356" s="552"/>
      <c r="X356" s="552"/>
      <c r="Y356" s="552"/>
      <c r="Z356" s="552"/>
      <c r="AA356" s="552"/>
      <c r="AB356" s="552"/>
      <c r="AC356" s="552"/>
      <c r="AD356" s="552"/>
      <c r="AE356" s="552"/>
      <c r="AF356" s="552"/>
      <c r="AG356" s="552"/>
      <c r="AH356" s="552"/>
      <c r="AI356" s="552"/>
      <c r="AJ356" s="552"/>
      <c r="AK356" s="552"/>
      <c r="AL356" s="552"/>
      <c r="AM356" s="552"/>
      <c r="AN356" s="552"/>
      <c r="AO356" s="709" t="s">
        <v>7355</v>
      </c>
      <c r="AP356" s="709"/>
      <c r="AQ356" s="552" t="s">
        <v>1186</v>
      </c>
      <c r="AR356" s="552" t="s">
        <v>2809</v>
      </c>
      <c r="AS356" s="552" t="s">
        <v>6967</v>
      </c>
      <c r="AT356" s="552" t="s">
        <v>726</v>
      </c>
    </row>
    <row r="357" spans="1:46" ht="14.7" customHeight="1">
      <c r="A357" s="710" t="s">
        <v>6212</v>
      </c>
      <c r="B357" s="344" t="s">
        <v>3699</v>
      </c>
      <c r="C357" s="539" t="s">
        <v>6869</v>
      </c>
      <c r="D357" s="709" t="s">
        <v>7356</v>
      </c>
      <c r="E357" s="552" t="s">
        <v>6871</v>
      </c>
      <c r="F357" s="552" t="s">
        <v>7111</v>
      </c>
      <c r="G357" s="552" t="s">
        <v>7337</v>
      </c>
      <c r="H357" s="552"/>
      <c r="I357" s="552"/>
      <c r="J357" s="552" t="s">
        <v>7357</v>
      </c>
      <c r="K357" s="552"/>
      <c r="L357" s="552"/>
      <c r="M357" s="552"/>
      <c r="N357" s="552"/>
      <c r="O357" s="552"/>
      <c r="P357" s="552"/>
      <c r="Q357" s="552"/>
      <c r="R357" s="552"/>
      <c r="S357" s="552"/>
      <c r="T357" s="552"/>
      <c r="U357" s="552"/>
      <c r="V357" s="552"/>
      <c r="W357" s="552"/>
      <c r="X357" s="552"/>
      <c r="Y357" s="552"/>
      <c r="Z357" s="552"/>
      <c r="AA357" s="552"/>
      <c r="AB357" s="552"/>
      <c r="AC357" s="552"/>
      <c r="AD357" s="552"/>
      <c r="AE357" s="552"/>
      <c r="AF357" s="552"/>
      <c r="AG357" s="552"/>
      <c r="AH357" s="552"/>
      <c r="AI357" s="552"/>
      <c r="AJ357" s="552"/>
      <c r="AK357" s="552"/>
      <c r="AL357" s="552"/>
      <c r="AM357" s="552"/>
      <c r="AN357" s="552"/>
      <c r="AO357" s="552" t="s">
        <v>7358</v>
      </c>
      <c r="AP357" s="552"/>
      <c r="AQ357" s="552" t="s">
        <v>1186</v>
      </c>
      <c r="AR357" s="552" t="s">
        <v>2809</v>
      </c>
      <c r="AS357" s="552" t="s">
        <v>6967</v>
      </c>
      <c r="AT357" s="552" t="s">
        <v>726</v>
      </c>
    </row>
    <row r="358" spans="1:46" ht="14.7" customHeight="1">
      <c r="A358" s="706"/>
      <c r="B358" s="344" t="s">
        <v>3699</v>
      </c>
      <c r="C358" s="539" t="s">
        <v>6869</v>
      </c>
      <c r="D358" s="539" t="s">
        <v>2783</v>
      </c>
      <c r="E358" s="539"/>
      <c r="F358" s="539"/>
      <c r="G358" s="539"/>
      <c r="H358" s="552"/>
      <c r="I358" s="552"/>
      <c r="J358" s="552"/>
      <c r="K358" s="552"/>
      <c r="L358" s="552"/>
      <c r="M358" s="552"/>
      <c r="N358" s="552"/>
      <c r="O358" s="552"/>
      <c r="P358" s="552"/>
      <c r="Q358" s="552"/>
      <c r="R358" s="552"/>
      <c r="S358" s="552"/>
      <c r="T358" s="552"/>
      <c r="U358" s="552"/>
      <c r="V358" s="552"/>
      <c r="W358" s="552"/>
      <c r="X358" s="552"/>
      <c r="Y358" s="552"/>
      <c r="Z358" s="552"/>
      <c r="AA358" s="552"/>
      <c r="AB358" s="552"/>
      <c r="AC358" s="552"/>
      <c r="AD358" s="552"/>
      <c r="AE358" s="552"/>
      <c r="AF358" s="552"/>
      <c r="AG358" s="552"/>
      <c r="AH358" s="552"/>
      <c r="AI358" s="552"/>
      <c r="AJ358" s="552"/>
      <c r="AK358" s="552"/>
      <c r="AL358" s="552"/>
      <c r="AM358" s="552"/>
      <c r="AN358" s="552"/>
      <c r="AO358" s="552"/>
      <c r="AP358" s="552"/>
      <c r="AQ358" s="552" t="s">
        <v>1186</v>
      </c>
      <c r="AR358" s="552" t="s">
        <v>2809</v>
      </c>
      <c r="AS358" s="552" t="s">
        <v>6967</v>
      </c>
      <c r="AT358" s="552" t="s">
        <v>726</v>
      </c>
    </row>
    <row r="359" spans="1:46" ht="14.7" customHeight="1">
      <c r="A359" s="706"/>
      <c r="B359" s="344" t="s">
        <v>3699</v>
      </c>
      <c r="C359" s="539" t="s">
        <v>6869</v>
      </c>
      <c r="D359" s="539" t="s">
        <v>2783</v>
      </c>
      <c r="E359" s="539"/>
      <c r="F359" s="539"/>
      <c r="G359" s="539"/>
      <c r="H359" s="552"/>
      <c r="I359" s="552"/>
      <c r="J359" s="552"/>
      <c r="K359" s="552"/>
      <c r="L359" s="552"/>
      <c r="M359" s="552"/>
      <c r="N359" s="552"/>
      <c r="O359" s="552"/>
      <c r="P359" s="552"/>
      <c r="Q359" s="552"/>
      <c r="R359" s="552"/>
      <c r="S359" s="552"/>
      <c r="T359" s="552"/>
      <c r="U359" s="552"/>
      <c r="V359" s="552"/>
      <c r="W359" s="552"/>
      <c r="X359" s="552"/>
      <c r="Y359" s="552"/>
      <c r="Z359" s="552"/>
      <c r="AA359" s="552"/>
      <c r="AB359" s="552"/>
      <c r="AC359" s="552"/>
      <c r="AD359" s="552"/>
      <c r="AE359" s="552"/>
      <c r="AF359" s="552"/>
      <c r="AG359" s="552"/>
      <c r="AH359" s="552"/>
      <c r="AI359" s="552"/>
      <c r="AJ359" s="552"/>
      <c r="AK359" s="552"/>
      <c r="AL359" s="552"/>
      <c r="AM359" s="552"/>
      <c r="AN359" s="552"/>
      <c r="AO359" s="552"/>
      <c r="AP359" s="552"/>
      <c r="AQ359" s="552" t="s">
        <v>1186</v>
      </c>
      <c r="AR359" s="552" t="s">
        <v>2809</v>
      </c>
      <c r="AS359" s="552" t="s">
        <v>6967</v>
      </c>
      <c r="AT359" s="552" t="s">
        <v>726</v>
      </c>
    </row>
    <row r="360" spans="1:46" ht="14.7" customHeight="1">
      <c r="A360" s="710" t="s">
        <v>6213</v>
      </c>
      <c r="B360" s="559" t="s">
        <v>3700</v>
      </c>
      <c r="C360" s="539" t="s">
        <v>6869</v>
      </c>
      <c r="D360" s="709" t="s">
        <v>7359</v>
      </c>
      <c r="E360" s="552" t="s">
        <v>6871</v>
      </c>
      <c r="F360" s="552" t="s">
        <v>7111</v>
      </c>
      <c r="G360" s="552" t="s">
        <v>7337</v>
      </c>
      <c r="H360" s="552"/>
      <c r="I360" s="552"/>
      <c r="J360" s="709" t="s">
        <v>7360</v>
      </c>
      <c r="K360" s="709"/>
      <c r="L360" s="552"/>
      <c r="M360" s="552"/>
      <c r="N360" s="552"/>
      <c r="O360" s="552"/>
      <c r="P360" s="552"/>
      <c r="Q360" s="552"/>
      <c r="R360" s="552"/>
      <c r="S360" s="552"/>
      <c r="T360" s="552"/>
      <c r="U360" s="552"/>
      <c r="V360" s="552"/>
      <c r="W360" s="552"/>
      <c r="X360" s="552"/>
      <c r="Y360" s="552"/>
      <c r="Z360" s="552"/>
      <c r="AA360" s="552"/>
      <c r="AB360" s="552"/>
      <c r="AC360" s="552"/>
      <c r="AD360" s="552"/>
      <c r="AE360" s="552"/>
      <c r="AF360" s="552"/>
      <c r="AG360" s="552"/>
      <c r="AH360" s="552"/>
      <c r="AI360" s="552"/>
      <c r="AJ360" s="552"/>
      <c r="AK360" s="552"/>
      <c r="AL360" s="552"/>
      <c r="AM360" s="552"/>
      <c r="AN360" s="552"/>
      <c r="AO360" s="552"/>
      <c r="AP360" s="709" t="s">
        <v>7361</v>
      </c>
      <c r="AQ360" s="552" t="s">
        <v>1186</v>
      </c>
      <c r="AR360" s="552" t="s">
        <v>2971</v>
      </c>
      <c r="AS360" s="552" t="s">
        <v>6967</v>
      </c>
      <c r="AT360" s="552" t="s">
        <v>726</v>
      </c>
    </row>
    <row r="361" spans="1:46" ht="14.7" customHeight="1">
      <c r="A361" s="706"/>
      <c r="B361" s="559" t="s">
        <v>3700</v>
      </c>
      <c r="C361" s="539" t="s">
        <v>6869</v>
      </c>
      <c r="D361" s="539" t="s">
        <v>2783</v>
      </c>
      <c r="E361" s="539"/>
      <c r="F361" s="539"/>
      <c r="G361" s="539"/>
      <c r="H361" s="552"/>
      <c r="I361" s="552"/>
      <c r="J361" s="552"/>
      <c r="K361" s="552"/>
      <c r="L361" s="552"/>
      <c r="M361" s="552"/>
      <c r="N361" s="552"/>
      <c r="O361" s="552"/>
      <c r="P361" s="552"/>
      <c r="Q361" s="552"/>
      <c r="R361" s="552"/>
      <c r="S361" s="552"/>
      <c r="T361" s="552"/>
      <c r="U361" s="552"/>
      <c r="V361" s="552"/>
      <c r="W361" s="552"/>
      <c r="X361" s="552"/>
      <c r="Y361" s="552"/>
      <c r="Z361" s="552"/>
      <c r="AA361" s="552"/>
      <c r="AB361" s="552"/>
      <c r="AC361" s="552"/>
      <c r="AD361" s="552"/>
      <c r="AE361" s="552"/>
      <c r="AF361" s="552"/>
      <c r="AG361" s="552"/>
      <c r="AH361" s="552"/>
      <c r="AI361" s="552"/>
      <c r="AJ361" s="552"/>
      <c r="AK361" s="552"/>
      <c r="AL361" s="552"/>
      <c r="AM361" s="552"/>
      <c r="AN361" s="552"/>
      <c r="AO361" s="552"/>
      <c r="AP361" s="552"/>
      <c r="AQ361" s="552" t="s">
        <v>1186</v>
      </c>
      <c r="AR361" s="552" t="s">
        <v>2971</v>
      </c>
      <c r="AS361" s="552" t="s">
        <v>6967</v>
      </c>
      <c r="AT361" s="552" t="s">
        <v>726</v>
      </c>
    </row>
    <row r="362" spans="1:46" ht="14.7" customHeight="1">
      <c r="A362" s="706"/>
      <c r="B362" s="711" t="s">
        <v>6055</v>
      </c>
      <c r="C362" s="539" t="s">
        <v>6869</v>
      </c>
      <c r="D362" s="539"/>
      <c r="E362" s="552"/>
      <c r="F362" s="552"/>
      <c r="G362" s="552"/>
      <c r="H362" s="552"/>
      <c r="I362" s="552"/>
      <c r="J362" s="552"/>
      <c r="K362" s="552"/>
      <c r="L362" s="552"/>
      <c r="M362" s="552"/>
      <c r="N362" s="552"/>
      <c r="O362" s="552"/>
      <c r="P362" s="552"/>
      <c r="Q362" s="552"/>
      <c r="R362" s="552"/>
      <c r="S362" s="552"/>
      <c r="T362" s="552"/>
      <c r="U362" s="552"/>
      <c r="V362" s="552"/>
      <c r="W362" s="552"/>
      <c r="X362" s="552"/>
      <c r="Y362" s="552"/>
      <c r="Z362" s="552"/>
      <c r="AA362" s="552"/>
      <c r="AB362" s="552"/>
      <c r="AC362" s="552"/>
      <c r="AD362" s="552"/>
      <c r="AE362" s="552"/>
      <c r="AF362" s="552"/>
      <c r="AG362" s="552"/>
      <c r="AH362" s="552"/>
      <c r="AI362" s="552"/>
      <c r="AJ362" s="552"/>
      <c r="AK362" s="552"/>
      <c r="AL362" s="552"/>
      <c r="AM362" s="552"/>
      <c r="AN362" s="552"/>
      <c r="AO362" s="552"/>
      <c r="AP362" s="552"/>
      <c r="AQ362" s="552" t="s">
        <v>1186</v>
      </c>
      <c r="AR362" s="552" t="s">
        <v>6697</v>
      </c>
      <c r="AS362" s="552" t="s">
        <v>6967</v>
      </c>
      <c r="AT362" s="552" t="s">
        <v>726</v>
      </c>
    </row>
    <row r="363" spans="1:46" ht="14.7" customHeight="1">
      <c r="A363" s="706" t="s">
        <v>6214</v>
      </c>
      <c r="B363" s="540" t="s">
        <v>3695</v>
      </c>
      <c r="C363" s="539" t="s">
        <v>6869</v>
      </c>
      <c r="D363" s="709" t="s">
        <v>7362</v>
      </c>
      <c r="E363" s="552" t="s">
        <v>6925</v>
      </c>
      <c r="F363" s="552" t="s">
        <v>7363</v>
      </c>
      <c r="G363" s="552" t="s">
        <v>7364</v>
      </c>
      <c r="H363" s="552"/>
      <c r="I363" s="552"/>
      <c r="J363" s="709" t="s">
        <v>6990</v>
      </c>
      <c r="K363" s="709"/>
      <c r="L363" s="709"/>
      <c r="M363" s="552"/>
      <c r="N363" s="552"/>
      <c r="O363" s="552"/>
      <c r="P363" s="552"/>
      <c r="Q363" s="552"/>
      <c r="R363" s="552"/>
      <c r="S363" s="552"/>
      <c r="T363" s="552"/>
      <c r="U363" s="552"/>
      <c r="V363" s="552"/>
      <c r="W363" s="552"/>
      <c r="X363" s="552"/>
      <c r="Y363" s="552"/>
      <c r="Z363" s="552"/>
      <c r="AA363" s="552"/>
      <c r="AB363" s="552"/>
      <c r="AC363" s="552"/>
      <c r="AD363" s="552"/>
      <c r="AE363" s="552"/>
      <c r="AF363" s="552"/>
      <c r="AG363" s="552"/>
      <c r="AH363" s="552"/>
      <c r="AI363" s="552"/>
      <c r="AJ363" s="552"/>
      <c r="AK363" s="552"/>
      <c r="AL363" s="552"/>
      <c r="AM363" s="552"/>
      <c r="AN363" s="552"/>
      <c r="AO363" s="552"/>
      <c r="AP363" s="552"/>
      <c r="AQ363" s="552" t="s">
        <v>1186</v>
      </c>
      <c r="AR363" s="552" t="s">
        <v>2802</v>
      </c>
      <c r="AS363" s="552" t="s">
        <v>6967</v>
      </c>
      <c r="AT363" s="552" t="s">
        <v>7365</v>
      </c>
    </row>
    <row r="364" spans="1:46" ht="14.7" customHeight="1">
      <c r="A364" s="706" t="s">
        <v>6215</v>
      </c>
      <c r="B364" s="540" t="s">
        <v>3695</v>
      </c>
      <c r="C364" s="539" t="s">
        <v>6869</v>
      </c>
      <c r="D364" s="709" t="s">
        <v>7366</v>
      </c>
      <c r="E364" s="552" t="s">
        <v>6925</v>
      </c>
      <c r="F364" s="552" t="s">
        <v>7363</v>
      </c>
      <c r="G364" s="552" t="s">
        <v>7364</v>
      </c>
      <c r="H364" s="552"/>
      <c r="I364" s="552"/>
      <c r="J364" s="552" t="s">
        <v>7367</v>
      </c>
      <c r="K364" s="552"/>
      <c r="L364" s="552"/>
      <c r="M364" s="552"/>
      <c r="N364" s="552"/>
      <c r="O364" s="552"/>
      <c r="P364" s="552"/>
      <c r="Q364" s="552"/>
      <c r="R364" s="552"/>
      <c r="S364" s="552"/>
      <c r="T364" s="552"/>
      <c r="U364" s="552"/>
      <c r="V364" s="552"/>
      <c r="W364" s="552"/>
      <c r="X364" s="552"/>
      <c r="Y364" s="552"/>
      <c r="Z364" s="552"/>
      <c r="AA364" s="552"/>
      <c r="AB364" s="552"/>
      <c r="AC364" s="552"/>
      <c r="AD364" s="552"/>
      <c r="AE364" s="552"/>
      <c r="AF364" s="552"/>
      <c r="AG364" s="552"/>
      <c r="AH364" s="552"/>
      <c r="AI364" s="552"/>
      <c r="AJ364" s="552"/>
      <c r="AK364" s="552"/>
      <c r="AL364" s="552"/>
      <c r="AM364" s="552"/>
      <c r="AN364" s="552"/>
      <c r="AO364" s="552"/>
      <c r="AP364" s="552"/>
      <c r="AQ364" s="552" t="s">
        <v>1186</v>
      </c>
      <c r="AR364" s="552" t="s">
        <v>2802</v>
      </c>
      <c r="AS364" s="552" t="s">
        <v>6967</v>
      </c>
      <c r="AT364" s="552" t="s">
        <v>7365</v>
      </c>
    </row>
    <row r="365" spans="1:46" ht="14.7" customHeight="1">
      <c r="A365" s="706" t="s">
        <v>6216</v>
      </c>
      <c r="B365" s="707" t="s">
        <v>3696</v>
      </c>
      <c r="C365" s="539" t="s">
        <v>6869</v>
      </c>
      <c r="D365" s="709" t="s">
        <v>7368</v>
      </c>
      <c r="E365" s="552" t="s">
        <v>6925</v>
      </c>
      <c r="F365" s="552" t="s">
        <v>7363</v>
      </c>
      <c r="G365" s="552" t="s">
        <v>7364</v>
      </c>
      <c r="H365" s="552"/>
      <c r="I365" s="552"/>
      <c r="J365" s="709" t="s">
        <v>6929</v>
      </c>
      <c r="K365" s="709"/>
      <c r="L365" s="709"/>
      <c r="M365" s="552"/>
      <c r="N365" s="552"/>
      <c r="O365" s="552"/>
      <c r="P365" s="552"/>
      <c r="Q365" s="552"/>
      <c r="R365" s="552"/>
      <c r="S365" s="552"/>
      <c r="T365" s="552"/>
      <c r="U365" s="552"/>
      <c r="V365" s="552"/>
      <c r="W365" s="552"/>
      <c r="X365" s="552"/>
      <c r="Y365" s="552"/>
      <c r="Z365" s="552"/>
      <c r="AA365" s="552"/>
      <c r="AB365" s="552"/>
      <c r="AC365" s="552"/>
      <c r="AD365" s="552"/>
      <c r="AE365" s="552"/>
      <c r="AF365" s="552"/>
      <c r="AG365" s="552"/>
      <c r="AH365" s="552"/>
      <c r="AI365" s="552"/>
      <c r="AJ365" s="552"/>
      <c r="AK365" s="552"/>
      <c r="AL365" s="552"/>
      <c r="AM365" s="552"/>
      <c r="AN365" s="552"/>
      <c r="AO365" s="552"/>
      <c r="AP365" s="552"/>
      <c r="AQ365" s="552" t="s">
        <v>1186</v>
      </c>
      <c r="AR365" s="552" t="s">
        <v>2805</v>
      </c>
      <c r="AS365" s="552" t="s">
        <v>6967</v>
      </c>
      <c r="AT365" s="552" t="s">
        <v>7365</v>
      </c>
    </row>
    <row r="366" spans="1:46" ht="14.7" customHeight="1">
      <c r="A366" s="706"/>
      <c r="B366" s="707" t="s">
        <v>3696</v>
      </c>
      <c r="C366" s="539" t="s">
        <v>6869</v>
      </c>
      <c r="D366" s="539" t="s">
        <v>2783</v>
      </c>
      <c r="E366" s="539"/>
      <c r="F366" s="539"/>
      <c r="G366" s="539"/>
      <c r="H366" s="552"/>
      <c r="I366" s="552"/>
      <c r="J366" s="552"/>
      <c r="K366" s="552"/>
      <c r="L366" s="552"/>
      <c r="M366" s="552"/>
      <c r="N366" s="552"/>
      <c r="O366" s="552"/>
      <c r="P366" s="552"/>
      <c r="Q366" s="552"/>
      <c r="R366" s="552"/>
      <c r="S366" s="552"/>
      <c r="T366" s="552"/>
      <c r="U366" s="552"/>
      <c r="V366" s="552"/>
      <c r="W366" s="552"/>
      <c r="X366" s="552"/>
      <c r="Y366" s="552"/>
      <c r="Z366" s="552"/>
      <c r="AA366" s="552"/>
      <c r="AB366" s="552"/>
      <c r="AC366" s="552"/>
      <c r="AD366" s="552"/>
      <c r="AE366" s="552"/>
      <c r="AF366" s="552"/>
      <c r="AG366" s="552"/>
      <c r="AH366" s="552"/>
      <c r="AI366" s="552"/>
      <c r="AJ366" s="552"/>
      <c r="AK366" s="552"/>
      <c r="AL366" s="552"/>
      <c r="AM366" s="552"/>
      <c r="AN366" s="552"/>
      <c r="AO366" s="552"/>
      <c r="AP366" s="552"/>
      <c r="AQ366" s="552" t="s">
        <v>1186</v>
      </c>
      <c r="AR366" s="552" t="s">
        <v>2805</v>
      </c>
      <c r="AS366" s="552" t="s">
        <v>6967</v>
      </c>
      <c r="AT366" s="552" t="s">
        <v>7365</v>
      </c>
    </row>
    <row r="367" spans="1:46" ht="14.7" customHeight="1">
      <c r="A367" s="706" t="s">
        <v>6217</v>
      </c>
      <c r="B367" s="556" t="s">
        <v>3697</v>
      </c>
      <c r="C367" s="539" t="s">
        <v>6869</v>
      </c>
      <c r="D367" s="709" t="s">
        <v>7369</v>
      </c>
      <c r="E367" s="552" t="s">
        <v>6925</v>
      </c>
      <c r="F367" s="552" t="s">
        <v>7363</v>
      </c>
      <c r="G367" s="552" t="s">
        <v>7364</v>
      </c>
      <c r="H367" s="552"/>
      <c r="I367" s="552"/>
      <c r="J367" s="709" t="s">
        <v>7085</v>
      </c>
      <c r="K367" s="709" t="s">
        <v>7370</v>
      </c>
      <c r="L367" s="709"/>
      <c r="M367" s="709"/>
      <c r="N367" s="709"/>
      <c r="O367" s="709"/>
      <c r="P367" s="552"/>
      <c r="Q367" s="552"/>
      <c r="R367" s="552"/>
      <c r="S367" s="552"/>
      <c r="T367" s="552"/>
      <c r="U367" s="552"/>
      <c r="V367" s="552"/>
      <c r="W367" s="552"/>
      <c r="X367" s="552"/>
      <c r="Y367" s="552"/>
      <c r="Z367" s="552"/>
      <c r="AA367" s="552"/>
      <c r="AB367" s="552"/>
      <c r="AC367" s="552"/>
      <c r="AD367" s="552"/>
      <c r="AE367" s="552"/>
      <c r="AF367" s="552"/>
      <c r="AG367" s="552"/>
      <c r="AH367" s="552"/>
      <c r="AI367" s="552"/>
      <c r="AJ367" s="552"/>
      <c r="AK367" s="552"/>
      <c r="AL367" s="552"/>
      <c r="AM367" s="552"/>
      <c r="AN367" s="552"/>
      <c r="AO367" s="552"/>
      <c r="AP367" s="552"/>
      <c r="AQ367" s="552" t="s">
        <v>1186</v>
      </c>
      <c r="AR367" s="552" t="s">
        <v>2875</v>
      </c>
      <c r="AS367" s="552" t="s">
        <v>6967</v>
      </c>
      <c r="AT367" s="552" t="s">
        <v>7365</v>
      </c>
    </row>
    <row r="368" spans="1:46" ht="14.7" customHeight="1">
      <c r="A368" s="706" t="s">
        <v>6218</v>
      </c>
      <c r="B368" s="556" t="s">
        <v>3697</v>
      </c>
      <c r="C368" s="539" t="s">
        <v>6869</v>
      </c>
      <c r="D368" s="709" t="s">
        <v>7371</v>
      </c>
      <c r="E368" s="552" t="s">
        <v>6925</v>
      </c>
      <c r="F368" s="552" t="s">
        <v>7363</v>
      </c>
      <c r="G368" s="552" t="s">
        <v>7364</v>
      </c>
      <c r="H368" s="552"/>
      <c r="I368" s="552"/>
      <c r="J368" s="709" t="s">
        <v>7156</v>
      </c>
      <c r="K368" s="709"/>
      <c r="L368" s="709"/>
      <c r="M368" s="552"/>
      <c r="N368" s="552"/>
      <c r="O368" s="552"/>
      <c r="P368" s="552"/>
      <c r="Q368" s="552"/>
      <c r="R368" s="552"/>
      <c r="S368" s="552"/>
      <c r="T368" s="552"/>
      <c r="U368" s="552"/>
      <c r="V368" s="552"/>
      <c r="W368" s="552"/>
      <c r="X368" s="552"/>
      <c r="Y368" s="552"/>
      <c r="Z368" s="552"/>
      <c r="AA368" s="552"/>
      <c r="AB368" s="552"/>
      <c r="AC368" s="552"/>
      <c r="AD368" s="552"/>
      <c r="AE368" s="552"/>
      <c r="AF368" s="552"/>
      <c r="AG368" s="552"/>
      <c r="AH368" s="552"/>
      <c r="AI368" s="552"/>
      <c r="AJ368" s="552"/>
      <c r="AK368" s="552"/>
      <c r="AL368" s="552"/>
      <c r="AM368" s="552"/>
      <c r="AN368" s="552"/>
      <c r="AO368" s="552"/>
      <c r="AP368" s="709" t="s">
        <v>7372</v>
      </c>
      <c r="AQ368" s="552" t="s">
        <v>1186</v>
      </c>
      <c r="AR368" s="552" t="s">
        <v>2875</v>
      </c>
      <c r="AS368" s="552" t="s">
        <v>6967</v>
      </c>
      <c r="AT368" s="552" t="s">
        <v>7365</v>
      </c>
    </row>
    <row r="369" spans="1:46" ht="14.7" customHeight="1">
      <c r="A369" s="706"/>
      <c r="B369" s="556" t="s">
        <v>3697</v>
      </c>
      <c r="C369" s="539" t="s">
        <v>6869</v>
      </c>
      <c r="D369" s="539" t="s">
        <v>2783</v>
      </c>
      <c r="E369" s="539"/>
      <c r="F369" s="539"/>
      <c r="G369" s="539"/>
      <c r="H369" s="552"/>
      <c r="I369" s="552"/>
      <c r="J369" s="552"/>
      <c r="K369" s="552"/>
      <c r="L369" s="552"/>
      <c r="M369" s="552"/>
      <c r="N369" s="552"/>
      <c r="O369" s="552"/>
      <c r="P369" s="552"/>
      <c r="Q369" s="552"/>
      <c r="R369" s="552"/>
      <c r="S369" s="552"/>
      <c r="T369" s="552"/>
      <c r="U369" s="552"/>
      <c r="V369" s="552"/>
      <c r="W369" s="552"/>
      <c r="X369" s="552"/>
      <c r="Y369" s="552"/>
      <c r="Z369" s="552"/>
      <c r="AA369" s="552"/>
      <c r="AB369" s="552"/>
      <c r="AC369" s="552"/>
      <c r="AD369" s="552"/>
      <c r="AE369" s="552"/>
      <c r="AF369" s="552"/>
      <c r="AG369" s="552"/>
      <c r="AH369" s="552"/>
      <c r="AI369" s="552"/>
      <c r="AJ369" s="552"/>
      <c r="AK369" s="552"/>
      <c r="AL369" s="552"/>
      <c r="AM369" s="552"/>
      <c r="AN369" s="552"/>
      <c r="AO369" s="552"/>
      <c r="AP369" s="552"/>
      <c r="AQ369" s="552" t="s">
        <v>1186</v>
      </c>
      <c r="AR369" s="552" t="s">
        <v>2875</v>
      </c>
      <c r="AS369" s="552" t="s">
        <v>6967</v>
      </c>
      <c r="AT369" s="552" t="s">
        <v>7365</v>
      </c>
    </row>
    <row r="370" spans="1:46" ht="14.7" customHeight="1">
      <c r="A370" s="710" t="s">
        <v>6219</v>
      </c>
      <c r="B370" s="557" t="s">
        <v>3698</v>
      </c>
      <c r="C370" s="539" t="s">
        <v>6869</v>
      </c>
      <c r="D370" s="709" t="s">
        <v>7373</v>
      </c>
      <c r="E370" s="552" t="s">
        <v>6925</v>
      </c>
      <c r="F370" s="552" t="s">
        <v>7363</v>
      </c>
      <c r="G370" s="552" t="s">
        <v>7364</v>
      </c>
      <c r="H370" s="552"/>
      <c r="I370" s="552"/>
      <c r="J370" s="709" t="s">
        <v>7374</v>
      </c>
      <c r="K370" s="709"/>
      <c r="L370" s="709"/>
      <c r="M370" s="552"/>
      <c r="N370" s="552"/>
      <c r="O370" s="552"/>
      <c r="P370" s="552"/>
      <c r="Q370" s="552"/>
      <c r="R370" s="552"/>
      <c r="S370" s="552"/>
      <c r="T370" s="552"/>
      <c r="U370" s="552"/>
      <c r="V370" s="552"/>
      <c r="W370" s="552"/>
      <c r="X370" s="552"/>
      <c r="Y370" s="552"/>
      <c r="Z370" s="552"/>
      <c r="AA370" s="552"/>
      <c r="AB370" s="552"/>
      <c r="AC370" s="552"/>
      <c r="AD370" s="552"/>
      <c r="AE370" s="552"/>
      <c r="AF370" s="552"/>
      <c r="AG370" s="552"/>
      <c r="AH370" s="552"/>
      <c r="AI370" s="552"/>
      <c r="AJ370" s="552"/>
      <c r="AK370" s="552"/>
      <c r="AL370" s="552"/>
      <c r="AM370" s="552"/>
      <c r="AN370" s="552"/>
      <c r="AO370" s="552"/>
      <c r="AP370" s="709" t="s">
        <v>7375</v>
      </c>
      <c r="AQ370" s="552" t="s">
        <v>1186</v>
      </c>
      <c r="AR370" s="552" t="s">
        <v>2998</v>
      </c>
      <c r="AS370" s="552" t="s">
        <v>6967</v>
      </c>
      <c r="AT370" s="552" t="s">
        <v>7365</v>
      </c>
    </row>
    <row r="371" spans="1:46" ht="14.7" customHeight="1">
      <c r="A371" s="706" t="s">
        <v>6220</v>
      </c>
      <c r="B371" s="557" t="s">
        <v>3698</v>
      </c>
      <c r="C371" s="539" t="s">
        <v>6869</v>
      </c>
      <c r="D371" s="709" t="s">
        <v>7376</v>
      </c>
      <c r="E371" s="552" t="s">
        <v>6925</v>
      </c>
      <c r="F371" s="552" t="s">
        <v>7363</v>
      </c>
      <c r="G371" s="552" t="s">
        <v>7364</v>
      </c>
      <c r="H371" s="552"/>
      <c r="I371" s="552"/>
      <c r="J371" s="709" t="s">
        <v>7377</v>
      </c>
      <c r="K371" s="709"/>
      <c r="L371" s="552"/>
      <c r="M371" s="552"/>
      <c r="N371" s="552"/>
      <c r="O371" s="552"/>
      <c r="P371" s="552"/>
      <c r="Q371" s="552"/>
      <c r="R371" s="552"/>
      <c r="S371" s="552"/>
      <c r="T371" s="552"/>
      <c r="U371" s="552"/>
      <c r="V371" s="552"/>
      <c r="W371" s="552"/>
      <c r="X371" s="552"/>
      <c r="Y371" s="552"/>
      <c r="Z371" s="552"/>
      <c r="AA371" s="552"/>
      <c r="AB371" s="552"/>
      <c r="AC371" s="552"/>
      <c r="AD371" s="552"/>
      <c r="AE371" s="552"/>
      <c r="AF371" s="552"/>
      <c r="AG371" s="552"/>
      <c r="AH371" s="552"/>
      <c r="AI371" s="552"/>
      <c r="AJ371" s="552"/>
      <c r="AK371" s="552"/>
      <c r="AL371" s="552"/>
      <c r="AM371" s="552"/>
      <c r="AN371" s="552"/>
      <c r="AO371" s="552"/>
      <c r="AP371" s="552"/>
      <c r="AQ371" s="552" t="s">
        <v>1186</v>
      </c>
      <c r="AR371" s="552" t="s">
        <v>2998</v>
      </c>
      <c r="AS371" s="552" t="s">
        <v>6967</v>
      </c>
      <c r="AT371" s="552" t="s">
        <v>7365</v>
      </c>
    </row>
    <row r="372" spans="1:46" ht="14.7" customHeight="1">
      <c r="A372" s="706"/>
      <c r="B372" s="557" t="s">
        <v>3698</v>
      </c>
      <c r="C372" s="539" t="s">
        <v>6869</v>
      </c>
      <c r="D372" s="539" t="s">
        <v>2783</v>
      </c>
      <c r="E372" s="539"/>
      <c r="F372" s="539"/>
      <c r="G372" s="539"/>
      <c r="H372" s="552"/>
      <c r="I372" s="552"/>
      <c r="J372" s="552"/>
      <c r="K372" s="552"/>
      <c r="L372" s="552"/>
      <c r="M372" s="552"/>
      <c r="N372" s="552"/>
      <c r="O372" s="552"/>
      <c r="P372" s="552"/>
      <c r="Q372" s="552"/>
      <c r="R372" s="552"/>
      <c r="S372" s="552"/>
      <c r="T372" s="552"/>
      <c r="U372" s="552"/>
      <c r="V372" s="552"/>
      <c r="W372" s="552"/>
      <c r="X372" s="552"/>
      <c r="Y372" s="552"/>
      <c r="Z372" s="552"/>
      <c r="AA372" s="552"/>
      <c r="AB372" s="552"/>
      <c r="AC372" s="552"/>
      <c r="AD372" s="552"/>
      <c r="AE372" s="552"/>
      <c r="AF372" s="552"/>
      <c r="AG372" s="552"/>
      <c r="AH372" s="552"/>
      <c r="AI372" s="552"/>
      <c r="AJ372" s="552"/>
      <c r="AK372" s="552"/>
      <c r="AL372" s="552"/>
      <c r="AM372" s="552"/>
      <c r="AN372" s="552"/>
      <c r="AO372" s="552"/>
      <c r="AP372" s="552"/>
      <c r="AQ372" s="552" t="s">
        <v>1186</v>
      </c>
      <c r="AR372" s="552" t="s">
        <v>2998</v>
      </c>
      <c r="AS372" s="552" t="s">
        <v>6967</v>
      </c>
      <c r="AT372" s="552" t="s">
        <v>7365</v>
      </c>
    </row>
    <row r="373" spans="1:46" ht="14.7" customHeight="1">
      <c r="A373" s="706"/>
      <c r="B373" s="557" t="s">
        <v>3698</v>
      </c>
      <c r="C373" s="539" t="s">
        <v>6869</v>
      </c>
      <c r="D373" s="539" t="s">
        <v>2783</v>
      </c>
      <c r="E373" s="539"/>
      <c r="F373" s="539"/>
      <c r="G373" s="539"/>
      <c r="H373" s="552"/>
      <c r="I373" s="552"/>
      <c r="J373" s="552"/>
      <c r="K373" s="552"/>
      <c r="L373" s="552"/>
      <c r="M373" s="552"/>
      <c r="N373" s="552"/>
      <c r="O373" s="552"/>
      <c r="P373" s="552"/>
      <c r="Q373" s="552"/>
      <c r="R373" s="552"/>
      <c r="S373" s="552"/>
      <c r="T373" s="552"/>
      <c r="U373" s="552"/>
      <c r="V373" s="552"/>
      <c r="W373" s="552"/>
      <c r="X373" s="552"/>
      <c r="Y373" s="552"/>
      <c r="Z373" s="552"/>
      <c r="AA373" s="552"/>
      <c r="AB373" s="552"/>
      <c r="AC373" s="552"/>
      <c r="AD373" s="552"/>
      <c r="AE373" s="552"/>
      <c r="AF373" s="552"/>
      <c r="AG373" s="552"/>
      <c r="AH373" s="552"/>
      <c r="AI373" s="552"/>
      <c r="AJ373" s="552"/>
      <c r="AK373" s="552"/>
      <c r="AL373" s="552"/>
      <c r="AM373" s="552"/>
      <c r="AN373" s="552"/>
      <c r="AO373" s="552"/>
      <c r="AP373" s="552"/>
      <c r="AQ373" s="552" t="s">
        <v>1186</v>
      </c>
      <c r="AR373" s="552" t="s">
        <v>2998</v>
      </c>
      <c r="AS373" s="552" t="s">
        <v>6967</v>
      </c>
      <c r="AT373" s="552" t="s">
        <v>7365</v>
      </c>
    </row>
    <row r="374" spans="1:46" ht="14.7" customHeight="1">
      <c r="A374" s="706" t="s">
        <v>6221</v>
      </c>
      <c r="B374" s="344" t="s">
        <v>3699</v>
      </c>
      <c r="C374" s="539" t="s">
        <v>6869</v>
      </c>
      <c r="D374" s="709" t="s">
        <v>7378</v>
      </c>
      <c r="E374" s="552" t="s">
        <v>6925</v>
      </c>
      <c r="F374" s="552" t="s">
        <v>7363</v>
      </c>
      <c r="G374" s="552" t="s">
        <v>7364</v>
      </c>
      <c r="H374" s="552"/>
      <c r="I374" s="552"/>
      <c r="J374" s="709" t="s">
        <v>7156</v>
      </c>
      <c r="K374" s="709"/>
      <c r="L374" s="709"/>
      <c r="M374" s="552"/>
      <c r="N374" s="552"/>
      <c r="O374" s="552"/>
      <c r="P374" s="552"/>
      <c r="Q374" s="552"/>
      <c r="R374" s="552"/>
      <c r="S374" s="552"/>
      <c r="T374" s="552"/>
      <c r="U374" s="552"/>
      <c r="V374" s="552"/>
      <c r="W374" s="552"/>
      <c r="X374" s="552"/>
      <c r="Y374" s="552"/>
      <c r="Z374" s="552"/>
      <c r="AA374" s="552"/>
      <c r="AB374" s="552"/>
      <c r="AC374" s="552"/>
      <c r="AD374" s="552"/>
      <c r="AE374" s="552"/>
      <c r="AF374" s="552"/>
      <c r="AG374" s="552"/>
      <c r="AH374" s="552"/>
      <c r="AI374" s="552"/>
      <c r="AJ374" s="552"/>
      <c r="AK374" s="552"/>
      <c r="AL374" s="552"/>
      <c r="AM374" s="552"/>
      <c r="AN374" s="552"/>
      <c r="AO374" s="709" t="s">
        <v>7379</v>
      </c>
      <c r="AP374" s="709"/>
      <c r="AQ374" s="552" t="s">
        <v>1186</v>
      </c>
      <c r="AR374" s="552" t="s">
        <v>2809</v>
      </c>
      <c r="AS374" s="552" t="s">
        <v>6967</v>
      </c>
      <c r="AT374" s="552" t="s">
        <v>7365</v>
      </c>
    </row>
    <row r="375" spans="1:46" ht="14.7" customHeight="1">
      <c r="A375" s="710" t="s">
        <v>6222</v>
      </c>
      <c r="B375" s="344" t="s">
        <v>3699</v>
      </c>
      <c r="C375" s="539" t="s">
        <v>6869</v>
      </c>
      <c r="D375" s="709" t="s">
        <v>7380</v>
      </c>
      <c r="E375" s="552" t="s">
        <v>6925</v>
      </c>
      <c r="F375" s="552" t="s">
        <v>7363</v>
      </c>
      <c r="G375" s="552" t="s">
        <v>7364</v>
      </c>
      <c r="H375" s="552"/>
      <c r="I375" s="552"/>
      <c r="J375" s="709" t="s">
        <v>7381</v>
      </c>
      <c r="K375" s="709"/>
      <c r="L375" s="552"/>
      <c r="M375" s="552"/>
      <c r="N375" s="552"/>
      <c r="O375" s="552"/>
      <c r="P375" s="552"/>
      <c r="Q375" s="552"/>
      <c r="R375" s="552"/>
      <c r="S375" s="552"/>
      <c r="T375" s="552"/>
      <c r="U375" s="552"/>
      <c r="V375" s="552"/>
      <c r="W375" s="552"/>
      <c r="X375" s="552"/>
      <c r="Y375" s="552"/>
      <c r="Z375" s="552"/>
      <c r="AA375" s="552"/>
      <c r="AB375" s="552"/>
      <c r="AC375" s="552"/>
      <c r="AD375" s="552"/>
      <c r="AE375" s="552"/>
      <c r="AF375" s="552"/>
      <c r="AG375" s="552"/>
      <c r="AH375" s="552"/>
      <c r="AI375" s="552"/>
      <c r="AJ375" s="552"/>
      <c r="AK375" s="552"/>
      <c r="AL375" s="552"/>
      <c r="AM375" s="552"/>
      <c r="AN375" s="552"/>
      <c r="AO375" s="709" t="s">
        <v>7382</v>
      </c>
      <c r="AP375" s="713" t="s">
        <v>7383</v>
      </c>
      <c r="AQ375" s="552" t="s">
        <v>1186</v>
      </c>
      <c r="AR375" s="552" t="s">
        <v>2809</v>
      </c>
      <c r="AS375" s="552" t="s">
        <v>6967</v>
      </c>
      <c r="AT375" s="552" t="s">
        <v>7365</v>
      </c>
    </row>
    <row r="376" spans="1:46" ht="14.7" customHeight="1">
      <c r="A376" s="710" t="s">
        <v>7384</v>
      </c>
      <c r="B376" s="344" t="s">
        <v>3699</v>
      </c>
      <c r="C376" s="539" t="s">
        <v>6869</v>
      </c>
      <c r="D376" s="709" t="s">
        <v>7385</v>
      </c>
      <c r="E376" s="552" t="s">
        <v>6925</v>
      </c>
      <c r="F376" s="552" t="s">
        <v>7363</v>
      </c>
      <c r="G376" s="552" t="s">
        <v>7364</v>
      </c>
      <c r="H376" s="552"/>
      <c r="I376" s="552"/>
      <c r="J376" s="709" t="s">
        <v>7386</v>
      </c>
      <c r="K376" s="709"/>
      <c r="L376" s="552"/>
      <c r="M376" s="552"/>
      <c r="N376" s="552"/>
      <c r="O376" s="552"/>
      <c r="P376" s="552"/>
      <c r="Q376" s="552"/>
      <c r="R376" s="552"/>
      <c r="S376" s="552"/>
      <c r="T376" s="552"/>
      <c r="U376" s="552"/>
      <c r="V376" s="552"/>
      <c r="W376" s="552"/>
      <c r="X376" s="552"/>
      <c r="Y376" s="552"/>
      <c r="Z376" s="552"/>
      <c r="AA376" s="552"/>
      <c r="AB376" s="552"/>
      <c r="AC376" s="552"/>
      <c r="AD376" s="552"/>
      <c r="AE376" s="552"/>
      <c r="AF376" s="552"/>
      <c r="AG376" s="552"/>
      <c r="AH376" s="552"/>
      <c r="AI376" s="552"/>
      <c r="AJ376" s="552"/>
      <c r="AK376" s="552"/>
      <c r="AL376" s="552"/>
      <c r="AM376" s="552"/>
      <c r="AN376" s="552"/>
      <c r="AO376" s="552"/>
      <c r="AP376" s="709" t="s">
        <v>7387</v>
      </c>
      <c r="AQ376" s="552" t="s">
        <v>1186</v>
      </c>
      <c r="AR376" s="552" t="s">
        <v>2809</v>
      </c>
      <c r="AS376" s="552" t="s">
        <v>6967</v>
      </c>
      <c r="AT376" s="552" t="s">
        <v>7365</v>
      </c>
    </row>
    <row r="377" spans="1:46" ht="14.7" customHeight="1">
      <c r="A377" s="706"/>
      <c r="B377" s="344" t="s">
        <v>3699</v>
      </c>
      <c r="C377" s="539" t="s">
        <v>6869</v>
      </c>
      <c r="D377" s="539" t="s">
        <v>2783</v>
      </c>
      <c r="E377" s="539"/>
      <c r="F377" s="539"/>
      <c r="G377" s="539"/>
      <c r="H377" s="552"/>
      <c r="I377" s="552"/>
      <c r="J377" s="552"/>
      <c r="K377" s="552"/>
      <c r="L377" s="552"/>
      <c r="M377" s="552"/>
      <c r="N377" s="552"/>
      <c r="O377" s="552"/>
      <c r="P377" s="552"/>
      <c r="Q377" s="552"/>
      <c r="R377" s="552"/>
      <c r="S377" s="552"/>
      <c r="T377" s="552"/>
      <c r="U377" s="552"/>
      <c r="V377" s="552"/>
      <c r="W377" s="552"/>
      <c r="X377" s="552"/>
      <c r="Y377" s="552"/>
      <c r="Z377" s="552"/>
      <c r="AA377" s="552"/>
      <c r="AB377" s="552"/>
      <c r="AC377" s="552"/>
      <c r="AD377" s="552"/>
      <c r="AE377" s="552"/>
      <c r="AF377" s="552"/>
      <c r="AG377" s="552"/>
      <c r="AH377" s="552"/>
      <c r="AI377" s="552"/>
      <c r="AJ377" s="552"/>
      <c r="AK377" s="552"/>
      <c r="AL377" s="552"/>
      <c r="AM377" s="552"/>
      <c r="AN377" s="552"/>
      <c r="AO377" s="552"/>
      <c r="AP377" s="552"/>
      <c r="AQ377" s="552" t="s">
        <v>1186</v>
      </c>
      <c r="AR377" s="552" t="s">
        <v>2809</v>
      </c>
      <c r="AS377" s="552" t="s">
        <v>6967</v>
      </c>
      <c r="AT377" s="552" t="s">
        <v>7365</v>
      </c>
    </row>
    <row r="378" spans="1:46" ht="14.7" customHeight="1">
      <c r="A378" s="706"/>
      <c r="B378" s="344" t="s">
        <v>3699</v>
      </c>
      <c r="C378" s="539" t="s">
        <v>6869</v>
      </c>
      <c r="D378" s="539" t="s">
        <v>2783</v>
      </c>
      <c r="E378" s="539"/>
      <c r="F378" s="539"/>
      <c r="G378" s="539"/>
      <c r="H378" s="552"/>
      <c r="I378" s="552"/>
      <c r="J378" s="552"/>
      <c r="K378" s="552"/>
      <c r="L378" s="552"/>
      <c r="M378" s="552"/>
      <c r="N378" s="552"/>
      <c r="O378" s="552"/>
      <c r="P378" s="552"/>
      <c r="Q378" s="552"/>
      <c r="R378" s="552"/>
      <c r="S378" s="552"/>
      <c r="T378" s="552"/>
      <c r="U378" s="552"/>
      <c r="V378" s="552"/>
      <c r="W378" s="552"/>
      <c r="X378" s="552"/>
      <c r="Y378" s="552"/>
      <c r="Z378" s="552"/>
      <c r="AA378" s="552"/>
      <c r="AB378" s="552"/>
      <c r="AC378" s="552"/>
      <c r="AD378" s="552"/>
      <c r="AE378" s="552"/>
      <c r="AF378" s="552"/>
      <c r="AG378" s="552"/>
      <c r="AH378" s="552"/>
      <c r="AI378" s="552"/>
      <c r="AJ378" s="552"/>
      <c r="AK378" s="552"/>
      <c r="AL378" s="552"/>
      <c r="AM378" s="552"/>
      <c r="AN378" s="552"/>
      <c r="AO378" s="552"/>
      <c r="AP378" s="552"/>
      <c r="AQ378" s="552" t="s">
        <v>1186</v>
      </c>
      <c r="AR378" s="552" t="s">
        <v>2809</v>
      </c>
      <c r="AS378" s="552" t="s">
        <v>6967</v>
      </c>
      <c r="AT378" s="552" t="s">
        <v>7365</v>
      </c>
    </row>
    <row r="379" spans="1:46" ht="14.7" customHeight="1">
      <c r="A379" s="710" t="s">
        <v>6223</v>
      </c>
      <c r="B379" s="559" t="s">
        <v>3700</v>
      </c>
      <c r="C379" s="539" t="s">
        <v>6869</v>
      </c>
      <c r="D379" s="709" t="s">
        <v>7388</v>
      </c>
      <c r="E379" s="552" t="s">
        <v>6925</v>
      </c>
      <c r="F379" s="552" t="s">
        <v>7363</v>
      </c>
      <c r="G379" s="552" t="s">
        <v>7364</v>
      </c>
      <c r="H379" s="552"/>
      <c r="I379" s="552"/>
      <c r="J379" s="709" t="s">
        <v>7389</v>
      </c>
      <c r="K379" s="709"/>
      <c r="L379" s="552"/>
      <c r="M379" s="552"/>
      <c r="N379" s="552"/>
      <c r="O379" s="552"/>
      <c r="P379" s="552"/>
      <c r="Q379" s="552"/>
      <c r="R379" s="552"/>
      <c r="S379" s="552"/>
      <c r="T379" s="552"/>
      <c r="U379" s="552"/>
      <c r="V379" s="552"/>
      <c r="W379" s="552"/>
      <c r="X379" s="552"/>
      <c r="Y379" s="552"/>
      <c r="Z379" s="552"/>
      <c r="AA379" s="552"/>
      <c r="AB379" s="552"/>
      <c r="AC379" s="552"/>
      <c r="AD379" s="552"/>
      <c r="AE379" s="552"/>
      <c r="AF379" s="552"/>
      <c r="AG379" s="552"/>
      <c r="AH379" s="552"/>
      <c r="AI379" s="552"/>
      <c r="AJ379" s="552"/>
      <c r="AK379" s="552"/>
      <c r="AL379" s="552"/>
      <c r="AM379" s="552"/>
      <c r="AN379" s="552"/>
      <c r="AO379" s="709" t="s">
        <v>7390</v>
      </c>
      <c r="AP379" s="709"/>
      <c r="AQ379" s="552" t="s">
        <v>1186</v>
      </c>
      <c r="AR379" s="552" t="s">
        <v>2971</v>
      </c>
      <c r="AS379" s="552" t="s">
        <v>6967</v>
      </c>
      <c r="AT379" s="552" t="s">
        <v>7365</v>
      </c>
    </row>
    <row r="380" spans="1:46" ht="14.7" customHeight="1">
      <c r="A380" s="710" t="s">
        <v>6224</v>
      </c>
      <c r="B380" s="559" t="s">
        <v>3700</v>
      </c>
      <c r="C380" s="539" t="s">
        <v>6869</v>
      </c>
      <c r="D380" s="709" t="s">
        <v>7391</v>
      </c>
      <c r="E380" s="552" t="s">
        <v>6925</v>
      </c>
      <c r="F380" s="552" t="s">
        <v>7363</v>
      </c>
      <c r="G380" s="552" t="s">
        <v>7364</v>
      </c>
      <c r="H380" s="552"/>
      <c r="I380" s="552"/>
      <c r="J380" s="709" t="s">
        <v>7392</v>
      </c>
      <c r="K380" s="709"/>
      <c r="L380" s="552"/>
      <c r="M380" s="552"/>
      <c r="N380" s="552"/>
      <c r="O380" s="552"/>
      <c r="P380" s="552"/>
      <c r="Q380" s="552"/>
      <c r="R380" s="552"/>
      <c r="S380" s="552"/>
      <c r="T380" s="552"/>
      <c r="U380" s="552"/>
      <c r="V380" s="552"/>
      <c r="W380" s="552"/>
      <c r="X380" s="552"/>
      <c r="Y380" s="552"/>
      <c r="Z380" s="552"/>
      <c r="AA380" s="552"/>
      <c r="AB380" s="552"/>
      <c r="AC380" s="552"/>
      <c r="AD380" s="552"/>
      <c r="AE380" s="552"/>
      <c r="AF380" s="552"/>
      <c r="AG380" s="552"/>
      <c r="AH380" s="552"/>
      <c r="AI380" s="552"/>
      <c r="AJ380" s="552"/>
      <c r="AK380" s="552"/>
      <c r="AL380" s="552"/>
      <c r="AM380" s="552"/>
      <c r="AN380" s="552"/>
      <c r="AO380" s="552"/>
      <c r="AP380" s="713" t="s">
        <v>7393</v>
      </c>
      <c r="AQ380" s="552" t="s">
        <v>1186</v>
      </c>
      <c r="AR380" s="552" t="s">
        <v>2971</v>
      </c>
      <c r="AS380" s="552" t="s">
        <v>6967</v>
      </c>
      <c r="AT380" s="552" t="s">
        <v>7365</v>
      </c>
    </row>
    <row r="381" spans="1:46" ht="14.7" customHeight="1">
      <c r="A381" s="710"/>
      <c r="B381" s="711" t="s">
        <v>6055</v>
      </c>
      <c r="C381" s="539" t="s">
        <v>6869</v>
      </c>
      <c r="D381" s="709"/>
      <c r="E381" s="552"/>
      <c r="F381" s="552"/>
      <c r="G381" s="552"/>
      <c r="H381" s="552"/>
      <c r="I381" s="552"/>
      <c r="J381" s="709"/>
      <c r="K381" s="552"/>
      <c r="L381" s="552"/>
      <c r="M381" s="552"/>
      <c r="N381" s="552"/>
      <c r="O381" s="552"/>
      <c r="P381" s="552"/>
      <c r="Q381" s="552"/>
      <c r="R381" s="552"/>
      <c r="S381" s="552"/>
      <c r="T381" s="552"/>
      <c r="U381" s="552"/>
      <c r="V381" s="552"/>
      <c r="W381" s="552"/>
      <c r="X381" s="552"/>
      <c r="Y381" s="552"/>
      <c r="Z381" s="552"/>
      <c r="AA381" s="552"/>
      <c r="AB381" s="552"/>
      <c r="AC381" s="552"/>
      <c r="AD381" s="552"/>
      <c r="AE381" s="552"/>
      <c r="AF381" s="552"/>
      <c r="AG381" s="552"/>
      <c r="AH381" s="552"/>
      <c r="AI381" s="552"/>
      <c r="AJ381" s="552"/>
      <c r="AK381" s="552"/>
      <c r="AL381" s="552"/>
      <c r="AM381" s="552"/>
      <c r="AN381" s="552"/>
      <c r="AO381" s="552"/>
      <c r="AP381" s="713"/>
      <c r="AQ381" s="552" t="s">
        <v>1186</v>
      </c>
      <c r="AR381" s="552" t="s">
        <v>6697</v>
      </c>
      <c r="AS381" s="552" t="s">
        <v>6967</v>
      </c>
      <c r="AT381" s="552" t="s">
        <v>7365</v>
      </c>
    </row>
    <row r="382" spans="1:46" ht="14.7" customHeight="1">
      <c r="A382" s="706" t="s">
        <v>6225</v>
      </c>
      <c r="B382" s="540" t="s">
        <v>3695</v>
      </c>
      <c r="C382" s="539" t="s">
        <v>6869</v>
      </c>
      <c r="D382" s="709" t="s">
        <v>7394</v>
      </c>
      <c r="E382" s="552" t="s">
        <v>6871</v>
      </c>
      <c r="F382" s="552" t="s">
        <v>7363</v>
      </c>
      <c r="G382" s="552" t="s">
        <v>7395</v>
      </c>
      <c r="H382" s="552"/>
      <c r="I382" s="713" t="s">
        <v>7396</v>
      </c>
      <c r="J382" s="709" t="s">
        <v>6883</v>
      </c>
      <c r="K382" s="709"/>
      <c r="L382" s="709"/>
      <c r="M382" s="552"/>
      <c r="N382" s="552"/>
      <c r="O382" s="552"/>
      <c r="P382" s="552"/>
      <c r="Q382" s="552"/>
      <c r="R382" s="552"/>
      <c r="S382" s="552"/>
      <c r="T382" s="552"/>
      <c r="U382" s="552"/>
      <c r="V382" s="552"/>
      <c r="W382" s="552"/>
      <c r="X382" s="552"/>
      <c r="Y382" s="552"/>
      <c r="Z382" s="552"/>
      <c r="AA382" s="552"/>
      <c r="AB382" s="552"/>
      <c r="AC382" s="552"/>
      <c r="AD382" s="552"/>
      <c r="AE382" s="552"/>
      <c r="AF382" s="552"/>
      <c r="AG382" s="552"/>
      <c r="AH382" s="552"/>
      <c r="AI382" s="552"/>
      <c r="AJ382" s="552"/>
      <c r="AK382" s="552"/>
      <c r="AL382" s="552"/>
      <c r="AM382" s="552"/>
      <c r="AN382" s="552"/>
      <c r="AO382" s="552"/>
      <c r="AP382" s="552"/>
      <c r="AQ382" s="552" t="s">
        <v>1186</v>
      </c>
      <c r="AR382" s="552" t="s">
        <v>2802</v>
      </c>
      <c r="AS382" s="552" t="s">
        <v>6967</v>
      </c>
      <c r="AT382" s="552" t="s">
        <v>7365</v>
      </c>
    </row>
    <row r="383" spans="1:46" ht="14.7" customHeight="1">
      <c r="A383" s="706"/>
      <c r="B383" s="540" t="s">
        <v>3695</v>
      </c>
      <c r="C383" s="539" t="s">
        <v>6869</v>
      </c>
      <c r="D383" s="539" t="s">
        <v>2783</v>
      </c>
      <c r="E383" s="539"/>
      <c r="F383" s="539"/>
      <c r="G383" s="539"/>
      <c r="H383" s="552"/>
      <c r="I383" s="552"/>
      <c r="J383" s="552"/>
      <c r="K383" s="552"/>
      <c r="L383" s="552"/>
      <c r="M383" s="552"/>
      <c r="N383" s="552"/>
      <c r="O383" s="552"/>
      <c r="P383" s="552"/>
      <c r="Q383" s="552"/>
      <c r="R383" s="552"/>
      <c r="S383" s="552"/>
      <c r="T383" s="552"/>
      <c r="U383" s="552"/>
      <c r="V383" s="552"/>
      <c r="W383" s="552"/>
      <c r="X383" s="552"/>
      <c r="Y383" s="552"/>
      <c r="Z383" s="552"/>
      <c r="AA383" s="552"/>
      <c r="AB383" s="552"/>
      <c r="AC383" s="552"/>
      <c r="AD383" s="552"/>
      <c r="AE383" s="552"/>
      <c r="AF383" s="552"/>
      <c r="AG383" s="552"/>
      <c r="AH383" s="552"/>
      <c r="AI383" s="552"/>
      <c r="AJ383" s="552"/>
      <c r="AK383" s="552"/>
      <c r="AL383" s="552"/>
      <c r="AM383" s="552"/>
      <c r="AN383" s="552"/>
      <c r="AO383" s="552"/>
      <c r="AP383" s="552"/>
      <c r="AQ383" s="552" t="s">
        <v>1186</v>
      </c>
      <c r="AR383" s="552" t="s">
        <v>2802</v>
      </c>
      <c r="AS383" s="552" t="s">
        <v>6967</v>
      </c>
      <c r="AT383" s="552" t="s">
        <v>7365</v>
      </c>
    </row>
    <row r="384" spans="1:46" ht="14.7" customHeight="1">
      <c r="A384" s="706" t="s">
        <v>7397</v>
      </c>
      <c r="B384" s="707" t="s">
        <v>3696</v>
      </c>
      <c r="C384" s="539" t="s">
        <v>6869</v>
      </c>
      <c r="D384" s="709" t="s">
        <v>7398</v>
      </c>
      <c r="E384" s="552" t="s">
        <v>6871</v>
      </c>
      <c r="F384" s="552" t="s">
        <v>7363</v>
      </c>
      <c r="G384" s="552" t="s">
        <v>7395</v>
      </c>
      <c r="H384" s="552"/>
      <c r="I384" s="713" t="s">
        <v>7396</v>
      </c>
      <c r="J384" s="709" t="s">
        <v>6990</v>
      </c>
      <c r="K384" s="709"/>
      <c r="L384" s="709"/>
      <c r="M384" s="552"/>
      <c r="N384" s="552"/>
      <c r="O384" s="552"/>
      <c r="P384" s="552"/>
      <c r="Q384" s="552"/>
      <c r="R384" s="552"/>
      <c r="S384" s="552"/>
      <c r="T384" s="552"/>
      <c r="U384" s="552"/>
      <c r="V384" s="552"/>
      <c r="W384" s="552"/>
      <c r="X384" s="552"/>
      <c r="Y384" s="552"/>
      <c r="Z384" s="552"/>
      <c r="AA384" s="552"/>
      <c r="AB384" s="552"/>
      <c r="AC384" s="552"/>
      <c r="AD384" s="552"/>
      <c r="AE384" s="552"/>
      <c r="AF384" s="552"/>
      <c r="AG384" s="552"/>
      <c r="AH384" s="552"/>
      <c r="AI384" s="552"/>
      <c r="AJ384" s="552"/>
      <c r="AK384" s="552"/>
      <c r="AL384" s="552"/>
      <c r="AM384" s="552"/>
      <c r="AN384" s="552"/>
      <c r="AO384" s="552"/>
      <c r="AP384" s="552" t="s">
        <v>7399</v>
      </c>
      <c r="AQ384" s="552" t="s">
        <v>1186</v>
      </c>
      <c r="AR384" s="552" t="s">
        <v>2805</v>
      </c>
      <c r="AS384" s="552" t="s">
        <v>6967</v>
      </c>
      <c r="AT384" s="552" t="s">
        <v>7365</v>
      </c>
    </row>
    <row r="385" spans="1:46" ht="14.7" customHeight="1">
      <c r="A385" s="706"/>
      <c r="B385" s="707" t="s">
        <v>3696</v>
      </c>
      <c r="C385" s="539" t="s">
        <v>6869</v>
      </c>
      <c r="D385" s="539" t="s">
        <v>2783</v>
      </c>
      <c r="E385" s="539"/>
      <c r="F385" s="539"/>
      <c r="G385" s="539"/>
      <c r="H385" s="552"/>
      <c r="I385" s="552"/>
      <c r="J385" s="552"/>
      <c r="K385" s="552"/>
      <c r="L385" s="552"/>
      <c r="M385" s="552"/>
      <c r="N385" s="552"/>
      <c r="O385" s="552"/>
      <c r="P385" s="552"/>
      <c r="Q385" s="552"/>
      <c r="R385" s="552"/>
      <c r="S385" s="552"/>
      <c r="T385" s="552"/>
      <c r="U385" s="552"/>
      <c r="V385" s="552"/>
      <c r="W385" s="552"/>
      <c r="X385" s="552"/>
      <c r="Y385" s="552"/>
      <c r="Z385" s="552"/>
      <c r="AA385" s="552"/>
      <c r="AB385" s="552"/>
      <c r="AC385" s="552"/>
      <c r="AD385" s="552"/>
      <c r="AE385" s="552"/>
      <c r="AF385" s="552"/>
      <c r="AG385" s="552"/>
      <c r="AH385" s="552"/>
      <c r="AI385" s="552"/>
      <c r="AJ385" s="552"/>
      <c r="AK385" s="552"/>
      <c r="AL385" s="552"/>
      <c r="AM385" s="552"/>
      <c r="AN385" s="552"/>
      <c r="AO385" s="552"/>
      <c r="AP385" s="552"/>
      <c r="AQ385" s="552" t="s">
        <v>1186</v>
      </c>
      <c r="AR385" s="552" t="s">
        <v>2805</v>
      </c>
      <c r="AS385" s="552" t="s">
        <v>6967</v>
      </c>
      <c r="AT385" s="552" t="s">
        <v>7365</v>
      </c>
    </row>
    <row r="386" spans="1:46" ht="14.7" customHeight="1">
      <c r="A386" s="706"/>
      <c r="B386" s="556" t="s">
        <v>3697</v>
      </c>
      <c r="C386" s="539" t="s">
        <v>6869</v>
      </c>
      <c r="D386" s="539" t="s">
        <v>2783</v>
      </c>
      <c r="E386" s="539"/>
      <c r="F386" s="539"/>
      <c r="G386" s="539"/>
      <c r="H386" s="552"/>
      <c r="I386" s="552"/>
      <c r="J386" s="552"/>
      <c r="K386" s="552"/>
      <c r="L386" s="552"/>
      <c r="M386" s="552"/>
      <c r="N386" s="552"/>
      <c r="O386" s="552"/>
      <c r="P386" s="552"/>
      <c r="Q386" s="552"/>
      <c r="R386" s="552"/>
      <c r="S386" s="552"/>
      <c r="T386" s="552"/>
      <c r="U386" s="552"/>
      <c r="V386" s="552"/>
      <c r="W386" s="552"/>
      <c r="X386" s="552"/>
      <c r="Y386" s="552"/>
      <c r="Z386" s="552"/>
      <c r="AA386" s="552"/>
      <c r="AB386" s="552"/>
      <c r="AC386" s="552"/>
      <c r="AD386" s="552"/>
      <c r="AE386" s="552"/>
      <c r="AF386" s="552"/>
      <c r="AG386" s="552"/>
      <c r="AH386" s="552"/>
      <c r="AI386" s="552"/>
      <c r="AJ386" s="552"/>
      <c r="AK386" s="552"/>
      <c r="AL386" s="552"/>
      <c r="AM386" s="552"/>
      <c r="AN386" s="552"/>
      <c r="AO386" s="552"/>
      <c r="AP386" s="552"/>
      <c r="AQ386" s="552" t="s">
        <v>1186</v>
      </c>
      <c r="AR386" s="552" t="s">
        <v>2875</v>
      </c>
      <c r="AS386" s="552" t="s">
        <v>6967</v>
      </c>
      <c r="AT386" s="552" t="s">
        <v>7365</v>
      </c>
    </row>
    <row r="387" spans="1:46" ht="14.7" customHeight="1">
      <c r="A387" s="706" t="s">
        <v>6226</v>
      </c>
      <c r="B387" s="556" t="s">
        <v>3697</v>
      </c>
      <c r="C387" s="539" t="s">
        <v>6869</v>
      </c>
      <c r="D387" s="709" t="s">
        <v>7400</v>
      </c>
      <c r="E387" s="552" t="s">
        <v>6871</v>
      </c>
      <c r="F387" s="552" t="s">
        <v>7363</v>
      </c>
      <c r="G387" s="552" t="s">
        <v>7395</v>
      </c>
      <c r="H387" s="552"/>
      <c r="I387" s="713" t="s">
        <v>7396</v>
      </c>
      <c r="J387" s="709" t="s">
        <v>6929</v>
      </c>
      <c r="K387" s="709"/>
      <c r="L387" s="709"/>
      <c r="M387" s="552"/>
      <c r="N387" s="552"/>
      <c r="O387" s="552"/>
      <c r="P387" s="552"/>
      <c r="Q387" s="552"/>
      <c r="R387" s="552"/>
      <c r="S387" s="552"/>
      <c r="T387" s="552"/>
      <c r="U387" s="552"/>
      <c r="V387" s="552"/>
      <c r="W387" s="552"/>
      <c r="X387" s="552"/>
      <c r="Y387" s="552"/>
      <c r="Z387" s="552"/>
      <c r="AA387" s="552"/>
      <c r="AB387" s="552"/>
      <c r="AC387" s="552"/>
      <c r="AD387" s="552"/>
      <c r="AE387" s="552"/>
      <c r="AF387" s="552"/>
      <c r="AG387" s="552"/>
      <c r="AH387" s="552"/>
      <c r="AI387" s="552"/>
      <c r="AJ387" s="552"/>
      <c r="AK387" s="552"/>
      <c r="AL387" s="552"/>
      <c r="AM387" s="552"/>
      <c r="AN387" s="552"/>
      <c r="AO387" s="552"/>
      <c r="AP387" s="552"/>
      <c r="AQ387" s="552" t="s">
        <v>1186</v>
      </c>
      <c r="AR387" s="552" t="s">
        <v>2875</v>
      </c>
      <c r="AS387" s="552" t="s">
        <v>6967</v>
      </c>
      <c r="AT387" s="552" t="s">
        <v>7365</v>
      </c>
    </row>
    <row r="388" spans="1:46" ht="14.7" customHeight="1">
      <c r="A388" s="706"/>
      <c r="B388" s="556" t="s">
        <v>3697</v>
      </c>
      <c r="C388" s="539" t="s">
        <v>6869</v>
      </c>
      <c r="D388" s="539" t="s">
        <v>2783</v>
      </c>
      <c r="E388" s="539"/>
      <c r="F388" s="539"/>
      <c r="G388" s="539"/>
      <c r="H388" s="552"/>
      <c r="I388" s="552"/>
      <c r="J388" s="552"/>
      <c r="K388" s="552"/>
      <c r="L388" s="552"/>
      <c r="M388" s="552"/>
      <c r="N388" s="552"/>
      <c r="O388" s="552"/>
      <c r="P388" s="552"/>
      <c r="Q388" s="552"/>
      <c r="R388" s="552"/>
      <c r="S388" s="552"/>
      <c r="T388" s="552"/>
      <c r="U388" s="552"/>
      <c r="V388" s="552"/>
      <c r="W388" s="552"/>
      <c r="X388" s="552"/>
      <c r="Y388" s="552"/>
      <c r="Z388" s="552"/>
      <c r="AA388" s="552"/>
      <c r="AB388" s="552"/>
      <c r="AC388" s="552"/>
      <c r="AD388" s="552"/>
      <c r="AE388" s="552"/>
      <c r="AF388" s="552"/>
      <c r="AG388" s="552"/>
      <c r="AH388" s="552"/>
      <c r="AI388" s="552"/>
      <c r="AJ388" s="552"/>
      <c r="AK388" s="552"/>
      <c r="AL388" s="552"/>
      <c r="AM388" s="552"/>
      <c r="AN388" s="552"/>
      <c r="AO388" s="552"/>
      <c r="AP388" s="552"/>
      <c r="AQ388" s="552" t="s">
        <v>1186</v>
      </c>
      <c r="AR388" s="552" t="s">
        <v>2875</v>
      </c>
      <c r="AS388" s="552" t="s">
        <v>6967</v>
      </c>
      <c r="AT388" s="552" t="s">
        <v>7365</v>
      </c>
    </row>
    <row r="389" spans="1:46" ht="14.7" customHeight="1">
      <c r="A389" s="710" t="s">
        <v>6227</v>
      </c>
      <c r="B389" s="557" t="s">
        <v>3698</v>
      </c>
      <c r="C389" s="539" t="s">
        <v>6869</v>
      </c>
      <c r="D389" s="709" t="s">
        <v>7401</v>
      </c>
      <c r="E389" s="552" t="s">
        <v>6871</v>
      </c>
      <c r="F389" s="552" t="s">
        <v>7363</v>
      </c>
      <c r="G389" s="552" t="s">
        <v>7395</v>
      </c>
      <c r="H389" s="552"/>
      <c r="I389" s="713" t="s">
        <v>7402</v>
      </c>
      <c r="J389" s="709" t="s">
        <v>6929</v>
      </c>
      <c r="K389" s="709" t="s">
        <v>7403</v>
      </c>
      <c r="L389" s="709"/>
      <c r="M389" s="709"/>
      <c r="N389" s="709"/>
      <c r="O389" s="709"/>
      <c r="P389" s="552"/>
      <c r="Q389" s="552"/>
      <c r="R389" s="552"/>
      <c r="S389" s="552"/>
      <c r="T389" s="552"/>
      <c r="U389" s="552"/>
      <c r="V389" s="552"/>
      <c r="W389" s="552"/>
      <c r="X389" s="552"/>
      <c r="Y389" s="552"/>
      <c r="Z389" s="552"/>
      <c r="AA389" s="552"/>
      <c r="AB389" s="552"/>
      <c r="AC389" s="552"/>
      <c r="AD389" s="552"/>
      <c r="AE389" s="552"/>
      <c r="AF389" s="552"/>
      <c r="AG389" s="552"/>
      <c r="AH389" s="552"/>
      <c r="AI389" s="552"/>
      <c r="AJ389" s="552"/>
      <c r="AK389" s="552"/>
      <c r="AL389" s="552"/>
      <c r="AM389" s="552"/>
      <c r="AN389" s="552"/>
      <c r="AO389" s="552"/>
      <c r="AP389" s="552"/>
      <c r="AQ389" s="552" t="s">
        <v>1186</v>
      </c>
      <c r="AR389" s="552" t="s">
        <v>2998</v>
      </c>
      <c r="AS389" s="552" t="s">
        <v>6967</v>
      </c>
      <c r="AT389" s="552" t="s">
        <v>7365</v>
      </c>
    </row>
    <row r="390" spans="1:46" ht="14.7" customHeight="1">
      <c r="A390" s="706"/>
      <c r="B390" s="557" t="s">
        <v>3698</v>
      </c>
      <c r="C390" s="539" t="s">
        <v>6869</v>
      </c>
      <c r="D390" s="539" t="s">
        <v>2783</v>
      </c>
      <c r="E390" s="539"/>
      <c r="F390" s="539"/>
      <c r="G390" s="539"/>
      <c r="H390" s="552"/>
      <c r="I390" s="552"/>
      <c r="J390" s="552"/>
      <c r="K390" s="552"/>
      <c r="L390" s="552"/>
      <c r="M390" s="552"/>
      <c r="N390" s="552"/>
      <c r="O390" s="552"/>
      <c r="P390" s="552"/>
      <c r="Q390" s="552"/>
      <c r="R390" s="552"/>
      <c r="S390" s="552"/>
      <c r="T390" s="552"/>
      <c r="U390" s="552"/>
      <c r="V390" s="552"/>
      <c r="W390" s="552"/>
      <c r="X390" s="552"/>
      <c r="Y390" s="552"/>
      <c r="Z390" s="552"/>
      <c r="AA390" s="552"/>
      <c r="AB390" s="552"/>
      <c r="AC390" s="552"/>
      <c r="AD390" s="552"/>
      <c r="AE390" s="552"/>
      <c r="AF390" s="552"/>
      <c r="AG390" s="552"/>
      <c r="AH390" s="552"/>
      <c r="AI390" s="552"/>
      <c r="AJ390" s="552"/>
      <c r="AK390" s="552"/>
      <c r="AL390" s="552"/>
      <c r="AM390" s="552"/>
      <c r="AN390" s="552"/>
      <c r="AO390" s="552"/>
      <c r="AP390" s="552"/>
      <c r="AQ390" s="552" t="s">
        <v>1186</v>
      </c>
      <c r="AR390" s="552" t="s">
        <v>2998</v>
      </c>
      <c r="AS390" s="552" t="s">
        <v>6967</v>
      </c>
      <c r="AT390" s="552" t="s">
        <v>7365</v>
      </c>
    </row>
    <row r="391" spans="1:46" ht="14.7" customHeight="1">
      <c r="A391" s="706"/>
      <c r="B391" s="557" t="s">
        <v>3698</v>
      </c>
      <c r="C391" s="539" t="s">
        <v>6869</v>
      </c>
      <c r="D391" s="539" t="s">
        <v>2783</v>
      </c>
      <c r="E391" s="539"/>
      <c r="F391" s="539"/>
      <c r="G391" s="539"/>
      <c r="H391" s="552"/>
      <c r="I391" s="552"/>
      <c r="J391" s="552"/>
      <c r="K391" s="552"/>
      <c r="L391" s="552"/>
      <c r="M391" s="552"/>
      <c r="N391" s="552"/>
      <c r="O391" s="552"/>
      <c r="P391" s="552"/>
      <c r="Q391" s="552"/>
      <c r="R391" s="552"/>
      <c r="S391" s="552"/>
      <c r="T391" s="552"/>
      <c r="U391" s="552"/>
      <c r="V391" s="552"/>
      <c r="W391" s="552"/>
      <c r="X391" s="552"/>
      <c r="Y391" s="552"/>
      <c r="Z391" s="552"/>
      <c r="AA391" s="552"/>
      <c r="AB391" s="552"/>
      <c r="AC391" s="552"/>
      <c r="AD391" s="552"/>
      <c r="AE391" s="552"/>
      <c r="AF391" s="552"/>
      <c r="AG391" s="552"/>
      <c r="AH391" s="552"/>
      <c r="AI391" s="552"/>
      <c r="AJ391" s="552"/>
      <c r="AK391" s="552"/>
      <c r="AL391" s="552"/>
      <c r="AM391" s="552"/>
      <c r="AN391" s="552"/>
      <c r="AO391" s="552"/>
      <c r="AP391" s="552"/>
      <c r="AQ391" s="552" t="s">
        <v>1186</v>
      </c>
      <c r="AR391" s="552" t="s">
        <v>2998</v>
      </c>
      <c r="AS391" s="552" t="s">
        <v>6967</v>
      </c>
      <c r="AT391" s="552" t="s">
        <v>7365</v>
      </c>
    </row>
    <row r="392" spans="1:46" ht="14.7" customHeight="1">
      <c r="A392" s="706"/>
      <c r="B392" s="557" t="s">
        <v>3698</v>
      </c>
      <c r="C392" s="539" t="s">
        <v>6869</v>
      </c>
      <c r="D392" s="539" t="s">
        <v>2783</v>
      </c>
      <c r="E392" s="539"/>
      <c r="F392" s="539"/>
      <c r="G392" s="539"/>
      <c r="H392" s="552"/>
      <c r="I392" s="552"/>
      <c r="J392" s="552"/>
      <c r="K392" s="552"/>
      <c r="L392" s="552"/>
      <c r="M392" s="552"/>
      <c r="N392" s="552"/>
      <c r="O392" s="552"/>
      <c r="P392" s="552"/>
      <c r="Q392" s="552"/>
      <c r="R392" s="552"/>
      <c r="S392" s="552"/>
      <c r="T392" s="552"/>
      <c r="U392" s="552"/>
      <c r="V392" s="552"/>
      <c r="W392" s="552"/>
      <c r="X392" s="552"/>
      <c r="Y392" s="552"/>
      <c r="Z392" s="552"/>
      <c r="AA392" s="552"/>
      <c r="AB392" s="552"/>
      <c r="AC392" s="552"/>
      <c r="AD392" s="552"/>
      <c r="AE392" s="552"/>
      <c r="AF392" s="552"/>
      <c r="AG392" s="552"/>
      <c r="AH392" s="552"/>
      <c r="AI392" s="552"/>
      <c r="AJ392" s="552"/>
      <c r="AK392" s="552"/>
      <c r="AL392" s="552"/>
      <c r="AM392" s="552"/>
      <c r="AN392" s="552"/>
      <c r="AO392" s="552"/>
      <c r="AP392" s="552"/>
      <c r="AQ392" s="552" t="s">
        <v>1186</v>
      </c>
      <c r="AR392" s="552" t="s">
        <v>2998</v>
      </c>
      <c r="AS392" s="552" t="s">
        <v>6967</v>
      </c>
      <c r="AT392" s="552" t="s">
        <v>7365</v>
      </c>
    </row>
    <row r="393" spans="1:46" ht="14.7" customHeight="1">
      <c r="A393" s="710" t="s">
        <v>7404</v>
      </c>
      <c r="B393" s="344" t="s">
        <v>3699</v>
      </c>
      <c r="C393" s="539" t="s">
        <v>6869</v>
      </c>
      <c r="D393" s="709" t="s">
        <v>7405</v>
      </c>
      <c r="E393" s="552" t="s">
        <v>6871</v>
      </c>
      <c r="F393" s="552" t="s">
        <v>7363</v>
      </c>
      <c r="G393" s="552" t="s">
        <v>7395</v>
      </c>
      <c r="H393" s="552"/>
      <c r="I393" s="713" t="s">
        <v>7402</v>
      </c>
      <c r="J393" s="709" t="s">
        <v>7156</v>
      </c>
      <c r="K393" s="709"/>
      <c r="L393" s="709"/>
      <c r="M393" s="552"/>
      <c r="N393" s="552"/>
      <c r="O393" s="552"/>
      <c r="P393" s="552"/>
      <c r="Q393" s="552"/>
      <c r="R393" s="552"/>
      <c r="S393" s="552"/>
      <c r="T393" s="552"/>
      <c r="U393" s="552"/>
      <c r="V393" s="552"/>
      <c r="W393" s="552"/>
      <c r="X393" s="552"/>
      <c r="Y393" s="552"/>
      <c r="Z393" s="552"/>
      <c r="AA393" s="552"/>
      <c r="AB393" s="552"/>
      <c r="AC393" s="552"/>
      <c r="AD393" s="552"/>
      <c r="AE393" s="552"/>
      <c r="AF393" s="552"/>
      <c r="AG393" s="552"/>
      <c r="AH393" s="552"/>
      <c r="AI393" s="552"/>
      <c r="AJ393" s="552"/>
      <c r="AK393" s="552"/>
      <c r="AL393" s="552"/>
      <c r="AM393" s="552"/>
      <c r="AN393" s="552"/>
      <c r="AO393" s="552"/>
      <c r="AP393" s="712" t="s">
        <v>7406</v>
      </c>
      <c r="AQ393" s="552" t="s">
        <v>1186</v>
      </c>
      <c r="AR393" s="552" t="s">
        <v>2809</v>
      </c>
      <c r="AS393" s="552" t="s">
        <v>6967</v>
      </c>
      <c r="AT393" s="552" t="s">
        <v>7365</v>
      </c>
    </row>
    <row r="394" spans="1:46" ht="14.7" customHeight="1">
      <c r="A394" s="706"/>
      <c r="B394" s="344" t="s">
        <v>3699</v>
      </c>
      <c r="C394" s="539" t="s">
        <v>6869</v>
      </c>
      <c r="D394" s="539" t="s">
        <v>2783</v>
      </c>
      <c r="E394" s="539"/>
      <c r="F394" s="539"/>
      <c r="G394" s="539"/>
      <c r="H394" s="552"/>
      <c r="I394" s="552"/>
      <c r="J394" s="552"/>
      <c r="K394" s="552"/>
      <c r="L394" s="552"/>
      <c r="M394" s="552"/>
      <c r="N394" s="552"/>
      <c r="O394" s="552"/>
      <c r="P394" s="552"/>
      <c r="Q394" s="552"/>
      <c r="R394" s="552"/>
      <c r="S394" s="552"/>
      <c r="T394" s="552"/>
      <c r="U394" s="552"/>
      <c r="V394" s="552"/>
      <c r="W394" s="552"/>
      <c r="X394" s="552"/>
      <c r="Y394" s="552"/>
      <c r="Z394" s="552"/>
      <c r="AA394" s="552"/>
      <c r="AB394" s="552"/>
      <c r="AC394" s="552"/>
      <c r="AD394" s="552"/>
      <c r="AE394" s="552"/>
      <c r="AF394" s="552"/>
      <c r="AG394" s="552"/>
      <c r="AH394" s="552"/>
      <c r="AI394" s="552"/>
      <c r="AJ394" s="552"/>
      <c r="AK394" s="552"/>
      <c r="AL394" s="552"/>
      <c r="AM394" s="552"/>
      <c r="AN394" s="552"/>
      <c r="AO394" s="552"/>
      <c r="AP394" s="552"/>
      <c r="AQ394" s="552" t="s">
        <v>1186</v>
      </c>
      <c r="AR394" s="552" t="s">
        <v>2809</v>
      </c>
      <c r="AS394" s="552" t="s">
        <v>6967</v>
      </c>
      <c r="AT394" s="552" t="s">
        <v>7365</v>
      </c>
    </row>
    <row r="395" spans="1:46" ht="14.7" customHeight="1">
      <c r="A395" s="706"/>
      <c r="B395" s="344" t="s">
        <v>3699</v>
      </c>
      <c r="C395" s="539" t="s">
        <v>6869</v>
      </c>
      <c r="D395" s="539" t="s">
        <v>2783</v>
      </c>
      <c r="E395" s="539"/>
      <c r="F395" s="539"/>
      <c r="G395" s="539"/>
      <c r="H395" s="552"/>
      <c r="I395" s="552"/>
      <c r="J395" s="552"/>
      <c r="K395" s="552"/>
      <c r="L395" s="552"/>
      <c r="M395" s="552"/>
      <c r="N395" s="552"/>
      <c r="O395" s="552"/>
      <c r="P395" s="552"/>
      <c r="Q395" s="552"/>
      <c r="R395" s="552"/>
      <c r="S395" s="552"/>
      <c r="T395" s="552"/>
      <c r="U395" s="552"/>
      <c r="V395" s="552"/>
      <c r="W395" s="552"/>
      <c r="X395" s="552"/>
      <c r="Y395" s="552"/>
      <c r="Z395" s="552"/>
      <c r="AA395" s="552"/>
      <c r="AB395" s="552"/>
      <c r="AC395" s="552"/>
      <c r="AD395" s="552"/>
      <c r="AE395" s="552"/>
      <c r="AF395" s="552"/>
      <c r="AG395" s="552"/>
      <c r="AH395" s="552"/>
      <c r="AI395" s="552"/>
      <c r="AJ395" s="552"/>
      <c r="AK395" s="552"/>
      <c r="AL395" s="552"/>
      <c r="AM395" s="552"/>
      <c r="AN395" s="552"/>
      <c r="AO395" s="552"/>
      <c r="AP395" s="552"/>
      <c r="AQ395" s="552" t="s">
        <v>1186</v>
      </c>
      <c r="AR395" s="552" t="s">
        <v>2809</v>
      </c>
      <c r="AS395" s="552" t="s">
        <v>6967</v>
      </c>
      <c r="AT395" s="552" t="s">
        <v>7365</v>
      </c>
    </row>
    <row r="396" spans="1:46" ht="14.7" customHeight="1">
      <c r="A396" s="706"/>
      <c r="B396" s="344" t="s">
        <v>3699</v>
      </c>
      <c r="C396" s="539" t="s">
        <v>6869</v>
      </c>
      <c r="D396" s="539" t="s">
        <v>2783</v>
      </c>
      <c r="E396" s="539"/>
      <c r="F396" s="539"/>
      <c r="G396" s="539"/>
      <c r="H396" s="552"/>
      <c r="I396" s="552"/>
      <c r="J396" s="552"/>
      <c r="K396" s="552"/>
      <c r="L396" s="552"/>
      <c r="M396" s="552"/>
      <c r="N396" s="552"/>
      <c r="O396" s="552"/>
      <c r="P396" s="552"/>
      <c r="Q396" s="552"/>
      <c r="R396" s="552"/>
      <c r="S396" s="552"/>
      <c r="T396" s="552"/>
      <c r="U396" s="552"/>
      <c r="V396" s="552"/>
      <c r="W396" s="552"/>
      <c r="X396" s="552"/>
      <c r="Y396" s="552"/>
      <c r="Z396" s="552"/>
      <c r="AA396" s="552"/>
      <c r="AB396" s="552"/>
      <c r="AC396" s="552"/>
      <c r="AD396" s="552"/>
      <c r="AE396" s="552"/>
      <c r="AF396" s="552"/>
      <c r="AG396" s="552"/>
      <c r="AH396" s="552"/>
      <c r="AI396" s="552"/>
      <c r="AJ396" s="552"/>
      <c r="AK396" s="552"/>
      <c r="AL396" s="552"/>
      <c r="AM396" s="552"/>
      <c r="AN396" s="552"/>
      <c r="AO396" s="552"/>
      <c r="AP396" s="552"/>
      <c r="AQ396" s="552" t="s">
        <v>1186</v>
      </c>
      <c r="AR396" s="552" t="s">
        <v>2809</v>
      </c>
      <c r="AS396" s="552" t="s">
        <v>6967</v>
      </c>
      <c r="AT396" s="552" t="s">
        <v>7365</v>
      </c>
    </row>
    <row r="397" spans="1:46" ht="14.7" customHeight="1">
      <c r="A397" s="706"/>
      <c r="B397" s="344" t="s">
        <v>3699</v>
      </c>
      <c r="C397" s="539" t="s">
        <v>6869</v>
      </c>
      <c r="D397" s="539" t="s">
        <v>2783</v>
      </c>
      <c r="E397" s="539"/>
      <c r="F397" s="539"/>
      <c r="G397" s="539"/>
      <c r="H397" s="552"/>
      <c r="I397" s="552"/>
      <c r="J397" s="552"/>
      <c r="K397" s="552"/>
      <c r="L397" s="552"/>
      <c r="M397" s="552"/>
      <c r="N397" s="552"/>
      <c r="O397" s="552"/>
      <c r="P397" s="552"/>
      <c r="Q397" s="552"/>
      <c r="R397" s="552"/>
      <c r="S397" s="552"/>
      <c r="T397" s="552"/>
      <c r="U397" s="552"/>
      <c r="V397" s="552"/>
      <c r="W397" s="552"/>
      <c r="X397" s="552"/>
      <c r="Y397" s="552"/>
      <c r="Z397" s="552"/>
      <c r="AA397" s="552"/>
      <c r="AB397" s="552"/>
      <c r="AC397" s="552"/>
      <c r="AD397" s="552"/>
      <c r="AE397" s="552"/>
      <c r="AF397" s="552"/>
      <c r="AG397" s="552"/>
      <c r="AH397" s="552"/>
      <c r="AI397" s="552"/>
      <c r="AJ397" s="552"/>
      <c r="AK397" s="552"/>
      <c r="AL397" s="552"/>
      <c r="AM397" s="552"/>
      <c r="AN397" s="552"/>
      <c r="AO397" s="552"/>
      <c r="AP397" s="552"/>
      <c r="AQ397" s="552" t="s">
        <v>1186</v>
      </c>
      <c r="AR397" s="552" t="s">
        <v>2809</v>
      </c>
      <c r="AS397" s="552" t="s">
        <v>6967</v>
      </c>
      <c r="AT397" s="552" t="s">
        <v>7365</v>
      </c>
    </row>
    <row r="398" spans="1:46" ht="14.7" customHeight="1">
      <c r="A398" s="706"/>
      <c r="B398" s="559" t="s">
        <v>3700</v>
      </c>
      <c r="C398" s="539" t="s">
        <v>6869</v>
      </c>
      <c r="D398" s="539" t="s">
        <v>2783</v>
      </c>
      <c r="E398" s="539"/>
      <c r="F398" s="539"/>
      <c r="G398" s="539"/>
      <c r="H398" s="552"/>
      <c r="I398" s="552"/>
      <c r="J398" s="552"/>
      <c r="K398" s="552"/>
      <c r="L398" s="552"/>
      <c r="M398" s="552"/>
      <c r="N398" s="552"/>
      <c r="O398" s="552"/>
      <c r="P398" s="552"/>
      <c r="Q398" s="552"/>
      <c r="R398" s="552"/>
      <c r="S398" s="552"/>
      <c r="T398" s="552"/>
      <c r="U398" s="552"/>
      <c r="V398" s="552"/>
      <c r="W398" s="552"/>
      <c r="X398" s="552"/>
      <c r="Y398" s="552"/>
      <c r="Z398" s="552"/>
      <c r="AA398" s="552"/>
      <c r="AB398" s="552"/>
      <c r="AC398" s="552"/>
      <c r="AD398" s="552"/>
      <c r="AE398" s="552"/>
      <c r="AF398" s="552"/>
      <c r="AG398" s="552"/>
      <c r="AH398" s="552"/>
      <c r="AI398" s="552"/>
      <c r="AJ398" s="552"/>
      <c r="AK398" s="552"/>
      <c r="AL398" s="552"/>
      <c r="AM398" s="552"/>
      <c r="AN398" s="552"/>
      <c r="AO398" s="552"/>
      <c r="AP398" s="552"/>
      <c r="AQ398" s="552" t="s">
        <v>1186</v>
      </c>
      <c r="AR398" s="552" t="s">
        <v>2971</v>
      </c>
      <c r="AS398" s="552" t="s">
        <v>6967</v>
      </c>
      <c r="AT398" s="552" t="s">
        <v>7365</v>
      </c>
    </row>
    <row r="399" spans="1:46" ht="14.7" customHeight="1">
      <c r="A399" s="706"/>
      <c r="B399" s="559" t="s">
        <v>3700</v>
      </c>
      <c r="C399" s="539" t="s">
        <v>6869</v>
      </c>
      <c r="D399" s="539" t="s">
        <v>2783</v>
      </c>
      <c r="E399" s="539"/>
      <c r="F399" s="539"/>
      <c r="G399" s="539"/>
      <c r="H399" s="552"/>
      <c r="I399" s="552"/>
      <c r="J399" s="552"/>
      <c r="K399" s="552"/>
      <c r="L399" s="552"/>
      <c r="M399" s="552"/>
      <c r="N399" s="552"/>
      <c r="O399" s="552"/>
      <c r="P399" s="552"/>
      <c r="Q399" s="552"/>
      <c r="R399" s="552"/>
      <c r="S399" s="552"/>
      <c r="T399" s="552"/>
      <c r="U399" s="552"/>
      <c r="V399" s="552"/>
      <c r="W399" s="552"/>
      <c r="X399" s="552"/>
      <c r="Y399" s="552"/>
      <c r="Z399" s="552"/>
      <c r="AA399" s="552"/>
      <c r="AB399" s="552"/>
      <c r="AC399" s="552"/>
      <c r="AD399" s="552"/>
      <c r="AE399" s="552"/>
      <c r="AF399" s="552"/>
      <c r="AG399" s="552"/>
      <c r="AH399" s="552"/>
      <c r="AI399" s="552"/>
      <c r="AJ399" s="552"/>
      <c r="AK399" s="552"/>
      <c r="AL399" s="552"/>
      <c r="AM399" s="552"/>
      <c r="AN399" s="552"/>
      <c r="AO399" s="552"/>
      <c r="AP399" s="552"/>
      <c r="AQ399" s="552" t="s">
        <v>1186</v>
      </c>
      <c r="AR399" s="552" t="s">
        <v>2971</v>
      </c>
      <c r="AS399" s="552" t="s">
        <v>6967</v>
      </c>
      <c r="AT399" s="552" t="s">
        <v>7365</v>
      </c>
    </row>
    <row r="400" spans="1:46" ht="14.7" customHeight="1">
      <c r="A400" s="706"/>
      <c r="B400" s="711" t="s">
        <v>6055</v>
      </c>
      <c r="C400" s="539" t="s">
        <v>6869</v>
      </c>
      <c r="D400" s="539"/>
      <c r="E400" s="552"/>
      <c r="F400" s="552"/>
      <c r="G400" s="552"/>
      <c r="H400" s="552"/>
      <c r="I400" s="552"/>
      <c r="J400" s="552"/>
      <c r="K400" s="552"/>
      <c r="L400" s="552"/>
      <c r="M400" s="552"/>
      <c r="N400" s="552"/>
      <c r="O400" s="552"/>
      <c r="P400" s="552"/>
      <c r="Q400" s="552"/>
      <c r="R400" s="552"/>
      <c r="S400" s="552"/>
      <c r="T400" s="552"/>
      <c r="U400" s="552"/>
      <c r="V400" s="552"/>
      <c r="W400" s="552"/>
      <c r="X400" s="552"/>
      <c r="Y400" s="552"/>
      <c r="Z400" s="552"/>
      <c r="AA400" s="552"/>
      <c r="AB400" s="552"/>
      <c r="AC400" s="552"/>
      <c r="AD400" s="552"/>
      <c r="AE400" s="552"/>
      <c r="AF400" s="552"/>
      <c r="AG400" s="552"/>
      <c r="AH400" s="552"/>
      <c r="AI400" s="552"/>
      <c r="AJ400" s="552"/>
      <c r="AK400" s="552"/>
      <c r="AL400" s="552"/>
      <c r="AM400" s="552"/>
      <c r="AN400" s="552"/>
      <c r="AO400" s="552"/>
      <c r="AP400" s="552"/>
      <c r="AQ400" s="552" t="s">
        <v>1186</v>
      </c>
      <c r="AR400" s="552" t="s">
        <v>6697</v>
      </c>
      <c r="AS400" s="552" t="s">
        <v>6967</v>
      </c>
      <c r="AT400" s="552" t="s">
        <v>7365</v>
      </c>
    </row>
    <row r="401" spans="1:46" ht="14.7" customHeight="1">
      <c r="A401" s="706" t="s">
        <v>6229</v>
      </c>
      <c r="B401" s="540" t="s">
        <v>3695</v>
      </c>
      <c r="C401" s="539" t="s">
        <v>6869</v>
      </c>
      <c r="D401" s="709" t="s">
        <v>7407</v>
      </c>
      <c r="E401" s="552" t="s">
        <v>6925</v>
      </c>
      <c r="F401" s="552" t="s">
        <v>7363</v>
      </c>
      <c r="G401" s="552" t="s">
        <v>7395</v>
      </c>
      <c r="H401" s="552"/>
      <c r="I401" s="713" t="s">
        <v>7408</v>
      </c>
      <c r="J401" s="709" t="s">
        <v>7167</v>
      </c>
      <c r="K401" s="709"/>
      <c r="L401" s="709"/>
      <c r="M401" s="552"/>
      <c r="N401" s="552"/>
      <c r="O401" s="552"/>
      <c r="P401" s="552"/>
      <c r="Q401" s="552"/>
      <c r="R401" s="552"/>
      <c r="S401" s="552"/>
      <c r="T401" s="552"/>
      <c r="U401" s="552"/>
      <c r="V401" s="552"/>
      <c r="W401" s="552"/>
      <c r="X401" s="552"/>
      <c r="Y401" s="552"/>
      <c r="Z401" s="552"/>
      <c r="AA401" s="552"/>
      <c r="AB401" s="552"/>
      <c r="AC401" s="552"/>
      <c r="AD401" s="552"/>
      <c r="AE401" s="552"/>
      <c r="AF401" s="552"/>
      <c r="AG401" s="552"/>
      <c r="AH401" s="552"/>
      <c r="AI401" s="552"/>
      <c r="AJ401" s="552"/>
      <c r="AK401" s="552"/>
      <c r="AL401" s="552"/>
      <c r="AM401" s="552"/>
      <c r="AN401" s="552"/>
      <c r="AO401" s="552"/>
      <c r="AP401" s="552"/>
      <c r="AQ401" s="552" t="s">
        <v>1186</v>
      </c>
      <c r="AR401" s="552" t="s">
        <v>2802</v>
      </c>
      <c r="AS401" s="552" t="s">
        <v>6967</v>
      </c>
      <c r="AT401" s="552" t="s">
        <v>7365</v>
      </c>
    </row>
    <row r="402" spans="1:46" ht="14.7" customHeight="1">
      <c r="A402" s="706"/>
      <c r="B402" s="540" t="s">
        <v>3695</v>
      </c>
      <c r="C402" s="539" t="s">
        <v>6869</v>
      </c>
      <c r="D402" s="539" t="s">
        <v>2783</v>
      </c>
      <c r="E402" s="539"/>
      <c r="F402" s="539"/>
      <c r="G402" s="539"/>
      <c r="H402" s="552"/>
      <c r="I402" s="552"/>
      <c r="J402" s="552"/>
      <c r="K402" s="552"/>
      <c r="L402" s="552"/>
      <c r="M402" s="552"/>
      <c r="N402" s="552"/>
      <c r="O402" s="552"/>
      <c r="P402" s="552"/>
      <c r="Q402" s="552"/>
      <c r="R402" s="552"/>
      <c r="S402" s="552"/>
      <c r="T402" s="552"/>
      <c r="U402" s="552"/>
      <c r="V402" s="552"/>
      <c r="W402" s="552"/>
      <c r="X402" s="552"/>
      <c r="Y402" s="552"/>
      <c r="Z402" s="552"/>
      <c r="AA402" s="552"/>
      <c r="AB402" s="552"/>
      <c r="AC402" s="552"/>
      <c r="AD402" s="552"/>
      <c r="AE402" s="552"/>
      <c r="AF402" s="552"/>
      <c r="AG402" s="552"/>
      <c r="AH402" s="552"/>
      <c r="AI402" s="552"/>
      <c r="AJ402" s="552"/>
      <c r="AK402" s="552"/>
      <c r="AL402" s="552"/>
      <c r="AM402" s="552"/>
      <c r="AN402" s="552"/>
      <c r="AO402" s="552"/>
      <c r="AP402" s="552"/>
      <c r="AQ402" s="552" t="s">
        <v>1186</v>
      </c>
      <c r="AR402" s="552" t="s">
        <v>2802</v>
      </c>
      <c r="AS402" s="552" t="s">
        <v>6967</v>
      </c>
      <c r="AT402" s="552" t="s">
        <v>7365</v>
      </c>
    </row>
    <row r="403" spans="1:46" ht="14.7" customHeight="1">
      <c r="A403" s="710" t="s">
        <v>6230</v>
      </c>
      <c r="B403" s="707" t="s">
        <v>3696</v>
      </c>
      <c r="C403" s="539" t="s">
        <v>6869</v>
      </c>
      <c r="D403" s="709" t="s">
        <v>7409</v>
      </c>
      <c r="E403" s="552" t="s">
        <v>6925</v>
      </c>
      <c r="F403" s="552" t="s">
        <v>7363</v>
      </c>
      <c r="G403" s="552" t="s">
        <v>7395</v>
      </c>
      <c r="H403" s="552"/>
      <c r="I403" s="713" t="s">
        <v>7408</v>
      </c>
      <c r="J403" s="709" t="s">
        <v>7410</v>
      </c>
      <c r="K403" s="709"/>
      <c r="L403" s="709"/>
      <c r="M403" s="552"/>
      <c r="N403" s="552"/>
      <c r="O403" s="552"/>
      <c r="P403" s="552"/>
      <c r="Q403" s="552"/>
      <c r="R403" s="552"/>
      <c r="S403" s="552"/>
      <c r="T403" s="552"/>
      <c r="U403" s="552"/>
      <c r="V403" s="552"/>
      <c r="W403" s="552"/>
      <c r="X403" s="552"/>
      <c r="Y403" s="552"/>
      <c r="Z403" s="552"/>
      <c r="AA403" s="552"/>
      <c r="AB403" s="552"/>
      <c r="AC403" s="552"/>
      <c r="AD403" s="552"/>
      <c r="AE403" s="552"/>
      <c r="AF403" s="552"/>
      <c r="AG403" s="552"/>
      <c r="AH403" s="552"/>
      <c r="AI403" s="552"/>
      <c r="AJ403" s="552"/>
      <c r="AK403" s="552"/>
      <c r="AL403" s="552"/>
      <c r="AM403" s="552"/>
      <c r="AN403" s="552"/>
      <c r="AO403" s="552"/>
      <c r="AP403" s="552"/>
      <c r="AQ403" s="552" t="s">
        <v>1186</v>
      </c>
      <c r="AR403" s="552" t="s">
        <v>2805</v>
      </c>
      <c r="AS403" s="552" t="s">
        <v>6967</v>
      </c>
      <c r="AT403" s="552" t="s">
        <v>7365</v>
      </c>
    </row>
    <row r="404" spans="1:46" ht="14.7" customHeight="1">
      <c r="A404" s="706"/>
      <c r="B404" s="707" t="s">
        <v>3696</v>
      </c>
      <c r="C404" s="539" t="s">
        <v>6869</v>
      </c>
      <c r="D404" s="539" t="s">
        <v>2783</v>
      </c>
      <c r="E404" s="539"/>
      <c r="F404" s="539"/>
      <c r="G404" s="539"/>
      <c r="H404" s="552"/>
      <c r="I404" s="552"/>
      <c r="J404" s="552"/>
      <c r="K404" s="552"/>
      <c r="L404" s="552"/>
      <c r="M404" s="552"/>
      <c r="N404" s="552"/>
      <c r="O404" s="552"/>
      <c r="P404" s="552"/>
      <c r="Q404" s="552"/>
      <c r="R404" s="552"/>
      <c r="S404" s="552"/>
      <c r="T404" s="552"/>
      <c r="U404" s="552"/>
      <c r="V404" s="552"/>
      <c r="W404" s="552"/>
      <c r="X404" s="552"/>
      <c r="Y404" s="552"/>
      <c r="Z404" s="552"/>
      <c r="AA404" s="552"/>
      <c r="AB404" s="552"/>
      <c r="AC404" s="552"/>
      <c r="AD404" s="552"/>
      <c r="AE404" s="552"/>
      <c r="AF404" s="552"/>
      <c r="AG404" s="552"/>
      <c r="AH404" s="552"/>
      <c r="AI404" s="552"/>
      <c r="AJ404" s="552"/>
      <c r="AK404" s="552"/>
      <c r="AL404" s="552"/>
      <c r="AM404" s="552"/>
      <c r="AN404" s="552"/>
      <c r="AO404" s="552"/>
      <c r="AP404" s="552"/>
      <c r="AQ404" s="552" t="s">
        <v>1186</v>
      </c>
      <c r="AR404" s="552" t="s">
        <v>2805</v>
      </c>
      <c r="AS404" s="552" t="s">
        <v>6967</v>
      </c>
      <c r="AT404" s="552" t="s">
        <v>7365</v>
      </c>
    </row>
    <row r="405" spans="1:46" ht="14.7" customHeight="1">
      <c r="A405" s="706" t="s">
        <v>6231</v>
      </c>
      <c r="B405" s="556" t="s">
        <v>3697</v>
      </c>
      <c r="C405" s="539" t="s">
        <v>6869</v>
      </c>
      <c r="D405" s="709" t="s">
        <v>7411</v>
      </c>
      <c r="E405" s="552" t="s">
        <v>6925</v>
      </c>
      <c r="F405" s="552" t="s">
        <v>7363</v>
      </c>
      <c r="G405" s="552" t="s">
        <v>7395</v>
      </c>
      <c r="H405" s="552"/>
      <c r="I405" s="709" t="s">
        <v>169</v>
      </c>
      <c r="J405" s="709" t="s">
        <v>7412</v>
      </c>
      <c r="K405" s="709"/>
      <c r="L405" s="709"/>
      <c r="M405" s="552"/>
      <c r="N405" s="552"/>
      <c r="O405" s="552"/>
      <c r="P405" s="552"/>
      <c r="Q405" s="552"/>
      <c r="R405" s="552"/>
      <c r="S405" s="552"/>
      <c r="T405" s="552"/>
      <c r="U405" s="552"/>
      <c r="V405" s="552"/>
      <c r="W405" s="552"/>
      <c r="X405" s="552"/>
      <c r="Y405" s="552"/>
      <c r="Z405" s="552"/>
      <c r="AA405" s="552"/>
      <c r="AB405" s="552"/>
      <c r="AC405" s="552"/>
      <c r="AD405" s="552"/>
      <c r="AE405" s="552"/>
      <c r="AF405" s="552"/>
      <c r="AG405" s="552"/>
      <c r="AH405" s="552"/>
      <c r="AI405" s="552"/>
      <c r="AJ405" s="552"/>
      <c r="AK405" s="552"/>
      <c r="AL405" s="552"/>
      <c r="AM405" s="552"/>
      <c r="AN405" s="552"/>
      <c r="AO405" s="552"/>
      <c r="AP405" s="552"/>
      <c r="AQ405" s="552" t="s">
        <v>1186</v>
      </c>
      <c r="AR405" s="552" t="s">
        <v>2875</v>
      </c>
      <c r="AS405" s="552" t="s">
        <v>6967</v>
      </c>
      <c r="AT405" s="552" t="s">
        <v>7365</v>
      </c>
    </row>
    <row r="406" spans="1:46" ht="14.7" customHeight="1">
      <c r="A406" s="706"/>
      <c r="B406" s="556" t="s">
        <v>3697</v>
      </c>
      <c r="C406" s="539" t="s">
        <v>6869</v>
      </c>
      <c r="D406" s="539" t="s">
        <v>2783</v>
      </c>
      <c r="E406" s="539"/>
      <c r="F406" s="539"/>
      <c r="G406" s="539"/>
      <c r="H406" s="552"/>
      <c r="I406" s="552"/>
      <c r="J406" s="552"/>
      <c r="K406" s="552"/>
      <c r="L406" s="552"/>
      <c r="M406" s="552"/>
      <c r="N406" s="552"/>
      <c r="O406" s="552"/>
      <c r="P406" s="552"/>
      <c r="Q406" s="552"/>
      <c r="R406" s="552"/>
      <c r="S406" s="552"/>
      <c r="T406" s="552"/>
      <c r="U406" s="552"/>
      <c r="V406" s="552"/>
      <c r="W406" s="552"/>
      <c r="X406" s="552"/>
      <c r="Y406" s="552"/>
      <c r="Z406" s="552"/>
      <c r="AA406" s="552"/>
      <c r="AB406" s="552"/>
      <c r="AC406" s="552"/>
      <c r="AD406" s="552"/>
      <c r="AE406" s="552"/>
      <c r="AF406" s="552"/>
      <c r="AG406" s="552"/>
      <c r="AH406" s="552"/>
      <c r="AI406" s="552"/>
      <c r="AJ406" s="552"/>
      <c r="AK406" s="552"/>
      <c r="AL406" s="552"/>
      <c r="AM406" s="552"/>
      <c r="AN406" s="552"/>
      <c r="AO406" s="552"/>
      <c r="AP406" s="552"/>
      <c r="AQ406" s="552" t="s">
        <v>1186</v>
      </c>
      <c r="AR406" s="552" t="s">
        <v>2875</v>
      </c>
      <c r="AS406" s="552" t="s">
        <v>6967</v>
      </c>
      <c r="AT406" s="552" t="s">
        <v>7365</v>
      </c>
    </row>
    <row r="407" spans="1:46" ht="14.7" customHeight="1">
      <c r="A407" s="706"/>
      <c r="B407" s="556" t="s">
        <v>3697</v>
      </c>
      <c r="C407" s="539" t="s">
        <v>6869</v>
      </c>
      <c r="D407" s="539" t="s">
        <v>2783</v>
      </c>
      <c r="E407" s="539"/>
      <c r="F407" s="539"/>
      <c r="G407" s="539"/>
      <c r="H407" s="552"/>
      <c r="I407" s="552"/>
      <c r="J407" s="552"/>
      <c r="K407" s="552"/>
      <c r="L407" s="552"/>
      <c r="M407" s="552"/>
      <c r="N407" s="552"/>
      <c r="O407" s="552"/>
      <c r="P407" s="552"/>
      <c r="Q407" s="552"/>
      <c r="R407" s="552"/>
      <c r="S407" s="552"/>
      <c r="T407" s="552"/>
      <c r="U407" s="552"/>
      <c r="V407" s="552"/>
      <c r="W407" s="552"/>
      <c r="X407" s="552"/>
      <c r="Y407" s="552"/>
      <c r="Z407" s="552"/>
      <c r="AA407" s="552"/>
      <c r="AB407" s="552"/>
      <c r="AC407" s="552"/>
      <c r="AD407" s="552"/>
      <c r="AE407" s="552"/>
      <c r="AF407" s="552"/>
      <c r="AG407" s="552"/>
      <c r="AH407" s="552"/>
      <c r="AI407" s="552"/>
      <c r="AJ407" s="552"/>
      <c r="AK407" s="552"/>
      <c r="AL407" s="552"/>
      <c r="AM407" s="552"/>
      <c r="AN407" s="552"/>
      <c r="AO407" s="552"/>
      <c r="AP407" s="552"/>
      <c r="AQ407" s="552" t="s">
        <v>1186</v>
      </c>
      <c r="AR407" s="552" t="s">
        <v>2875</v>
      </c>
      <c r="AS407" s="552" t="s">
        <v>6967</v>
      </c>
      <c r="AT407" s="552" t="s">
        <v>7365</v>
      </c>
    </row>
    <row r="408" spans="1:46" ht="14.7" customHeight="1">
      <c r="A408" s="706"/>
      <c r="B408" s="557" t="s">
        <v>3698</v>
      </c>
      <c r="C408" s="539" t="s">
        <v>6869</v>
      </c>
      <c r="D408" s="539" t="s">
        <v>2783</v>
      </c>
      <c r="E408" s="539"/>
      <c r="F408" s="539"/>
      <c r="G408" s="539"/>
      <c r="H408" s="552"/>
      <c r="I408" s="552"/>
      <c r="J408" s="552"/>
      <c r="K408" s="552"/>
      <c r="L408" s="552"/>
      <c r="M408" s="552"/>
      <c r="N408" s="552"/>
      <c r="O408" s="552"/>
      <c r="P408" s="552"/>
      <c r="Q408" s="552"/>
      <c r="R408" s="552"/>
      <c r="S408" s="552"/>
      <c r="T408" s="552"/>
      <c r="U408" s="552"/>
      <c r="V408" s="552"/>
      <c r="W408" s="552"/>
      <c r="X408" s="552"/>
      <c r="Y408" s="552"/>
      <c r="Z408" s="552"/>
      <c r="AA408" s="552"/>
      <c r="AB408" s="552"/>
      <c r="AC408" s="552"/>
      <c r="AD408" s="552"/>
      <c r="AE408" s="552"/>
      <c r="AF408" s="552"/>
      <c r="AG408" s="552"/>
      <c r="AH408" s="552"/>
      <c r="AI408" s="552"/>
      <c r="AJ408" s="552"/>
      <c r="AK408" s="552"/>
      <c r="AL408" s="552"/>
      <c r="AM408" s="552"/>
      <c r="AN408" s="552"/>
      <c r="AO408" s="552"/>
      <c r="AP408" s="552"/>
      <c r="AQ408" s="552" t="s">
        <v>1186</v>
      </c>
      <c r="AR408" s="552" t="s">
        <v>2998</v>
      </c>
      <c r="AS408" s="552" t="s">
        <v>6967</v>
      </c>
      <c r="AT408" s="552" t="s">
        <v>7365</v>
      </c>
    </row>
    <row r="409" spans="1:46" ht="14.7" customHeight="1">
      <c r="A409" s="706"/>
      <c r="B409" s="557" t="s">
        <v>3698</v>
      </c>
      <c r="C409" s="539" t="s">
        <v>6869</v>
      </c>
      <c r="D409" s="539" t="s">
        <v>2783</v>
      </c>
      <c r="E409" s="539"/>
      <c r="F409" s="539"/>
      <c r="G409" s="539"/>
      <c r="H409" s="552"/>
      <c r="I409" s="552"/>
      <c r="J409" s="552"/>
      <c r="K409" s="552"/>
      <c r="L409" s="552"/>
      <c r="M409" s="552"/>
      <c r="N409" s="552"/>
      <c r="O409" s="552"/>
      <c r="P409" s="552"/>
      <c r="Q409" s="552"/>
      <c r="R409" s="552"/>
      <c r="S409" s="552"/>
      <c r="T409" s="552"/>
      <c r="U409" s="552"/>
      <c r="V409" s="552"/>
      <c r="W409" s="552"/>
      <c r="X409" s="552"/>
      <c r="Y409" s="552"/>
      <c r="Z409" s="552"/>
      <c r="AA409" s="552"/>
      <c r="AB409" s="552"/>
      <c r="AC409" s="552"/>
      <c r="AD409" s="552"/>
      <c r="AE409" s="552"/>
      <c r="AF409" s="552"/>
      <c r="AG409" s="552"/>
      <c r="AH409" s="552"/>
      <c r="AI409" s="552"/>
      <c r="AJ409" s="552"/>
      <c r="AK409" s="552"/>
      <c r="AL409" s="552"/>
      <c r="AM409" s="552"/>
      <c r="AN409" s="552"/>
      <c r="AO409" s="552"/>
      <c r="AP409" s="552"/>
      <c r="AQ409" s="552" t="s">
        <v>1186</v>
      </c>
      <c r="AR409" s="552" t="s">
        <v>2998</v>
      </c>
      <c r="AS409" s="552" t="s">
        <v>6967</v>
      </c>
      <c r="AT409" s="552" t="s">
        <v>7365</v>
      </c>
    </row>
    <row r="410" spans="1:46" ht="14.7" customHeight="1">
      <c r="A410" s="710" t="s">
        <v>6232</v>
      </c>
      <c r="B410" s="557" t="s">
        <v>3698</v>
      </c>
      <c r="C410" s="539" t="s">
        <v>6869</v>
      </c>
      <c r="D410" s="709" t="s">
        <v>7413</v>
      </c>
      <c r="E410" s="552" t="s">
        <v>6925</v>
      </c>
      <c r="F410" s="552" t="s">
        <v>7363</v>
      </c>
      <c r="G410" s="552" t="s">
        <v>7395</v>
      </c>
      <c r="H410" s="552"/>
      <c r="I410" s="713" t="s">
        <v>7402</v>
      </c>
      <c r="J410" s="709" t="s">
        <v>7156</v>
      </c>
      <c r="K410" s="709"/>
      <c r="L410" s="709"/>
      <c r="M410" s="552"/>
      <c r="N410" s="552"/>
      <c r="O410" s="552"/>
      <c r="P410" s="552"/>
      <c r="Q410" s="552"/>
      <c r="R410" s="552"/>
      <c r="S410" s="552"/>
      <c r="T410" s="552"/>
      <c r="U410" s="552"/>
      <c r="V410" s="552"/>
      <c r="W410" s="552"/>
      <c r="X410" s="552"/>
      <c r="Y410" s="552"/>
      <c r="Z410" s="552"/>
      <c r="AA410" s="552"/>
      <c r="AB410" s="552"/>
      <c r="AC410" s="552"/>
      <c r="AD410" s="552"/>
      <c r="AE410" s="552"/>
      <c r="AF410" s="552"/>
      <c r="AG410" s="552"/>
      <c r="AH410" s="552"/>
      <c r="AI410" s="552"/>
      <c r="AJ410" s="552"/>
      <c r="AK410" s="552"/>
      <c r="AL410" s="552"/>
      <c r="AM410" s="552"/>
      <c r="AN410" s="552"/>
      <c r="AO410" s="709" t="s">
        <v>7379</v>
      </c>
      <c r="AP410" s="709"/>
      <c r="AQ410" s="552" t="s">
        <v>1186</v>
      </c>
      <c r="AR410" s="552" t="s">
        <v>2998</v>
      </c>
      <c r="AS410" s="552" t="s">
        <v>6967</v>
      </c>
      <c r="AT410" s="552" t="s">
        <v>7365</v>
      </c>
    </row>
    <row r="411" spans="1:46" ht="14.7" customHeight="1">
      <c r="A411" s="706"/>
      <c r="B411" s="557" t="s">
        <v>3698</v>
      </c>
      <c r="C411" s="539" t="s">
        <v>6869</v>
      </c>
      <c r="D411" s="539" t="s">
        <v>2783</v>
      </c>
      <c r="E411" s="539"/>
      <c r="F411" s="539"/>
      <c r="G411" s="539"/>
      <c r="H411" s="552"/>
      <c r="I411" s="552"/>
      <c r="J411" s="552"/>
      <c r="K411" s="552"/>
      <c r="L411" s="552"/>
      <c r="M411" s="552"/>
      <c r="N411" s="552"/>
      <c r="O411" s="552"/>
      <c r="P411" s="552"/>
      <c r="Q411" s="552"/>
      <c r="R411" s="552"/>
      <c r="S411" s="552"/>
      <c r="T411" s="552"/>
      <c r="U411" s="552"/>
      <c r="V411" s="552"/>
      <c r="W411" s="552"/>
      <c r="X411" s="552"/>
      <c r="Y411" s="552"/>
      <c r="Z411" s="552"/>
      <c r="AA411" s="552"/>
      <c r="AB411" s="552"/>
      <c r="AC411" s="552"/>
      <c r="AD411" s="552"/>
      <c r="AE411" s="552"/>
      <c r="AF411" s="552"/>
      <c r="AG411" s="552"/>
      <c r="AH411" s="552"/>
      <c r="AI411" s="552"/>
      <c r="AJ411" s="552"/>
      <c r="AK411" s="552"/>
      <c r="AL411" s="552"/>
      <c r="AM411" s="552"/>
      <c r="AN411" s="552"/>
      <c r="AO411" s="552"/>
      <c r="AP411" s="552"/>
      <c r="AQ411" s="552" t="s">
        <v>1186</v>
      </c>
      <c r="AR411" s="552" t="s">
        <v>2998</v>
      </c>
      <c r="AS411" s="552" t="s">
        <v>6967</v>
      </c>
      <c r="AT411" s="552" t="s">
        <v>7365</v>
      </c>
    </row>
    <row r="412" spans="1:46" ht="14.7" customHeight="1">
      <c r="A412" s="706"/>
      <c r="B412" s="344" t="s">
        <v>3699</v>
      </c>
      <c r="C412" s="539" t="s">
        <v>6869</v>
      </c>
      <c r="D412" s="539" t="s">
        <v>2783</v>
      </c>
      <c r="E412" s="539"/>
      <c r="F412" s="539"/>
      <c r="G412" s="539"/>
      <c r="H412" s="552"/>
      <c r="I412" s="552"/>
      <c r="J412" s="552"/>
      <c r="K412" s="552"/>
      <c r="L412" s="552"/>
      <c r="M412" s="552"/>
      <c r="N412" s="552"/>
      <c r="O412" s="552"/>
      <c r="P412" s="552"/>
      <c r="Q412" s="552"/>
      <c r="R412" s="552"/>
      <c r="S412" s="552"/>
      <c r="T412" s="552"/>
      <c r="U412" s="552"/>
      <c r="V412" s="552"/>
      <c r="W412" s="552"/>
      <c r="X412" s="552"/>
      <c r="Y412" s="552"/>
      <c r="Z412" s="552"/>
      <c r="AA412" s="552"/>
      <c r="AB412" s="552"/>
      <c r="AC412" s="552"/>
      <c r="AD412" s="552"/>
      <c r="AE412" s="552"/>
      <c r="AF412" s="552"/>
      <c r="AG412" s="552"/>
      <c r="AH412" s="552"/>
      <c r="AI412" s="552"/>
      <c r="AJ412" s="552"/>
      <c r="AK412" s="552"/>
      <c r="AL412" s="552"/>
      <c r="AM412" s="552"/>
      <c r="AN412" s="552"/>
      <c r="AO412" s="552"/>
      <c r="AP412" s="552"/>
      <c r="AQ412" s="552" t="s">
        <v>1186</v>
      </c>
      <c r="AR412" s="552" t="s">
        <v>2809</v>
      </c>
      <c r="AS412" s="552" t="s">
        <v>6967</v>
      </c>
      <c r="AT412" s="552" t="s">
        <v>7365</v>
      </c>
    </row>
    <row r="413" spans="1:46" ht="14.7" customHeight="1">
      <c r="A413" s="706"/>
      <c r="B413" s="344" t="s">
        <v>3699</v>
      </c>
      <c r="C413" s="539" t="s">
        <v>6869</v>
      </c>
      <c r="D413" s="539" t="s">
        <v>2783</v>
      </c>
      <c r="E413" s="539"/>
      <c r="F413" s="539"/>
      <c r="G413" s="539"/>
      <c r="H413" s="552"/>
      <c r="I413" s="552"/>
      <c r="J413" s="552"/>
      <c r="K413" s="552"/>
      <c r="L413" s="552"/>
      <c r="M413" s="552"/>
      <c r="N413" s="552"/>
      <c r="O413" s="552"/>
      <c r="P413" s="552"/>
      <c r="Q413" s="552"/>
      <c r="R413" s="552"/>
      <c r="S413" s="552"/>
      <c r="T413" s="552"/>
      <c r="U413" s="552"/>
      <c r="V413" s="552"/>
      <c r="W413" s="552"/>
      <c r="X413" s="552"/>
      <c r="Y413" s="552"/>
      <c r="Z413" s="552"/>
      <c r="AA413" s="552"/>
      <c r="AB413" s="552"/>
      <c r="AC413" s="552"/>
      <c r="AD413" s="552"/>
      <c r="AE413" s="552"/>
      <c r="AF413" s="552"/>
      <c r="AG413" s="552"/>
      <c r="AH413" s="552"/>
      <c r="AI413" s="552"/>
      <c r="AJ413" s="552"/>
      <c r="AK413" s="552"/>
      <c r="AL413" s="552"/>
      <c r="AM413" s="552"/>
      <c r="AN413" s="552"/>
      <c r="AO413" s="552"/>
      <c r="AP413" s="552"/>
      <c r="AQ413" s="552" t="s">
        <v>1186</v>
      </c>
      <c r="AR413" s="552" t="s">
        <v>2809</v>
      </c>
      <c r="AS413" s="552" t="s">
        <v>6967</v>
      </c>
      <c r="AT413" s="552" t="s">
        <v>7365</v>
      </c>
    </row>
    <row r="414" spans="1:46" ht="14.7" customHeight="1">
      <c r="A414" s="710" t="s">
        <v>8662</v>
      </c>
      <c r="B414" s="344" t="s">
        <v>3699</v>
      </c>
      <c r="C414" s="539" t="s">
        <v>6869</v>
      </c>
      <c r="D414" s="709" t="s">
        <v>7414</v>
      </c>
      <c r="E414" s="552" t="s">
        <v>6925</v>
      </c>
      <c r="F414" s="552" t="s">
        <v>7363</v>
      </c>
      <c r="G414" s="552" t="s">
        <v>7395</v>
      </c>
      <c r="H414" s="552"/>
      <c r="I414" s="713" t="s">
        <v>7408</v>
      </c>
      <c r="J414" s="709" t="s">
        <v>7167</v>
      </c>
      <c r="K414" s="709" t="s">
        <v>7415</v>
      </c>
      <c r="L414" s="709" t="s">
        <v>7416</v>
      </c>
      <c r="M414" s="709"/>
      <c r="N414" s="552"/>
      <c r="O414" s="552"/>
      <c r="P414" s="552"/>
      <c r="Q414" s="552"/>
      <c r="R414" s="552"/>
      <c r="S414" s="552"/>
      <c r="T414" s="552"/>
      <c r="U414" s="552"/>
      <c r="V414" s="552"/>
      <c r="W414" s="552"/>
      <c r="X414" s="552"/>
      <c r="Y414" s="552"/>
      <c r="Z414" s="552"/>
      <c r="AA414" s="552"/>
      <c r="AB414" s="552"/>
      <c r="AC414" s="552"/>
      <c r="AD414" s="552"/>
      <c r="AE414" s="552"/>
      <c r="AF414" s="552"/>
      <c r="AG414" s="552"/>
      <c r="AH414" s="552"/>
      <c r="AI414" s="552"/>
      <c r="AJ414" s="552"/>
      <c r="AK414" s="552"/>
      <c r="AL414" s="552"/>
      <c r="AM414" s="552"/>
      <c r="AN414" s="552"/>
      <c r="AO414" s="713" t="s">
        <v>7417</v>
      </c>
      <c r="AP414" s="552"/>
      <c r="AQ414" s="552" t="s">
        <v>1186</v>
      </c>
      <c r="AR414" s="552" t="s">
        <v>2809</v>
      </c>
      <c r="AS414" s="552" t="s">
        <v>6967</v>
      </c>
      <c r="AT414" s="552" t="s">
        <v>7365</v>
      </c>
    </row>
    <row r="415" spans="1:46" ht="14.7" customHeight="1">
      <c r="A415" s="710" t="s">
        <v>6233</v>
      </c>
      <c r="B415" s="344" t="s">
        <v>3699</v>
      </c>
      <c r="C415" s="539" t="s">
        <v>6869</v>
      </c>
      <c r="D415" s="709" t="s">
        <v>7418</v>
      </c>
      <c r="E415" s="552" t="s">
        <v>6925</v>
      </c>
      <c r="F415" s="552" t="s">
        <v>7363</v>
      </c>
      <c r="G415" s="552" t="s">
        <v>7395</v>
      </c>
      <c r="H415" s="552"/>
      <c r="I415" s="713" t="s">
        <v>7408</v>
      </c>
      <c r="J415" s="552" t="s">
        <v>7178</v>
      </c>
      <c r="K415" s="552"/>
      <c r="L415" s="552"/>
      <c r="M415" s="552"/>
      <c r="N415" s="552"/>
      <c r="O415" s="552"/>
      <c r="P415" s="552"/>
      <c r="Q415" s="552"/>
      <c r="R415" s="552"/>
      <c r="S415" s="552"/>
      <c r="T415" s="552"/>
      <c r="U415" s="552"/>
      <c r="V415" s="552"/>
      <c r="W415" s="552"/>
      <c r="X415" s="552"/>
      <c r="Y415" s="552"/>
      <c r="Z415" s="552"/>
      <c r="AA415" s="552"/>
      <c r="AB415" s="552"/>
      <c r="AC415" s="552"/>
      <c r="AD415" s="552"/>
      <c r="AE415" s="552"/>
      <c r="AF415" s="552"/>
      <c r="AG415" s="552"/>
      <c r="AH415" s="552"/>
      <c r="AI415" s="552"/>
      <c r="AJ415" s="552"/>
      <c r="AK415" s="552"/>
      <c r="AL415" s="552"/>
      <c r="AM415" s="552"/>
      <c r="AN415" s="552"/>
      <c r="AO415" s="552" t="s">
        <v>7419</v>
      </c>
      <c r="AP415" s="552"/>
      <c r="AQ415" s="552" t="s">
        <v>1186</v>
      </c>
      <c r="AR415" s="552" t="s">
        <v>2809</v>
      </c>
      <c r="AS415" s="552" t="s">
        <v>6967</v>
      </c>
      <c r="AT415" s="552" t="s">
        <v>7365</v>
      </c>
    </row>
    <row r="416" spans="1:46" ht="14.7" customHeight="1">
      <c r="A416" s="706"/>
      <c r="B416" s="344" t="s">
        <v>3699</v>
      </c>
      <c r="C416" s="539" t="s">
        <v>6869</v>
      </c>
      <c r="D416" s="539" t="s">
        <v>2783</v>
      </c>
      <c r="E416" s="539"/>
      <c r="F416" s="539"/>
      <c r="G416" s="539"/>
      <c r="H416" s="552"/>
      <c r="I416" s="552"/>
      <c r="J416" s="552"/>
      <c r="K416" s="552"/>
      <c r="L416" s="552"/>
      <c r="M416" s="552"/>
      <c r="N416" s="552"/>
      <c r="O416" s="552"/>
      <c r="P416" s="552"/>
      <c r="Q416" s="552"/>
      <c r="R416" s="552"/>
      <c r="S416" s="552"/>
      <c r="T416" s="552"/>
      <c r="U416" s="552"/>
      <c r="V416" s="552"/>
      <c r="W416" s="552"/>
      <c r="X416" s="552"/>
      <c r="Y416" s="552"/>
      <c r="Z416" s="552"/>
      <c r="AA416" s="552"/>
      <c r="AB416" s="552"/>
      <c r="AC416" s="552"/>
      <c r="AD416" s="552"/>
      <c r="AE416" s="552"/>
      <c r="AF416" s="552"/>
      <c r="AG416" s="552"/>
      <c r="AH416" s="552"/>
      <c r="AI416" s="552"/>
      <c r="AJ416" s="552"/>
      <c r="AK416" s="552"/>
      <c r="AL416" s="552"/>
      <c r="AM416" s="552"/>
      <c r="AN416" s="552"/>
      <c r="AO416" s="552"/>
      <c r="AP416" s="552"/>
      <c r="AQ416" s="552" t="s">
        <v>1186</v>
      </c>
      <c r="AR416" s="552" t="s">
        <v>2809</v>
      </c>
      <c r="AS416" s="552" t="s">
        <v>6967</v>
      </c>
      <c r="AT416" s="552" t="s">
        <v>7365</v>
      </c>
    </row>
    <row r="417" spans="1:46" ht="14.7" customHeight="1">
      <c r="A417" s="710" t="s">
        <v>6234</v>
      </c>
      <c r="B417" s="559" t="s">
        <v>3700</v>
      </c>
      <c r="C417" s="539" t="s">
        <v>6869</v>
      </c>
      <c r="D417" s="709" t="s">
        <v>7420</v>
      </c>
      <c r="E417" s="712" t="s">
        <v>6925</v>
      </c>
      <c r="F417" s="712" t="s">
        <v>7363</v>
      </c>
      <c r="G417" s="712" t="s">
        <v>7395</v>
      </c>
      <c r="H417" s="552"/>
      <c r="I417" s="713" t="s">
        <v>7402</v>
      </c>
      <c r="J417" s="713" t="s">
        <v>7421</v>
      </c>
      <c r="K417" s="552"/>
      <c r="L417" s="552"/>
      <c r="M417" s="552"/>
      <c r="N417" s="552"/>
      <c r="O417" s="552"/>
      <c r="P417" s="552"/>
      <c r="Q417" s="552"/>
      <c r="R417" s="552"/>
      <c r="S417" s="552"/>
      <c r="T417" s="552"/>
      <c r="U417" s="552"/>
      <c r="V417" s="552"/>
      <c r="W417" s="552"/>
      <c r="X417" s="552"/>
      <c r="Y417" s="552"/>
      <c r="Z417" s="552"/>
      <c r="AA417" s="552"/>
      <c r="AB417" s="552"/>
      <c r="AC417" s="552"/>
      <c r="AD417" s="552"/>
      <c r="AE417" s="552"/>
      <c r="AF417" s="552"/>
      <c r="AG417" s="552"/>
      <c r="AH417" s="552"/>
      <c r="AI417" s="552"/>
      <c r="AJ417" s="552"/>
      <c r="AK417" s="552"/>
      <c r="AL417" s="552"/>
      <c r="AM417" s="552"/>
      <c r="AN417" s="552"/>
      <c r="AO417" s="709" t="s">
        <v>7422</v>
      </c>
      <c r="AP417" s="709"/>
      <c r="AQ417" s="552" t="s">
        <v>1186</v>
      </c>
      <c r="AR417" s="552" t="s">
        <v>2971</v>
      </c>
      <c r="AS417" s="552" t="s">
        <v>6967</v>
      </c>
      <c r="AT417" s="552" t="s">
        <v>7365</v>
      </c>
    </row>
    <row r="418" spans="1:46" ht="14.7" customHeight="1">
      <c r="A418" s="706"/>
      <c r="B418" s="559" t="s">
        <v>3700</v>
      </c>
      <c r="C418" s="539" t="s">
        <v>6869</v>
      </c>
      <c r="D418" s="539" t="s">
        <v>2783</v>
      </c>
      <c r="E418" s="539"/>
      <c r="F418" s="539"/>
      <c r="G418" s="539"/>
      <c r="H418" s="552"/>
      <c r="I418" s="552"/>
      <c r="J418" s="552"/>
      <c r="K418" s="552"/>
      <c r="L418" s="552"/>
      <c r="M418" s="552"/>
      <c r="N418" s="552"/>
      <c r="O418" s="552"/>
      <c r="P418" s="552"/>
      <c r="Q418" s="552"/>
      <c r="R418" s="552"/>
      <c r="S418" s="552"/>
      <c r="T418" s="552"/>
      <c r="U418" s="552"/>
      <c r="V418" s="552"/>
      <c r="W418" s="552"/>
      <c r="X418" s="552"/>
      <c r="Y418" s="552"/>
      <c r="Z418" s="552"/>
      <c r="AA418" s="552"/>
      <c r="AB418" s="552"/>
      <c r="AC418" s="552"/>
      <c r="AD418" s="552"/>
      <c r="AE418" s="552"/>
      <c r="AF418" s="552"/>
      <c r="AG418" s="552"/>
      <c r="AH418" s="552"/>
      <c r="AI418" s="552"/>
      <c r="AJ418" s="552"/>
      <c r="AK418" s="552"/>
      <c r="AL418" s="552"/>
      <c r="AM418" s="552"/>
      <c r="AN418" s="552"/>
      <c r="AO418" s="552"/>
      <c r="AP418" s="552"/>
      <c r="AQ418" s="552" t="s">
        <v>1186</v>
      </c>
      <c r="AR418" s="552" t="s">
        <v>2971</v>
      </c>
      <c r="AS418" s="552" t="s">
        <v>6967</v>
      </c>
      <c r="AT418" s="552" t="s">
        <v>7365</v>
      </c>
    </row>
    <row r="419" spans="1:46" ht="14.7" customHeight="1">
      <c r="A419" s="706"/>
      <c r="B419" s="711" t="s">
        <v>6055</v>
      </c>
      <c r="C419" s="539" t="s">
        <v>6869</v>
      </c>
      <c r="D419" s="539"/>
      <c r="E419" s="552"/>
      <c r="F419" s="552"/>
      <c r="G419" s="552"/>
      <c r="H419" s="552"/>
      <c r="I419" s="552"/>
      <c r="J419" s="552"/>
      <c r="K419" s="552"/>
      <c r="L419" s="552"/>
      <c r="M419" s="552"/>
      <c r="N419" s="552"/>
      <c r="O419" s="552"/>
      <c r="P419" s="552"/>
      <c r="Q419" s="552"/>
      <c r="R419" s="552"/>
      <c r="S419" s="552"/>
      <c r="T419" s="552"/>
      <c r="U419" s="552"/>
      <c r="V419" s="552"/>
      <c r="W419" s="552"/>
      <c r="X419" s="552"/>
      <c r="Y419" s="552"/>
      <c r="Z419" s="552"/>
      <c r="AA419" s="552"/>
      <c r="AB419" s="552"/>
      <c r="AC419" s="552"/>
      <c r="AD419" s="552"/>
      <c r="AE419" s="552"/>
      <c r="AF419" s="552"/>
      <c r="AG419" s="552"/>
      <c r="AH419" s="552"/>
      <c r="AI419" s="552"/>
      <c r="AJ419" s="552"/>
      <c r="AK419" s="552"/>
      <c r="AL419" s="552"/>
      <c r="AM419" s="552"/>
      <c r="AN419" s="552"/>
      <c r="AO419" s="552"/>
      <c r="AP419" s="552"/>
      <c r="AQ419" s="552" t="s">
        <v>1186</v>
      </c>
      <c r="AR419" s="552" t="s">
        <v>6697</v>
      </c>
      <c r="AS419" s="552" t="s">
        <v>6967</v>
      </c>
      <c r="AT419" s="552" t="s">
        <v>7365</v>
      </c>
    </row>
    <row r="420" spans="1:46" ht="14.7" customHeight="1">
      <c r="A420" s="706" t="s">
        <v>6235</v>
      </c>
      <c r="B420" s="540" t="s">
        <v>3695</v>
      </c>
      <c r="C420" s="539" t="s">
        <v>6869</v>
      </c>
      <c r="D420" s="709" t="s">
        <v>7423</v>
      </c>
      <c r="E420" s="552" t="s">
        <v>6871</v>
      </c>
      <c r="F420" s="552" t="s">
        <v>7363</v>
      </c>
      <c r="G420" s="552" t="s">
        <v>7424</v>
      </c>
      <c r="H420" s="552"/>
      <c r="I420" s="552" t="s">
        <v>7408</v>
      </c>
      <c r="J420" s="709" t="s">
        <v>7425</v>
      </c>
      <c r="K420" s="709"/>
      <c r="L420" s="709"/>
      <c r="M420" s="552"/>
      <c r="N420" s="552"/>
      <c r="O420" s="552"/>
      <c r="P420" s="552"/>
      <c r="Q420" s="552"/>
      <c r="R420" s="552"/>
      <c r="S420" s="552"/>
      <c r="T420" s="552"/>
      <c r="U420" s="552"/>
      <c r="V420" s="552"/>
      <c r="W420" s="552"/>
      <c r="X420" s="552"/>
      <c r="Y420" s="552"/>
      <c r="Z420" s="552"/>
      <c r="AA420" s="552"/>
      <c r="AB420" s="552"/>
      <c r="AC420" s="552"/>
      <c r="AD420" s="552"/>
      <c r="AE420" s="552"/>
      <c r="AF420" s="552"/>
      <c r="AG420" s="552"/>
      <c r="AH420" s="552"/>
      <c r="AI420" s="552"/>
      <c r="AJ420" s="552"/>
      <c r="AK420" s="552"/>
      <c r="AL420" s="552"/>
      <c r="AM420" s="552"/>
      <c r="AN420" s="552"/>
      <c r="AO420" s="552"/>
      <c r="AP420" s="552"/>
      <c r="AQ420" s="552" t="s">
        <v>1186</v>
      </c>
      <c r="AR420" s="552" t="s">
        <v>2802</v>
      </c>
      <c r="AS420" s="552" t="s">
        <v>6967</v>
      </c>
      <c r="AT420" s="552" t="s">
        <v>7426</v>
      </c>
    </row>
    <row r="421" spans="1:46" ht="14.7" customHeight="1">
      <c r="A421" s="706"/>
      <c r="B421" s="540" t="s">
        <v>3695</v>
      </c>
      <c r="C421" s="539" t="s">
        <v>6869</v>
      </c>
      <c r="D421" s="539" t="s">
        <v>2783</v>
      </c>
      <c r="E421" s="539"/>
      <c r="F421" s="539"/>
      <c r="G421" s="539"/>
      <c r="H421" s="552"/>
      <c r="I421" s="552"/>
      <c r="J421" s="552"/>
      <c r="K421" s="552"/>
      <c r="L421" s="552"/>
      <c r="M421" s="552"/>
      <c r="N421" s="552"/>
      <c r="O421" s="552"/>
      <c r="P421" s="552"/>
      <c r="Q421" s="552"/>
      <c r="R421" s="552"/>
      <c r="S421" s="552"/>
      <c r="T421" s="552"/>
      <c r="U421" s="552"/>
      <c r="V421" s="552"/>
      <c r="W421" s="552"/>
      <c r="X421" s="552"/>
      <c r="Y421" s="552"/>
      <c r="Z421" s="552"/>
      <c r="AA421" s="552"/>
      <c r="AB421" s="552"/>
      <c r="AC421" s="552"/>
      <c r="AD421" s="552"/>
      <c r="AE421" s="552"/>
      <c r="AF421" s="552"/>
      <c r="AG421" s="552"/>
      <c r="AH421" s="552"/>
      <c r="AI421" s="552"/>
      <c r="AJ421" s="552"/>
      <c r="AK421" s="552"/>
      <c r="AL421" s="552"/>
      <c r="AM421" s="552"/>
      <c r="AN421" s="552"/>
      <c r="AO421" s="552"/>
      <c r="AP421" s="552"/>
      <c r="AQ421" s="552" t="s">
        <v>1186</v>
      </c>
      <c r="AR421" s="552" t="s">
        <v>2802</v>
      </c>
      <c r="AS421" s="552" t="s">
        <v>6967</v>
      </c>
      <c r="AT421" s="552" t="s">
        <v>7426</v>
      </c>
    </row>
    <row r="422" spans="1:46" ht="14.7" customHeight="1">
      <c r="A422" s="706" t="s">
        <v>6236</v>
      </c>
      <c r="B422" s="707" t="s">
        <v>3696</v>
      </c>
      <c r="C422" s="539" t="s">
        <v>6869</v>
      </c>
      <c r="D422" s="709" t="s">
        <v>7427</v>
      </c>
      <c r="E422" s="552" t="s">
        <v>6871</v>
      </c>
      <c r="F422" s="552" t="s">
        <v>7363</v>
      </c>
      <c r="G422" s="552" t="s">
        <v>7424</v>
      </c>
      <c r="H422" s="552"/>
      <c r="I422" s="713" t="s">
        <v>7408</v>
      </c>
      <c r="J422" s="709" t="s">
        <v>6883</v>
      </c>
      <c r="K422" s="709"/>
      <c r="L422" s="709"/>
      <c r="M422" s="552"/>
      <c r="N422" s="552"/>
      <c r="O422" s="552"/>
      <c r="P422" s="552"/>
      <c r="Q422" s="552"/>
      <c r="R422" s="552"/>
      <c r="S422" s="552"/>
      <c r="T422" s="552"/>
      <c r="U422" s="552"/>
      <c r="V422" s="552"/>
      <c r="W422" s="552"/>
      <c r="X422" s="552"/>
      <c r="Y422" s="552"/>
      <c r="Z422" s="552"/>
      <c r="AA422" s="552"/>
      <c r="AB422" s="552"/>
      <c r="AC422" s="552"/>
      <c r="AD422" s="552"/>
      <c r="AE422" s="552"/>
      <c r="AF422" s="552"/>
      <c r="AG422" s="552"/>
      <c r="AH422" s="552"/>
      <c r="AI422" s="552"/>
      <c r="AJ422" s="552"/>
      <c r="AK422" s="552"/>
      <c r="AL422" s="552"/>
      <c r="AM422" s="552"/>
      <c r="AN422" s="552"/>
      <c r="AO422" s="552"/>
      <c r="AP422" s="552"/>
      <c r="AQ422" s="552" t="s">
        <v>1186</v>
      </c>
      <c r="AR422" s="552" t="s">
        <v>2805</v>
      </c>
      <c r="AS422" s="552" t="s">
        <v>6967</v>
      </c>
      <c r="AT422" s="552" t="s">
        <v>7426</v>
      </c>
    </row>
    <row r="423" spans="1:46" ht="14.7" customHeight="1">
      <c r="A423" s="706"/>
      <c r="B423" s="707" t="s">
        <v>3696</v>
      </c>
      <c r="C423" s="539" t="s">
        <v>6869</v>
      </c>
      <c r="D423" s="539" t="s">
        <v>2783</v>
      </c>
      <c r="E423" s="539"/>
      <c r="F423" s="539"/>
      <c r="G423" s="539"/>
      <c r="H423" s="552"/>
      <c r="I423" s="552"/>
      <c r="J423" s="552"/>
      <c r="K423" s="552"/>
      <c r="L423" s="552"/>
      <c r="M423" s="552"/>
      <c r="N423" s="552"/>
      <c r="O423" s="552"/>
      <c r="P423" s="552"/>
      <c r="Q423" s="552"/>
      <c r="R423" s="552"/>
      <c r="S423" s="552"/>
      <c r="T423" s="552"/>
      <c r="U423" s="552"/>
      <c r="V423" s="552"/>
      <c r="W423" s="552"/>
      <c r="X423" s="552"/>
      <c r="Y423" s="552"/>
      <c r="Z423" s="552"/>
      <c r="AA423" s="552"/>
      <c r="AB423" s="552"/>
      <c r="AC423" s="552"/>
      <c r="AD423" s="552"/>
      <c r="AE423" s="552"/>
      <c r="AF423" s="552"/>
      <c r="AG423" s="552"/>
      <c r="AH423" s="552"/>
      <c r="AI423" s="552"/>
      <c r="AJ423" s="552"/>
      <c r="AK423" s="552"/>
      <c r="AL423" s="552"/>
      <c r="AM423" s="552"/>
      <c r="AN423" s="552"/>
      <c r="AO423" s="552"/>
      <c r="AP423" s="552"/>
      <c r="AQ423" s="552" t="s">
        <v>1186</v>
      </c>
      <c r="AR423" s="552" t="s">
        <v>2805</v>
      </c>
      <c r="AS423" s="552" t="s">
        <v>6967</v>
      </c>
      <c r="AT423" s="552" t="s">
        <v>7426</v>
      </c>
    </row>
    <row r="424" spans="1:46" ht="14.7" customHeight="1">
      <c r="A424" s="706" t="s">
        <v>6237</v>
      </c>
      <c r="B424" s="556" t="s">
        <v>3697</v>
      </c>
      <c r="C424" s="539" t="s">
        <v>6869</v>
      </c>
      <c r="D424" s="709" t="s">
        <v>7428</v>
      </c>
      <c r="E424" s="552" t="s">
        <v>6871</v>
      </c>
      <c r="F424" s="552" t="s">
        <v>7363</v>
      </c>
      <c r="G424" s="552" t="s">
        <v>7424</v>
      </c>
      <c r="H424" s="552"/>
      <c r="I424" s="713" t="s">
        <v>7429</v>
      </c>
      <c r="J424" s="709" t="s">
        <v>7077</v>
      </c>
      <c r="K424" s="709"/>
      <c r="L424" s="709"/>
      <c r="M424" s="552"/>
      <c r="N424" s="552"/>
      <c r="O424" s="552"/>
      <c r="P424" s="552"/>
      <c r="Q424" s="552"/>
      <c r="R424" s="552"/>
      <c r="S424" s="552"/>
      <c r="T424" s="552"/>
      <c r="U424" s="552"/>
      <c r="V424" s="552"/>
      <c r="W424" s="552"/>
      <c r="X424" s="552"/>
      <c r="Y424" s="552"/>
      <c r="Z424" s="552"/>
      <c r="AA424" s="552"/>
      <c r="AB424" s="552"/>
      <c r="AC424" s="552"/>
      <c r="AD424" s="552"/>
      <c r="AE424" s="552"/>
      <c r="AF424" s="552"/>
      <c r="AG424" s="552"/>
      <c r="AH424" s="552"/>
      <c r="AI424" s="552"/>
      <c r="AJ424" s="552"/>
      <c r="AK424" s="552"/>
      <c r="AL424" s="552"/>
      <c r="AM424" s="552"/>
      <c r="AN424" s="552"/>
      <c r="AO424" s="552"/>
      <c r="AP424" s="552"/>
      <c r="AQ424" s="552" t="s">
        <v>1186</v>
      </c>
      <c r="AR424" s="552" t="s">
        <v>2875</v>
      </c>
      <c r="AS424" s="552" t="s">
        <v>6967</v>
      </c>
      <c r="AT424" s="552" t="s">
        <v>7426</v>
      </c>
    </row>
    <row r="425" spans="1:46" ht="14.7" customHeight="1">
      <c r="A425" s="706" t="s">
        <v>6238</v>
      </c>
      <c r="B425" s="556" t="s">
        <v>3697</v>
      </c>
      <c r="C425" s="539" t="s">
        <v>6869</v>
      </c>
      <c r="D425" s="709" t="s">
        <v>7430</v>
      </c>
      <c r="E425" s="552" t="s">
        <v>6871</v>
      </c>
      <c r="F425" s="552" t="s">
        <v>7363</v>
      </c>
      <c r="G425" s="552" t="s">
        <v>7424</v>
      </c>
      <c r="H425" s="552"/>
      <c r="I425" s="552" t="s">
        <v>7402</v>
      </c>
      <c r="J425" s="709" t="s">
        <v>7431</v>
      </c>
      <c r="K425" s="709"/>
      <c r="L425" s="709"/>
      <c r="M425" s="552"/>
      <c r="N425" s="552"/>
      <c r="O425" s="552"/>
      <c r="P425" s="552"/>
      <c r="Q425" s="552"/>
      <c r="R425" s="552"/>
      <c r="S425" s="552"/>
      <c r="T425" s="552"/>
      <c r="U425" s="552"/>
      <c r="V425" s="552"/>
      <c r="W425" s="552"/>
      <c r="X425" s="552"/>
      <c r="Y425" s="552"/>
      <c r="Z425" s="552"/>
      <c r="AA425" s="552"/>
      <c r="AB425" s="552"/>
      <c r="AC425" s="552"/>
      <c r="AD425" s="552"/>
      <c r="AE425" s="552"/>
      <c r="AF425" s="552"/>
      <c r="AG425" s="552"/>
      <c r="AH425" s="552"/>
      <c r="AI425" s="552"/>
      <c r="AJ425" s="552"/>
      <c r="AK425" s="552"/>
      <c r="AL425" s="552"/>
      <c r="AM425" s="552"/>
      <c r="AN425" s="552"/>
      <c r="AO425" s="552"/>
      <c r="AP425" s="552"/>
      <c r="AQ425" s="552" t="s">
        <v>1186</v>
      </c>
      <c r="AR425" s="552" t="s">
        <v>2875</v>
      </c>
      <c r="AS425" s="552" t="s">
        <v>6967</v>
      </c>
      <c r="AT425" s="552" t="s">
        <v>7426</v>
      </c>
    </row>
    <row r="426" spans="1:46" ht="14.7" customHeight="1">
      <c r="A426" s="706"/>
      <c r="B426" s="556" t="s">
        <v>3697</v>
      </c>
      <c r="C426" s="539" t="s">
        <v>6869</v>
      </c>
      <c r="D426" s="539" t="s">
        <v>2783</v>
      </c>
      <c r="E426" s="539"/>
      <c r="F426" s="539"/>
      <c r="G426" s="539"/>
      <c r="H426" s="552"/>
      <c r="I426" s="552"/>
      <c r="J426" s="709"/>
      <c r="K426" s="552"/>
      <c r="L426" s="552"/>
      <c r="M426" s="552"/>
      <c r="N426" s="552"/>
      <c r="O426" s="552"/>
      <c r="P426" s="552"/>
      <c r="Q426" s="552"/>
      <c r="R426" s="552"/>
      <c r="S426" s="552"/>
      <c r="T426" s="552"/>
      <c r="U426" s="552"/>
      <c r="V426" s="552"/>
      <c r="W426" s="552"/>
      <c r="X426" s="552"/>
      <c r="Y426" s="552"/>
      <c r="Z426" s="552"/>
      <c r="AA426" s="552"/>
      <c r="AB426" s="552"/>
      <c r="AC426" s="552"/>
      <c r="AD426" s="552"/>
      <c r="AE426" s="552"/>
      <c r="AF426" s="552"/>
      <c r="AG426" s="552"/>
      <c r="AH426" s="552"/>
      <c r="AI426" s="552"/>
      <c r="AJ426" s="552"/>
      <c r="AK426" s="552"/>
      <c r="AL426" s="552"/>
      <c r="AM426" s="552"/>
      <c r="AN426" s="552"/>
      <c r="AO426" s="552"/>
      <c r="AP426" s="552"/>
      <c r="AQ426" s="552" t="s">
        <v>1186</v>
      </c>
      <c r="AR426" s="552" t="s">
        <v>2875</v>
      </c>
      <c r="AS426" s="552" t="s">
        <v>6967</v>
      </c>
      <c r="AT426" s="552" t="s">
        <v>7426</v>
      </c>
    </row>
    <row r="427" spans="1:46" ht="14.7" customHeight="1">
      <c r="A427" s="710" t="s">
        <v>6239</v>
      </c>
      <c r="B427" s="557" t="s">
        <v>3698</v>
      </c>
      <c r="C427" s="539" t="s">
        <v>6869</v>
      </c>
      <c r="D427" s="709" t="s">
        <v>7432</v>
      </c>
      <c r="E427" s="552" t="s">
        <v>6871</v>
      </c>
      <c r="F427" s="552" t="s">
        <v>7363</v>
      </c>
      <c r="G427" s="552" t="s">
        <v>7424</v>
      </c>
      <c r="H427" s="552"/>
      <c r="I427" s="713" t="s">
        <v>7433</v>
      </c>
      <c r="J427" s="552" t="s">
        <v>6883</v>
      </c>
      <c r="K427" s="552"/>
      <c r="L427" s="552"/>
      <c r="M427" s="552"/>
      <c r="N427" s="552"/>
      <c r="O427" s="552"/>
      <c r="P427" s="552"/>
      <c r="Q427" s="552"/>
      <c r="R427" s="552"/>
      <c r="S427" s="552"/>
      <c r="T427" s="552"/>
      <c r="U427" s="552"/>
      <c r="V427" s="552"/>
      <c r="W427" s="552"/>
      <c r="X427" s="552"/>
      <c r="Y427" s="552"/>
      <c r="Z427" s="552"/>
      <c r="AA427" s="552"/>
      <c r="AB427" s="552"/>
      <c r="AC427" s="552"/>
      <c r="AD427" s="552"/>
      <c r="AE427" s="552"/>
      <c r="AF427" s="552"/>
      <c r="AG427" s="552"/>
      <c r="AH427" s="552"/>
      <c r="AI427" s="552"/>
      <c r="AJ427" s="552"/>
      <c r="AK427" s="552"/>
      <c r="AL427" s="552"/>
      <c r="AM427" s="552"/>
      <c r="AN427" s="552"/>
      <c r="AO427" s="552"/>
      <c r="AP427" s="709" t="s">
        <v>7434</v>
      </c>
      <c r="AQ427" s="552" t="s">
        <v>1186</v>
      </c>
      <c r="AR427" s="552" t="s">
        <v>2998</v>
      </c>
      <c r="AS427" s="552" t="s">
        <v>6967</v>
      </c>
      <c r="AT427" s="552" t="s">
        <v>7426</v>
      </c>
    </row>
    <row r="428" spans="1:46" ht="14.7" customHeight="1">
      <c r="A428" s="706" t="s">
        <v>6240</v>
      </c>
      <c r="B428" s="557" t="s">
        <v>3698</v>
      </c>
      <c r="C428" s="539" t="s">
        <v>6869</v>
      </c>
      <c r="D428" s="709" t="s">
        <v>7435</v>
      </c>
      <c r="E428" s="552" t="s">
        <v>6871</v>
      </c>
      <c r="F428" s="552" t="s">
        <v>7363</v>
      </c>
      <c r="G428" s="552" t="s">
        <v>7424</v>
      </c>
      <c r="H428" s="552"/>
      <c r="I428" s="709" t="s">
        <v>7436</v>
      </c>
      <c r="J428" s="709" t="s">
        <v>7437</v>
      </c>
      <c r="K428" s="709"/>
      <c r="L428" s="709"/>
      <c r="M428" s="709"/>
      <c r="N428" s="552"/>
      <c r="O428" s="552"/>
      <c r="P428" s="552"/>
      <c r="Q428" s="552"/>
      <c r="R428" s="552"/>
      <c r="S428" s="552"/>
      <c r="T428" s="552"/>
      <c r="U428" s="552"/>
      <c r="V428" s="552"/>
      <c r="W428" s="552"/>
      <c r="X428" s="552"/>
      <c r="Y428" s="552"/>
      <c r="Z428" s="552"/>
      <c r="AA428" s="552"/>
      <c r="AB428" s="552"/>
      <c r="AC428" s="552"/>
      <c r="AD428" s="552"/>
      <c r="AE428" s="552"/>
      <c r="AF428" s="552"/>
      <c r="AG428" s="552"/>
      <c r="AH428" s="552"/>
      <c r="AI428" s="552"/>
      <c r="AJ428" s="552"/>
      <c r="AK428" s="552"/>
      <c r="AL428" s="552"/>
      <c r="AM428" s="552"/>
      <c r="AN428" s="552"/>
      <c r="AO428" s="552"/>
      <c r="AP428" s="552"/>
      <c r="AQ428" s="552" t="s">
        <v>1186</v>
      </c>
      <c r="AR428" s="552" t="s">
        <v>2998</v>
      </c>
      <c r="AS428" s="552" t="s">
        <v>6967</v>
      </c>
      <c r="AT428" s="552" t="s">
        <v>7426</v>
      </c>
    </row>
    <row r="429" spans="1:46" ht="14.7" customHeight="1">
      <c r="A429" s="706"/>
      <c r="B429" s="557" t="s">
        <v>3698</v>
      </c>
      <c r="C429" s="539" t="s">
        <v>6869</v>
      </c>
      <c r="D429" s="539" t="s">
        <v>2783</v>
      </c>
      <c r="E429" s="539"/>
      <c r="F429" s="539"/>
      <c r="G429" s="539"/>
      <c r="H429" s="552"/>
      <c r="I429" s="552"/>
      <c r="J429" s="552"/>
      <c r="K429" s="552"/>
      <c r="L429" s="552"/>
      <c r="M429" s="552"/>
      <c r="N429" s="552"/>
      <c r="O429" s="552"/>
      <c r="P429" s="552"/>
      <c r="Q429" s="552"/>
      <c r="R429" s="552"/>
      <c r="S429" s="552"/>
      <c r="T429" s="552"/>
      <c r="U429" s="552"/>
      <c r="V429" s="552"/>
      <c r="W429" s="552"/>
      <c r="X429" s="552"/>
      <c r="Y429" s="552"/>
      <c r="Z429" s="552"/>
      <c r="AA429" s="552"/>
      <c r="AB429" s="552"/>
      <c r="AC429" s="552"/>
      <c r="AD429" s="552"/>
      <c r="AE429" s="552"/>
      <c r="AF429" s="552"/>
      <c r="AG429" s="552"/>
      <c r="AH429" s="552"/>
      <c r="AI429" s="552"/>
      <c r="AJ429" s="552"/>
      <c r="AK429" s="552"/>
      <c r="AL429" s="552"/>
      <c r="AM429" s="552"/>
      <c r="AN429" s="552"/>
      <c r="AO429" s="552"/>
      <c r="AP429" s="552"/>
      <c r="AQ429" s="552" t="s">
        <v>1186</v>
      </c>
      <c r="AR429" s="552" t="s">
        <v>2998</v>
      </c>
      <c r="AS429" s="552" t="s">
        <v>6967</v>
      </c>
      <c r="AT429" s="552" t="s">
        <v>7426</v>
      </c>
    </row>
    <row r="430" spans="1:46" ht="14.7" customHeight="1">
      <c r="A430" s="706"/>
      <c r="B430" s="557" t="s">
        <v>3698</v>
      </c>
      <c r="C430" s="539" t="s">
        <v>6869</v>
      </c>
      <c r="D430" s="539" t="s">
        <v>2783</v>
      </c>
      <c r="E430" s="539"/>
      <c r="F430" s="539"/>
      <c r="G430" s="539"/>
      <c r="H430" s="552"/>
      <c r="I430" s="552"/>
      <c r="J430" s="552"/>
      <c r="K430" s="552"/>
      <c r="L430" s="552"/>
      <c r="M430" s="552"/>
      <c r="N430" s="552"/>
      <c r="O430" s="552"/>
      <c r="P430" s="552"/>
      <c r="Q430" s="552"/>
      <c r="R430" s="552"/>
      <c r="S430" s="552"/>
      <c r="T430" s="552"/>
      <c r="U430" s="552"/>
      <c r="V430" s="552"/>
      <c r="W430" s="552"/>
      <c r="X430" s="552"/>
      <c r="Y430" s="552"/>
      <c r="Z430" s="552"/>
      <c r="AA430" s="552"/>
      <c r="AB430" s="552"/>
      <c r="AC430" s="552"/>
      <c r="AD430" s="552"/>
      <c r="AE430" s="552"/>
      <c r="AF430" s="552"/>
      <c r="AG430" s="552"/>
      <c r="AH430" s="552"/>
      <c r="AI430" s="552"/>
      <c r="AJ430" s="552"/>
      <c r="AK430" s="552"/>
      <c r="AL430" s="552"/>
      <c r="AM430" s="552"/>
      <c r="AN430" s="552"/>
      <c r="AO430" s="552"/>
      <c r="AP430" s="552"/>
      <c r="AQ430" s="552" t="s">
        <v>1186</v>
      </c>
      <c r="AR430" s="552" t="s">
        <v>2998</v>
      </c>
      <c r="AS430" s="552" t="s">
        <v>6967</v>
      </c>
      <c r="AT430" s="552" t="s">
        <v>7426</v>
      </c>
    </row>
    <row r="431" spans="1:46" ht="14.7" customHeight="1">
      <c r="A431" s="710" t="s">
        <v>6241</v>
      </c>
      <c r="B431" s="344" t="s">
        <v>3699</v>
      </c>
      <c r="C431" s="539" t="s">
        <v>6869</v>
      </c>
      <c r="D431" s="709" t="s">
        <v>7438</v>
      </c>
      <c r="E431" s="552" t="s">
        <v>6871</v>
      </c>
      <c r="F431" s="552" t="s">
        <v>7363</v>
      </c>
      <c r="G431" s="552" t="s">
        <v>7424</v>
      </c>
      <c r="H431" s="552"/>
      <c r="I431" s="713" t="s">
        <v>7402</v>
      </c>
      <c r="J431" s="709" t="s">
        <v>6883</v>
      </c>
      <c r="K431" s="709"/>
      <c r="L431" s="709"/>
      <c r="M431" s="552"/>
      <c r="N431" s="552"/>
      <c r="O431" s="552"/>
      <c r="P431" s="552"/>
      <c r="Q431" s="552"/>
      <c r="R431" s="552"/>
      <c r="S431" s="552"/>
      <c r="T431" s="552"/>
      <c r="U431" s="552"/>
      <c r="V431" s="552"/>
      <c r="W431" s="552"/>
      <c r="X431" s="552"/>
      <c r="Y431" s="552"/>
      <c r="Z431" s="552"/>
      <c r="AA431" s="552"/>
      <c r="AB431" s="552"/>
      <c r="AC431" s="552"/>
      <c r="AD431" s="552"/>
      <c r="AE431" s="552"/>
      <c r="AF431" s="552"/>
      <c r="AG431" s="552"/>
      <c r="AH431" s="552"/>
      <c r="AI431" s="552"/>
      <c r="AJ431" s="552"/>
      <c r="AK431" s="552"/>
      <c r="AL431" s="552"/>
      <c r="AM431" s="552"/>
      <c r="AN431" s="552"/>
      <c r="AO431" s="552"/>
      <c r="AP431" s="713" t="s">
        <v>7439</v>
      </c>
      <c r="AQ431" s="552" t="s">
        <v>1186</v>
      </c>
      <c r="AR431" s="552" t="s">
        <v>2809</v>
      </c>
      <c r="AS431" s="552" t="s">
        <v>6967</v>
      </c>
      <c r="AT431" s="552" t="s">
        <v>7426</v>
      </c>
    </row>
    <row r="432" spans="1:46" ht="14.7" customHeight="1">
      <c r="A432" s="710" t="s">
        <v>6242</v>
      </c>
      <c r="B432" s="344" t="s">
        <v>3699</v>
      </c>
      <c r="C432" s="539" t="s">
        <v>6869</v>
      </c>
      <c r="D432" s="709" t="s">
        <v>7440</v>
      </c>
      <c r="E432" s="552" t="s">
        <v>6871</v>
      </c>
      <c r="F432" s="552" t="s">
        <v>7363</v>
      </c>
      <c r="G432" s="552" t="s">
        <v>7424</v>
      </c>
      <c r="H432" s="552"/>
      <c r="I432" s="713" t="s">
        <v>7402</v>
      </c>
      <c r="J432" s="709" t="s">
        <v>7079</v>
      </c>
      <c r="K432" s="709"/>
      <c r="L432" s="709"/>
      <c r="M432" s="552"/>
      <c r="N432" s="552"/>
      <c r="O432" s="552"/>
      <c r="P432" s="552"/>
      <c r="Q432" s="552"/>
      <c r="R432" s="552"/>
      <c r="S432" s="552"/>
      <c r="T432" s="552"/>
      <c r="U432" s="552"/>
      <c r="V432" s="552"/>
      <c r="W432" s="552"/>
      <c r="X432" s="552"/>
      <c r="Y432" s="552"/>
      <c r="Z432" s="552"/>
      <c r="AA432" s="552"/>
      <c r="AB432" s="552"/>
      <c r="AC432" s="552"/>
      <c r="AD432" s="552"/>
      <c r="AE432" s="552"/>
      <c r="AF432" s="552"/>
      <c r="AG432" s="552"/>
      <c r="AH432" s="552"/>
      <c r="AI432" s="552"/>
      <c r="AJ432" s="552"/>
      <c r="AK432" s="552"/>
      <c r="AL432" s="552"/>
      <c r="AM432" s="552"/>
      <c r="AN432" s="552"/>
      <c r="AO432" s="712" t="s">
        <v>7441</v>
      </c>
      <c r="AP432" s="552"/>
      <c r="AQ432" s="552" t="s">
        <v>1186</v>
      </c>
      <c r="AR432" s="552" t="s">
        <v>2809</v>
      </c>
      <c r="AS432" s="552" t="s">
        <v>6967</v>
      </c>
      <c r="AT432" s="552" t="s">
        <v>7426</v>
      </c>
    </row>
    <row r="433" spans="1:46" ht="14.7" customHeight="1">
      <c r="A433" s="710" t="s">
        <v>6243</v>
      </c>
      <c r="B433" s="344" t="s">
        <v>3699</v>
      </c>
      <c r="C433" s="539" t="s">
        <v>6869</v>
      </c>
      <c r="D433" s="709" t="s">
        <v>7442</v>
      </c>
      <c r="E433" s="552" t="s">
        <v>6871</v>
      </c>
      <c r="F433" s="552" t="s">
        <v>7363</v>
      </c>
      <c r="G433" s="552" t="s">
        <v>7424</v>
      </c>
      <c r="H433" s="552"/>
      <c r="I433" s="713" t="s">
        <v>7429</v>
      </c>
      <c r="J433" s="709" t="s">
        <v>7443</v>
      </c>
      <c r="K433" s="709" t="s">
        <v>7444</v>
      </c>
      <c r="L433" s="709"/>
      <c r="M433" s="709"/>
      <c r="N433" s="552"/>
      <c r="O433" s="552"/>
      <c r="P433" s="552"/>
      <c r="Q433" s="552"/>
      <c r="R433" s="552"/>
      <c r="S433" s="552"/>
      <c r="T433" s="552"/>
      <c r="U433" s="552"/>
      <c r="V433" s="552"/>
      <c r="W433" s="552"/>
      <c r="X433" s="552"/>
      <c r="Y433" s="552"/>
      <c r="Z433" s="552"/>
      <c r="AA433" s="552"/>
      <c r="AB433" s="552"/>
      <c r="AC433" s="552"/>
      <c r="AD433" s="552"/>
      <c r="AE433" s="552"/>
      <c r="AF433" s="552"/>
      <c r="AG433" s="552"/>
      <c r="AH433" s="552"/>
      <c r="AI433" s="552"/>
      <c r="AJ433" s="552"/>
      <c r="AK433" s="552"/>
      <c r="AL433" s="552"/>
      <c r="AM433" s="552"/>
      <c r="AN433" s="552"/>
      <c r="AO433" s="552" t="s">
        <v>7445</v>
      </c>
      <c r="AP433" s="552"/>
      <c r="AQ433" s="552" t="s">
        <v>1186</v>
      </c>
      <c r="AR433" s="552" t="s">
        <v>2809</v>
      </c>
      <c r="AS433" s="552" t="s">
        <v>6967</v>
      </c>
      <c r="AT433" s="552" t="s">
        <v>7426</v>
      </c>
    </row>
    <row r="434" spans="1:46" ht="14.7" customHeight="1">
      <c r="A434" s="710" t="s">
        <v>6244</v>
      </c>
      <c r="B434" s="344" t="s">
        <v>3699</v>
      </c>
      <c r="C434" s="539" t="s">
        <v>6869</v>
      </c>
      <c r="D434" s="709" t="s">
        <v>7446</v>
      </c>
      <c r="E434" s="552" t="s">
        <v>6871</v>
      </c>
      <c r="F434" s="552" t="s">
        <v>7363</v>
      </c>
      <c r="G434" s="552" t="s">
        <v>7424</v>
      </c>
      <c r="H434" s="552"/>
      <c r="I434" s="713" t="s">
        <v>7408</v>
      </c>
      <c r="J434" s="709" t="s">
        <v>7447</v>
      </c>
      <c r="K434" s="709"/>
      <c r="L434" s="552"/>
      <c r="M434" s="552"/>
      <c r="N434" s="552"/>
      <c r="O434" s="552"/>
      <c r="P434" s="552"/>
      <c r="Q434" s="552"/>
      <c r="R434" s="552"/>
      <c r="S434" s="552"/>
      <c r="T434" s="552"/>
      <c r="U434" s="552"/>
      <c r="V434" s="552"/>
      <c r="W434" s="552"/>
      <c r="X434" s="552"/>
      <c r="Y434" s="552"/>
      <c r="Z434" s="552"/>
      <c r="AA434" s="552"/>
      <c r="AB434" s="552"/>
      <c r="AC434" s="552"/>
      <c r="AD434" s="552"/>
      <c r="AE434" s="552"/>
      <c r="AF434" s="552"/>
      <c r="AG434" s="552"/>
      <c r="AH434" s="552"/>
      <c r="AI434" s="552"/>
      <c r="AJ434" s="552"/>
      <c r="AK434" s="552"/>
      <c r="AL434" s="552"/>
      <c r="AM434" s="552"/>
      <c r="AN434" s="552"/>
      <c r="AO434" s="552" t="s">
        <v>7448</v>
      </c>
      <c r="AP434" s="709" t="s">
        <v>7449</v>
      </c>
      <c r="AQ434" s="552" t="s">
        <v>1186</v>
      </c>
      <c r="AR434" s="552" t="s">
        <v>2809</v>
      </c>
      <c r="AS434" s="552" t="s">
        <v>6967</v>
      </c>
      <c r="AT434" s="552" t="s">
        <v>7426</v>
      </c>
    </row>
    <row r="435" spans="1:46" ht="14.7" customHeight="1">
      <c r="A435" s="710" t="s">
        <v>6245</v>
      </c>
      <c r="B435" s="344" t="s">
        <v>3699</v>
      </c>
      <c r="C435" s="539" t="s">
        <v>6869</v>
      </c>
      <c r="D435" s="709" t="s">
        <v>7450</v>
      </c>
      <c r="E435" s="552" t="s">
        <v>6871</v>
      </c>
      <c r="F435" s="552" t="s">
        <v>7363</v>
      </c>
      <c r="G435" s="552" t="s">
        <v>7424</v>
      </c>
      <c r="H435" s="552"/>
      <c r="I435" s="713" t="s">
        <v>7408</v>
      </c>
      <c r="J435" s="709" t="s">
        <v>7156</v>
      </c>
      <c r="K435" s="709"/>
      <c r="L435" s="709"/>
      <c r="M435" s="552"/>
      <c r="N435" s="552"/>
      <c r="O435" s="552"/>
      <c r="P435" s="552"/>
      <c r="Q435" s="552"/>
      <c r="R435" s="552"/>
      <c r="S435" s="552"/>
      <c r="T435" s="552"/>
      <c r="U435" s="552"/>
      <c r="V435" s="552"/>
      <c r="W435" s="552"/>
      <c r="X435" s="552"/>
      <c r="Y435" s="552"/>
      <c r="Z435" s="552"/>
      <c r="AA435" s="552"/>
      <c r="AB435" s="552"/>
      <c r="AC435" s="552"/>
      <c r="AD435" s="552"/>
      <c r="AE435" s="552"/>
      <c r="AF435" s="552"/>
      <c r="AG435" s="552"/>
      <c r="AH435" s="552"/>
      <c r="AI435" s="552"/>
      <c r="AJ435" s="552"/>
      <c r="AK435" s="552"/>
      <c r="AL435" s="552"/>
      <c r="AM435" s="552"/>
      <c r="AN435" s="552"/>
      <c r="AO435" s="552" t="s">
        <v>7448</v>
      </c>
      <c r="AP435" s="709" t="s">
        <v>7449</v>
      </c>
      <c r="AQ435" s="552" t="s">
        <v>1186</v>
      </c>
      <c r="AR435" s="552" t="s">
        <v>2809</v>
      </c>
      <c r="AS435" s="552" t="s">
        <v>6967</v>
      </c>
      <c r="AT435" s="552" t="s">
        <v>7426</v>
      </c>
    </row>
    <row r="436" spans="1:46" ht="14.7" customHeight="1">
      <c r="A436" s="710" t="s">
        <v>6246</v>
      </c>
      <c r="B436" s="559" t="s">
        <v>3700</v>
      </c>
      <c r="C436" s="539" t="s">
        <v>6869</v>
      </c>
      <c r="D436" s="709" t="s">
        <v>7451</v>
      </c>
      <c r="E436" s="552" t="s">
        <v>6871</v>
      </c>
      <c r="F436" s="552" t="s">
        <v>7363</v>
      </c>
      <c r="G436" s="552" t="s">
        <v>7424</v>
      </c>
      <c r="H436" s="552"/>
      <c r="I436" s="709" t="s">
        <v>7452</v>
      </c>
      <c r="J436" s="709" t="s">
        <v>6947</v>
      </c>
      <c r="K436" s="709"/>
      <c r="L436" s="709"/>
      <c r="M436" s="552"/>
      <c r="N436" s="552"/>
      <c r="O436" s="552"/>
      <c r="P436" s="552"/>
      <c r="Q436" s="552"/>
      <c r="R436" s="552"/>
      <c r="S436" s="552"/>
      <c r="T436" s="552"/>
      <c r="U436" s="552"/>
      <c r="V436" s="552"/>
      <c r="W436" s="552"/>
      <c r="X436" s="552"/>
      <c r="Y436" s="552"/>
      <c r="Z436" s="552"/>
      <c r="AA436" s="552"/>
      <c r="AB436" s="552"/>
      <c r="AC436" s="552"/>
      <c r="AD436" s="552"/>
      <c r="AE436" s="552"/>
      <c r="AF436" s="552"/>
      <c r="AG436" s="552"/>
      <c r="AH436" s="552"/>
      <c r="AI436" s="552"/>
      <c r="AJ436" s="552"/>
      <c r="AK436" s="552"/>
      <c r="AL436" s="552"/>
      <c r="AM436" s="552"/>
      <c r="AN436" s="552"/>
      <c r="AO436" s="713" t="s">
        <v>7453</v>
      </c>
      <c r="AP436" s="552"/>
      <c r="AQ436" s="552" t="s">
        <v>1186</v>
      </c>
      <c r="AR436" s="552" t="s">
        <v>2971</v>
      </c>
      <c r="AS436" s="552" t="s">
        <v>6967</v>
      </c>
      <c r="AT436" s="552" t="s">
        <v>7426</v>
      </c>
    </row>
    <row r="437" spans="1:46" ht="14.7" customHeight="1">
      <c r="A437" s="706"/>
      <c r="B437" s="559" t="s">
        <v>3700</v>
      </c>
      <c r="C437" s="539" t="s">
        <v>6869</v>
      </c>
      <c r="D437" s="539" t="s">
        <v>2783</v>
      </c>
      <c r="E437" s="539"/>
      <c r="F437" s="539"/>
      <c r="G437" s="539"/>
      <c r="H437" s="552"/>
      <c r="I437" s="552"/>
      <c r="J437" s="552"/>
      <c r="K437" s="552"/>
      <c r="L437" s="552"/>
      <c r="M437" s="552"/>
      <c r="N437" s="552"/>
      <c r="O437" s="552"/>
      <c r="P437" s="552"/>
      <c r="Q437" s="552"/>
      <c r="R437" s="552"/>
      <c r="S437" s="552"/>
      <c r="T437" s="552"/>
      <c r="U437" s="552"/>
      <c r="V437" s="552"/>
      <c r="W437" s="552"/>
      <c r="X437" s="552"/>
      <c r="Y437" s="552"/>
      <c r="Z437" s="552"/>
      <c r="AA437" s="552"/>
      <c r="AB437" s="552"/>
      <c r="AC437" s="552"/>
      <c r="AD437" s="552"/>
      <c r="AE437" s="552"/>
      <c r="AF437" s="552"/>
      <c r="AG437" s="552"/>
      <c r="AH437" s="552"/>
      <c r="AI437" s="552"/>
      <c r="AJ437" s="552"/>
      <c r="AK437" s="552"/>
      <c r="AL437" s="552"/>
      <c r="AM437" s="552"/>
      <c r="AN437" s="552"/>
      <c r="AO437" s="552"/>
      <c r="AP437" s="552"/>
      <c r="AQ437" s="552" t="s">
        <v>1186</v>
      </c>
      <c r="AR437" s="552" t="s">
        <v>2971</v>
      </c>
      <c r="AS437" s="552" t="s">
        <v>6967</v>
      </c>
      <c r="AT437" s="552" t="s">
        <v>7426</v>
      </c>
    </row>
    <row r="438" spans="1:46" ht="14.7" customHeight="1">
      <c r="A438" s="706"/>
      <c r="B438" s="711" t="s">
        <v>6055</v>
      </c>
      <c r="C438" s="539" t="s">
        <v>6869</v>
      </c>
      <c r="D438" s="539"/>
      <c r="E438" s="552"/>
      <c r="F438" s="552"/>
      <c r="G438" s="552"/>
      <c r="H438" s="552"/>
      <c r="I438" s="552"/>
      <c r="J438" s="552"/>
      <c r="K438" s="552"/>
      <c r="L438" s="552"/>
      <c r="M438" s="552"/>
      <c r="N438" s="552"/>
      <c r="O438" s="552"/>
      <c r="P438" s="552"/>
      <c r="Q438" s="552"/>
      <c r="R438" s="552"/>
      <c r="S438" s="552"/>
      <c r="T438" s="552"/>
      <c r="U438" s="552"/>
      <c r="V438" s="552"/>
      <c r="W438" s="552"/>
      <c r="X438" s="552"/>
      <c r="Y438" s="552"/>
      <c r="Z438" s="552"/>
      <c r="AA438" s="552"/>
      <c r="AB438" s="552"/>
      <c r="AC438" s="552"/>
      <c r="AD438" s="552"/>
      <c r="AE438" s="552"/>
      <c r="AF438" s="552"/>
      <c r="AG438" s="552"/>
      <c r="AH438" s="552"/>
      <c r="AI438" s="552"/>
      <c r="AJ438" s="552"/>
      <c r="AK438" s="552"/>
      <c r="AL438" s="552"/>
      <c r="AM438" s="552"/>
      <c r="AN438" s="552"/>
      <c r="AO438" s="552"/>
      <c r="AP438" s="552"/>
      <c r="AQ438" s="552" t="s">
        <v>1186</v>
      </c>
      <c r="AR438" s="552" t="s">
        <v>6697</v>
      </c>
      <c r="AS438" s="552" t="s">
        <v>6967</v>
      </c>
      <c r="AT438" s="552" t="s">
        <v>7426</v>
      </c>
    </row>
    <row r="439" spans="1:46" ht="14.7" customHeight="1">
      <c r="A439" s="706" t="s">
        <v>6247</v>
      </c>
      <c r="B439" s="540" t="s">
        <v>3695</v>
      </c>
      <c r="C439" s="539" t="s">
        <v>6869</v>
      </c>
      <c r="D439" s="709" t="s">
        <v>7454</v>
      </c>
      <c r="E439" s="552" t="s">
        <v>6925</v>
      </c>
      <c r="F439" s="552" t="s">
        <v>7363</v>
      </c>
      <c r="G439" s="552" t="s">
        <v>7455</v>
      </c>
      <c r="H439" s="552"/>
      <c r="I439" s="552" t="s">
        <v>7436</v>
      </c>
      <c r="J439" s="709" t="s">
        <v>7197</v>
      </c>
      <c r="K439" s="709"/>
      <c r="L439" s="709"/>
      <c r="M439" s="552"/>
      <c r="N439" s="552"/>
      <c r="O439" s="552"/>
      <c r="P439" s="552"/>
      <c r="Q439" s="552"/>
      <c r="R439" s="552"/>
      <c r="S439" s="552"/>
      <c r="T439" s="552"/>
      <c r="U439" s="552"/>
      <c r="V439" s="552"/>
      <c r="W439" s="552"/>
      <c r="X439" s="552"/>
      <c r="Y439" s="552"/>
      <c r="Z439" s="552"/>
      <c r="AA439" s="552"/>
      <c r="AB439" s="552"/>
      <c r="AC439" s="552"/>
      <c r="AD439" s="552"/>
      <c r="AE439" s="552"/>
      <c r="AF439" s="552"/>
      <c r="AG439" s="552"/>
      <c r="AH439" s="552"/>
      <c r="AI439" s="552"/>
      <c r="AJ439" s="552"/>
      <c r="AK439" s="552"/>
      <c r="AL439" s="552"/>
      <c r="AM439" s="552"/>
      <c r="AN439" s="552"/>
      <c r="AO439" s="552"/>
      <c r="AP439" s="552"/>
      <c r="AQ439" s="552" t="s">
        <v>1186</v>
      </c>
      <c r="AR439" s="552" t="s">
        <v>2802</v>
      </c>
      <c r="AS439" s="552" t="s">
        <v>6967</v>
      </c>
      <c r="AT439" s="552" t="s">
        <v>7426</v>
      </c>
    </row>
    <row r="440" spans="1:46" ht="14.7" customHeight="1">
      <c r="A440" s="706"/>
      <c r="B440" s="540" t="s">
        <v>3695</v>
      </c>
      <c r="C440" s="539" t="s">
        <v>6869</v>
      </c>
      <c r="D440" s="539" t="s">
        <v>2783</v>
      </c>
      <c r="E440" s="539"/>
      <c r="F440" s="539"/>
      <c r="G440" s="539"/>
      <c r="H440" s="552"/>
      <c r="I440" s="552"/>
      <c r="J440" s="552"/>
      <c r="K440" s="552"/>
      <c r="L440" s="552"/>
      <c r="M440" s="552"/>
      <c r="N440" s="552"/>
      <c r="O440" s="552"/>
      <c r="P440" s="552"/>
      <c r="Q440" s="552"/>
      <c r="R440" s="552"/>
      <c r="S440" s="552"/>
      <c r="T440" s="552"/>
      <c r="U440" s="552"/>
      <c r="V440" s="552"/>
      <c r="W440" s="552"/>
      <c r="X440" s="552"/>
      <c r="Y440" s="552"/>
      <c r="Z440" s="552"/>
      <c r="AA440" s="552"/>
      <c r="AB440" s="552"/>
      <c r="AC440" s="552"/>
      <c r="AD440" s="552"/>
      <c r="AE440" s="552"/>
      <c r="AF440" s="552"/>
      <c r="AG440" s="552"/>
      <c r="AH440" s="552"/>
      <c r="AI440" s="552"/>
      <c r="AJ440" s="552"/>
      <c r="AK440" s="552"/>
      <c r="AL440" s="552"/>
      <c r="AM440" s="552"/>
      <c r="AN440" s="552"/>
      <c r="AO440" s="552"/>
      <c r="AP440" s="552"/>
      <c r="AQ440" s="552" t="s">
        <v>1186</v>
      </c>
      <c r="AR440" s="552" t="s">
        <v>2802</v>
      </c>
      <c r="AS440" s="552" t="s">
        <v>6967</v>
      </c>
      <c r="AT440" s="552" t="s">
        <v>7426</v>
      </c>
    </row>
    <row r="441" spans="1:46" ht="14.7" customHeight="1">
      <c r="A441" s="706" t="s">
        <v>6248</v>
      </c>
      <c r="B441" s="707" t="s">
        <v>3696</v>
      </c>
      <c r="C441" s="539" t="s">
        <v>6869</v>
      </c>
      <c r="D441" s="709" t="s">
        <v>7456</v>
      </c>
      <c r="E441" s="552" t="s">
        <v>6925</v>
      </c>
      <c r="F441" s="552" t="s">
        <v>7363</v>
      </c>
      <c r="G441" s="552" t="s">
        <v>7455</v>
      </c>
      <c r="H441" s="552"/>
      <c r="I441" s="709" t="s">
        <v>7436</v>
      </c>
      <c r="J441" s="709" t="s">
        <v>7457</v>
      </c>
      <c r="K441" s="709"/>
      <c r="L441" s="709"/>
      <c r="M441" s="552"/>
      <c r="N441" s="552"/>
      <c r="O441" s="552"/>
      <c r="P441" s="552"/>
      <c r="Q441" s="552"/>
      <c r="R441" s="552"/>
      <c r="S441" s="552"/>
      <c r="T441" s="552"/>
      <c r="U441" s="552"/>
      <c r="V441" s="552"/>
      <c r="W441" s="552"/>
      <c r="X441" s="552"/>
      <c r="Y441" s="552"/>
      <c r="Z441" s="552"/>
      <c r="AA441" s="552"/>
      <c r="AB441" s="552"/>
      <c r="AC441" s="552"/>
      <c r="AD441" s="552"/>
      <c r="AE441" s="552"/>
      <c r="AF441" s="552"/>
      <c r="AG441" s="552"/>
      <c r="AH441" s="552"/>
      <c r="AI441" s="552"/>
      <c r="AJ441" s="552"/>
      <c r="AK441" s="552"/>
      <c r="AL441" s="552"/>
      <c r="AM441" s="552"/>
      <c r="AN441" s="552"/>
      <c r="AO441" s="552"/>
      <c r="AP441" s="552"/>
      <c r="AQ441" s="552" t="s">
        <v>1186</v>
      </c>
      <c r="AR441" s="552" t="s">
        <v>2805</v>
      </c>
      <c r="AS441" s="552" t="s">
        <v>6967</v>
      </c>
      <c r="AT441" s="552" t="s">
        <v>7426</v>
      </c>
    </row>
    <row r="442" spans="1:46" ht="14.7" customHeight="1">
      <c r="A442" s="706"/>
      <c r="B442" s="707" t="s">
        <v>3696</v>
      </c>
      <c r="C442" s="539" t="s">
        <v>6869</v>
      </c>
      <c r="D442" s="539" t="s">
        <v>2783</v>
      </c>
      <c r="E442" s="539"/>
      <c r="F442" s="539"/>
      <c r="G442" s="539"/>
      <c r="H442" s="552"/>
      <c r="I442" s="552"/>
      <c r="J442" s="552"/>
      <c r="K442" s="552"/>
      <c r="L442" s="552"/>
      <c r="M442" s="552"/>
      <c r="N442" s="552"/>
      <c r="O442" s="552"/>
      <c r="P442" s="552"/>
      <c r="Q442" s="552"/>
      <c r="R442" s="552"/>
      <c r="S442" s="552"/>
      <c r="T442" s="552"/>
      <c r="U442" s="552"/>
      <c r="V442" s="552"/>
      <c r="W442" s="552"/>
      <c r="X442" s="552"/>
      <c r="Y442" s="552"/>
      <c r="Z442" s="552"/>
      <c r="AA442" s="552"/>
      <c r="AB442" s="552"/>
      <c r="AC442" s="552"/>
      <c r="AD442" s="552"/>
      <c r="AE442" s="552"/>
      <c r="AF442" s="552"/>
      <c r="AG442" s="552"/>
      <c r="AH442" s="552"/>
      <c r="AI442" s="552"/>
      <c r="AJ442" s="552"/>
      <c r="AK442" s="552"/>
      <c r="AL442" s="552"/>
      <c r="AM442" s="552"/>
      <c r="AN442" s="552"/>
      <c r="AO442" s="552"/>
      <c r="AP442" s="552"/>
      <c r="AQ442" s="552" t="s">
        <v>1186</v>
      </c>
      <c r="AR442" s="552" t="s">
        <v>2805</v>
      </c>
      <c r="AS442" s="552" t="s">
        <v>6967</v>
      </c>
      <c r="AT442" s="552" t="s">
        <v>7426</v>
      </c>
    </row>
    <row r="443" spans="1:46" ht="14.7" customHeight="1">
      <c r="A443" s="706" t="s">
        <v>6249</v>
      </c>
      <c r="B443" s="556" t="s">
        <v>3697</v>
      </c>
      <c r="C443" s="539" t="s">
        <v>6869</v>
      </c>
      <c r="D443" s="709" t="s">
        <v>7458</v>
      </c>
      <c r="E443" s="552" t="s">
        <v>6925</v>
      </c>
      <c r="F443" s="552" t="s">
        <v>7363</v>
      </c>
      <c r="G443" s="552" t="s">
        <v>7455</v>
      </c>
      <c r="H443" s="552"/>
      <c r="I443" s="709" t="s">
        <v>7436</v>
      </c>
      <c r="J443" s="709" t="s">
        <v>6944</v>
      </c>
      <c r="K443" s="709"/>
      <c r="L443" s="709"/>
      <c r="M443" s="552"/>
      <c r="N443" s="552"/>
      <c r="O443" s="552"/>
      <c r="P443" s="552"/>
      <c r="Q443" s="552"/>
      <c r="R443" s="552"/>
      <c r="S443" s="552"/>
      <c r="T443" s="552"/>
      <c r="U443" s="552"/>
      <c r="V443" s="552"/>
      <c r="W443" s="552"/>
      <c r="X443" s="552"/>
      <c r="Y443" s="552"/>
      <c r="Z443" s="552"/>
      <c r="AA443" s="552"/>
      <c r="AB443" s="552"/>
      <c r="AC443" s="552"/>
      <c r="AD443" s="552"/>
      <c r="AE443" s="552"/>
      <c r="AF443" s="552"/>
      <c r="AG443" s="552"/>
      <c r="AH443" s="552"/>
      <c r="AI443" s="552"/>
      <c r="AJ443" s="552"/>
      <c r="AK443" s="552"/>
      <c r="AL443" s="552"/>
      <c r="AM443" s="552"/>
      <c r="AN443" s="552"/>
      <c r="AO443" s="552"/>
      <c r="AP443" s="552"/>
      <c r="AQ443" s="552" t="s">
        <v>1186</v>
      </c>
      <c r="AR443" s="552" t="s">
        <v>2875</v>
      </c>
      <c r="AS443" s="552" t="s">
        <v>6967</v>
      </c>
      <c r="AT443" s="552" t="s">
        <v>7426</v>
      </c>
    </row>
    <row r="444" spans="1:46" ht="14.7" customHeight="1">
      <c r="A444" s="710" t="s">
        <v>6250</v>
      </c>
      <c r="B444" s="556" t="s">
        <v>3697</v>
      </c>
      <c r="C444" s="539" t="s">
        <v>6869</v>
      </c>
      <c r="D444" s="709" t="s">
        <v>7459</v>
      </c>
      <c r="E444" s="552" t="s">
        <v>6925</v>
      </c>
      <c r="F444" s="552" t="s">
        <v>7363</v>
      </c>
      <c r="G444" s="552" t="s">
        <v>7455</v>
      </c>
      <c r="H444" s="552"/>
      <c r="I444" s="713" t="s">
        <v>7408</v>
      </c>
      <c r="J444" s="709" t="s">
        <v>6883</v>
      </c>
      <c r="K444" s="709"/>
      <c r="L444" s="709"/>
      <c r="M444" s="552"/>
      <c r="N444" s="552"/>
      <c r="O444" s="552"/>
      <c r="P444" s="552"/>
      <c r="Q444" s="552"/>
      <c r="R444" s="552"/>
      <c r="S444" s="552"/>
      <c r="T444" s="552"/>
      <c r="U444" s="552"/>
      <c r="V444" s="552"/>
      <c r="W444" s="552"/>
      <c r="X444" s="552"/>
      <c r="Y444" s="552"/>
      <c r="Z444" s="552"/>
      <c r="AA444" s="552"/>
      <c r="AB444" s="552"/>
      <c r="AC444" s="552"/>
      <c r="AD444" s="552"/>
      <c r="AE444" s="552"/>
      <c r="AF444" s="552"/>
      <c r="AG444" s="552"/>
      <c r="AH444" s="552"/>
      <c r="AI444" s="552"/>
      <c r="AJ444" s="552"/>
      <c r="AK444" s="552"/>
      <c r="AL444" s="552"/>
      <c r="AM444" s="552"/>
      <c r="AN444" s="552"/>
      <c r="AO444" s="709" t="s">
        <v>7460</v>
      </c>
      <c r="AP444" s="709"/>
      <c r="AQ444" s="552" t="s">
        <v>1186</v>
      </c>
      <c r="AR444" s="552" t="s">
        <v>2875</v>
      </c>
      <c r="AS444" s="552" t="s">
        <v>6967</v>
      </c>
      <c r="AT444" s="552" t="s">
        <v>7426</v>
      </c>
    </row>
    <row r="445" spans="1:46" ht="14.7" customHeight="1">
      <c r="A445" s="706"/>
      <c r="B445" s="556" t="s">
        <v>3697</v>
      </c>
      <c r="C445" s="539" t="s">
        <v>6869</v>
      </c>
      <c r="D445" s="539" t="s">
        <v>2783</v>
      </c>
      <c r="E445" s="539"/>
      <c r="F445" s="539"/>
      <c r="G445" s="539"/>
      <c r="H445" s="552"/>
      <c r="I445" s="552"/>
      <c r="J445" s="552"/>
      <c r="K445" s="552"/>
      <c r="L445" s="552"/>
      <c r="M445" s="552"/>
      <c r="N445" s="552"/>
      <c r="O445" s="552"/>
      <c r="P445" s="552"/>
      <c r="Q445" s="552"/>
      <c r="R445" s="552"/>
      <c r="S445" s="552"/>
      <c r="T445" s="552"/>
      <c r="U445" s="552"/>
      <c r="V445" s="552"/>
      <c r="W445" s="552"/>
      <c r="X445" s="552"/>
      <c r="Y445" s="552"/>
      <c r="Z445" s="552"/>
      <c r="AA445" s="552"/>
      <c r="AB445" s="552"/>
      <c r="AC445" s="552"/>
      <c r="AD445" s="552"/>
      <c r="AE445" s="552"/>
      <c r="AF445" s="552"/>
      <c r="AG445" s="552"/>
      <c r="AH445" s="552"/>
      <c r="AI445" s="552"/>
      <c r="AJ445" s="552"/>
      <c r="AK445" s="552"/>
      <c r="AL445" s="552"/>
      <c r="AM445" s="552"/>
      <c r="AN445" s="552"/>
      <c r="AO445" s="552"/>
      <c r="AP445" s="552"/>
      <c r="AQ445" s="552" t="s">
        <v>1186</v>
      </c>
      <c r="AR445" s="552" t="s">
        <v>2875</v>
      </c>
      <c r="AS445" s="552" t="s">
        <v>6967</v>
      </c>
      <c r="AT445" s="552" t="s">
        <v>7426</v>
      </c>
    </row>
    <row r="446" spans="1:46" ht="14.7" customHeight="1">
      <c r="A446" s="710" t="s">
        <v>6251</v>
      </c>
      <c r="B446" s="557" t="s">
        <v>3698</v>
      </c>
      <c r="C446" s="539" t="s">
        <v>6869</v>
      </c>
      <c r="D446" s="709" t="s">
        <v>7461</v>
      </c>
      <c r="E446" s="552" t="s">
        <v>6925</v>
      </c>
      <c r="F446" s="552" t="s">
        <v>7363</v>
      </c>
      <c r="G446" s="552" t="s">
        <v>7455</v>
      </c>
      <c r="H446" s="552"/>
      <c r="I446" s="713" t="s">
        <v>7408</v>
      </c>
      <c r="J446" s="709" t="s">
        <v>7351</v>
      </c>
      <c r="K446" s="709"/>
      <c r="L446" s="709"/>
      <c r="M446" s="552"/>
      <c r="N446" s="552"/>
      <c r="O446" s="552"/>
      <c r="P446" s="552"/>
      <c r="Q446" s="552"/>
      <c r="R446" s="552"/>
      <c r="S446" s="552"/>
      <c r="T446" s="552"/>
      <c r="U446" s="552"/>
      <c r="V446" s="552"/>
      <c r="W446" s="552"/>
      <c r="X446" s="552"/>
      <c r="Y446" s="552"/>
      <c r="Z446" s="552"/>
      <c r="AA446" s="552"/>
      <c r="AB446" s="552"/>
      <c r="AC446" s="552"/>
      <c r="AD446" s="552"/>
      <c r="AE446" s="552"/>
      <c r="AF446" s="552"/>
      <c r="AG446" s="552"/>
      <c r="AH446" s="552"/>
      <c r="AI446" s="552"/>
      <c r="AJ446" s="552"/>
      <c r="AK446" s="552"/>
      <c r="AL446" s="552"/>
      <c r="AM446" s="552"/>
      <c r="AN446" s="552"/>
      <c r="AO446" s="552"/>
      <c r="AP446" s="709" t="s">
        <v>7462</v>
      </c>
      <c r="AQ446" s="552" t="s">
        <v>1186</v>
      </c>
      <c r="AR446" s="552" t="s">
        <v>2998</v>
      </c>
      <c r="AS446" s="552" t="s">
        <v>6967</v>
      </c>
      <c r="AT446" s="552" t="s">
        <v>7426</v>
      </c>
    </row>
    <row r="447" spans="1:46" ht="14.7" customHeight="1">
      <c r="A447" s="710" t="s">
        <v>6252</v>
      </c>
      <c r="B447" s="557" t="s">
        <v>3698</v>
      </c>
      <c r="C447" s="539" t="s">
        <v>6869</v>
      </c>
      <c r="D447" s="709" t="s">
        <v>7463</v>
      </c>
      <c r="E447" s="552" t="s">
        <v>6925</v>
      </c>
      <c r="F447" s="552" t="s">
        <v>7363</v>
      </c>
      <c r="G447" s="552" t="s">
        <v>7455</v>
      </c>
      <c r="H447" s="552"/>
      <c r="I447" s="709" t="s">
        <v>7436</v>
      </c>
      <c r="J447" s="709" t="s">
        <v>7464</v>
      </c>
      <c r="K447" s="709" t="s">
        <v>7465</v>
      </c>
      <c r="L447" s="709"/>
      <c r="M447" s="709"/>
      <c r="N447" s="709"/>
      <c r="O447" s="552"/>
      <c r="P447" s="552"/>
      <c r="Q447" s="552"/>
      <c r="R447" s="552"/>
      <c r="S447" s="552"/>
      <c r="T447" s="552"/>
      <c r="U447" s="552"/>
      <c r="V447" s="552"/>
      <c r="W447" s="552"/>
      <c r="X447" s="552"/>
      <c r="Y447" s="552"/>
      <c r="Z447" s="552"/>
      <c r="AA447" s="552"/>
      <c r="AB447" s="552"/>
      <c r="AC447" s="552"/>
      <c r="AD447" s="552"/>
      <c r="AE447" s="552"/>
      <c r="AF447" s="552"/>
      <c r="AG447" s="552"/>
      <c r="AH447" s="552"/>
      <c r="AI447" s="552"/>
      <c r="AJ447" s="552"/>
      <c r="AK447" s="552"/>
      <c r="AL447" s="552"/>
      <c r="AM447" s="552"/>
      <c r="AN447" s="552"/>
      <c r="AO447" s="712" t="s">
        <v>7466</v>
      </c>
      <c r="AP447" s="552"/>
      <c r="AQ447" s="552" t="s">
        <v>1186</v>
      </c>
      <c r="AR447" s="552" t="s">
        <v>2998</v>
      </c>
      <c r="AS447" s="552" t="s">
        <v>6967</v>
      </c>
      <c r="AT447" s="552" t="s">
        <v>7426</v>
      </c>
    </row>
    <row r="448" spans="1:46" ht="14.7" customHeight="1">
      <c r="A448" s="710" t="s">
        <v>6253</v>
      </c>
      <c r="B448" s="557" t="s">
        <v>3698</v>
      </c>
      <c r="C448" s="539" t="s">
        <v>6869</v>
      </c>
      <c r="D448" s="709" t="s">
        <v>7467</v>
      </c>
      <c r="E448" s="552" t="s">
        <v>6925</v>
      </c>
      <c r="F448" s="552" t="s">
        <v>7363</v>
      </c>
      <c r="G448" s="552" t="s">
        <v>7455</v>
      </c>
      <c r="H448" s="552"/>
      <c r="I448" s="713" t="s">
        <v>7408</v>
      </c>
      <c r="J448" s="709" t="s">
        <v>7007</v>
      </c>
      <c r="K448" s="709"/>
      <c r="L448" s="709"/>
      <c r="M448" s="552"/>
      <c r="N448" s="552"/>
      <c r="O448" s="552"/>
      <c r="P448" s="552"/>
      <c r="Q448" s="552"/>
      <c r="R448" s="552"/>
      <c r="S448" s="552"/>
      <c r="T448" s="552"/>
      <c r="U448" s="552"/>
      <c r="V448" s="552"/>
      <c r="W448" s="552"/>
      <c r="X448" s="552"/>
      <c r="Y448" s="552"/>
      <c r="Z448" s="552"/>
      <c r="AA448" s="552"/>
      <c r="AB448" s="552"/>
      <c r="AC448" s="552"/>
      <c r="AD448" s="552"/>
      <c r="AE448" s="552"/>
      <c r="AF448" s="552"/>
      <c r="AG448" s="552"/>
      <c r="AH448" s="552"/>
      <c r="AI448" s="552"/>
      <c r="AJ448" s="552"/>
      <c r="AK448" s="552"/>
      <c r="AL448" s="552"/>
      <c r="AM448" s="552"/>
      <c r="AN448" s="552"/>
      <c r="AO448" s="713" t="s">
        <v>7468</v>
      </c>
      <c r="AP448" s="552"/>
      <c r="AQ448" s="552" t="s">
        <v>1186</v>
      </c>
      <c r="AR448" s="552" t="s">
        <v>2998</v>
      </c>
      <c r="AS448" s="552" t="s">
        <v>6967</v>
      </c>
      <c r="AT448" s="552" t="s">
        <v>7426</v>
      </c>
    </row>
    <row r="449" spans="1:46" ht="14.7" customHeight="1">
      <c r="A449" s="706"/>
      <c r="B449" s="557" t="s">
        <v>3698</v>
      </c>
      <c r="C449" s="539" t="s">
        <v>6869</v>
      </c>
      <c r="D449" s="539" t="s">
        <v>2783</v>
      </c>
      <c r="E449" s="539"/>
      <c r="F449" s="539"/>
      <c r="G449" s="539"/>
      <c r="H449" s="552"/>
      <c r="I449" s="552"/>
      <c r="J449" s="552"/>
      <c r="K449" s="552"/>
      <c r="L449" s="552"/>
      <c r="M449" s="552"/>
      <c r="N449" s="552"/>
      <c r="O449" s="552"/>
      <c r="P449" s="552"/>
      <c r="Q449" s="552"/>
      <c r="R449" s="552"/>
      <c r="S449" s="552"/>
      <c r="T449" s="552"/>
      <c r="U449" s="552"/>
      <c r="V449" s="552"/>
      <c r="W449" s="552"/>
      <c r="X449" s="552"/>
      <c r="Y449" s="552"/>
      <c r="Z449" s="552"/>
      <c r="AA449" s="552"/>
      <c r="AB449" s="552"/>
      <c r="AC449" s="552"/>
      <c r="AD449" s="552"/>
      <c r="AE449" s="552"/>
      <c r="AF449" s="552"/>
      <c r="AG449" s="552"/>
      <c r="AH449" s="552"/>
      <c r="AI449" s="552"/>
      <c r="AJ449" s="552"/>
      <c r="AK449" s="552"/>
      <c r="AL449" s="552"/>
      <c r="AM449" s="552"/>
      <c r="AN449" s="552"/>
      <c r="AO449" s="552"/>
      <c r="AP449" s="552"/>
      <c r="AQ449" s="552" t="s">
        <v>1186</v>
      </c>
      <c r="AR449" s="552" t="s">
        <v>2998</v>
      </c>
      <c r="AS449" s="552" t="s">
        <v>6967</v>
      </c>
      <c r="AT449" s="552" t="s">
        <v>7426</v>
      </c>
    </row>
    <row r="450" spans="1:46" ht="14.7" customHeight="1">
      <c r="A450" s="710" t="s">
        <v>6254</v>
      </c>
      <c r="B450" s="344" t="s">
        <v>3699</v>
      </c>
      <c r="C450" s="539" t="s">
        <v>6869</v>
      </c>
      <c r="D450" s="709" t="s">
        <v>7469</v>
      </c>
      <c r="E450" s="552" t="s">
        <v>6925</v>
      </c>
      <c r="F450" s="552" t="s">
        <v>7363</v>
      </c>
      <c r="G450" s="552" t="s">
        <v>7455</v>
      </c>
      <c r="H450" s="552"/>
      <c r="I450" s="713" t="s">
        <v>7402</v>
      </c>
      <c r="J450" s="709" t="s">
        <v>7246</v>
      </c>
      <c r="K450" s="709" t="s">
        <v>7470</v>
      </c>
      <c r="L450" s="709"/>
      <c r="M450" s="709"/>
      <c r="N450" s="709"/>
      <c r="O450" s="552"/>
      <c r="P450" s="552"/>
      <c r="Q450" s="552"/>
      <c r="R450" s="552"/>
      <c r="S450" s="552"/>
      <c r="T450" s="552"/>
      <c r="U450" s="552"/>
      <c r="V450" s="552"/>
      <c r="W450" s="552"/>
      <c r="X450" s="552"/>
      <c r="Y450" s="552"/>
      <c r="Z450" s="552"/>
      <c r="AA450" s="552"/>
      <c r="AB450" s="552"/>
      <c r="AC450" s="552"/>
      <c r="AD450" s="552"/>
      <c r="AE450" s="552"/>
      <c r="AF450" s="552"/>
      <c r="AG450" s="552"/>
      <c r="AH450" s="552"/>
      <c r="AI450" s="552"/>
      <c r="AJ450" s="552"/>
      <c r="AK450" s="552"/>
      <c r="AL450" s="552"/>
      <c r="AM450" s="552"/>
      <c r="AN450" s="552"/>
      <c r="AO450" s="709" t="s">
        <v>7471</v>
      </c>
      <c r="AP450" s="709"/>
      <c r="AQ450" s="552" t="s">
        <v>1186</v>
      </c>
      <c r="AR450" s="552" t="s">
        <v>2809</v>
      </c>
      <c r="AS450" s="552" t="s">
        <v>6967</v>
      </c>
      <c r="AT450" s="552" t="s">
        <v>7426</v>
      </c>
    </row>
    <row r="451" spans="1:46" ht="14.7" customHeight="1">
      <c r="A451" s="710" t="s">
        <v>6255</v>
      </c>
      <c r="B451" s="344" t="s">
        <v>3699</v>
      </c>
      <c r="C451" s="539" t="s">
        <v>6869</v>
      </c>
      <c r="D451" s="709" t="s">
        <v>7472</v>
      </c>
      <c r="E451" s="552" t="s">
        <v>6925</v>
      </c>
      <c r="F451" s="552" t="s">
        <v>7363</v>
      </c>
      <c r="G451" s="552" t="s">
        <v>7455</v>
      </c>
      <c r="H451" s="552"/>
      <c r="I451" s="713" t="s">
        <v>7402</v>
      </c>
      <c r="J451" s="709" t="s">
        <v>7473</v>
      </c>
      <c r="K451" s="709"/>
      <c r="L451" s="552"/>
      <c r="M451" s="552"/>
      <c r="N451" s="552"/>
      <c r="O451" s="552"/>
      <c r="P451" s="552"/>
      <c r="Q451" s="552"/>
      <c r="R451" s="552"/>
      <c r="S451" s="552"/>
      <c r="T451" s="552"/>
      <c r="U451" s="552"/>
      <c r="V451" s="552"/>
      <c r="W451" s="552"/>
      <c r="X451" s="552"/>
      <c r="Y451" s="552"/>
      <c r="Z451" s="552"/>
      <c r="AA451" s="552"/>
      <c r="AB451" s="552"/>
      <c r="AC451" s="552"/>
      <c r="AD451" s="552"/>
      <c r="AE451" s="552"/>
      <c r="AF451" s="552"/>
      <c r="AG451" s="552"/>
      <c r="AH451" s="552"/>
      <c r="AI451" s="552"/>
      <c r="AJ451" s="552"/>
      <c r="AK451" s="552"/>
      <c r="AL451" s="552"/>
      <c r="AM451" s="552"/>
      <c r="AN451" s="552"/>
      <c r="AO451" s="713" t="s">
        <v>7474</v>
      </c>
      <c r="AP451" s="709" t="s">
        <v>7475</v>
      </c>
      <c r="AQ451" s="552" t="s">
        <v>1186</v>
      </c>
      <c r="AR451" s="552" t="s">
        <v>2809</v>
      </c>
      <c r="AS451" s="552" t="s">
        <v>6967</v>
      </c>
      <c r="AT451" s="552" t="s">
        <v>7426</v>
      </c>
    </row>
    <row r="452" spans="1:46" ht="14.7" customHeight="1">
      <c r="A452" s="710" t="s">
        <v>6256</v>
      </c>
      <c r="B452" s="344" t="s">
        <v>3699</v>
      </c>
      <c r="C452" s="539" t="s">
        <v>6869</v>
      </c>
      <c r="D452" s="709" t="s">
        <v>7476</v>
      </c>
      <c r="E452" s="552" t="s">
        <v>6925</v>
      </c>
      <c r="F452" s="552" t="s">
        <v>7363</v>
      </c>
      <c r="G452" s="552" t="s">
        <v>7455</v>
      </c>
      <c r="H452" s="552"/>
      <c r="I452" s="713" t="s">
        <v>7402</v>
      </c>
      <c r="J452" s="709" t="s">
        <v>6883</v>
      </c>
      <c r="K452" s="709"/>
      <c r="L452" s="709"/>
      <c r="M452" s="552"/>
      <c r="N452" s="552"/>
      <c r="O452" s="552"/>
      <c r="P452" s="552"/>
      <c r="Q452" s="552"/>
      <c r="R452" s="552"/>
      <c r="S452" s="552"/>
      <c r="T452" s="552"/>
      <c r="U452" s="552"/>
      <c r="V452" s="552">
        <v>2</v>
      </c>
      <c r="W452" s="552"/>
      <c r="X452" s="552"/>
      <c r="Y452" s="552"/>
      <c r="Z452" s="552"/>
      <c r="AA452" s="552"/>
      <c r="AB452" s="552"/>
      <c r="AC452" s="552"/>
      <c r="AD452" s="552"/>
      <c r="AE452" s="552"/>
      <c r="AF452" s="552"/>
      <c r="AG452" s="552"/>
      <c r="AH452" s="552"/>
      <c r="AI452" s="552"/>
      <c r="AJ452" s="552"/>
      <c r="AK452" s="552"/>
      <c r="AL452" s="552"/>
      <c r="AM452" s="552"/>
      <c r="AN452" s="552"/>
      <c r="AO452" s="709" t="s">
        <v>7477</v>
      </c>
      <c r="AP452" s="709" t="s">
        <v>7478</v>
      </c>
      <c r="AQ452" s="552" t="s">
        <v>1186</v>
      </c>
      <c r="AR452" s="552" t="s">
        <v>2809</v>
      </c>
      <c r="AS452" s="552" t="s">
        <v>6967</v>
      </c>
      <c r="AT452" s="552" t="s">
        <v>7426</v>
      </c>
    </row>
    <row r="453" spans="1:46" ht="14.7" customHeight="1">
      <c r="A453" s="706"/>
      <c r="B453" s="344" t="s">
        <v>3699</v>
      </c>
      <c r="C453" s="539" t="s">
        <v>6869</v>
      </c>
      <c r="D453" s="539" t="s">
        <v>2783</v>
      </c>
      <c r="E453" s="539"/>
      <c r="F453" s="539"/>
      <c r="G453" s="539"/>
      <c r="H453" s="552"/>
      <c r="I453" s="552"/>
      <c r="J453" s="552"/>
      <c r="K453" s="552"/>
      <c r="L453" s="552"/>
      <c r="M453" s="552"/>
      <c r="N453" s="552"/>
      <c r="O453" s="552"/>
      <c r="P453" s="552"/>
      <c r="Q453" s="552"/>
      <c r="R453" s="552"/>
      <c r="S453" s="552"/>
      <c r="T453" s="552"/>
      <c r="U453" s="552"/>
      <c r="V453" s="552"/>
      <c r="W453" s="552"/>
      <c r="X453" s="552"/>
      <c r="Y453" s="552"/>
      <c r="Z453" s="552"/>
      <c r="AA453" s="552"/>
      <c r="AB453" s="552"/>
      <c r="AC453" s="552"/>
      <c r="AD453" s="552"/>
      <c r="AE453" s="552"/>
      <c r="AF453" s="552"/>
      <c r="AG453" s="552"/>
      <c r="AH453" s="552"/>
      <c r="AI453" s="552"/>
      <c r="AJ453" s="552"/>
      <c r="AK453" s="552"/>
      <c r="AL453" s="552"/>
      <c r="AM453" s="552"/>
      <c r="AN453" s="552"/>
      <c r="AO453" s="552"/>
      <c r="AP453" s="552"/>
      <c r="AQ453" s="552" t="s">
        <v>1186</v>
      </c>
      <c r="AR453" s="552" t="s">
        <v>2809</v>
      </c>
      <c r="AS453" s="552" t="s">
        <v>6967</v>
      </c>
      <c r="AT453" s="552" t="s">
        <v>7426</v>
      </c>
    </row>
    <row r="454" spans="1:46" ht="14.7" customHeight="1">
      <c r="A454" s="706"/>
      <c r="B454" s="344" t="s">
        <v>3699</v>
      </c>
      <c r="C454" s="539" t="s">
        <v>6869</v>
      </c>
      <c r="D454" s="539" t="s">
        <v>2783</v>
      </c>
      <c r="E454" s="539"/>
      <c r="F454" s="539"/>
      <c r="G454" s="539"/>
      <c r="H454" s="552"/>
      <c r="I454" s="552"/>
      <c r="J454" s="552"/>
      <c r="K454" s="552"/>
      <c r="L454" s="552"/>
      <c r="M454" s="552"/>
      <c r="N454" s="552"/>
      <c r="O454" s="552"/>
      <c r="P454" s="552"/>
      <c r="Q454" s="552"/>
      <c r="R454" s="552"/>
      <c r="S454" s="552"/>
      <c r="T454" s="552"/>
      <c r="U454" s="552"/>
      <c r="V454" s="552"/>
      <c r="W454" s="552"/>
      <c r="X454" s="552"/>
      <c r="Y454" s="552"/>
      <c r="Z454" s="552"/>
      <c r="AA454" s="552"/>
      <c r="AB454" s="552"/>
      <c r="AC454" s="552"/>
      <c r="AD454" s="552"/>
      <c r="AE454" s="552"/>
      <c r="AF454" s="552"/>
      <c r="AG454" s="552"/>
      <c r="AH454" s="552"/>
      <c r="AI454" s="552"/>
      <c r="AJ454" s="552"/>
      <c r="AK454" s="552"/>
      <c r="AL454" s="552"/>
      <c r="AM454" s="552"/>
      <c r="AN454" s="552"/>
      <c r="AO454" s="552"/>
      <c r="AP454" s="552"/>
      <c r="AQ454" s="552" t="s">
        <v>1186</v>
      </c>
      <c r="AR454" s="552" t="s">
        <v>2809</v>
      </c>
      <c r="AS454" s="552" t="s">
        <v>6967</v>
      </c>
      <c r="AT454" s="552" t="s">
        <v>7426</v>
      </c>
    </row>
    <row r="455" spans="1:46" ht="14.7" customHeight="1">
      <c r="A455" s="710" t="s">
        <v>6257</v>
      </c>
      <c r="B455" s="559" t="s">
        <v>3700</v>
      </c>
      <c r="C455" s="539" t="s">
        <v>6869</v>
      </c>
      <c r="D455" s="709" t="s">
        <v>7479</v>
      </c>
      <c r="E455" s="552" t="s">
        <v>6925</v>
      </c>
      <c r="F455" s="552" t="s">
        <v>7363</v>
      </c>
      <c r="G455" s="552" t="s">
        <v>7455</v>
      </c>
      <c r="H455" s="552"/>
      <c r="I455" s="713" t="s">
        <v>7408</v>
      </c>
      <c r="J455" s="709" t="s">
        <v>7480</v>
      </c>
      <c r="K455" s="709"/>
      <c r="L455" s="552"/>
      <c r="M455" s="552"/>
      <c r="N455" s="552"/>
      <c r="O455" s="552"/>
      <c r="P455" s="552"/>
      <c r="Q455" s="552"/>
      <c r="R455" s="552"/>
      <c r="S455" s="552"/>
      <c r="T455" s="552"/>
      <c r="U455" s="552"/>
      <c r="V455" s="552"/>
      <c r="W455" s="552"/>
      <c r="X455" s="552"/>
      <c r="Y455" s="552"/>
      <c r="Z455" s="552"/>
      <c r="AA455" s="552"/>
      <c r="AB455" s="552"/>
      <c r="AC455" s="552"/>
      <c r="AD455" s="552"/>
      <c r="AE455" s="552"/>
      <c r="AF455" s="552"/>
      <c r="AG455" s="552"/>
      <c r="AH455" s="552"/>
      <c r="AI455" s="552"/>
      <c r="AJ455" s="552"/>
      <c r="AK455" s="552"/>
      <c r="AL455" s="552"/>
      <c r="AM455" s="552"/>
      <c r="AN455" s="552"/>
      <c r="AO455" s="709" t="s">
        <v>7481</v>
      </c>
      <c r="AP455" s="709"/>
      <c r="AQ455" s="552" t="s">
        <v>1186</v>
      </c>
      <c r="AR455" s="552" t="s">
        <v>2971</v>
      </c>
      <c r="AS455" s="552" t="s">
        <v>6967</v>
      </c>
      <c r="AT455" s="552" t="s">
        <v>7426</v>
      </c>
    </row>
    <row r="456" spans="1:46" ht="14.7" customHeight="1">
      <c r="A456" s="706"/>
      <c r="B456" s="559" t="s">
        <v>3700</v>
      </c>
      <c r="C456" s="539" t="s">
        <v>6869</v>
      </c>
      <c r="D456" s="539" t="s">
        <v>2783</v>
      </c>
      <c r="E456" s="539"/>
      <c r="F456" s="539"/>
      <c r="G456" s="539"/>
      <c r="H456" s="552"/>
      <c r="I456" s="552"/>
      <c r="J456" s="552"/>
      <c r="K456" s="552"/>
      <c r="L456" s="552"/>
      <c r="M456" s="552"/>
      <c r="N456" s="552"/>
      <c r="O456" s="552"/>
      <c r="P456" s="552"/>
      <c r="Q456" s="552"/>
      <c r="R456" s="552"/>
      <c r="S456" s="552"/>
      <c r="T456" s="552"/>
      <c r="U456" s="552"/>
      <c r="V456" s="552"/>
      <c r="W456" s="552"/>
      <c r="X456" s="552"/>
      <c r="Y456" s="552"/>
      <c r="Z456" s="552"/>
      <c r="AA456" s="552"/>
      <c r="AB456" s="552"/>
      <c r="AC456" s="552"/>
      <c r="AD456" s="552"/>
      <c r="AE456" s="552"/>
      <c r="AF456" s="552"/>
      <c r="AG456" s="552"/>
      <c r="AH456" s="552"/>
      <c r="AI456" s="552"/>
      <c r="AJ456" s="552"/>
      <c r="AK456" s="552"/>
      <c r="AL456" s="552"/>
      <c r="AM456" s="552"/>
      <c r="AN456" s="552"/>
      <c r="AO456" s="552"/>
      <c r="AP456" s="552"/>
      <c r="AQ456" s="552" t="s">
        <v>1186</v>
      </c>
      <c r="AR456" s="552" t="s">
        <v>2971</v>
      </c>
      <c r="AS456" s="552" t="s">
        <v>6967</v>
      </c>
      <c r="AT456" s="552" t="s">
        <v>7426</v>
      </c>
    </row>
    <row r="457" spans="1:46" ht="14.7" customHeight="1">
      <c r="A457" s="706"/>
      <c r="B457" s="711" t="s">
        <v>6055</v>
      </c>
      <c r="C457" s="539" t="s">
        <v>6869</v>
      </c>
      <c r="D457" s="539"/>
      <c r="E457" s="552"/>
      <c r="F457" s="552"/>
      <c r="G457" s="552"/>
      <c r="H457" s="552"/>
      <c r="I457" s="552"/>
      <c r="J457" s="552"/>
      <c r="K457" s="552"/>
      <c r="L457" s="552"/>
      <c r="M457" s="552"/>
      <c r="N457" s="552"/>
      <c r="O457" s="552"/>
      <c r="P457" s="552"/>
      <c r="Q457" s="552"/>
      <c r="R457" s="552"/>
      <c r="S457" s="552"/>
      <c r="T457" s="552"/>
      <c r="U457" s="552"/>
      <c r="V457" s="552"/>
      <c r="W457" s="552"/>
      <c r="X457" s="552"/>
      <c r="Y457" s="552"/>
      <c r="Z457" s="552"/>
      <c r="AA457" s="552"/>
      <c r="AB457" s="552"/>
      <c r="AC457" s="552"/>
      <c r="AD457" s="552"/>
      <c r="AE457" s="552"/>
      <c r="AF457" s="552"/>
      <c r="AG457" s="552"/>
      <c r="AH457" s="552"/>
      <c r="AI457" s="552"/>
      <c r="AJ457" s="552"/>
      <c r="AK457" s="552"/>
      <c r="AL457" s="552"/>
      <c r="AM457" s="552"/>
      <c r="AN457" s="552"/>
      <c r="AO457" s="552"/>
      <c r="AP457" s="552"/>
      <c r="AQ457" s="552" t="s">
        <v>1186</v>
      </c>
      <c r="AR457" s="552" t="s">
        <v>6697</v>
      </c>
      <c r="AS457" s="552" t="s">
        <v>6967</v>
      </c>
      <c r="AT457" s="552" t="s">
        <v>7426</v>
      </c>
    </row>
    <row r="458" spans="1:46" ht="14.7" customHeight="1">
      <c r="A458" s="706" t="s">
        <v>6258</v>
      </c>
      <c r="B458" s="540" t="s">
        <v>3695</v>
      </c>
      <c r="C458" s="539" t="s">
        <v>6869</v>
      </c>
      <c r="D458" s="709" t="s">
        <v>7482</v>
      </c>
      <c r="E458" s="552" t="s">
        <v>6925</v>
      </c>
      <c r="F458" s="552" t="s">
        <v>6872</v>
      </c>
      <c r="G458" s="552" t="s">
        <v>7483</v>
      </c>
      <c r="H458" s="552"/>
      <c r="I458" s="552"/>
      <c r="J458" s="709" t="s">
        <v>6874</v>
      </c>
      <c r="K458" s="709"/>
      <c r="L458" s="709"/>
      <c r="M458" s="552"/>
      <c r="N458" s="552"/>
      <c r="O458" s="552">
        <v>25</v>
      </c>
      <c r="P458" s="552"/>
      <c r="Q458" s="552"/>
      <c r="R458" s="552">
        <v>4</v>
      </c>
      <c r="S458" s="552"/>
      <c r="T458" s="552"/>
      <c r="U458" s="552"/>
      <c r="V458" s="552"/>
      <c r="W458" s="552"/>
      <c r="X458" s="552"/>
      <c r="Y458" s="552"/>
      <c r="Z458" s="552"/>
      <c r="AA458" s="552"/>
      <c r="AB458" s="552"/>
      <c r="AC458" s="552"/>
      <c r="AD458" s="552"/>
      <c r="AE458" s="552"/>
      <c r="AF458" s="552"/>
      <c r="AG458" s="552"/>
      <c r="AH458" s="552"/>
      <c r="AI458" s="552"/>
      <c r="AJ458" s="552"/>
      <c r="AK458" s="552"/>
      <c r="AL458" s="552"/>
      <c r="AM458" s="552"/>
      <c r="AN458" s="552"/>
      <c r="AO458" s="552"/>
      <c r="AP458" s="552"/>
      <c r="AQ458" s="552" t="s">
        <v>1186</v>
      </c>
      <c r="AR458" s="552" t="s">
        <v>2802</v>
      </c>
      <c r="AS458" s="552" t="s">
        <v>7484</v>
      </c>
      <c r="AT458" s="552" t="s">
        <v>726</v>
      </c>
    </row>
    <row r="459" spans="1:46" ht="14.7" customHeight="1">
      <c r="A459" s="706"/>
      <c r="B459" s="540" t="s">
        <v>3695</v>
      </c>
      <c r="C459" s="539" t="s">
        <v>6869</v>
      </c>
      <c r="D459" s="539" t="s">
        <v>2783</v>
      </c>
      <c r="E459" s="539"/>
      <c r="F459" s="539"/>
      <c r="G459" s="539"/>
      <c r="H459" s="552"/>
      <c r="I459" s="552"/>
      <c r="J459" s="552"/>
      <c r="K459" s="552"/>
      <c r="L459" s="552"/>
      <c r="M459" s="552"/>
      <c r="N459" s="552"/>
      <c r="O459" s="552"/>
      <c r="P459" s="552"/>
      <c r="Q459" s="552"/>
      <c r="R459" s="552"/>
      <c r="S459" s="552"/>
      <c r="T459" s="552"/>
      <c r="U459" s="552"/>
      <c r="V459" s="552"/>
      <c r="W459" s="552"/>
      <c r="X459" s="552"/>
      <c r="Y459" s="552"/>
      <c r="Z459" s="552"/>
      <c r="AA459" s="552"/>
      <c r="AB459" s="552"/>
      <c r="AC459" s="552"/>
      <c r="AD459" s="552"/>
      <c r="AE459" s="552"/>
      <c r="AF459" s="552"/>
      <c r="AG459" s="552"/>
      <c r="AH459" s="552"/>
      <c r="AI459" s="552"/>
      <c r="AJ459" s="552"/>
      <c r="AK459" s="552"/>
      <c r="AL459" s="552"/>
      <c r="AM459" s="552"/>
      <c r="AN459" s="552"/>
      <c r="AO459" s="552"/>
      <c r="AP459" s="552"/>
      <c r="AQ459" s="552" t="s">
        <v>1186</v>
      </c>
      <c r="AR459" s="552" t="s">
        <v>2802</v>
      </c>
      <c r="AS459" s="552" t="s">
        <v>7484</v>
      </c>
      <c r="AT459" s="552" t="s">
        <v>726</v>
      </c>
    </row>
    <row r="460" spans="1:46" ht="14.7" customHeight="1">
      <c r="A460" s="706" t="s">
        <v>6259</v>
      </c>
      <c r="B460" s="707" t="s">
        <v>3696</v>
      </c>
      <c r="C460" s="539" t="s">
        <v>6869</v>
      </c>
      <c r="D460" s="709" t="s">
        <v>7485</v>
      </c>
      <c r="E460" s="552" t="s">
        <v>6925</v>
      </c>
      <c r="F460" s="552" t="s">
        <v>6872</v>
      </c>
      <c r="G460" s="552" t="s">
        <v>7483</v>
      </c>
      <c r="H460" s="552"/>
      <c r="I460" s="552"/>
      <c r="J460" s="709" t="s">
        <v>7143</v>
      </c>
      <c r="K460" s="709"/>
      <c r="L460" s="709"/>
      <c r="M460" s="552"/>
      <c r="N460" s="552"/>
      <c r="O460" s="552"/>
      <c r="P460" s="552"/>
      <c r="Q460" s="552"/>
      <c r="R460" s="552">
        <v>6</v>
      </c>
      <c r="S460" s="552"/>
      <c r="T460" s="552"/>
      <c r="U460" s="552"/>
      <c r="V460" s="552"/>
      <c r="W460" s="552"/>
      <c r="X460" s="552"/>
      <c r="Y460" s="552"/>
      <c r="Z460" s="552"/>
      <c r="AA460" s="552"/>
      <c r="AB460" s="552"/>
      <c r="AC460" s="552"/>
      <c r="AD460" s="552"/>
      <c r="AE460" s="552"/>
      <c r="AF460" s="552"/>
      <c r="AG460" s="552"/>
      <c r="AH460" s="552"/>
      <c r="AI460" s="552"/>
      <c r="AJ460" s="552"/>
      <c r="AK460" s="552"/>
      <c r="AL460" s="552"/>
      <c r="AM460" s="552"/>
      <c r="AN460" s="552"/>
      <c r="AO460" s="552"/>
      <c r="AP460" s="552"/>
      <c r="AQ460" s="552" t="s">
        <v>1186</v>
      </c>
      <c r="AR460" s="552" t="s">
        <v>2805</v>
      </c>
      <c r="AS460" s="552" t="s">
        <v>7484</v>
      </c>
      <c r="AT460" s="552" t="s">
        <v>726</v>
      </c>
    </row>
    <row r="461" spans="1:46" ht="14.7" customHeight="1">
      <c r="A461" s="706"/>
      <c r="B461" s="707" t="s">
        <v>3696</v>
      </c>
      <c r="C461" s="539" t="s">
        <v>6869</v>
      </c>
      <c r="D461" s="539" t="s">
        <v>2783</v>
      </c>
      <c r="E461" s="539"/>
      <c r="F461" s="539"/>
      <c r="G461" s="539"/>
      <c r="H461" s="552"/>
      <c r="I461" s="552"/>
      <c r="J461" s="552"/>
      <c r="K461" s="552"/>
      <c r="L461" s="552"/>
      <c r="M461" s="552"/>
      <c r="N461" s="552"/>
      <c r="O461" s="552"/>
      <c r="P461" s="552"/>
      <c r="Q461" s="552"/>
      <c r="R461" s="552"/>
      <c r="S461" s="552"/>
      <c r="T461" s="552"/>
      <c r="U461" s="552"/>
      <c r="V461" s="552"/>
      <c r="W461" s="552"/>
      <c r="X461" s="552"/>
      <c r="Y461" s="552"/>
      <c r="Z461" s="552"/>
      <c r="AA461" s="552"/>
      <c r="AB461" s="552"/>
      <c r="AC461" s="552"/>
      <c r="AD461" s="552"/>
      <c r="AE461" s="552"/>
      <c r="AF461" s="552"/>
      <c r="AG461" s="552"/>
      <c r="AH461" s="552"/>
      <c r="AI461" s="552"/>
      <c r="AJ461" s="552"/>
      <c r="AK461" s="552"/>
      <c r="AL461" s="552"/>
      <c r="AM461" s="552"/>
      <c r="AN461" s="552"/>
      <c r="AO461" s="552"/>
      <c r="AP461" s="552"/>
      <c r="AQ461" s="552" t="s">
        <v>1186</v>
      </c>
      <c r="AR461" s="552" t="s">
        <v>2805</v>
      </c>
      <c r="AS461" s="552" t="s">
        <v>7484</v>
      </c>
      <c r="AT461" s="552" t="s">
        <v>726</v>
      </c>
    </row>
    <row r="462" spans="1:46" ht="14.7" customHeight="1">
      <c r="A462" s="706" t="s">
        <v>6260</v>
      </c>
      <c r="B462" s="556" t="s">
        <v>3697</v>
      </c>
      <c r="C462" s="539" t="s">
        <v>6869</v>
      </c>
      <c r="D462" s="709" t="s">
        <v>7486</v>
      </c>
      <c r="E462" s="552" t="s">
        <v>6925</v>
      </c>
      <c r="F462" s="552" t="s">
        <v>7363</v>
      </c>
      <c r="G462" s="552" t="s">
        <v>7483</v>
      </c>
      <c r="H462" s="552"/>
      <c r="I462" s="552"/>
      <c r="J462" s="709" t="s">
        <v>7487</v>
      </c>
      <c r="K462" s="709"/>
      <c r="L462" s="709"/>
      <c r="M462" s="552"/>
      <c r="N462" s="552"/>
      <c r="O462" s="552"/>
      <c r="P462" s="552">
        <v>2</v>
      </c>
      <c r="Q462" s="552"/>
      <c r="R462" s="552"/>
      <c r="S462" s="552"/>
      <c r="T462" s="552"/>
      <c r="U462" s="552"/>
      <c r="V462" s="552"/>
      <c r="W462" s="552"/>
      <c r="X462" s="552"/>
      <c r="Y462" s="552"/>
      <c r="Z462" s="552"/>
      <c r="AA462" s="552"/>
      <c r="AB462" s="552"/>
      <c r="AC462" s="552"/>
      <c r="AD462" s="720">
        <v>0.2</v>
      </c>
      <c r="AE462" s="552"/>
      <c r="AF462" s="552"/>
      <c r="AG462" s="552"/>
      <c r="AH462" s="552"/>
      <c r="AI462" s="552"/>
      <c r="AJ462" s="552"/>
      <c r="AK462" s="552"/>
      <c r="AL462" s="552"/>
      <c r="AM462" s="552"/>
      <c r="AN462" s="552"/>
      <c r="AO462" s="552"/>
      <c r="AP462" s="552"/>
      <c r="AQ462" s="552" t="s">
        <v>1186</v>
      </c>
      <c r="AR462" s="552" t="s">
        <v>2875</v>
      </c>
      <c r="AS462" s="552" t="s">
        <v>7484</v>
      </c>
      <c r="AT462" s="552" t="s">
        <v>726</v>
      </c>
    </row>
    <row r="463" spans="1:46" ht="14.7" customHeight="1">
      <c r="A463" s="706" t="s">
        <v>6261</v>
      </c>
      <c r="B463" s="556" t="s">
        <v>3697</v>
      </c>
      <c r="C463" s="539" t="s">
        <v>6869</v>
      </c>
      <c r="D463" s="709" t="s">
        <v>7488</v>
      </c>
      <c r="E463" s="552" t="s">
        <v>6925</v>
      </c>
      <c r="F463" s="552" t="s">
        <v>6872</v>
      </c>
      <c r="G463" s="552" t="s">
        <v>7483</v>
      </c>
      <c r="H463" s="552"/>
      <c r="I463" s="552"/>
      <c r="J463" s="709" t="s">
        <v>7489</v>
      </c>
      <c r="K463" s="709"/>
      <c r="L463" s="552"/>
      <c r="M463" s="552"/>
      <c r="N463" s="552"/>
      <c r="O463" s="552">
        <v>50</v>
      </c>
      <c r="P463" s="552"/>
      <c r="Q463" s="552"/>
      <c r="R463" s="552">
        <v>5</v>
      </c>
      <c r="S463" s="552"/>
      <c r="T463" s="552"/>
      <c r="U463" s="552"/>
      <c r="V463" s="552"/>
      <c r="W463" s="552"/>
      <c r="X463" s="552"/>
      <c r="Y463" s="552"/>
      <c r="Z463" s="552"/>
      <c r="AA463" s="552"/>
      <c r="AB463" s="552"/>
      <c r="AC463" s="552"/>
      <c r="AD463" s="552"/>
      <c r="AE463" s="552"/>
      <c r="AF463" s="552"/>
      <c r="AG463" s="552"/>
      <c r="AH463" s="552"/>
      <c r="AI463" s="552"/>
      <c r="AJ463" s="552"/>
      <c r="AK463" s="552"/>
      <c r="AL463" s="552"/>
      <c r="AM463" s="552"/>
      <c r="AN463" s="552"/>
      <c r="AO463" s="552"/>
      <c r="AP463" s="552"/>
      <c r="AQ463" s="552" t="s">
        <v>1186</v>
      </c>
      <c r="AR463" s="552" t="s">
        <v>2875</v>
      </c>
      <c r="AS463" s="552" t="s">
        <v>7484</v>
      </c>
      <c r="AT463" s="552" t="s">
        <v>726</v>
      </c>
    </row>
    <row r="464" spans="1:46" ht="14.7" customHeight="1">
      <c r="A464" s="706"/>
      <c r="B464" s="556" t="s">
        <v>3697</v>
      </c>
      <c r="C464" s="539" t="s">
        <v>6869</v>
      </c>
      <c r="D464" s="539" t="s">
        <v>2783</v>
      </c>
      <c r="E464" s="539"/>
      <c r="F464" s="539"/>
      <c r="G464" s="539"/>
      <c r="H464" s="552"/>
      <c r="I464" s="552"/>
      <c r="J464" s="552"/>
      <c r="K464" s="552"/>
      <c r="L464" s="552"/>
      <c r="M464" s="552"/>
      <c r="N464" s="552"/>
      <c r="O464" s="552"/>
      <c r="P464" s="552"/>
      <c r="Q464" s="552"/>
      <c r="R464" s="552"/>
      <c r="S464" s="552"/>
      <c r="T464" s="552"/>
      <c r="U464" s="552"/>
      <c r="V464" s="552"/>
      <c r="W464" s="552"/>
      <c r="X464" s="552"/>
      <c r="Y464" s="552"/>
      <c r="Z464" s="552"/>
      <c r="AA464" s="552"/>
      <c r="AB464" s="552"/>
      <c r="AC464" s="552"/>
      <c r="AD464" s="552"/>
      <c r="AE464" s="552"/>
      <c r="AF464" s="552"/>
      <c r="AG464" s="552"/>
      <c r="AH464" s="552"/>
      <c r="AI464" s="552"/>
      <c r="AJ464" s="552"/>
      <c r="AK464" s="552"/>
      <c r="AL464" s="552"/>
      <c r="AM464" s="552"/>
      <c r="AN464" s="552"/>
      <c r="AO464" s="552"/>
      <c r="AP464" s="552"/>
      <c r="AQ464" s="552" t="s">
        <v>1186</v>
      </c>
      <c r="AR464" s="552" t="s">
        <v>2875</v>
      </c>
      <c r="AS464" s="552" t="s">
        <v>7484</v>
      </c>
      <c r="AT464" s="552" t="s">
        <v>726</v>
      </c>
    </row>
    <row r="465" spans="1:46" ht="14.7" customHeight="1">
      <c r="A465" s="710" t="s">
        <v>7490</v>
      </c>
      <c r="B465" s="557" t="s">
        <v>3698</v>
      </c>
      <c r="C465" s="539" t="s">
        <v>6869</v>
      </c>
      <c r="D465" s="709" t="s">
        <v>7491</v>
      </c>
      <c r="E465" s="552" t="s">
        <v>6925</v>
      </c>
      <c r="F465" s="552" t="s">
        <v>6872</v>
      </c>
      <c r="G465" s="552" t="s">
        <v>7483</v>
      </c>
      <c r="H465" s="552"/>
      <c r="I465" s="552"/>
      <c r="J465" s="709" t="s">
        <v>7492</v>
      </c>
      <c r="K465" s="709"/>
      <c r="L465" s="709"/>
      <c r="M465" s="552"/>
      <c r="N465" s="552"/>
      <c r="O465" s="552"/>
      <c r="P465" s="552"/>
      <c r="Q465" s="552"/>
      <c r="R465" s="552">
        <v>4</v>
      </c>
      <c r="S465" s="552"/>
      <c r="T465" s="552"/>
      <c r="U465" s="552"/>
      <c r="V465" s="552"/>
      <c r="W465" s="552"/>
      <c r="X465" s="552"/>
      <c r="Y465" s="552"/>
      <c r="Z465" s="552"/>
      <c r="AA465" s="552"/>
      <c r="AB465" s="552"/>
      <c r="AC465" s="552"/>
      <c r="AD465" s="552"/>
      <c r="AE465" s="552"/>
      <c r="AF465" s="552"/>
      <c r="AG465" s="552"/>
      <c r="AH465" s="552"/>
      <c r="AI465" s="552"/>
      <c r="AJ465" s="552"/>
      <c r="AK465" s="552"/>
      <c r="AL465" s="552"/>
      <c r="AM465" s="552"/>
      <c r="AN465" s="552"/>
      <c r="AO465" s="552"/>
      <c r="AP465" s="709" t="s">
        <v>7493</v>
      </c>
      <c r="AQ465" s="552" t="s">
        <v>1186</v>
      </c>
      <c r="AR465" s="552" t="s">
        <v>2998</v>
      </c>
      <c r="AS465" s="552" t="s">
        <v>7484</v>
      </c>
      <c r="AT465" s="552" t="s">
        <v>726</v>
      </c>
    </row>
    <row r="466" spans="1:46" ht="14.7" customHeight="1">
      <c r="A466" s="710" t="s">
        <v>6262</v>
      </c>
      <c r="B466" s="557" t="s">
        <v>3698</v>
      </c>
      <c r="C466" s="539" t="s">
        <v>6869</v>
      </c>
      <c r="D466" s="709" t="s">
        <v>7494</v>
      </c>
      <c r="E466" s="552" t="s">
        <v>6925</v>
      </c>
      <c r="F466" s="552" t="s">
        <v>7363</v>
      </c>
      <c r="G466" s="552" t="s">
        <v>7483</v>
      </c>
      <c r="H466" s="552"/>
      <c r="I466" s="552"/>
      <c r="J466" s="709" t="s">
        <v>7495</v>
      </c>
      <c r="K466" s="709"/>
      <c r="L466" s="552"/>
      <c r="M466" s="552"/>
      <c r="N466" s="552"/>
      <c r="O466" s="552">
        <v>50</v>
      </c>
      <c r="P466" s="552"/>
      <c r="Q466" s="552"/>
      <c r="R466" s="552">
        <v>6</v>
      </c>
      <c r="S466" s="552"/>
      <c r="T466" s="552"/>
      <c r="U466" s="552"/>
      <c r="V466" s="552"/>
      <c r="W466" s="552"/>
      <c r="X466" s="552"/>
      <c r="Y466" s="552"/>
      <c r="Z466" s="552"/>
      <c r="AA466" s="552"/>
      <c r="AB466" s="552"/>
      <c r="AC466" s="552"/>
      <c r="AD466" s="552"/>
      <c r="AE466" s="552"/>
      <c r="AF466" s="552"/>
      <c r="AG466" s="552"/>
      <c r="AH466" s="552"/>
      <c r="AI466" s="552"/>
      <c r="AJ466" s="552"/>
      <c r="AK466" s="552"/>
      <c r="AL466" s="552"/>
      <c r="AM466" s="552"/>
      <c r="AN466" s="552"/>
      <c r="AO466" s="552"/>
      <c r="AP466" s="713" t="s">
        <v>7496</v>
      </c>
      <c r="AQ466" s="552" t="s">
        <v>1186</v>
      </c>
      <c r="AR466" s="552" t="s">
        <v>2998</v>
      </c>
      <c r="AS466" s="552" t="s">
        <v>7484</v>
      </c>
      <c r="AT466" s="552" t="s">
        <v>726</v>
      </c>
    </row>
    <row r="467" spans="1:46" ht="14.7" customHeight="1">
      <c r="A467" s="706"/>
      <c r="B467" s="557" t="s">
        <v>3698</v>
      </c>
      <c r="C467" s="539" t="s">
        <v>6869</v>
      </c>
      <c r="D467" s="539" t="s">
        <v>2783</v>
      </c>
      <c r="E467" s="539"/>
      <c r="F467" s="539"/>
      <c r="G467" s="539"/>
      <c r="H467" s="552"/>
      <c r="I467" s="552"/>
      <c r="J467" s="552"/>
      <c r="K467" s="552"/>
      <c r="L467" s="552"/>
      <c r="M467" s="552"/>
      <c r="N467" s="552"/>
      <c r="O467" s="552"/>
      <c r="P467" s="552"/>
      <c r="Q467" s="552"/>
      <c r="R467" s="552"/>
      <c r="S467" s="552"/>
      <c r="T467" s="552"/>
      <c r="U467" s="552"/>
      <c r="V467" s="552"/>
      <c r="W467" s="552"/>
      <c r="X467" s="552"/>
      <c r="Y467" s="552"/>
      <c r="Z467" s="552"/>
      <c r="AA467" s="552"/>
      <c r="AB467" s="552"/>
      <c r="AC467" s="552"/>
      <c r="AD467" s="552"/>
      <c r="AE467" s="552"/>
      <c r="AF467" s="552"/>
      <c r="AG467" s="552"/>
      <c r="AH467" s="552"/>
      <c r="AI467" s="552"/>
      <c r="AJ467" s="552"/>
      <c r="AK467" s="552"/>
      <c r="AL467" s="552"/>
      <c r="AM467" s="552"/>
      <c r="AN467" s="552"/>
      <c r="AO467" s="552"/>
      <c r="AP467" s="552"/>
      <c r="AQ467" s="552" t="s">
        <v>1186</v>
      </c>
      <c r="AR467" s="552" t="s">
        <v>2998</v>
      </c>
      <c r="AS467" s="552" t="s">
        <v>7484</v>
      </c>
      <c r="AT467" s="552" t="s">
        <v>726</v>
      </c>
    </row>
    <row r="468" spans="1:46" ht="14.7" customHeight="1">
      <c r="A468" s="706"/>
      <c r="B468" s="557" t="s">
        <v>3698</v>
      </c>
      <c r="C468" s="539" t="s">
        <v>6869</v>
      </c>
      <c r="D468" s="539" t="s">
        <v>2783</v>
      </c>
      <c r="E468" s="539"/>
      <c r="F468" s="539"/>
      <c r="G468" s="539"/>
      <c r="H468" s="552"/>
      <c r="I468" s="552"/>
      <c r="J468" s="552"/>
      <c r="K468" s="552"/>
      <c r="L468" s="552"/>
      <c r="M468" s="552"/>
      <c r="N468" s="552"/>
      <c r="O468" s="552"/>
      <c r="P468" s="552"/>
      <c r="Q468" s="552"/>
      <c r="R468" s="552"/>
      <c r="S468" s="552"/>
      <c r="T468" s="552"/>
      <c r="U468" s="552"/>
      <c r="V468" s="552"/>
      <c r="W468" s="552"/>
      <c r="X468" s="552"/>
      <c r="Y468" s="552"/>
      <c r="Z468" s="552"/>
      <c r="AA468" s="552"/>
      <c r="AB468" s="552"/>
      <c r="AC468" s="552"/>
      <c r="AD468" s="552"/>
      <c r="AE468" s="552"/>
      <c r="AF468" s="552"/>
      <c r="AG468" s="552"/>
      <c r="AH468" s="552"/>
      <c r="AI468" s="552"/>
      <c r="AJ468" s="552"/>
      <c r="AK468" s="552"/>
      <c r="AL468" s="552"/>
      <c r="AM468" s="552"/>
      <c r="AN468" s="552"/>
      <c r="AO468" s="552"/>
      <c r="AP468" s="552"/>
      <c r="AQ468" s="552" t="s">
        <v>1186</v>
      </c>
      <c r="AR468" s="552" t="s">
        <v>2998</v>
      </c>
      <c r="AS468" s="552" t="s">
        <v>7484</v>
      </c>
      <c r="AT468" s="552" t="s">
        <v>726</v>
      </c>
    </row>
    <row r="469" spans="1:46" ht="14.7" customHeight="1">
      <c r="A469" s="710" t="s">
        <v>7497</v>
      </c>
      <c r="B469" s="344" t="s">
        <v>3699</v>
      </c>
      <c r="C469" s="539" t="s">
        <v>6869</v>
      </c>
      <c r="D469" s="709" t="s">
        <v>7498</v>
      </c>
      <c r="E469" s="552" t="s">
        <v>6925</v>
      </c>
      <c r="F469" s="552" t="s">
        <v>7363</v>
      </c>
      <c r="G469" s="552" t="s">
        <v>7483</v>
      </c>
      <c r="H469" s="552"/>
      <c r="I469" s="552"/>
      <c r="J469" s="709" t="s">
        <v>7499</v>
      </c>
      <c r="K469" s="709"/>
      <c r="L469" s="552"/>
      <c r="M469" s="552"/>
      <c r="N469" s="552"/>
      <c r="O469" s="552">
        <v>50</v>
      </c>
      <c r="P469" s="552"/>
      <c r="Q469" s="552"/>
      <c r="R469" s="552"/>
      <c r="S469" s="552"/>
      <c r="T469" s="552"/>
      <c r="U469" s="552"/>
      <c r="V469" s="552"/>
      <c r="W469" s="552"/>
      <c r="X469" s="552"/>
      <c r="Y469" s="552"/>
      <c r="Z469" s="552"/>
      <c r="AA469" s="552"/>
      <c r="AB469" s="552"/>
      <c r="AC469" s="552"/>
      <c r="AD469" s="552"/>
      <c r="AE469" s="552"/>
      <c r="AF469" s="552"/>
      <c r="AG469" s="552"/>
      <c r="AH469" s="552"/>
      <c r="AI469" s="552"/>
      <c r="AJ469" s="552"/>
      <c r="AK469" s="552"/>
      <c r="AL469" s="552"/>
      <c r="AM469" s="552"/>
      <c r="AN469" s="552"/>
      <c r="AO469" s="552"/>
      <c r="AP469" s="709" t="s">
        <v>7500</v>
      </c>
      <c r="AQ469" s="552" t="s">
        <v>1186</v>
      </c>
      <c r="AR469" s="552" t="s">
        <v>2809</v>
      </c>
      <c r="AS469" s="552" t="s">
        <v>7484</v>
      </c>
      <c r="AT469" s="552" t="s">
        <v>726</v>
      </c>
    </row>
    <row r="470" spans="1:46" ht="14.7" customHeight="1">
      <c r="A470" s="710" t="s">
        <v>6263</v>
      </c>
      <c r="B470" s="344" t="s">
        <v>3699</v>
      </c>
      <c r="C470" s="539" t="s">
        <v>6869</v>
      </c>
      <c r="D470" s="709" t="s">
        <v>7501</v>
      </c>
      <c r="E470" s="552" t="s">
        <v>6925</v>
      </c>
      <c r="F470" s="552" t="s">
        <v>6872</v>
      </c>
      <c r="G470" s="552" t="s">
        <v>7483</v>
      </c>
      <c r="H470" s="552"/>
      <c r="I470" s="552"/>
      <c r="J470" s="709" t="s">
        <v>6947</v>
      </c>
      <c r="K470" s="709" t="s">
        <v>7502</v>
      </c>
      <c r="L470" s="709"/>
      <c r="M470" s="709"/>
      <c r="N470" s="552"/>
      <c r="O470" s="552"/>
      <c r="P470" s="552"/>
      <c r="Q470" s="552"/>
      <c r="R470" s="552"/>
      <c r="S470" s="552"/>
      <c r="T470" s="552"/>
      <c r="U470" s="552"/>
      <c r="V470" s="552"/>
      <c r="W470" s="552"/>
      <c r="X470" s="552"/>
      <c r="Y470" s="552"/>
      <c r="Z470" s="552"/>
      <c r="AA470" s="552"/>
      <c r="AB470" s="552"/>
      <c r="AC470" s="552"/>
      <c r="AD470" s="552"/>
      <c r="AE470" s="552"/>
      <c r="AF470" s="552"/>
      <c r="AG470" s="552"/>
      <c r="AH470" s="552"/>
      <c r="AI470" s="552"/>
      <c r="AJ470" s="552"/>
      <c r="AK470" s="552"/>
      <c r="AL470" s="552"/>
      <c r="AM470" s="552"/>
      <c r="AN470" s="552"/>
      <c r="AO470" s="552"/>
      <c r="AP470" s="709" t="s">
        <v>7503</v>
      </c>
      <c r="AQ470" s="552" t="s">
        <v>1186</v>
      </c>
      <c r="AR470" s="552" t="s">
        <v>2809</v>
      </c>
      <c r="AS470" s="552" t="s">
        <v>7484</v>
      </c>
      <c r="AT470" s="552" t="s">
        <v>726</v>
      </c>
    </row>
    <row r="471" spans="1:46" ht="14.7" customHeight="1">
      <c r="A471" s="710" t="s">
        <v>6264</v>
      </c>
      <c r="B471" s="344" t="s">
        <v>3699</v>
      </c>
      <c r="C471" s="539" t="s">
        <v>6869</v>
      </c>
      <c r="D471" s="709" t="s">
        <v>7504</v>
      </c>
      <c r="E471" s="552" t="s">
        <v>6925</v>
      </c>
      <c r="F471" s="552" t="s">
        <v>6872</v>
      </c>
      <c r="G471" s="552" t="s">
        <v>7483</v>
      </c>
      <c r="H471" s="552"/>
      <c r="I471" s="552"/>
      <c r="J471" s="709" t="s">
        <v>6912</v>
      </c>
      <c r="K471" s="709"/>
      <c r="L471" s="709"/>
      <c r="M471" s="552"/>
      <c r="N471" s="552"/>
      <c r="O471" s="552">
        <v>100</v>
      </c>
      <c r="P471" s="552"/>
      <c r="Q471" s="552"/>
      <c r="R471" s="552">
        <v>10</v>
      </c>
      <c r="S471" s="552"/>
      <c r="T471" s="552"/>
      <c r="U471" s="552"/>
      <c r="V471" s="552"/>
      <c r="W471" s="552"/>
      <c r="X471" s="552"/>
      <c r="Y471" s="552"/>
      <c r="Z471" s="552"/>
      <c r="AA471" s="552"/>
      <c r="AB471" s="552"/>
      <c r="AC471" s="552"/>
      <c r="AD471" s="552"/>
      <c r="AE471" s="552"/>
      <c r="AF471" s="552"/>
      <c r="AG471" s="552"/>
      <c r="AH471" s="552"/>
      <c r="AI471" s="552"/>
      <c r="AJ471" s="552"/>
      <c r="AK471" s="552"/>
      <c r="AL471" s="552"/>
      <c r="AM471" s="552"/>
      <c r="AN471" s="552"/>
      <c r="AO471" s="709" t="s">
        <v>7505</v>
      </c>
      <c r="AP471" s="709"/>
      <c r="AQ471" s="552" t="s">
        <v>1186</v>
      </c>
      <c r="AR471" s="552" t="s">
        <v>2809</v>
      </c>
      <c r="AS471" s="552" t="s">
        <v>7484</v>
      </c>
      <c r="AT471" s="552" t="s">
        <v>726</v>
      </c>
    </row>
    <row r="472" spans="1:46" ht="14.7" customHeight="1">
      <c r="A472" s="706" t="s">
        <v>6265</v>
      </c>
      <c r="B472" s="344" t="s">
        <v>3699</v>
      </c>
      <c r="C472" s="539" t="s">
        <v>6869</v>
      </c>
      <c r="D472" s="709" t="s">
        <v>7506</v>
      </c>
      <c r="E472" s="552" t="s">
        <v>6925</v>
      </c>
      <c r="F472" s="552" t="s">
        <v>6872</v>
      </c>
      <c r="G472" s="552" t="s">
        <v>7483</v>
      </c>
      <c r="H472" s="552"/>
      <c r="I472" s="552"/>
      <c r="J472" s="709" t="s">
        <v>7507</v>
      </c>
      <c r="K472" s="709"/>
      <c r="L472" s="552"/>
      <c r="M472" s="552"/>
      <c r="N472" s="552"/>
      <c r="O472" s="552"/>
      <c r="P472" s="552"/>
      <c r="Q472" s="552"/>
      <c r="R472" s="552"/>
      <c r="S472" s="552"/>
      <c r="T472" s="552"/>
      <c r="U472" s="552"/>
      <c r="V472" s="552"/>
      <c r="W472" s="552"/>
      <c r="X472" s="552"/>
      <c r="Y472" s="552"/>
      <c r="Z472" s="552"/>
      <c r="AA472" s="552"/>
      <c r="AB472" s="552"/>
      <c r="AC472" s="552"/>
      <c r="AD472" s="552"/>
      <c r="AE472" s="552"/>
      <c r="AF472" s="552"/>
      <c r="AG472" s="552"/>
      <c r="AH472" s="552"/>
      <c r="AI472" s="552"/>
      <c r="AJ472" s="552"/>
      <c r="AK472" s="552"/>
      <c r="AL472" s="552"/>
      <c r="AM472" s="552"/>
      <c r="AN472" s="552"/>
      <c r="AO472" s="552"/>
      <c r="AP472" s="709" t="s">
        <v>7508</v>
      </c>
      <c r="AQ472" s="552" t="s">
        <v>1186</v>
      </c>
      <c r="AR472" s="552" t="s">
        <v>2809</v>
      </c>
      <c r="AS472" s="552" t="s">
        <v>7484</v>
      </c>
      <c r="AT472" s="552" t="s">
        <v>726</v>
      </c>
    </row>
    <row r="473" spans="1:46" ht="14.7" customHeight="1">
      <c r="A473" s="706"/>
      <c r="B473" s="344" t="s">
        <v>3699</v>
      </c>
      <c r="C473" s="539" t="s">
        <v>6869</v>
      </c>
      <c r="D473" s="539" t="s">
        <v>2783</v>
      </c>
      <c r="E473" s="539"/>
      <c r="F473" s="539"/>
      <c r="G473" s="539"/>
      <c r="H473" s="552"/>
      <c r="I473" s="552"/>
      <c r="J473" s="552"/>
      <c r="K473" s="552"/>
      <c r="L473" s="552"/>
      <c r="M473" s="552"/>
      <c r="N473" s="552"/>
      <c r="O473" s="552"/>
      <c r="P473" s="552"/>
      <c r="Q473" s="552"/>
      <c r="R473" s="552"/>
      <c r="S473" s="552"/>
      <c r="T473" s="552"/>
      <c r="U473" s="552"/>
      <c r="V473" s="552"/>
      <c r="W473" s="552"/>
      <c r="X473" s="552"/>
      <c r="Y473" s="552"/>
      <c r="Z473" s="552"/>
      <c r="AA473" s="552"/>
      <c r="AB473" s="552"/>
      <c r="AC473" s="552"/>
      <c r="AD473" s="552"/>
      <c r="AE473" s="552"/>
      <c r="AF473" s="552"/>
      <c r="AG473" s="552"/>
      <c r="AH473" s="552"/>
      <c r="AI473" s="552"/>
      <c r="AJ473" s="552"/>
      <c r="AK473" s="552"/>
      <c r="AL473" s="552"/>
      <c r="AM473" s="552"/>
      <c r="AN473" s="552"/>
      <c r="AO473" s="552"/>
      <c r="AP473" s="552"/>
      <c r="AQ473" s="552" t="s">
        <v>1186</v>
      </c>
      <c r="AR473" s="552" t="s">
        <v>2809</v>
      </c>
      <c r="AS473" s="552" t="s">
        <v>7484</v>
      </c>
      <c r="AT473" s="552" t="s">
        <v>726</v>
      </c>
    </row>
    <row r="474" spans="1:46" ht="14.7" customHeight="1">
      <c r="A474" s="706" t="s">
        <v>6266</v>
      </c>
      <c r="B474" s="559" t="s">
        <v>3700</v>
      </c>
      <c r="C474" s="539" t="s">
        <v>6869</v>
      </c>
      <c r="D474" s="709" t="s">
        <v>7509</v>
      </c>
      <c r="E474" s="552" t="s">
        <v>6925</v>
      </c>
      <c r="F474" s="552" t="s">
        <v>7363</v>
      </c>
      <c r="G474" s="552" t="s">
        <v>7483</v>
      </c>
      <c r="H474" s="552"/>
      <c r="I474" s="552"/>
      <c r="J474" s="709" t="s">
        <v>7510</v>
      </c>
      <c r="K474" s="709" t="s">
        <v>7511</v>
      </c>
      <c r="L474" s="709"/>
      <c r="M474" s="709"/>
      <c r="N474" s="709"/>
      <c r="O474" s="552"/>
      <c r="P474" s="552"/>
      <c r="Q474" s="552"/>
      <c r="R474" s="552">
        <v>5</v>
      </c>
      <c r="S474" s="552"/>
      <c r="T474" s="552"/>
      <c r="U474" s="552"/>
      <c r="V474" s="552"/>
      <c r="W474" s="552"/>
      <c r="X474" s="552"/>
      <c r="Y474" s="552"/>
      <c r="Z474" s="552"/>
      <c r="AA474" s="552"/>
      <c r="AB474" s="552"/>
      <c r="AC474" s="552"/>
      <c r="AD474" s="552"/>
      <c r="AE474" s="552"/>
      <c r="AF474" s="552"/>
      <c r="AG474" s="552"/>
      <c r="AH474" s="552"/>
      <c r="AI474" s="552"/>
      <c r="AJ474" s="552"/>
      <c r="AK474" s="552"/>
      <c r="AL474" s="552"/>
      <c r="AM474" s="552"/>
      <c r="AN474" s="552"/>
      <c r="AO474" s="552"/>
      <c r="AP474" s="552"/>
      <c r="AQ474" s="552" t="s">
        <v>1186</v>
      </c>
      <c r="AR474" s="552" t="s">
        <v>2971</v>
      </c>
      <c r="AS474" s="552" t="s">
        <v>7484</v>
      </c>
      <c r="AT474" s="552" t="s">
        <v>726</v>
      </c>
    </row>
    <row r="475" spans="1:46" ht="14.7" customHeight="1">
      <c r="A475" s="706" t="s">
        <v>6267</v>
      </c>
      <c r="B475" s="559" t="s">
        <v>3700</v>
      </c>
      <c r="C475" s="539" t="s">
        <v>6869</v>
      </c>
      <c r="D475" s="709" t="s">
        <v>7512</v>
      </c>
      <c r="E475" s="552" t="s">
        <v>6925</v>
      </c>
      <c r="F475" s="552" t="s">
        <v>6872</v>
      </c>
      <c r="G475" s="552" t="s">
        <v>7483</v>
      </c>
      <c r="H475" s="552"/>
      <c r="I475" s="552"/>
      <c r="J475" s="709" t="s">
        <v>6957</v>
      </c>
      <c r="K475" s="709"/>
      <c r="L475" s="709"/>
      <c r="M475" s="552"/>
      <c r="N475" s="552"/>
      <c r="O475" s="552"/>
      <c r="P475" s="552"/>
      <c r="Q475" s="552"/>
      <c r="R475" s="552"/>
      <c r="S475" s="552"/>
      <c r="T475" s="552"/>
      <c r="U475" s="552"/>
      <c r="V475" s="552"/>
      <c r="W475" s="552"/>
      <c r="X475" s="552"/>
      <c r="Y475" s="552"/>
      <c r="Z475" s="552"/>
      <c r="AA475" s="552"/>
      <c r="AB475" s="552"/>
      <c r="AC475" s="552"/>
      <c r="AD475" s="552"/>
      <c r="AE475" s="552"/>
      <c r="AF475" s="552"/>
      <c r="AG475" s="552"/>
      <c r="AH475" s="552"/>
      <c r="AI475" s="552"/>
      <c r="AJ475" s="552"/>
      <c r="AK475" s="552"/>
      <c r="AL475" s="552"/>
      <c r="AM475" s="552"/>
      <c r="AN475" s="552"/>
      <c r="AO475" s="552" t="s">
        <v>7513</v>
      </c>
      <c r="AP475" s="552"/>
      <c r="AQ475" s="552" t="s">
        <v>1186</v>
      </c>
      <c r="AR475" s="552" t="s">
        <v>2971</v>
      </c>
      <c r="AS475" s="552" t="s">
        <v>7484</v>
      </c>
      <c r="AT475" s="552" t="s">
        <v>726</v>
      </c>
    </row>
    <row r="476" spans="1:46" ht="14.7" customHeight="1">
      <c r="A476" s="706"/>
      <c r="B476" s="711" t="s">
        <v>6055</v>
      </c>
      <c r="C476" s="539" t="s">
        <v>6869</v>
      </c>
      <c r="D476" s="709"/>
      <c r="E476" s="552"/>
      <c r="F476" s="552"/>
      <c r="G476" s="552"/>
      <c r="H476" s="552"/>
      <c r="I476" s="552"/>
      <c r="J476" s="709"/>
      <c r="K476" s="552"/>
      <c r="L476" s="552"/>
      <c r="M476" s="552"/>
      <c r="N476" s="552"/>
      <c r="O476" s="552"/>
      <c r="P476" s="552"/>
      <c r="Q476" s="552"/>
      <c r="R476" s="552"/>
      <c r="S476" s="552"/>
      <c r="T476" s="552"/>
      <c r="U476" s="552"/>
      <c r="V476" s="552"/>
      <c r="W476" s="552"/>
      <c r="X476" s="552"/>
      <c r="Y476" s="552"/>
      <c r="Z476" s="552"/>
      <c r="AA476" s="552"/>
      <c r="AB476" s="552"/>
      <c r="AC476" s="552"/>
      <c r="AD476" s="552"/>
      <c r="AE476" s="552"/>
      <c r="AF476" s="552"/>
      <c r="AG476" s="552"/>
      <c r="AH476" s="552"/>
      <c r="AI476" s="552"/>
      <c r="AJ476" s="552"/>
      <c r="AK476" s="552"/>
      <c r="AL476" s="552"/>
      <c r="AM476" s="552"/>
      <c r="AN476" s="552"/>
      <c r="AO476" s="552"/>
      <c r="AP476" s="552"/>
      <c r="AQ476" s="552" t="s">
        <v>1186</v>
      </c>
      <c r="AR476" s="552" t="s">
        <v>6697</v>
      </c>
      <c r="AS476" s="552" t="s">
        <v>7484</v>
      </c>
      <c r="AT476" s="552" t="s">
        <v>726</v>
      </c>
    </row>
    <row r="477" spans="1:46" ht="14.7" customHeight="1">
      <c r="A477" s="706" t="s">
        <v>6268</v>
      </c>
      <c r="B477" s="540" t="s">
        <v>3695</v>
      </c>
      <c r="C477" s="539" t="s">
        <v>6869</v>
      </c>
      <c r="D477" s="709" t="s">
        <v>7514</v>
      </c>
      <c r="E477" s="552" t="s">
        <v>6925</v>
      </c>
      <c r="F477" s="552" t="s">
        <v>7363</v>
      </c>
      <c r="G477" s="552" t="s">
        <v>7515</v>
      </c>
      <c r="H477" s="552"/>
      <c r="I477" s="552"/>
      <c r="J477" s="709" t="s">
        <v>7516</v>
      </c>
      <c r="K477" s="709"/>
      <c r="L477" s="709"/>
      <c r="M477" s="552"/>
      <c r="N477" s="552"/>
      <c r="O477" s="552"/>
      <c r="P477" s="552"/>
      <c r="Q477" s="552"/>
      <c r="R477" s="552">
        <v>2</v>
      </c>
      <c r="S477" s="552"/>
      <c r="T477" s="552"/>
      <c r="U477" s="552"/>
      <c r="V477" s="552"/>
      <c r="W477" s="552"/>
      <c r="X477" s="552"/>
      <c r="Y477" s="552"/>
      <c r="Z477" s="552"/>
      <c r="AA477" s="552"/>
      <c r="AB477" s="552"/>
      <c r="AC477" s="552"/>
      <c r="AD477" s="552"/>
      <c r="AE477" s="552"/>
      <c r="AF477" s="552"/>
      <c r="AG477" s="552"/>
      <c r="AH477" s="552"/>
      <c r="AI477" s="552"/>
      <c r="AJ477" s="552"/>
      <c r="AK477" s="552"/>
      <c r="AL477" s="552"/>
      <c r="AM477" s="552"/>
      <c r="AN477" s="552"/>
      <c r="AO477" s="552"/>
      <c r="AP477" s="552"/>
      <c r="AQ477" s="552" t="s">
        <v>1186</v>
      </c>
      <c r="AR477" s="552" t="s">
        <v>2802</v>
      </c>
      <c r="AS477" s="552" t="s">
        <v>7484</v>
      </c>
      <c r="AT477" s="552" t="s">
        <v>726</v>
      </c>
    </row>
    <row r="478" spans="1:46" ht="14.7" customHeight="1">
      <c r="A478" s="706" t="s">
        <v>6269</v>
      </c>
      <c r="B478" s="540" t="s">
        <v>3695</v>
      </c>
      <c r="C478" s="539" t="s">
        <v>6869</v>
      </c>
      <c r="D478" s="709" t="s">
        <v>7517</v>
      </c>
      <c r="E478" s="552" t="s">
        <v>6925</v>
      </c>
      <c r="F478" s="552" t="s">
        <v>7363</v>
      </c>
      <c r="G478" s="552" t="s">
        <v>7515</v>
      </c>
      <c r="H478" s="552"/>
      <c r="I478" s="552"/>
      <c r="J478" s="709" t="s">
        <v>7518</v>
      </c>
      <c r="K478" s="709"/>
      <c r="L478" s="552"/>
      <c r="M478" s="552"/>
      <c r="N478" s="552"/>
      <c r="O478" s="552"/>
      <c r="P478" s="552"/>
      <c r="Q478" s="552"/>
      <c r="R478" s="552"/>
      <c r="S478" s="552"/>
      <c r="T478" s="552"/>
      <c r="U478" s="552"/>
      <c r="V478" s="552"/>
      <c r="W478" s="552"/>
      <c r="X478" s="552"/>
      <c r="Y478" s="552"/>
      <c r="Z478" s="552"/>
      <c r="AA478" s="552"/>
      <c r="AB478" s="552"/>
      <c r="AC478" s="552"/>
      <c r="AD478" s="552"/>
      <c r="AE478" s="552"/>
      <c r="AF478" s="552"/>
      <c r="AG478" s="552"/>
      <c r="AH478" s="552"/>
      <c r="AI478" s="552"/>
      <c r="AJ478" s="552"/>
      <c r="AK478" s="552"/>
      <c r="AL478" s="552"/>
      <c r="AM478" s="552"/>
      <c r="AN478" s="552"/>
      <c r="AO478" s="552"/>
      <c r="AP478" s="552"/>
      <c r="AQ478" s="552" t="s">
        <v>1186</v>
      </c>
      <c r="AR478" s="552" t="s">
        <v>2802</v>
      </c>
      <c r="AS478" s="552" t="s">
        <v>7484</v>
      </c>
      <c r="AT478" s="552" t="s">
        <v>726</v>
      </c>
    </row>
    <row r="479" spans="1:46" ht="14.7" customHeight="1">
      <c r="A479" s="706" t="s">
        <v>6270</v>
      </c>
      <c r="B479" s="707" t="s">
        <v>3696</v>
      </c>
      <c r="C479" s="539" t="s">
        <v>6869</v>
      </c>
      <c r="D479" s="709" t="s">
        <v>7519</v>
      </c>
      <c r="E479" s="552" t="s">
        <v>6925</v>
      </c>
      <c r="F479" s="552" t="s">
        <v>7363</v>
      </c>
      <c r="G479" s="552" t="s">
        <v>7515</v>
      </c>
      <c r="H479" s="552"/>
      <c r="I479" s="552"/>
      <c r="J479" s="709" t="s">
        <v>7520</v>
      </c>
      <c r="K479" s="709"/>
      <c r="L479" s="709"/>
      <c r="M479" s="552"/>
      <c r="N479" s="552"/>
      <c r="O479" s="552"/>
      <c r="P479" s="552"/>
      <c r="Q479" s="552"/>
      <c r="R479" s="552"/>
      <c r="S479" s="552"/>
      <c r="T479" s="552"/>
      <c r="U479" s="552"/>
      <c r="V479" s="552"/>
      <c r="W479" s="552"/>
      <c r="X479" s="552"/>
      <c r="Y479" s="552"/>
      <c r="Z479" s="552"/>
      <c r="AA479" s="552"/>
      <c r="AB479" s="552"/>
      <c r="AC479" s="552"/>
      <c r="AD479" s="552"/>
      <c r="AE479" s="552"/>
      <c r="AF479" s="552"/>
      <c r="AG479" s="552"/>
      <c r="AH479" s="552"/>
      <c r="AI479" s="552"/>
      <c r="AJ479" s="552"/>
      <c r="AK479" s="552"/>
      <c r="AL479" s="552"/>
      <c r="AM479" s="552"/>
      <c r="AN479" s="552"/>
      <c r="AO479" s="552"/>
      <c r="AP479" s="709" t="s">
        <v>7521</v>
      </c>
      <c r="AQ479" s="552" t="s">
        <v>1186</v>
      </c>
      <c r="AR479" s="552" t="s">
        <v>2805</v>
      </c>
      <c r="AS479" s="552" t="s">
        <v>7484</v>
      </c>
      <c r="AT479" s="552" t="s">
        <v>726</v>
      </c>
    </row>
    <row r="480" spans="1:46" ht="14.7" customHeight="1">
      <c r="A480" s="706"/>
      <c r="B480" s="707" t="s">
        <v>3696</v>
      </c>
      <c r="C480" s="539" t="s">
        <v>6869</v>
      </c>
      <c r="D480" s="539" t="s">
        <v>2783</v>
      </c>
      <c r="E480" s="539"/>
      <c r="F480" s="539"/>
      <c r="G480" s="539"/>
      <c r="H480" s="552"/>
      <c r="I480" s="552"/>
      <c r="J480" s="552"/>
      <c r="K480" s="552"/>
      <c r="L480" s="552"/>
      <c r="M480" s="552"/>
      <c r="N480" s="552"/>
      <c r="O480" s="552"/>
      <c r="P480" s="552"/>
      <c r="Q480" s="552"/>
      <c r="R480" s="552"/>
      <c r="S480" s="552"/>
      <c r="T480" s="552"/>
      <c r="U480" s="552"/>
      <c r="V480" s="552"/>
      <c r="W480" s="552"/>
      <c r="X480" s="552"/>
      <c r="Y480" s="552"/>
      <c r="Z480" s="552"/>
      <c r="AA480" s="552"/>
      <c r="AB480" s="552"/>
      <c r="AC480" s="552"/>
      <c r="AD480" s="552"/>
      <c r="AE480" s="552"/>
      <c r="AF480" s="552"/>
      <c r="AG480" s="552"/>
      <c r="AH480" s="552"/>
      <c r="AI480" s="552"/>
      <c r="AJ480" s="552"/>
      <c r="AK480" s="552"/>
      <c r="AL480" s="552"/>
      <c r="AM480" s="552"/>
      <c r="AN480" s="552"/>
      <c r="AO480" s="552"/>
      <c r="AP480" s="552"/>
      <c r="AQ480" s="552" t="s">
        <v>1186</v>
      </c>
      <c r="AR480" s="552" t="s">
        <v>2805</v>
      </c>
      <c r="AS480" s="552" t="s">
        <v>7484</v>
      </c>
      <c r="AT480" s="552" t="s">
        <v>726</v>
      </c>
    </row>
    <row r="481" spans="1:46" ht="14.7" customHeight="1">
      <c r="A481" s="706" t="s">
        <v>6271</v>
      </c>
      <c r="B481" s="556" t="s">
        <v>3697</v>
      </c>
      <c r="C481" s="539" t="s">
        <v>6869</v>
      </c>
      <c r="D481" s="709" t="s">
        <v>7522</v>
      </c>
      <c r="E481" s="552" t="s">
        <v>6925</v>
      </c>
      <c r="F481" s="552" t="s">
        <v>7363</v>
      </c>
      <c r="G481" s="552" t="s">
        <v>7515</v>
      </c>
      <c r="H481" s="552"/>
      <c r="I481" s="552"/>
      <c r="J481" s="709" t="s">
        <v>7523</v>
      </c>
      <c r="K481" s="709"/>
      <c r="L481" s="709"/>
      <c r="M481" s="552"/>
      <c r="N481" s="552"/>
      <c r="O481" s="552">
        <v>50</v>
      </c>
      <c r="P481" s="552"/>
      <c r="Q481" s="552"/>
      <c r="R481" s="552"/>
      <c r="S481" s="552"/>
      <c r="T481" s="552"/>
      <c r="U481" s="552"/>
      <c r="V481" s="552"/>
      <c r="W481" s="552"/>
      <c r="X481" s="552"/>
      <c r="Y481" s="552"/>
      <c r="Z481" s="552"/>
      <c r="AA481" s="552"/>
      <c r="AB481" s="552"/>
      <c r="AC481" s="552"/>
      <c r="AD481" s="552"/>
      <c r="AE481" s="552"/>
      <c r="AF481" s="552"/>
      <c r="AG481" s="552"/>
      <c r="AH481" s="552"/>
      <c r="AI481" s="552"/>
      <c r="AJ481" s="552"/>
      <c r="AK481" s="552"/>
      <c r="AL481" s="552"/>
      <c r="AM481" s="552"/>
      <c r="AN481" s="552"/>
      <c r="AO481" s="552"/>
      <c r="AP481" s="552"/>
      <c r="AQ481" s="552" t="s">
        <v>1186</v>
      </c>
      <c r="AR481" s="552" t="s">
        <v>2875</v>
      </c>
      <c r="AS481" s="552" t="s">
        <v>7484</v>
      </c>
      <c r="AT481" s="552" t="s">
        <v>726</v>
      </c>
    </row>
    <row r="482" spans="1:46" ht="14.7" customHeight="1">
      <c r="A482" s="710" t="s">
        <v>6272</v>
      </c>
      <c r="B482" s="556" t="s">
        <v>3697</v>
      </c>
      <c r="C482" s="539" t="s">
        <v>6869</v>
      </c>
      <c r="D482" s="709" t="s">
        <v>7524</v>
      </c>
      <c r="E482" s="552" t="s">
        <v>6925</v>
      </c>
      <c r="F482" s="552" t="s">
        <v>7363</v>
      </c>
      <c r="G482" s="552" t="s">
        <v>7515</v>
      </c>
      <c r="H482" s="552"/>
      <c r="I482" s="709" t="s">
        <v>7046</v>
      </c>
      <c r="J482" s="709" t="s">
        <v>7525</v>
      </c>
      <c r="K482" s="709" t="s">
        <v>7526</v>
      </c>
      <c r="L482" s="709"/>
      <c r="M482" s="709"/>
      <c r="N482" s="709"/>
      <c r="O482" s="709"/>
      <c r="P482" s="709"/>
      <c r="Q482" s="709"/>
      <c r="R482" s="709"/>
      <c r="S482" s="552"/>
      <c r="T482" s="552"/>
      <c r="U482" s="552"/>
      <c r="V482" s="552"/>
      <c r="W482" s="552"/>
      <c r="X482" s="552"/>
      <c r="Y482" s="552"/>
      <c r="Z482" s="552"/>
      <c r="AA482" s="552"/>
      <c r="AB482" s="552"/>
      <c r="AC482" s="552"/>
      <c r="AD482" s="552"/>
      <c r="AE482" s="552"/>
      <c r="AF482" s="552"/>
      <c r="AG482" s="552"/>
      <c r="AH482" s="552"/>
      <c r="AI482" s="552"/>
      <c r="AJ482" s="552"/>
      <c r="AK482" s="552"/>
      <c r="AL482" s="552"/>
      <c r="AM482" s="552"/>
      <c r="AN482" s="552"/>
      <c r="AO482" s="552"/>
      <c r="AP482" s="552"/>
      <c r="AQ482" s="552" t="s">
        <v>1186</v>
      </c>
      <c r="AR482" s="552" t="s">
        <v>2875</v>
      </c>
      <c r="AS482" s="552" t="s">
        <v>7484</v>
      </c>
      <c r="AT482" s="552" t="s">
        <v>726</v>
      </c>
    </row>
    <row r="483" spans="1:46" ht="14.7" customHeight="1">
      <c r="A483" s="706"/>
      <c r="B483" s="556" t="s">
        <v>3697</v>
      </c>
      <c r="C483" s="539" t="s">
        <v>6869</v>
      </c>
      <c r="D483" s="539" t="s">
        <v>2783</v>
      </c>
      <c r="E483" s="539"/>
      <c r="F483" s="539"/>
      <c r="G483" s="539"/>
      <c r="H483" s="552"/>
      <c r="I483" s="552"/>
      <c r="J483" s="552"/>
      <c r="K483" s="552"/>
      <c r="L483" s="552"/>
      <c r="M483" s="552"/>
      <c r="N483" s="552"/>
      <c r="O483" s="552"/>
      <c r="P483" s="552"/>
      <c r="Q483" s="552"/>
      <c r="R483" s="552"/>
      <c r="S483" s="552"/>
      <c r="T483" s="552"/>
      <c r="U483" s="552"/>
      <c r="V483" s="552"/>
      <c r="W483" s="552"/>
      <c r="X483" s="552"/>
      <c r="Y483" s="552"/>
      <c r="Z483" s="552"/>
      <c r="AA483" s="552"/>
      <c r="AB483" s="552"/>
      <c r="AC483" s="552"/>
      <c r="AD483" s="552"/>
      <c r="AE483" s="552"/>
      <c r="AF483" s="552"/>
      <c r="AG483" s="552"/>
      <c r="AH483" s="552"/>
      <c r="AI483" s="552"/>
      <c r="AJ483" s="552"/>
      <c r="AK483" s="552"/>
      <c r="AL483" s="552"/>
      <c r="AM483" s="552"/>
      <c r="AN483" s="552"/>
      <c r="AO483" s="552"/>
      <c r="AP483" s="552"/>
      <c r="AQ483" s="552" t="s">
        <v>1186</v>
      </c>
      <c r="AR483" s="552" t="s">
        <v>2875</v>
      </c>
      <c r="AS483" s="552" t="s">
        <v>7484</v>
      </c>
      <c r="AT483" s="552" t="s">
        <v>726</v>
      </c>
    </row>
    <row r="484" spans="1:46" ht="14.7" customHeight="1">
      <c r="A484" s="710" t="s">
        <v>7527</v>
      </c>
      <c r="B484" s="557" t="s">
        <v>3698</v>
      </c>
      <c r="C484" s="539" t="s">
        <v>6869</v>
      </c>
      <c r="D484" s="709" t="s">
        <v>7528</v>
      </c>
      <c r="E484" s="552" t="s">
        <v>6925</v>
      </c>
      <c r="F484" s="552" t="s">
        <v>7363</v>
      </c>
      <c r="G484" s="552" t="s">
        <v>7515</v>
      </c>
      <c r="H484" s="552"/>
      <c r="I484" s="552"/>
      <c r="J484" s="709" t="s">
        <v>7529</v>
      </c>
      <c r="K484" s="709"/>
      <c r="L484" s="552"/>
      <c r="M484" s="552"/>
      <c r="N484" s="552"/>
      <c r="O484" s="552">
        <v>150</v>
      </c>
      <c r="P484" s="552"/>
      <c r="Q484" s="552"/>
      <c r="R484" s="552"/>
      <c r="S484" s="552"/>
      <c r="T484" s="552"/>
      <c r="U484" s="552"/>
      <c r="V484" s="552"/>
      <c r="W484" s="552"/>
      <c r="X484" s="552"/>
      <c r="Y484" s="552"/>
      <c r="Z484" s="552"/>
      <c r="AA484" s="552"/>
      <c r="AB484" s="552"/>
      <c r="AC484" s="552"/>
      <c r="AD484" s="552"/>
      <c r="AE484" s="552"/>
      <c r="AF484" s="552"/>
      <c r="AG484" s="552"/>
      <c r="AH484" s="552"/>
      <c r="AI484" s="552"/>
      <c r="AJ484" s="552"/>
      <c r="AK484" s="552"/>
      <c r="AL484" s="552"/>
      <c r="AM484" s="552"/>
      <c r="AN484" s="552"/>
      <c r="AO484" s="552"/>
      <c r="AP484" s="709" t="s">
        <v>7530</v>
      </c>
      <c r="AQ484" s="552" t="s">
        <v>1186</v>
      </c>
      <c r="AR484" s="552" t="s">
        <v>2998</v>
      </c>
      <c r="AS484" s="552" t="s">
        <v>7484</v>
      </c>
      <c r="AT484" s="552" t="s">
        <v>726</v>
      </c>
    </row>
    <row r="485" spans="1:46" ht="14.7" customHeight="1">
      <c r="A485" s="706" t="s">
        <v>6273</v>
      </c>
      <c r="B485" s="557" t="s">
        <v>3698</v>
      </c>
      <c r="C485" s="539" t="s">
        <v>6869</v>
      </c>
      <c r="D485" s="709" t="s">
        <v>7531</v>
      </c>
      <c r="E485" s="552" t="s">
        <v>6925</v>
      </c>
      <c r="F485" s="552" t="s">
        <v>7363</v>
      </c>
      <c r="G485" s="552" t="s">
        <v>7515</v>
      </c>
      <c r="H485" s="552"/>
      <c r="I485" s="552"/>
      <c r="J485" s="709" t="s">
        <v>7532</v>
      </c>
      <c r="K485" s="709"/>
      <c r="L485" s="709"/>
      <c r="M485" s="552"/>
      <c r="N485" s="552"/>
      <c r="O485" s="552"/>
      <c r="P485" s="552"/>
      <c r="Q485" s="552"/>
      <c r="R485" s="552"/>
      <c r="S485" s="552"/>
      <c r="T485" s="552"/>
      <c r="U485" s="552"/>
      <c r="V485" s="552"/>
      <c r="W485" s="552"/>
      <c r="X485" s="552"/>
      <c r="Y485" s="552"/>
      <c r="Z485" s="552"/>
      <c r="AA485" s="552"/>
      <c r="AB485" s="552"/>
      <c r="AC485" s="552"/>
      <c r="AD485" s="552"/>
      <c r="AE485" s="552"/>
      <c r="AF485" s="552"/>
      <c r="AG485" s="552"/>
      <c r="AH485" s="552"/>
      <c r="AI485" s="552"/>
      <c r="AJ485" s="552"/>
      <c r="AK485" s="552"/>
      <c r="AL485" s="552"/>
      <c r="AM485" s="552"/>
      <c r="AN485" s="552"/>
      <c r="AO485" s="709" t="s">
        <v>7533</v>
      </c>
      <c r="AP485" s="709"/>
      <c r="AQ485" s="552" t="s">
        <v>1186</v>
      </c>
      <c r="AR485" s="552" t="s">
        <v>2998</v>
      </c>
      <c r="AS485" s="552" t="s">
        <v>7484</v>
      </c>
      <c r="AT485" s="552" t="s">
        <v>726</v>
      </c>
    </row>
    <row r="486" spans="1:46" ht="14.7" customHeight="1">
      <c r="A486" s="710" t="s">
        <v>7534</v>
      </c>
      <c r="B486" s="557" t="s">
        <v>3698</v>
      </c>
      <c r="C486" s="539" t="s">
        <v>6869</v>
      </c>
      <c r="D486" s="709" t="s">
        <v>7535</v>
      </c>
      <c r="E486" s="552" t="s">
        <v>6925</v>
      </c>
      <c r="F486" s="552" t="s">
        <v>7363</v>
      </c>
      <c r="G486" s="552" t="s">
        <v>7515</v>
      </c>
      <c r="H486" s="552"/>
      <c r="I486" s="552"/>
      <c r="J486" s="552" t="s">
        <v>7536</v>
      </c>
      <c r="K486" s="552"/>
      <c r="L486" s="552"/>
      <c r="M486" s="552"/>
      <c r="N486" s="552"/>
      <c r="O486" s="552"/>
      <c r="P486" s="552"/>
      <c r="Q486" s="552"/>
      <c r="R486" s="552">
        <v>4</v>
      </c>
      <c r="S486" s="552"/>
      <c r="T486" s="552"/>
      <c r="U486" s="552"/>
      <c r="V486" s="552"/>
      <c r="W486" s="552"/>
      <c r="X486" s="552"/>
      <c r="Y486" s="552"/>
      <c r="Z486" s="552"/>
      <c r="AA486" s="552"/>
      <c r="AB486" s="552"/>
      <c r="AC486" s="552"/>
      <c r="AD486" s="552"/>
      <c r="AE486" s="552"/>
      <c r="AF486" s="552"/>
      <c r="AG486" s="552"/>
      <c r="AH486" s="552"/>
      <c r="AI486" s="552"/>
      <c r="AJ486" s="552"/>
      <c r="AK486" s="552"/>
      <c r="AL486" s="552"/>
      <c r="AM486" s="552"/>
      <c r="AN486" s="552"/>
      <c r="AO486" s="552"/>
      <c r="AP486" s="709" t="s">
        <v>7537</v>
      </c>
      <c r="AQ486" s="552" t="s">
        <v>1186</v>
      </c>
      <c r="AR486" s="552" t="s">
        <v>2998</v>
      </c>
      <c r="AS486" s="552" t="s">
        <v>7484</v>
      </c>
      <c r="AT486" s="552" t="s">
        <v>726</v>
      </c>
    </row>
    <row r="487" spans="1:46" ht="14.7" customHeight="1">
      <c r="A487" s="706"/>
      <c r="B487" s="557" t="s">
        <v>3698</v>
      </c>
      <c r="C487" s="539" t="s">
        <v>6869</v>
      </c>
      <c r="D487" s="539" t="s">
        <v>2783</v>
      </c>
      <c r="E487" s="539"/>
      <c r="F487" s="539"/>
      <c r="G487" s="539"/>
      <c r="H487" s="552"/>
      <c r="I487" s="552"/>
      <c r="J487" s="552"/>
      <c r="K487" s="552"/>
      <c r="L487" s="552"/>
      <c r="M487" s="552"/>
      <c r="N487" s="552"/>
      <c r="O487" s="552"/>
      <c r="P487" s="552"/>
      <c r="Q487" s="552"/>
      <c r="R487" s="552"/>
      <c r="S487" s="552"/>
      <c r="T487" s="552"/>
      <c r="U487" s="552"/>
      <c r="V487" s="552"/>
      <c r="W487" s="552"/>
      <c r="X487" s="552"/>
      <c r="Y487" s="552"/>
      <c r="Z487" s="552"/>
      <c r="AA487" s="552"/>
      <c r="AB487" s="552"/>
      <c r="AC487" s="552"/>
      <c r="AD487" s="552"/>
      <c r="AE487" s="552"/>
      <c r="AF487" s="552"/>
      <c r="AG487" s="552"/>
      <c r="AH487" s="552"/>
      <c r="AI487" s="552"/>
      <c r="AJ487" s="552"/>
      <c r="AK487" s="552"/>
      <c r="AL487" s="552"/>
      <c r="AM487" s="552"/>
      <c r="AN487" s="552"/>
      <c r="AO487" s="552"/>
      <c r="AP487" s="552"/>
      <c r="AQ487" s="552" t="s">
        <v>1186</v>
      </c>
      <c r="AR487" s="552" t="s">
        <v>2998</v>
      </c>
      <c r="AS487" s="552" t="s">
        <v>7484</v>
      </c>
      <c r="AT487" s="552" t="s">
        <v>726</v>
      </c>
    </row>
    <row r="488" spans="1:46" ht="14.7" customHeight="1">
      <c r="A488" s="710" t="s">
        <v>6274</v>
      </c>
      <c r="B488" s="344" t="s">
        <v>3699</v>
      </c>
      <c r="C488" s="539" t="s">
        <v>6869</v>
      </c>
      <c r="D488" s="709" t="s">
        <v>7538</v>
      </c>
      <c r="E488" s="552" t="s">
        <v>6925</v>
      </c>
      <c r="F488" s="552" t="s">
        <v>7363</v>
      </c>
      <c r="G488" s="552" t="s">
        <v>7515</v>
      </c>
      <c r="H488" s="552"/>
      <c r="I488" s="552"/>
      <c r="J488" s="713" t="s">
        <v>7539</v>
      </c>
      <c r="K488" s="552"/>
      <c r="L488" s="552"/>
      <c r="M488" s="552"/>
      <c r="N488" s="552"/>
      <c r="O488" s="552"/>
      <c r="P488" s="552"/>
      <c r="Q488" s="552"/>
      <c r="R488" s="552">
        <v>8</v>
      </c>
      <c r="S488" s="552"/>
      <c r="T488" s="552"/>
      <c r="U488" s="552"/>
      <c r="V488" s="552"/>
      <c r="W488" s="552"/>
      <c r="X488" s="552"/>
      <c r="Y488" s="552"/>
      <c r="Z488" s="552"/>
      <c r="AA488" s="552"/>
      <c r="AB488" s="552"/>
      <c r="AC488" s="552"/>
      <c r="AD488" s="552"/>
      <c r="AE488" s="552"/>
      <c r="AF488" s="552"/>
      <c r="AG488" s="552"/>
      <c r="AH488" s="552">
        <v>80</v>
      </c>
      <c r="AI488" s="552"/>
      <c r="AJ488" s="552"/>
      <c r="AK488" s="552"/>
      <c r="AL488" s="552"/>
      <c r="AM488" s="552"/>
      <c r="AN488" s="552"/>
      <c r="AO488" s="709" t="s">
        <v>7540</v>
      </c>
      <c r="AP488" s="709"/>
      <c r="AQ488" s="552" t="s">
        <v>1186</v>
      </c>
      <c r="AR488" s="552" t="s">
        <v>2809</v>
      </c>
      <c r="AS488" s="552" t="s">
        <v>7484</v>
      </c>
      <c r="AT488" s="552" t="s">
        <v>726</v>
      </c>
    </row>
    <row r="489" spans="1:46" ht="14.7" customHeight="1">
      <c r="A489" s="710" t="s">
        <v>6275</v>
      </c>
      <c r="B489" s="344" t="s">
        <v>3699</v>
      </c>
      <c r="C489" s="539" t="s">
        <v>6869</v>
      </c>
      <c r="D489" s="709" t="s">
        <v>7541</v>
      </c>
      <c r="E489" s="552" t="s">
        <v>6925</v>
      </c>
      <c r="F489" s="552" t="s">
        <v>7363</v>
      </c>
      <c r="G489" s="552" t="s">
        <v>7515</v>
      </c>
      <c r="H489" s="552"/>
      <c r="I489" s="552"/>
      <c r="J489" s="709" t="s">
        <v>7542</v>
      </c>
      <c r="K489" s="709"/>
      <c r="L489" s="709"/>
      <c r="M489" s="552"/>
      <c r="N489" s="552"/>
      <c r="O489" s="552"/>
      <c r="P489" s="552"/>
      <c r="Q489" s="552"/>
      <c r="R489" s="552"/>
      <c r="S489" s="552"/>
      <c r="T489" s="552"/>
      <c r="U489" s="552"/>
      <c r="V489" s="552"/>
      <c r="W489" s="552"/>
      <c r="X489" s="552"/>
      <c r="Y489" s="552"/>
      <c r="Z489" s="552"/>
      <c r="AA489" s="552"/>
      <c r="AB489" s="552"/>
      <c r="AC489" s="552"/>
      <c r="AD489" s="552"/>
      <c r="AE489" s="552"/>
      <c r="AF489" s="552"/>
      <c r="AG489" s="552"/>
      <c r="AH489" s="552"/>
      <c r="AI489" s="552"/>
      <c r="AJ489" s="552"/>
      <c r="AK489" s="552"/>
      <c r="AL489" s="552"/>
      <c r="AM489" s="552"/>
      <c r="AN489" s="552"/>
      <c r="AO489" s="552"/>
      <c r="AP489" s="709" t="s">
        <v>7543</v>
      </c>
      <c r="AQ489" s="552" t="s">
        <v>1186</v>
      </c>
      <c r="AR489" s="552" t="s">
        <v>2809</v>
      </c>
      <c r="AS489" s="552" t="s">
        <v>7484</v>
      </c>
      <c r="AT489" s="552" t="s">
        <v>726</v>
      </c>
    </row>
    <row r="490" spans="1:46" ht="14.7" customHeight="1">
      <c r="A490" s="710" t="s">
        <v>6276</v>
      </c>
      <c r="B490" s="344" t="s">
        <v>3699</v>
      </c>
      <c r="C490" s="539" t="s">
        <v>6869</v>
      </c>
      <c r="D490" s="709" t="s">
        <v>7544</v>
      </c>
      <c r="E490" s="552" t="s">
        <v>6925</v>
      </c>
      <c r="F490" s="552" t="s">
        <v>7363</v>
      </c>
      <c r="G490" s="552" t="s">
        <v>7515</v>
      </c>
      <c r="H490" s="552"/>
      <c r="I490" s="552"/>
      <c r="J490" s="709" t="s">
        <v>7545</v>
      </c>
      <c r="K490" s="709"/>
      <c r="L490" s="552"/>
      <c r="M490" s="552"/>
      <c r="N490" s="552"/>
      <c r="O490" s="552"/>
      <c r="P490" s="552"/>
      <c r="Q490" s="552"/>
      <c r="R490" s="552"/>
      <c r="S490" s="552"/>
      <c r="T490" s="552"/>
      <c r="U490" s="552"/>
      <c r="V490" s="552"/>
      <c r="W490" s="552"/>
      <c r="X490" s="552"/>
      <c r="Y490" s="552"/>
      <c r="Z490" s="552"/>
      <c r="AA490" s="552"/>
      <c r="AB490" s="552"/>
      <c r="AC490" s="552"/>
      <c r="AD490" s="552"/>
      <c r="AE490" s="552"/>
      <c r="AF490" s="552"/>
      <c r="AG490" s="552"/>
      <c r="AH490" s="552"/>
      <c r="AI490" s="552"/>
      <c r="AJ490" s="552"/>
      <c r="AK490" s="552"/>
      <c r="AL490" s="552"/>
      <c r="AM490" s="552"/>
      <c r="AN490" s="552"/>
      <c r="AO490" s="552"/>
      <c r="AP490" s="713" t="s">
        <v>7546</v>
      </c>
      <c r="AQ490" s="552" t="s">
        <v>1186</v>
      </c>
      <c r="AR490" s="552" t="s">
        <v>2809</v>
      </c>
      <c r="AS490" s="552" t="s">
        <v>7484</v>
      </c>
      <c r="AT490" s="552" t="s">
        <v>726</v>
      </c>
    </row>
    <row r="491" spans="1:46" ht="14.7" customHeight="1">
      <c r="A491" s="710" t="s">
        <v>6277</v>
      </c>
      <c r="B491" s="344" t="s">
        <v>3699</v>
      </c>
      <c r="C491" s="539" t="s">
        <v>6869</v>
      </c>
      <c r="D491" s="709" t="s">
        <v>7547</v>
      </c>
      <c r="E491" s="552" t="s">
        <v>6925</v>
      </c>
      <c r="F491" s="552" t="s">
        <v>7363</v>
      </c>
      <c r="G491" s="552" t="s">
        <v>7515</v>
      </c>
      <c r="H491" s="552"/>
      <c r="I491" s="552"/>
      <c r="J491" s="709" t="s">
        <v>7548</v>
      </c>
      <c r="K491" s="709"/>
      <c r="L491" s="709"/>
      <c r="M491" s="552"/>
      <c r="N491" s="552"/>
      <c r="O491" s="552"/>
      <c r="P491" s="552"/>
      <c r="Q491" s="552"/>
      <c r="R491" s="552">
        <v>5</v>
      </c>
      <c r="S491" s="552"/>
      <c r="T491" s="552"/>
      <c r="U491" s="552"/>
      <c r="V491" s="552"/>
      <c r="W491" s="552"/>
      <c r="X491" s="552"/>
      <c r="Y491" s="552"/>
      <c r="Z491" s="552"/>
      <c r="AA491" s="552"/>
      <c r="AB491" s="552"/>
      <c r="AC491" s="552"/>
      <c r="AD491" s="552"/>
      <c r="AE491" s="552"/>
      <c r="AF491" s="552"/>
      <c r="AG491" s="552"/>
      <c r="AH491" s="552"/>
      <c r="AI491" s="552"/>
      <c r="AJ491" s="552"/>
      <c r="AK491" s="552"/>
      <c r="AL491" s="552"/>
      <c r="AM491" s="552"/>
      <c r="AN491" s="552"/>
      <c r="AO491" s="552"/>
      <c r="AP491" s="709" t="s">
        <v>7549</v>
      </c>
      <c r="AQ491" s="552" t="s">
        <v>1186</v>
      </c>
      <c r="AR491" s="552" t="s">
        <v>2809</v>
      </c>
      <c r="AS491" s="552" t="s">
        <v>7484</v>
      </c>
      <c r="AT491" s="552" t="s">
        <v>726</v>
      </c>
    </row>
    <row r="492" spans="1:46" ht="14.7" customHeight="1">
      <c r="A492" s="706"/>
      <c r="B492" s="344" t="s">
        <v>3699</v>
      </c>
      <c r="C492" s="539" t="s">
        <v>6869</v>
      </c>
      <c r="D492" s="539" t="s">
        <v>2783</v>
      </c>
      <c r="E492" s="539"/>
      <c r="F492" s="539"/>
      <c r="G492" s="539"/>
      <c r="H492" s="552"/>
      <c r="I492" s="552"/>
      <c r="J492" s="552"/>
      <c r="K492" s="552"/>
      <c r="L492" s="552"/>
      <c r="M492" s="552"/>
      <c r="N492" s="552"/>
      <c r="O492" s="552"/>
      <c r="P492" s="552"/>
      <c r="Q492" s="552"/>
      <c r="R492" s="552"/>
      <c r="S492" s="552"/>
      <c r="T492" s="552"/>
      <c r="U492" s="552"/>
      <c r="V492" s="552"/>
      <c r="W492" s="552"/>
      <c r="X492" s="552"/>
      <c r="Y492" s="552"/>
      <c r="Z492" s="552"/>
      <c r="AA492" s="552"/>
      <c r="AB492" s="552"/>
      <c r="AC492" s="552"/>
      <c r="AD492" s="552"/>
      <c r="AE492" s="552"/>
      <c r="AF492" s="552"/>
      <c r="AG492" s="552"/>
      <c r="AH492" s="552"/>
      <c r="AI492" s="552"/>
      <c r="AJ492" s="552"/>
      <c r="AK492" s="552"/>
      <c r="AL492" s="552"/>
      <c r="AM492" s="552"/>
      <c r="AN492" s="552"/>
      <c r="AO492" s="552"/>
      <c r="AP492" s="552"/>
      <c r="AQ492" s="552" t="s">
        <v>1186</v>
      </c>
      <c r="AR492" s="552" t="s">
        <v>2809</v>
      </c>
      <c r="AS492" s="552" t="s">
        <v>7484</v>
      </c>
      <c r="AT492" s="552" t="s">
        <v>726</v>
      </c>
    </row>
    <row r="493" spans="1:46" ht="14.7" customHeight="1">
      <c r="A493" s="710" t="s">
        <v>6278</v>
      </c>
      <c r="B493" s="559" t="s">
        <v>3700</v>
      </c>
      <c r="C493" s="539" t="s">
        <v>6869</v>
      </c>
      <c r="D493" s="709" t="s">
        <v>7550</v>
      </c>
      <c r="E493" s="552" t="s">
        <v>6925</v>
      </c>
      <c r="F493" s="552" t="s">
        <v>7363</v>
      </c>
      <c r="G493" s="552" t="s">
        <v>7515</v>
      </c>
      <c r="H493" s="552"/>
      <c r="I493" s="552"/>
      <c r="J493" s="709" t="s">
        <v>7447</v>
      </c>
      <c r="K493" s="709"/>
      <c r="L493" s="552"/>
      <c r="M493" s="552"/>
      <c r="N493" s="552"/>
      <c r="O493" s="552">
        <v>100</v>
      </c>
      <c r="P493" s="552"/>
      <c r="Q493" s="552"/>
      <c r="R493" s="552"/>
      <c r="S493" s="552"/>
      <c r="T493" s="552"/>
      <c r="U493" s="552"/>
      <c r="V493" s="552"/>
      <c r="W493" s="552"/>
      <c r="X493" s="552"/>
      <c r="Y493" s="552"/>
      <c r="Z493" s="552"/>
      <c r="AA493" s="552"/>
      <c r="AB493" s="552"/>
      <c r="AC493" s="552"/>
      <c r="AD493" s="552"/>
      <c r="AE493" s="552"/>
      <c r="AF493" s="552"/>
      <c r="AG493" s="552"/>
      <c r="AH493" s="552"/>
      <c r="AI493" s="552"/>
      <c r="AJ493" s="552"/>
      <c r="AK493" s="552"/>
      <c r="AL493" s="552"/>
      <c r="AM493" s="552"/>
      <c r="AN493" s="552"/>
      <c r="AO493" s="552"/>
      <c r="AP493" s="709" t="s">
        <v>7551</v>
      </c>
      <c r="AQ493" s="552" t="s">
        <v>1186</v>
      </c>
      <c r="AR493" s="552" t="s">
        <v>2971</v>
      </c>
      <c r="AS493" s="552" t="s">
        <v>7484</v>
      </c>
      <c r="AT493" s="552" t="s">
        <v>726</v>
      </c>
    </row>
    <row r="494" spans="1:46" ht="14.7" customHeight="1">
      <c r="A494" s="706"/>
      <c r="B494" s="559" t="s">
        <v>3700</v>
      </c>
      <c r="C494" s="539" t="s">
        <v>6869</v>
      </c>
      <c r="D494" s="539" t="s">
        <v>2783</v>
      </c>
      <c r="E494" s="539"/>
      <c r="F494" s="539"/>
      <c r="G494" s="539"/>
      <c r="H494" s="552"/>
      <c r="I494" s="552"/>
      <c r="J494" s="552"/>
      <c r="K494" s="552"/>
      <c r="L494" s="552"/>
      <c r="M494" s="552"/>
      <c r="N494" s="552"/>
      <c r="O494" s="552"/>
      <c r="P494" s="552"/>
      <c r="Q494" s="552"/>
      <c r="R494" s="552"/>
      <c r="S494" s="552"/>
      <c r="T494" s="552"/>
      <c r="U494" s="552"/>
      <c r="V494" s="552"/>
      <c r="W494" s="552"/>
      <c r="X494" s="552"/>
      <c r="Y494" s="552"/>
      <c r="Z494" s="552"/>
      <c r="AA494" s="552"/>
      <c r="AB494" s="552"/>
      <c r="AC494" s="552"/>
      <c r="AD494" s="552"/>
      <c r="AE494" s="552"/>
      <c r="AF494" s="552"/>
      <c r="AG494" s="552"/>
      <c r="AH494" s="552"/>
      <c r="AI494" s="552"/>
      <c r="AJ494" s="552"/>
      <c r="AK494" s="552"/>
      <c r="AL494" s="552"/>
      <c r="AM494" s="552"/>
      <c r="AN494" s="552"/>
      <c r="AO494" s="552"/>
      <c r="AP494" s="552"/>
      <c r="AQ494" s="552" t="s">
        <v>1186</v>
      </c>
      <c r="AR494" s="552" t="s">
        <v>2971</v>
      </c>
      <c r="AS494" s="552" t="s">
        <v>7484</v>
      </c>
      <c r="AT494" s="552" t="s">
        <v>726</v>
      </c>
    </row>
    <row r="495" spans="1:46" ht="14.7" customHeight="1">
      <c r="A495" s="706"/>
      <c r="B495" s="711" t="s">
        <v>6055</v>
      </c>
      <c r="C495" s="539" t="s">
        <v>6869</v>
      </c>
      <c r="D495" s="539"/>
      <c r="E495" s="552"/>
      <c r="F495" s="552"/>
      <c r="G495" s="552"/>
      <c r="H495" s="552"/>
      <c r="I495" s="552"/>
      <c r="J495" s="552"/>
      <c r="K495" s="552"/>
      <c r="L495" s="552"/>
      <c r="M495" s="552"/>
      <c r="N495" s="552"/>
      <c r="O495" s="552"/>
      <c r="P495" s="552"/>
      <c r="Q495" s="552"/>
      <c r="R495" s="552"/>
      <c r="S495" s="552"/>
      <c r="T495" s="552"/>
      <c r="U495" s="552"/>
      <c r="V495" s="552"/>
      <c r="W495" s="552"/>
      <c r="X495" s="552"/>
      <c r="Y495" s="552"/>
      <c r="Z495" s="552"/>
      <c r="AA495" s="552"/>
      <c r="AB495" s="552"/>
      <c r="AC495" s="552"/>
      <c r="AD495" s="552"/>
      <c r="AE495" s="552"/>
      <c r="AF495" s="552"/>
      <c r="AG495" s="552"/>
      <c r="AH495" s="552"/>
      <c r="AI495" s="552"/>
      <c r="AJ495" s="552"/>
      <c r="AK495" s="552"/>
      <c r="AL495" s="552"/>
      <c r="AM495" s="552"/>
      <c r="AN495" s="552"/>
      <c r="AO495" s="552"/>
      <c r="AP495" s="552"/>
      <c r="AQ495" s="552" t="s">
        <v>1186</v>
      </c>
      <c r="AR495" s="552" t="s">
        <v>6697</v>
      </c>
      <c r="AS495" s="552" t="s">
        <v>7484</v>
      </c>
      <c r="AT495" s="552" t="s">
        <v>726</v>
      </c>
    </row>
    <row r="496" spans="1:46" ht="14.7" customHeight="1">
      <c r="A496" s="706" t="s">
        <v>6279</v>
      </c>
      <c r="B496" s="540" t="s">
        <v>3695</v>
      </c>
      <c r="C496" s="539" t="s">
        <v>6869</v>
      </c>
      <c r="D496" s="709" t="s">
        <v>7552</v>
      </c>
      <c r="E496" s="552" t="s">
        <v>6871</v>
      </c>
      <c r="F496" s="552" t="s">
        <v>7363</v>
      </c>
      <c r="G496" s="552" t="s">
        <v>7553</v>
      </c>
      <c r="H496" s="552"/>
      <c r="I496" s="552"/>
      <c r="J496" s="709" t="s">
        <v>7554</v>
      </c>
      <c r="K496" s="709"/>
      <c r="L496" s="552"/>
      <c r="M496" s="552"/>
      <c r="N496" s="552"/>
      <c r="O496" s="552"/>
      <c r="P496" s="552"/>
      <c r="Q496" s="552"/>
      <c r="R496" s="552">
        <v>1</v>
      </c>
      <c r="S496" s="552"/>
      <c r="T496" s="552"/>
      <c r="U496" s="552"/>
      <c r="V496" s="552"/>
      <c r="W496" s="552"/>
      <c r="X496" s="552"/>
      <c r="Y496" s="552"/>
      <c r="Z496" s="552"/>
      <c r="AA496" s="552"/>
      <c r="AB496" s="552"/>
      <c r="AC496" s="552"/>
      <c r="AD496" s="552"/>
      <c r="AE496" s="552"/>
      <c r="AF496" s="552"/>
      <c r="AG496" s="552"/>
      <c r="AH496" s="552"/>
      <c r="AI496" s="552"/>
      <c r="AJ496" s="552"/>
      <c r="AK496" s="552"/>
      <c r="AL496" s="552"/>
      <c r="AM496" s="552"/>
      <c r="AN496" s="552"/>
      <c r="AO496" s="552"/>
      <c r="AP496" s="552"/>
      <c r="AQ496" s="552" t="s">
        <v>1186</v>
      </c>
      <c r="AR496" s="552" t="s">
        <v>2802</v>
      </c>
      <c r="AS496" s="552" t="s">
        <v>7484</v>
      </c>
      <c r="AT496" s="552" t="s">
        <v>726</v>
      </c>
    </row>
    <row r="497" spans="1:46" ht="14.7" customHeight="1">
      <c r="A497" s="710" t="s">
        <v>6280</v>
      </c>
      <c r="B497" s="540" t="s">
        <v>3695</v>
      </c>
      <c r="C497" s="539" t="s">
        <v>6869</v>
      </c>
      <c r="D497" s="709" t="s">
        <v>7555</v>
      </c>
      <c r="E497" s="552" t="s">
        <v>6871</v>
      </c>
      <c r="F497" s="552" t="s">
        <v>7363</v>
      </c>
      <c r="G497" s="552" t="s">
        <v>7553</v>
      </c>
      <c r="H497" s="552"/>
      <c r="I497" s="552"/>
      <c r="J497" s="709" t="s">
        <v>7554</v>
      </c>
      <c r="K497" s="709"/>
      <c r="L497" s="552"/>
      <c r="M497" s="552"/>
      <c r="N497" s="552"/>
      <c r="O497" s="552"/>
      <c r="P497" s="552"/>
      <c r="Q497" s="552"/>
      <c r="R497" s="552"/>
      <c r="S497" s="552"/>
      <c r="T497" s="552"/>
      <c r="U497" s="552"/>
      <c r="V497" s="552"/>
      <c r="W497" s="552"/>
      <c r="X497" s="552"/>
      <c r="Y497" s="552"/>
      <c r="Z497" s="552"/>
      <c r="AA497" s="552"/>
      <c r="AB497" s="552"/>
      <c r="AC497" s="552"/>
      <c r="AD497" s="552"/>
      <c r="AE497" s="552"/>
      <c r="AF497" s="552"/>
      <c r="AG497" s="552"/>
      <c r="AH497" s="552"/>
      <c r="AI497" s="552"/>
      <c r="AJ497" s="552"/>
      <c r="AK497" s="552"/>
      <c r="AL497" s="552"/>
      <c r="AM497" s="552"/>
      <c r="AN497" s="552"/>
      <c r="AO497" s="709" t="s">
        <v>7556</v>
      </c>
      <c r="AP497" s="709"/>
      <c r="AQ497" s="552" t="s">
        <v>1186</v>
      </c>
      <c r="AR497" s="552" t="s">
        <v>2802</v>
      </c>
      <c r="AS497" s="552" t="s">
        <v>7484</v>
      </c>
      <c r="AT497" s="552" t="s">
        <v>726</v>
      </c>
    </row>
    <row r="498" spans="1:46" ht="14.7" customHeight="1">
      <c r="A498" s="710" t="s">
        <v>6281</v>
      </c>
      <c r="B498" s="707" t="s">
        <v>3696</v>
      </c>
      <c r="C498" s="539" t="s">
        <v>6869</v>
      </c>
      <c r="D498" s="709" t="s">
        <v>7557</v>
      </c>
      <c r="E498" s="552" t="s">
        <v>6871</v>
      </c>
      <c r="F498" s="552" t="s">
        <v>7363</v>
      </c>
      <c r="G498" s="552" t="s">
        <v>7553</v>
      </c>
      <c r="H498" s="552"/>
      <c r="I498" s="552"/>
      <c r="J498" s="709" t="s">
        <v>7381</v>
      </c>
      <c r="K498" s="709"/>
      <c r="L498" s="552"/>
      <c r="M498" s="552"/>
      <c r="N498" s="552"/>
      <c r="O498" s="552"/>
      <c r="P498" s="552"/>
      <c r="Q498" s="552"/>
      <c r="R498" s="552"/>
      <c r="S498" s="552"/>
      <c r="T498" s="552"/>
      <c r="U498" s="552"/>
      <c r="V498" s="552"/>
      <c r="W498" s="552"/>
      <c r="X498" s="552"/>
      <c r="Y498" s="552"/>
      <c r="Z498" s="552"/>
      <c r="AA498" s="552"/>
      <c r="AB498" s="552"/>
      <c r="AC498" s="552"/>
      <c r="AD498" s="552"/>
      <c r="AE498" s="552"/>
      <c r="AF498" s="552"/>
      <c r="AG498" s="552"/>
      <c r="AH498" s="552"/>
      <c r="AI498" s="552"/>
      <c r="AJ498" s="552"/>
      <c r="AK498" s="552"/>
      <c r="AL498" s="552"/>
      <c r="AM498" s="552"/>
      <c r="AN498" s="552"/>
      <c r="AO498" s="709" t="s">
        <v>7558</v>
      </c>
      <c r="AP498" s="709"/>
      <c r="AQ498" s="552" t="s">
        <v>1186</v>
      </c>
      <c r="AR498" s="552" t="s">
        <v>2805</v>
      </c>
      <c r="AS498" s="552" t="s">
        <v>7484</v>
      </c>
      <c r="AT498" s="552" t="s">
        <v>726</v>
      </c>
    </row>
    <row r="499" spans="1:46" ht="14.7" customHeight="1">
      <c r="A499" s="706"/>
      <c r="B499" s="707" t="s">
        <v>3696</v>
      </c>
      <c r="C499" s="539" t="s">
        <v>6869</v>
      </c>
      <c r="D499" s="539" t="s">
        <v>2783</v>
      </c>
      <c r="E499" s="539"/>
      <c r="F499" s="539"/>
      <c r="G499" s="539"/>
      <c r="H499" s="552"/>
      <c r="I499" s="552"/>
      <c r="J499" s="552"/>
      <c r="K499" s="552"/>
      <c r="L499" s="552"/>
      <c r="M499" s="552"/>
      <c r="N499" s="552"/>
      <c r="O499" s="552"/>
      <c r="P499" s="552"/>
      <c r="Q499" s="552"/>
      <c r="R499" s="552"/>
      <c r="S499" s="552"/>
      <c r="T499" s="552"/>
      <c r="U499" s="552"/>
      <c r="V499" s="552"/>
      <c r="W499" s="552"/>
      <c r="X499" s="552"/>
      <c r="Y499" s="552"/>
      <c r="Z499" s="552"/>
      <c r="AA499" s="552"/>
      <c r="AB499" s="552"/>
      <c r="AC499" s="552"/>
      <c r="AD499" s="552"/>
      <c r="AE499" s="552"/>
      <c r="AF499" s="552"/>
      <c r="AG499" s="552"/>
      <c r="AH499" s="552"/>
      <c r="AI499" s="552"/>
      <c r="AJ499" s="552"/>
      <c r="AK499" s="552"/>
      <c r="AL499" s="552"/>
      <c r="AM499" s="552"/>
      <c r="AN499" s="552"/>
      <c r="AO499" s="552"/>
      <c r="AP499" s="552"/>
      <c r="AQ499" s="552" t="s">
        <v>1186</v>
      </c>
      <c r="AR499" s="552" t="s">
        <v>2805</v>
      </c>
      <c r="AS499" s="552" t="s">
        <v>7484</v>
      </c>
      <c r="AT499" s="552" t="s">
        <v>726</v>
      </c>
    </row>
    <row r="500" spans="1:46" ht="14.7" customHeight="1">
      <c r="A500" s="706" t="s">
        <v>6282</v>
      </c>
      <c r="B500" s="556" t="s">
        <v>3697</v>
      </c>
      <c r="C500" s="539" t="s">
        <v>6869</v>
      </c>
      <c r="D500" s="709" t="s">
        <v>7559</v>
      </c>
      <c r="E500" s="552" t="s">
        <v>6871</v>
      </c>
      <c r="F500" s="552" t="s">
        <v>7363</v>
      </c>
      <c r="G500" s="552" t="s">
        <v>7553</v>
      </c>
      <c r="H500" s="552"/>
      <c r="I500" s="552"/>
      <c r="J500" s="709" t="s">
        <v>7560</v>
      </c>
      <c r="K500" s="709"/>
      <c r="L500" s="709"/>
      <c r="M500" s="552"/>
      <c r="N500" s="552"/>
      <c r="O500" s="552">
        <v>20</v>
      </c>
      <c r="P500" s="552"/>
      <c r="Q500" s="552"/>
      <c r="R500" s="552">
        <v>2</v>
      </c>
      <c r="S500" s="552"/>
      <c r="T500" s="552"/>
      <c r="U500" s="552"/>
      <c r="V500" s="552"/>
      <c r="W500" s="552"/>
      <c r="X500" s="552"/>
      <c r="Y500" s="552"/>
      <c r="Z500" s="552"/>
      <c r="AA500" s="552"/>
      <c r="AB500" s="552"/>
      <c r="AC500" s="552"/>
      <c r="AD500" s="552"/>
      <c r="AE500" s="552"/>
      <c r="AF500" s="552"/>
      <c r="AG500" s="552"/>
      <c r="AH500" s="552"/>
      <c r="AI500" s="552"/>
      <c r="AJ500" s="552"/>
      <c r="AK500" s="552"/>
      <c r="AL500" s="552"/>
      <c r="AM500" s="552"/>
      <c r="AN500" s="552"/>
      <c r="AO500" s="552"/>
      <c r="AP500" s="552"/>
      <c r="AQ500" s="552" t="s">
        <v>1186</v>
      </c>
      <c r="AR500" s="552" t="s">
        <v>2875</v>
      </c>
      <c r="AS500" s="552" t="s">
        <v>7484</v>
      </c>
      <c r="AT500" s="552" t="s">
        <v>726</v>
      </c>
    </row>
    <row r="501" spans="1:46" ht="14.7" customHeight="1">
      <c r="A501" s="706" t="s">
        <v>6283</v>
      </c>
      <c r="B501" s="556" t="s">
        <v>3697</v>
      </c>
      <c r="C501" s="539" t="s">
        <v>6869</v>
      </c>
      <c r="D501" s="709" t="s">
        <v>7561</v>
      </c>
      <c r="E501" s="552" t="s">
        <v>6871</v>
      </c>
      <c r="F501" s="552" t="s">
        <v>7363</v>
      </c>
      <c r="G501" s="552" t="s">
        <v>7553</v>
      </c>
      <c r="H501" s="552"/>
      <c r="I501" s="552"/>
      <c r="J501" s="709" t="s">
        <v>7562</v>
      </c>
      <c r="K501" s="709"/>
      <c r="L501" s="552"/>
      <c r="M501" s="552"/>
      <c r="N501" s="552"/>
      <c r="O501" s="552"/>
      <c r="P501" s="552"/>
      <c r="Q501" s="552"/>
      <c r="R501" s="552">
        <v>2</v>
      </c>
      <c r="S501" s="552"/>
      <c r="T501" s="552"/>
      <c r="U501" s="552"/>
      <c r="V501" s="552"/>
      <c r="W501" s="552"/>
      <c r="X501" s="552"/>
      <c r="Y501" s="552"/>
      <c r="Z501" s="552"/>
      <c r="AA501" s="552"/>
      <c r="AB501" s="552"/>
      <c r="AC501" s="552"/>
      <c r="AD501" s="552"/>
      <c r="AE501" s="552"/>
      <c r="AF501" s="552"/>
      <c r="AG501" s="552"/>
      <c r="AH501" s="552"/>
      <c r="AI501" s="552"/>
      <c r="AJ501" s="552"/>
      <c r="AK501" s="552"/>
      <c r="AL501" s="552"/>
      <c r="AM501" s="552"/>
      <c r="AN501" s="552"/>
      <c r="AO501" s="552"/>
      <c r="AP501" s="552"/>
      <c r="AQ501" s="552" t="s">
        <v>1186</v>
      </c>
      <c r="AR501" s="552" t="s">
        <v>2875</v>
      </c>
      <c r="AS501" s="552" t="s">
        <v>7484</v>
      </c>
      <c r="AT501" s="552" t="s">
        <v>726</v>
      </c>
    </row>
    <row r="502" spans="1:46" ht="14.7" customHeight="1">
      <c r="A502" s="706"/>
      <c r="B502" s="556" t="s">
        <v>3697</v>
      </c>
      <c r="C502" s="539" t="s">
        <v>6869</v>
      </c>
      <c r="D502" s="539" t="s">
        <v>2783</v>
      </c>
      <c r="E502" s="539"/>
      <c r="F502" s="539"/>
      <c r="G502" s="539"/>
      <c r="H502" s="552"/>
      <c r="I502" s="552"/>
      <c r="J502" s="552"/>
      <c r="K502" s="552"/>
      <c r="L502" s="552"/>
      <c r="M502" s="552"/>
      <c r="N502" s="552"/>
      <c r="O502" s="552"/>
      <c r="P502" s="552"/>
      <c r="Q502" s="552"/>
      <c r="R502" s="552"/>
      <c r="S502" s="552"/>
      <c r="T502" s="552"/>
      <c r="U502" s="552"/>
      <c r="V502" s="552"/>
      <c r="W502" s="552"/>
      <c r="X502" s="552"/>
      <c r="Y502" s="552"/>
      <c r="Z502" s="552"/>
      <c r="AA502" s="552"/>
      <c r="AB502" s="552"/>
      <c r="AC502" s="552"/>
      <c r="AD502" s="552"/>
      <c r="AE502" s="552"/>
      <c r="AF502" s="552"/>
      <c r="AG502" s="552"/>
      <c r="AH502" s="552"/>
      <c r="AI502" s="552"/>
      <c r="AJ502" s="552"/>
      <c r="AK502" s="552"/>
      <c r="AL502" s="552"/>
      <c r="AM502" s="552"/>
      <c r="AN502" s="552"/>
      <c r="AO502" s="552"/>
      <c r="AP502" s="552"/>
      <c r="AQ502" s="552" t="s">
        <v>1186</v>
      </c>
      <c r="AR502" s="552" t="s">
        <v>2875</v>
      </c>
      <c r="AS502" s="552" t="s">
        <v>7484</v>
      </c>
      <c r="AT502" s="552" t="s">
        <v>726</v>
      </c>
    </row>
    <row r="503" spans="1:46" ht="14.7" customHeight="1">
      <c r="A503" s="710" t="s">
        <v>7563</v>
      </c>
      <c r="B503" s="557" t="s">
        <v>3698</v>
      </c>
      <c r="C503" s="539" t="s">
        <v>6869</v>
      </c>
      <c r="D503" s="709" t="s">
        <v>7564</v>
      </c>
      <c r="E503" s="552" t="s">
        <v>6871</v>
      </c>
      <c r="F503" s="552" t="s">
        <v>7363</v>
      </c>
      <c r="G503" s="552" t="s">
        <v>7553</v>
      </c>
      <c r="H503" s="552"/>
      <c r="I503" s="552"/>
      <c r="J503" s="709" t="s">
        <v>7565</v>
      </c>
      <c r="K503" s="709"/>
      <c r="L503" s="709"/>
      <c r="M503" s="552"/>
      <c r="N503" s="552"/>
      <c r="O503" s="552"/>
      <c r="P503" s="552"/>
      <c r="Q503" s="552"/>
      <c r="R503" s="552"/>
      <c r="S503" s="552"/>
      <c r="T503" s="552"/>
      <c r="U503" s="552"/>
      <c r="V503" s="552"/>
      <c r="W503" s="552"/>
      <c r="X503" s="552"/>
      <c r="Y503" s="552"/>
      <c r="Z503" s="552"/>
      <c r="AA503" s="552"/>
      <c r="AB503" s="552"/>
      <c r="AC503" s="552"/>
      <c r="AD503" s="552"/>
      <c r="AE503" s="552"/>
      <c r="AF503" s="552"/>
      <c r="AG503" s="552"/>
      <c r="AH503" s="552"/>
      <c r="AI503" s="552"/>
      <c r="AJ503" s="552"/>
      <c r="AK503" s="552"/>
      <c r="AL503" s="552"/>
      <c r="AM503" s="552"/>
      <c r="AN503" s="552"/>
      <c r="AO503" s="552"/>
      <c r="AP503" s="709" t="s">
        <v>7566</v>
      </c>
      <c r="AQ503" s="552" t="s">
        <v>1186</v>
      </c>
      <c r="AR503" s="552" t="s">
        <v>2998</v>
      </c>
      <c r="AS503" s="552" t="s">
        <v>7484</v>
      </c>
      <c r="AT503" s="552" t="s">
        <v>726</v>
      </c>
    </row>
    <row r="504" spans="1:46" ht="14.7" customHeight="1">
      <c r="A504" s="706"/>
      <c r="B504" s="557" t="s">
        <v>3698</v>
      </c>
      <c r="C504" s="539" t="s">
        <v>6869</v>
      </c>
      <c r="D504" s="539" t="s">
        <v>2783</v>
      </c>
      <c r="E504" s="539"/>
      <c r="F504" s="539"/>
      <c r="G504" s="539"/>
      <c r="H504" s="552"/>
      <c r="I504" s="552"/>
      <c r="J504" s="552"/>
      <c r="K504" s="552"/>
      <c r="L504" s="552"/>
      <c r="M504" s="552"/>
      <c r="N504" s="552"/>
      <c r="O504" s="552"/>
      <c r="P504" s="552"/>
      <c r="Q504" s="552"/>
      <c r="R504" s="552"/>
      <c r="S504" s="552"/>
      <c r="T504" s="552"/>
      <c r="U504" s="552"/>
      <c r="V504" s="552"/>
      <c r="W504" s="552"/>
      <c r="X504" s="552"/>
      <c r="Y504" s="552"/>
      <c r="Z504" s="552"/>
      <c r="AA504" s="552"/>
      <c r="AB504" s="552"/>
      <c r="AC504" s="552"/>
      <c r="AD504" s="552"/>
      <c r="AE504" s="552"/>
      <c r="AF504" s="552"/>
      <c r="AG504" s="552"/>
      <c r="AH504" s="552"/>
      <c r="AI504" s="552"/>
      <c r="AJ504" s="552"/>
      <c r="AK504" s="552"/>
      <c r="AL504" s="552"/>
      <c r="AM504" s="552"/>
      <c r="AN504" s="552"/>
      <c r="AO504" s="552"/>
      <c r="AP504" s="552"/>
      <c r="AQ504" s="552" t="s">
        <v>1186</v>
      </c>
      <c r="AR504" s="552" t="s">
        <v>2998</v>
      </c>
      <c r="AS504" s="552" t="s">
        <v>7484</v>
      </c>
      <c r="AT504" s="552" t="s">
        <v>726</v>
      </c>
    </row>
    <row r="505" spans="1:46" ht="14.7" customHeight="1">
      <c r="A505" s="706"/>
      <c r="B505" s="557" t="s">
        <v>3698</v>
      </c>
      <c r="C505" s="539" t="s">
        <v>6869</v>
      </c>
      <c r="D505" s="539" t="s">
        <v>2783</v>
      </c>
      <c r="E505" s="539"/>
      <c r="F505" s="539"/>
      <c r="G505" s="539"/>
      <c r="H505" s="552"/>
      <c r="I505" s="552"/>
      <c r="J505" s="552"/>
      <c r="K505" s="552"/>
      <c r="L505" s="552"/>
      <c r="M505" s="552"/>
      <c r="N505" s="552"/>
      <c r="O505" s="552"/>
      <c r="P505" s="552"/>
      <c r="Q505" s="552"/>
      <c r="R505" s="552"/>
      <c r="S505" s="552"/>
      <c r="T505" s="552"/>
      <c r="U505" s="552"/>
      <c r="V505" s="552"/>
      <c r="W505" s="552"/>
      <c r="X505" s="552"/>
      <c r="Y505" s="552"/>
      <c r="Z505" s="552"/>
      <c r="AA505" s="552"/>
      <c r="AB505" s="552"/>
      <c r="AC505" s="552"/>
      <c r="AD505" s="552"/>
      <c r="AE505" s="552"/>
      <c r="AF505" s="552"/>
      <c r="AG505" s="552"/>
      <c r="AH505" s="552"/>
      <c r="AI505" s="552"/>
      <c r="AJ505" s="552"/>
      <c r="AK505" s="552"/>
      <c r="AL505" s="552"/>
      <c r="AM505" s="552"/>
      <c r="AN505" s="552"/>
      <c r="AO505" s="552"/>
      <c r="AP505" s="552"/>
      <c r="AQ505" s="552" t="s">
        <v>1186</v>
      </c>
      <c r="AR505" s="552" t="s">
        <v>2998</v>
      </c>
      <c r="AS505" s="552" t="s">
        <v>7484</v>
      </c>
      <c r="AT505" s="552" t="s">
        <v>726</v>
      </c>
    </row>
    <row r="506" spans="1:46" ht="14.7" customHeight="1">
      <c r="A506" s="706"/>
      <c r="B506" s="557" t="s">
        <v>3698</v>
      </c>
      <c r="C506" s="539" t="s">
        <v>6869</v>
      </c>
      <c r="D506" s="539" t="s">
        <v>2783</v>
      </c>
      <c r="E506" s="539"/>
      <c r="F506" s="539"/>
      <c r="G506" s="539"/>
      <c r="H506" s="552"/>
      <c r="I506" s="552"/>
      <c r="J506" s="552"/>
      <c r="K506" s="552"/>
      <c r="L506" s="552"/>
      <c r="M506" s="552"/>
      <c r="N506" s="552"/>
      <c r="O506" s="552"/>
      <c r="P506" s="552"/>
      <c r="Q506" s="552"/>
      <c r="R506" s="552"/>
      <c r="S506" s="552"/>
      <c r="T506" s="552"/>
      <c r="U506" s="552"/>
      <c r="V506" s="552"/>
      <c r="W506" s="552"/>
      <c r="X506" s="552"/>
      <c r="Y506" s="552"/>
      <c r="Z506" s="552"/>
      <c r="AA506" s="552"/>
      <c r="AB506" s="552"/>
      <c r="AC506" s="552"/>
      <c r="AD506" s="552"/>
      <c r="AE506" s="552"/>
      <c r="AF506" s="552"/>
      <c r="AG506" s="552"/>
      <c r="AH506" s="552"/>
      <c r="AI506" s="552"/>
      <c r="AJ506" s="552"/>
      <c r="AK506" s="552"/>
      <c r="AL506" s="552"/>
      <c r="AM506" s="552"/>
      <c r="AN506" s="552"/>
      <c r="AO506" s="552"/>
      <c r="AP506" s="552"/>
      <c r="AQ506" s="552" t="s">
        <v>1186</v>
      </c>
      <c r="AR506" s="552" t="s">
        <v>2998</v>
      </c>
      <c r="AS506" s="552" t="s">
        <v>7484</v>
      </c>
      <c r="AT506" s="552" t="s">
        <v>726</v>
      </c>
    </row>
    <row r="507" spans="1:46" ht="14.7" customHeight="1">
      <c r="A507" s="706" t="s">
        <v>6284</v>
      </c>
      <c r="B507" s="344" t="s">
        <v>3699</v>
      </c>
      <c r="C507" s="539" t="s">
        <v>6869</v>
      </c>
      <c r="D507" s="709" t="s">
        <v>7567</v>
      </c>
      <c r="E507" s="552" t="s">
        <v>6871</v>
      </c>
      <c r="F507" s="552" t="s">
        <v>7363</v>
      </c>
      <c r="G507" s="552" t="s">
        <v>7553</v>
      </c>
      <c r="H507" s="552"/>
      <c r="I507" s="552"/>
      <c r="J507" s="709" t="s">
        <v>7554</v>
      </c>
      <c r="K507" s="709"/>
      <c r="L507" s="552"/>
      <c r="M507" s="552"/>
      <c r="N507" s="552"/>
      <c r="O507" s="552"/>
      <c r="P507" s="552"/>
      <c r="Q507" s="552"/>
      <c r="R507" s="552"/>
      <c r="S507" s="552"/>
      <c r="T507" s="552"/>
      <c r="U507" s="552"/>
      <c r="V507" s="552"/>
      <c r="W507" s="552"/>
      <c r="X507" s="552"/>
      <c r="Y507" s="552"/>
      <c r="Z507" s="552"/>
      <c r="AA507" s="552"/>
      <c r="AB507" s="552"/>
      <c r="AC507" s="552"/>
      <c r="AD507" s="552"/>
      <c r="AE507" s="552"/>
      <c r="AF507" s="552"/>
      <c r="AG507" s="552"/>
      <c r="AH507" s="552"/>
      <c r="AI507" s="552"/>
      <c r="AJ507" s="552"/>
      <c r="AK507" s="552"/>
      <c r="AL507" s="552"/>
      <c r="AM507" s="552"/>
      <c r="AN507" s="552"/>
      <c r="AO507" s="709" t="s">
        <v>7568</v>
      </c>
      <c r="AP507" s="709"/>
      <c r="AQ507" s="552" t="s">
        <v>1186</v>
      </c>
      <c r="AR507" s="552" t="s">
        <v>2809</v>
      </c>
      <c r="AS507" s="552" t="s">
        <v>7484</v>
      </c>
      <c r="AT507" s="552" t="s">
        <v>726</v>
      </c>
    </row>
    <row r="508" spans="1:46" ht="14.7" customHeight="1">
      <c r="A508" s="706" t="s">
        <v>9085</v>
      </c>
      <c r="B508" s="344" t="s">
        <v>3699</v>
      </c>
      <c r="C508" s="539" t="s">
        <v>6869</v>
      </c>
      <c r="D508" s="709" t="s">
        <v>7569</v>
      </c>
      <c r="E508" s="552" t="s">
        <v>6871</v>
      </c>
      <c r="F508" s="552" t="s">
        <v>7363</v>
      </c>
      <c r="G508" s="552" t="s">
        <v>7553</v>
      </c>
      <c r="H508" s="552"/>
      <c r="I508" s="552"/>
      <c r="J508" s="709" t="s">
        <v>7570</v>
      </c>
      <c r="K508" s="709"/>
      <c r="L508" s="552"/>
      <c r="M508" s="552"/>
      <c r="N508" s="552"/>
      <c r="O508" s="552"/>
      <c r="P508" s="552"/>
      <c r="Q508" s="552"/>
      <c r="R508" s="552"/>
      <c r="S508" s="552"/>
      <c r="T508" s="552"/>
      <c r="U508" s="552"/>
      <c r="V508" s="552"/>
      <c r="W508" s="552"/>
      <c r="X508" s="552"/>
      <c r="Y508" s="552"/>
      <c r="Z508" s="552"/>
      <c r="AA508" s="552"/>
      <c r="AB508" s="552"/>
      <c r="AC508" s="552"/>
      <c r="AD508" s="552"/>
      <c r="AE508" s="552"/>
      <c r="AF508" s="552"/>
      <c r="AG508" s="552"/>
      <c r="AH508" s="552"/>
      <c r="AI508" s="552"/>
      <c r="AJ508" s="552"/>
      <c r="AK508" s="552"/>
      <c r="AL508" s="552">
        <v>10</v>
      </c>
      <c r="AM508" s="552"/>
      <c r="AN508" s="552"/>
      <c r="AO508" s="709" t="s">
        <v>7571</v>
      </c>
      <c r="AP508" s="709"/>
      <c r="AQ508" s="552" t="s">
        <v>1186</v>
      </c>
      <c r="AR508" s="552" t="s">
        <v>2809</v>
      </c>
      <c r="AS508" s="552" t="s">
        <v>7484</v>
      </c>
      <c r="AT508" s="552" t="s">
        <v>726</v>
      </c>
    </row>
    <row r="509" spans="1:46" ht="14.7" customHeight="1">
      <c r="A509" s="706" t="s">
        <v>6285</v>
      </c>
      <c r="B509" s="344" t="s">
        <v>3699</v>
      </c>
      <c r="C509" s="539" t="s">
        <v>6869</v>
      </c>
      <c r="D509" s="709" t="s">
        <v>7572</v>
      </c>
      <c r="E509" s="552" t="s">
        <v>6871</v>
      </c>
      <c r="F509" s="552" t="s">
        <v>6872</v>
      </c>
      <c r="G509" s="552" t="s">
        <v>7553</v>
      </c>
      <c r="H509" s="552"/>
      <c r="I509" s="552"/>
      <c r="J509" s="709" t="s">
        <v>6957</v>
      </c>
      <c r="K509" s="709"/>
      <c r="L509" s="709"/>
      <c r="M509" s="552"/>
      <c r="N509" s="552"/>
      <c r="O509" s="552"/>
      <c r="P509" s="552"/>
      <c r="Q509" s="552"/>
      <c r="R509" s="552"/>
      <c r="S509" s="552"/>
      <c r="T509" s="552"/>
      <c r="U509" s="552"/>
      <c r="V509" s="552"/>
      <c r="W509" s="552"/>
      <c r="X509" s="552"/>
      <c r="Y509" s="552"/>
      <c r="Z509" s="552"/>
      <c r="AA509" s="552"/>
      <c r="AB509" s="552"/>
      <c r="AC509" s="552"/>
      <c r="AD509" s="552"/>
      <c r="AE509" s="552"/>
      <c r="AF509" s="552"/>
      <c r="AG509" s="552"/>
      <c r="AH509" s="552"/>
      <c r="AI509" s="552"/>
      <c r="AJ509" s="552"/>
      <c r="AK509" s="552"/>
      <c r="AL509" s="552"/>
      <c r="AM509" s="552"/>
      <c r="AN509" s="552"/>
      <c r="AO509" s="552"/>
      <c r="AP509" s="552"/>
      <c r="AQ509" s="552" t="s">
        <v>1186</v>
      </c>
      <c r="AR509" s="552" t="s">
        <v>2809</v>
      </c>
      <c r="AS509" s="552" t="s">
        <v>7484</v>
      </c>
      <c r="AT509" s="552" t="s">
        <v>726</v>
      </c>
    </row>
    <row r="510" spans="1:46" ht="14.7" customHeight="1">
      <c r="A510" s="706" t="s">
        <v>6286</v>
      </c>
      <c r="B510" s="344" t="s">
        <v>3699</v>
      </c>
      <c r="C510" s="539" t="s">
        <v>6869</v>
      </c>
      <c r="D510" s="709" t="s">
        <v>7573</v>
      </c>
      <c r="E510" s="552" t="s">
        <v>6871</v>
      </c>
      <c r="F510" s="552" t="s">
        <v>7363</v>
      </c>
      <c r="G510" s="552" t="s">
        <v>7553</v>
      </c>
      <c r="H510" s="552"/>
      <c r="I510" s="552"/>
      <c r="J510" s="709" t="s">
        <v>7447</v>
      </c>
      <c r="K510" s="709"/>
      <c r="L510" s="552"/>
      <c r="M510" s="552"/>
      <c r="N510" s="552"/>
      <c r="O510" s="552">
        <v>50</v>
      </c>
      <c r="P510" s="552"/>
      <c r="Q510" s="552"/>
      <c r="R510" s="552">
        <v>5</v>
      </c>
      <c r="S510" s="552"/>
      <c r="T510" s="552"/>
      <c r="U510" s="552"/>
      <c r="V510" s="552"/>
      <c r="W510" s="552"/>
      <c r="X510" s="552"/>
      <c r="Y510" s="552">
        <v>5</v>
      </c>
      <c r="Z510" s="552"/>
      <c r="AA510" s="552"/>
      <c r="AB510" s="552"/>
      <c r="AC510" s="552"/>
      <c r="AD510" s="552"/>
      <c r="AE510" s="552"/>
      <c r="AF510" s="552"/>
      <c r="AG510" s="552"/>
      <c r="AH510" s="552"/>
      <c r="AI510" s="552"/>
      <c r="AJ510" s="552"/>
      <c r="AK510" s="552"/>
      <c r="AL510" s="552"/>
      <c r="AM510" s="552"/>
      <c r="AN510" s="552"/>
      <c r="AO510" s="552"/>
      <c r="AP510" s="552"/>
      <c r="AQ510" s="552" t="s">
        <v>1186</v>
      </c>
      <c r="AR510" s="552" t="s">
        <v>2809</v>
      </c>
      <c r="AS510" s="552" t="s">
        <v>7484</v>
      </c>
      <c r="AT510" s="552" t="s">
        <v>726</v>
      </c>
    </row>
    <row r="511" spans="1:46" ht="14.7" customHeight="1">
      <c r="A511" s="706"/>
      <c r="B511" s="344" t="s">
        <v>3699</v>
      </c>
      <c r="C511" s="539" t="s">
        <v>6869</v>
      </c>
      <c r="D511" s="539" t="s">
        <v>2783</v>
      </c>
      <c r="E511" s="539"/>
      <c r="F511" s="539"/>
      <c r="G511" s="539"/>
      <c r="H511" s="552"/>
      <c r="I511" s="552"/>
      <c r="J511" s="552"/>
      <c r="K511" s="552"/>
      <c r="L511" s="552"/>
      <c r="M511" s="552"/>
      <c r="N511" s="552"/>
      <c r="O511" s="552"/>
      <c r="P511" s="552"/>
      <c r="Q511" s="552"/>
      <c r="R511" s="552"/>
      <c r="S511" s="552"/>
      <c r="T511" s="552"/>
      <c r="U511" s="552"/>
      <c r="V511" s="552"/>
      <c r="W511" s="552"/>
      <c r="X511" s="552"/>
      <c r="Y511" s="552"/>
      <c r="Z511" s="552"/>
      <c r="AA511" s="552"/>
      <c r="AB511" s="552"/>
      <c r="AC511" s="552"/>
      <c r="AD511" s="552"/>
      <c r="AE511" s="552"/>
      <c r="AF511" s="552"/>
      <c r="AG511" s="552"/>
      <c r="AH511" s="552"/>
      <c r="AI511" s="552"/>
      <c r="AJ511" s="552"/>
      <c r="AK511" s="552"/>
      <c r="AL511" s="552"/>
      <c r="AM511" s="552"/>
      <c r="AN511" s="552"/>
      <c r="AO511" s="552"/>
      <c r="AP511" s="552"/>
      <c r="AQ511" s="552" t="s">
        <v>1186</v>
      </c>
      <c r="AR511" s="552" t="s">
        <v>2809</v>
      </c>
      <c r="AS511" s="552" t="s">
        <v>7484</v>
      </c>
      <c r="AT511" s="552" t="s">
        <v>726</v>
      </c>
    </row>
    <row r="512" spans="1:46" ht="14.7" customHeight="1">
      <c r="A512" s="706" t="s">
        <v>6287</v>
      </c>
      <c r="B512" s="559" t="s">
        <v>3700</v>
      </c>
      <c r="C512" s="539" t="s">
        <v>6869</v>
      </c>
      <c r="D512" s="709" t="s">
        <v>7574</v>
      </c>
      <c r="E512" s="552" t="s">
        <v>6871</v>
      </c>
      <c r="F512" s="552" t="s">
        <v>7363</v>
      </c>
      <c r="G512" s="552" t="s">
        <v>7553</v>
      </c>
      <c r="H512" s="552"/>
      <c r="I512" s="552"/>
      <c r="J512" s="709" t="s">
        <v>7575</v>
      </c>
      <c r="K512" s="709"/>
      <c r="L512" s="552"/>
      <c r="M512" s="552"/>
      <c r="N512" s="552"/>
      <c r="O512" s="552"/>
      <c r="P512" s="552"/>
      <c r="Q512" s="552"/>
      <c r="R512" s="552"/>
      <c r="S512" s="552"/>
      <c r="T512" s="552"/>
      <c r="U512" s="552"/>
      <c r="V512" s="552"/>
      <c r="W512" s="552"/>
      <c r="X512" s="552"/>
      <c r="Y512" s="552"/>
      <c r="Z512" s="552"/>
      <c r="AA512" s="552"/>
      <c r="AB512" s="552"/>
      <c r="AC512" s="552"/>
      <c r="AD512" s="552"/>
      <c r="AE512" s="552"/>
      <c r="AF512" s="552"/>
      <c r="AG512" s="552"/>
      <c r="AH512" s="552"/>
      <c r="AI512" s="552"/>
      <c r="AJ512" s="552"/>
      <c r="AK512" s="552"/>
      <c r="AL512" s="552"/>
      <c r="AM512" s="552"/>
      <c r="AN512" s="552"/>
      <c r="AO512" s="709" t="s">
        <v>7576</v>
      </c>
      <c r="AP512" s="709"/>
      <c r="AQ512" s="552" t="s">
        <v>1186</v>
      </c>
      <c r="AR512" s="552" t="s">
        <v>2971</v>
      </c>
      <c r="AS512" s="552" t="s">
        <v>7484</v>
      </c>
      <c r="AT512" s="552" t="s">
        <v>726</v>
      </c>
    </row>
    <row r="513" spans="1:46" ht="14.7" customHeight="1">
      <c r="A513" s="706"/>
      <c r="B513" s="559" t="s">
        <v>3700</v>
      </c>
      <c r="C513" s="539" t="s">
        <v>6869</v>
      </c>
      <c r="D513" s="539" t="s">
        <v>2783</v>
      </c>
      <c r="E513" s="539"/>
      <c r="F513" s="539"/>
      <c r="G513" s="539"/>
      <c r="H513" s="552"/>
      <c r="I513" s="552"/>
      <c r="J513" s="552"/>
      <c r="K513" s="552"/>
      <c r="L513" s="552"/>
      <c r="M513" s="552"/>
      <c r="N513" s="552"/>
      <c r="O513" s="552"/>
      <c r="P513" s="552"/>
      <c r="Q513" s="552"/>
      <c r="R513" s="552"/>
      <c r="S513" s="552"/>
      <c r="T513" s="552"/>
      <c r="U513" s="552"/>
      <c r="V513" s="552"/>
      <c r="W513" s="552"/>
      <c r="X513" s="552"/>
      <c r="Y513" s="552"/>
      <c r="Z513" s="552"/>
      <c r="AA513" s="552"/>
      <c r="AB513" s="552"/>
      <c r="AC513" s="552"/>
      <c r="AD513" s="552"/>
      <c r="AE513" s="552"/>
      <c r="AF513" s="552"/>
      <c r="AG513" s="552"/>
      <c r="AH513" s="552"/>
      <c r="AI513" s="552"/>
      <c r="AJ513" s="552"/>
      <c r="AK513" s="552"/>
      <c r="AL513" s="552"/>
      <c r="AM513" s="552"/>
      <c r="AN513" s="552"/>
      <c r="AO513" s="552"/>
      <c r="AP513" s="552"/>
      <c r="AQ513" s="552" t="s">
        <v>1186</v>
      </c>
      <c r="AR513" s="552" t="s">
        <v>2971</v>
      </c>
      <c r="AS513" s="552" t="s">
        <v>7484</v>
      </c>
      <c r="AT513" s="552" t="s">
        <v>726</v>
      </c>
    </row>
    <row r="514" spans="1:46" ht="14.7" customHeight="1">
      <c r="A514" s="706"/>
      <c r="B514" s="711" t="s">
        <v>6055</v>
      </c>
      <c r="C514" s="539" t="s">
        <v>6869</v>
      </c>
      <c r="D514" s="539"/>
      <c r="E514" s="552"/>
      <c r="F514" s="552"/>
      <c r="G514" s="552"/>
      <c r="H514" s="552"/>
      <c r="I514" s="552"/>
      <c r="J514" s="552"/>
      <c r="K514" s="552"/>
      <c r="L514" s="552"/>
      <c r="M514" s="552"/>
      <c r="N514" s="552"/>
      <c r="O514" s="552"/>
      <c r="P514" s="552"/>
      <c r="Q514" s="552"/>
      <c r="R514" s="552"/>
      <c r="S514" s="552"/>
      <c r="T514" s="552"/>
      <c r="U514" s="552"/>
      <c r="V514" s="552"/>
      <c r="W514" s="552"/>
      <c r="X514" s="552"/>
      <c r="Y514" s="552"/>
      <c r="Z514" s="552"/>
      <c r="AA514" s="552"/>
      <c r="AB514" s="552"/>
      <c r="AC514" s="552"/>
      <c r="AD514" s="552"/>
      <c r="AE514" s="552"/>
      <c r="AF514" s="552"/>
      <c r="AG514" s="552"/>
      <c r="AH514" s="552"/>
      <c r="AI514" s="552"/>
      <c r="AJ514" s="552"/>
      <c r="AK514" s="552"/>
      <c r="AL514" s="552"/>
      <c r="AM514" s="552"/>
      <c r="AN514" s="552"/>
      <c r="AO514" s="552"/>
      <c r="AP514" s="552"/>
      <c r="AQ514" s="552" t="s">
        <v>1186</v>
      </c>
      <c r="AR514" s="552" t="s">
        <v>6697</v>
      </c>
      <c r="AS514" s="552" t="s">
        <v>7484</v>
      </c>
      <c r="AT514" s="552" t="s">
        <v>726</v>
      </c>
    </row>
    <row r="515" spans="1:46" ht="14.7" customHeight="1">
      <c r="A515" s="706" t="s">
        <v>6288</v>
      </c>
      <c r="B515" s="540" t="s">
        <v>3695</v>
      </c>
      <c r="C515" s="539" t="s">
        <v>6869</v>
      </c>
      <c r="D515" s="709" t="s">
        <v>7577</v>
      </c>
      <c r="E515" s="552" t="s">
        <v>6871</v>
      </c>
      <c r="F515" s="552" t="s">
        <v>7363</v>
      </c>
      <c r="G515" s="552" t="s">
        <v>7578</v>
      </c>
      <c r="H515" s="552"/>
      <c r="I515" s="552"/>
      <c r="J515" s="709" t="s">
        <v>7579</v>
      </c>
      <c r="K515" s="709"/>
      <c r="L515" s="552"/>
      <c r="M515" s="552"/>
      <c r="N515" s="552"/>
      <c r="O515" s="552"/>
      <c r="P515" s="552"/>
      <c r="Q515" s="552"/>
      <c r="R515" s="552"/>
      <c r="S515" s="552"/>
      <c r="T515" s="552"/>
      <c r="U515" s="552"/>
      <c r="V515" s="552"/>
      <c r="W515" s="552"/>
      <c r="X515" s="552"/>
      <c r="Y515" s="552"/>
      <c r="Z515" s="552"/>
      <c r="AA515" s="552"/>
      <c r="AB515" s="552"/>
      <c r="AC515" s="552"/>
      <c r="AD515" s="552"/>
      <c r="AE515" s="552"/>
      <c r="AF515" s="552"/>
      <c r="AG515" s="552"/>
      <c r="AH515" s="552"/>
      <c r="AI515" s="552"/>
      <c r="AJ515" s="552"/>
      <c r="AK515" s="552"/>
      <c r="AL515" s="552"/>
      <c r="AM515" s="552"/>
      <c r="AN515" s="552"/>
      <c r="AO515" s="552"/>
      <c r="AP515" s="552"/>
      <c r="AQ515" s="552" t="s">
        <v>1186</v>
      </c>
      <c r="AR515" s="552" t="s">
        <v>2802</v>
      </c>
      <c r="AS515" s="552" t="s">
        <v>7484</v>
      </c>
      <c r="AT515" s="552" t="s">
        <v>726</v>
      </c>
    </row>
    <row r="516" spans="1:46" ht="14.7" customHeight="1">
      <c r="A516" s="706"/>
      <c r="B516" s="540" t="s">
        <v>3695</v>
      </c>
      <c r="C516" s="539" t="s">
        <v>6869</v>
      </c>
      <c r="D516" s="539" t="s">
        <v>2783</v>
      </c>
      <c r="E516" s="539"/>
      <c r="F516" s="539"/>
      <c r="G516" s="539"/>
      <c r="H516" s="552"/>
      <c r="I516" s="552"/>
      <c r="J516" s="552"/>
      <c r="K516" s="552"/>
      <c r="L516" s="552"/>
      <c r="M516" s="552"/>
      <c r="N516" s="552"/>
      <c r="O516" s="552"/>
      <c r="P516" s="552"/>
      <c r="Q516" s="552"/>
      <c r="R516" s="552"/>
      <c r="S516" s="552"/>
      <c r="T516" s="552"/>
      <c r="U516" s="552"/>
      <c r="V516" s="552"/>
      <c r="W516" s="552"/>
      <c r="X516" s="552"/>
      <c r="Y516" s="552"/>
      <c r="Z516" s="552"/>
      <c r="AA516" s="552"/>
      <c r="AB516" s="552"/>
      <c r="AC516" s="552"/>
      <c r="AD516" s="552"/>
      <c r="AE516" s="552"/>
      <c r="AF516" s="552"/>
      <c r="AG516" s="552"/>
      <c r="AH516" s="552"/>
      <c r="AI516" s="552"/>
      <c r="AJ516" s="552"/>
      <c r="AK516" s="552"/>
      <c r="AL516" s="552"/>
      <c r="AM516" s="552"/>
      <c r="AN516" s="552"/>
      <c r="AO516" s="552"/>
      <c r="AP516" s="552"/>
      <c r="AQ516" s="552" t="s">
        <v>1186</v>
      </c>
      <c r="AR516" s="552" t="s">
        <v>2802</v>
      </c>
      <c r="AS516" s="552" t="s">
        <v>7484</v>
      </c>
      <c r="AT516" s="552" t="s">
        <v>726</v>
      </c>
    </row>
    <row r="517" spans="1:46" ht="14.7" customHeight="1">
      <c r="A517" s="706" t="s">
        <v>6289</v>
      </c>
      <c r="B517" s="707" t="s">
        <v>3696</v>
      </c>
      <c r="C517" s="539" t="s">
        <v>6869</v>
      </c>
      <c r="D517" s="709" t="s">
        <v>7580</v>
      </c>
      <c r="E517" s="552" t="s">
        <v>6871</v>
      </c>
      <c r="F517" s="552" t="s">
        <v>7363</v>
      </c>
      <c r="G517" s="552" t="s">
        <v>7578</v>
      </c>
      <c r="H517" s="552"/>
      <c r="I517" s="552"/>
      <c r="J517" s="709" t="s">
        <v>7581</v>
      </c>
      <c r="K517" s="709"/>
      <c r="L517" s="552"/>
      <c r="M517" s="552"/>
      <c r="N517" s="552"/>
      <c r="O517" s="552"/>
      <c r="P517" s="552"/>
      <c r="Q517" s="552"/>
      <c r="R517" s="552">
        <v>1</v>
      </c>
      <c r="S517" s="552"/>
      <c r="T517" s="552"/>
      <c r="U517" s="552"/>
      <c r="V517" s="552"/>
      <c r="W517" s="552"/>
      <c r="X517" s="552"/>
      <c r="Y517" s="552"/>
      <c r="Z517" s="552"/>
      <c r="AA517" s="552"/>
      <c r="AB517" s="552"/>
      <c r="AC517" s="552"/>
      <c r="AD517" s="552"/>
      <c r="AE517" s="552"/>
      <c r="AF517" s="552"/>
      <c r="AG517" s="552"/>
      <c r="AH517" s="552"/>
      <c r="AI517" s="552"/>
      <c r="AJ517" s="552"/>
      <c r="AK517" s="552"/>
      <c r="AL517" s="552"/>
      <c r="AM517" s="552"/>
      <c r="AN517" s="552"/>
      <c r="AO517" s="552"/>
      <c r="AP517" s="552"/>
      <c r="AQ517" s="552" t="s">
        <v>1186</v>
      </c>
      <c r="AR517" s="552" t="s">
        <v>2805</v>
      </c>
      <c r="AS517" s="552" t="s">
        <v>7484</v>
      </c>
      <c r="AT517" s="552" t="s">
        <v>726</v>
      </c>
    </row>
    <row r="518" spans="1:46" ht="14.7" customHeight="1">
      <c r="A518" s="706"/>
      <c r="B518" s="707" t="s">
        <v>3696</v>
      </c>
      <c r="C518" s="539" t="s">
        <v>6869</v>
      </c>
      <c r="D518" s="539" t="s">
        <v>2783</v>
      </c>
      <c r="E518" s="539"/>
      <c r="F518" s="539"/>
      <c r="G518" s="539"/>
      <c r="H518" s="552"/>
      <c r="I518" s="552"/>
      <c r="J518" s="552"/>
      <c r="K518" s="552"/>
      <c r="L518" s="552"/>
      <c r="M518" s="552"/>
      <c r="N518" s="552"/>
      <c r="O518" s="552"/>
      <c r="P518" s="552"/>
      <c r="Q518" s="552"/>
      <c r="R518" s="552"/>
      <c r="S518" s="552"/>
      <c r="T518" s="552"/>
      <c r="U518" s="552"/>
      <c r="V518" s="552"/>
      <c r="W518" s="552"/>
      <c r="X518" s="552"/>
      <c r="Y518" s="552"/>
      <c r="Z518" s="552"/>
      <c r="AA518" s="552"/>
      <c r="AB518" s="552"/>
      <c r="AC518" s="552"/>
      <c r="AD518" s="552"/>
      <c r="AE518" s="552"/>
      <c r="AF518" s="552"/>
      <c r="AG518" s="552"/>
      <c r="AH518" s="552"/>
      <c r="AI518" s="552"/>
      <c r="AJ518" s="552"/>
      <c r="AK518" s="552"/>
      <c r="AL518" s="552"/>
      <c r="AM518" s="552"/>
      <c r="AN518" s="552"/>
      <c r="AO518" s="552"/>
      <c r="AP518" s="552"/>
      <c r="AQ518" s="552" t="s">
        <v>1186</v>
      </c>
      <c r="AR518" s="552" t="s">
        <v>2805</v>
      </c>
      <c r="AS518" s="552" t="s">
        <v>7484</v>
      </c>
      <c r="AT518" s="552" t="s">
        <v>726</v>
      </c>
    </row>
    <row r="519" spans="1:46" ht="14.7" customHeight="1">
      <c r="A519" s="706" t="s">
        <v>6290</v>
      </c>
      <c r="B519" s="556" t="s">
        <v>3697</v>
      </c>
      <c r="C519" s="539" t="s">
        <v>6869</v>
      </c>
      <c r="D519" s="709" t="s">
        <v>7582</v>
      </c>
      <c r="E519" s="552" t="s">
        <v>6871</v>
      </c>
      <c r="F519" s="552" t="s">
        <v>7363</v>
      </c>
      <c r="G519" s="552" t="s">
        <v>7578</v>
      </c>
      <c r="H519" s="552"/>
      <c r="I519" s="552"/>
      <c r="J519" s="709" t="s">
        <v>7583</v>
      </c>
      <c r="K519" s="709"/>
      <c r="L519" s="552"/>
      <c r="M519" s="552"/>
      <c r="N519" s="552"/>
      <c r="O519" s="552"/>
      <c r="P519" s="552"/>
      <c r="Q519" s="552"/>
      <c r="R519" s="552"/>
      <c r="S519" s="552"/>
      <c r="T519" s="552"/>
      <c r="U519" s="552"/>
      <c r="V519" s="552"/>
      <c r="W519" s="552"/>
      <c r="X519" s="552"/>
      <c r="Y519" s="552"/>
      <c r="Z519" s="552"/>
      <c r="AA519" s="552"/>
      <c r="AB519" s="552"/>
      <c r="AC519" s="552"/>
      <c r="AD519" s="552"/>
      <c r="AE519" s="552"/>
      <c r="AF519" s="552"/>
      <c r="AG519" s="552"/>
      <c r="AH519" s="552"/>
      <c r="AI519" s="552"/>
      <c r="AJ519" s="552"/>
      <c r="AK519" s="552"/>
      <c r="AL519" s="552"/>
      <c r="AM519" s="552"/>
      <c r="AN519" s="552"/>
      <c r="AO519" s="552"/>
      <c r="AP519" s="552"/>
      <c r="AQ519" s="552" t="s">
        <v>1186</v>
      </c>
      <c r="AR519" s="552" t="s">
        <v>2875</v>
      </c>
      <c r="AS519" s="552" t="s">
        <v>7484</v>
      </c>
      <c r="AT519" s="552" t="s">
        <v>726</v>
      </c>
    </row>
    <row r="520" spans="1:46" ht="14.7" customHeight="1">
      <c r="A520" s="710" t="s">
        <v>6291</v>
      </c>
      <c r="B520" s="556" t="s">
        <v>3697</v>
      </c>
      <c r="C520" s="539" t="s">
        <v>6869</v>
      </c>
      <c r="D520" s="709" t="s">
        <v>7584</v>
      </c>
      <c r="E520" s="552" t="s">
        <v>6871</v>
      </c>
      <c r="F520" s="552" t="s">
        <v>7363</v>
      </c>
      <c r="G520" s="552" t="s">
        <v>7578</v>
      </c>
      <c r="H520" s="552"/>
      <c r="I520" s="552"/>
      <c r="J520" s="709" t="s">
        <v>7581</v>
      </c>
      <c r="K520" s="709"/>
      <c r="L520" s="552"/>
      <c r="M520" s="552"/>
      <c r="N520" s="552"/>
      <c r="O520" s="552"/>
      <c r="P520" s="552"/>
      <c r="Q520" s="552"/>
      <c r="R520" s="552"/>
      <c r="S520" s="552"/>
      <c r="T520" s="552"/>
      <c r="U520" s="552"/>
      <c r="V520" s="552"/>
      <c r="W520" s="552"/>
      <c r="X520" s="552"/>
      <c r="Y520" s="552"/>
      <c r="Z520" s="552"/>
      <c r="AA520" s="552"/>
      <c r="AB520" s="552"/>
      <c r="AC520" s="552"/>
      <c r="AD520" s="552"/>
      <c r="AE520" s="552"/>
      <c r="AF520" s="552"/>
      <c r="AG520" s="552"/>
      <c r="AH520" s="552"/>
      <c r="AI520" s="552"/>
      <c r="AJ520" s="552"/>
      <c r="AK520" s="552"/>
      <c r="AL520" s="552"/>
      <c r="AM520" s="552"/>
      <c r="AN520" s="552"/>
      <c r="AO520" s="552"/>
      <c r="AP520" s="709" t="s">
        <v>7585</v>
      </c>
      <c r="AQ520" s="552" t="s">
        <v>1186</v>
      </c>
      <c r="AR520" s="552" t="s">
        <v>2875</v>
      </c>
      <c r="AS520" s="552" t="s">
        <v>7484</v>
      </c>
      <c r="AT520" s="552" t="s">
        <v>726</v>
      </c>
    </row>
    <row r="521" spans="1:46" ht="14.7" customHeight="1">
      <c r="A521" s="706"/>
      <c r="B521" s="556" t="s">
        <v>3697</v>
      </c>
      <c r="C521" s="539" t="s">
        <v>6869</v>
      </c>
      <c r="D521" s="539" t="s">
        <v>2783</v>
      </c>
      <c r="E521" s="539"/>
      <c r="F521" s="539"/>
      <c r="G521" s="539"/>
      <c r="H521" s="552"/>
      <c r="I521" s="552"/>
      <c r="J521" s="552"/>
      <c r="K521" s="552"/>
      <c r="L521" s="552"/>
      <c r="M521" s="552"/>
      <c r="N521" s="552"/>
      <c r="O521" s="552"/>
      <c r="P521" s="552"/>
      <c r="Q521" s="552"/>
      <c r="R521" s="552"/>
      <c r="S521" s="552"/>
      <c r="T521" s="552"/>
      <c r="U521" s="552"/>
      <c r="V521" s="552"/>
      <c r="W521" s="552"/>
      <c r="X521" s="552"/>
      <c r="Y521" s="552"/>
      <c r="Z521" s="552"/>
      <c r="AA521" s="552"/>
      <c r="AB521" s="552"/>
      <c r="AC521" s="552"/>
      <c r="AD521" s="552"/>
      <c r="AE521" s="552"/>
      <c r="AF521" s="552"/>
      <c r="AG521" s="552"/>
      <c r="AH521" s="552"/>
      <c r="AI521" s="552"/>
      <c r="AJ521" s="552"/>
      <c r="AK521" s="552"/>
      <c r="AL521" s="552"/>
      <c r="AM521" s="552"/>
      <c r="AN521" s="552"/>
      <c r="AO521" s="552"/>
      <c r="AP521" s="552"/>
      <c r="AQ521" s="552" t="s">
        <v>1186</v>
      </c>
      <c r="AR521" s="552" t="s">
        <v>2875</v>
      </c>
      <c r="AS521" s="552" t="s">
        <v>7484</v>
      </c>
      <c r="AT521" s="552" t="s">
        <v>726</v>
      </c>
    </row>
    <row r="522" spans="1:46" ht="14.7" customHeight="1">
      <c r="A522" s="710" t="s">
        <v>6292</v>
      </c>
      <c r="B522" s="557" t="s">
        <v>3698</v>
      </c>
      <c r="C522" s="539" t="s">
        <v>6869</v>
      </c>
      <c r="D522" s="709" t="s">
        <v>7586</v>
      </c>
      <c r="E522" s="552" t="s">
        <v>6871</v>
      </c>
      <c r="F522" s="552" t="s">
        <v>7363</v>
      </c>
      <c r="G522" s="552" t="s">
        <v>7578</v>
      </c>
      <c r="H522" s="552"/>
      <c r="I522" s="552"/>
      <c r="J522" s="709" t="s">
        <v>7587</v>
      </c>
      <c r="K522" s="709"/>
      <c r="L522" s="552"/>
      <c r="M522" s="552"/>
      <c r="N522" s="552"/>
      <c r="O522" s="552"/>
      <c r="P522" s="552"/>
      <c r="Q522" s="552"/>
      <c r="R522" s="552"/>
      <c r="S522" s="552"/>
      <c r="T522" s="552"/>
      <c r="U522" s="552"/>
      <c r="V522" s="552"/>
      <c r="W522" s="552"/>
      <c r="X522" s="552"/>
      <c r="Y522" s="552"/>
      <c r="Z522" s="552"/>
      <c r="AA522" s="552"/>
      <c r="AB522" s="552"/>
      <c r="AC522" s="552"/>
      <c r="AD522" s="552"/>
      <c r="AE522" s="552"/>
      <c r="AF522" s="552"/>
      <c r="AG522" s="552"/>
      <c r="AH522" s="552"/>
      <c r="AI522" s="552"/>
      <c r="AJ522" s="552"/>
      <c r="AK522" s="552"/>
      <c r="AL522" s="552"/>
      <c r="AM522" s="552"/>
      <c r="AN522" s="552"/>
      <c r="AO522" s="709" t="s">
        <v>7588</v>
      </c>
      <c r="AP522" s="709"/>
      <c r="AQ522" s="552" t="s">
        <v>1186</v>
      </c>
      <c r="AR522" s="552" t="s">
        <v>2998</v>
      </c>
      <c r="AS522" s="552" t="s">
        <v>7484</v>
      </c>
      <c r="AT522" s="552" t="s">
        <v>726</v>
      </c>
    </row>
    <row r="523" spans="1:46" ht="14.7" customHeight="1">
      <c r="A523" s="710" t="s">
        <v>7589</v>
      </c>
      <c r="B523" s="557" t="s">
        <v>3698</v>
      </c>
      <c r="C523" s="539" t="s">
        <v>6869</v>
      </c>
      <c r="D523" s="709" t="s">
        <v>7590</v>
      </c>
      <c r="E523" s="552" t="s">
        <v>6871</v>
      </c>
      <c r="F523" s="552" t="s">
        <v>7363</v>
      </c>
      <c r="G523" s="552" t="s">
        <v>7578</v>
      </c>
      <c r="H523" s="552"/>
      <c r="I523" s="552"/>
      <c r="J523" s="709" t="s">
        <v>7591</v>
      </c>
      <c r="K523" s="709"/>
      <c r="L523" s="552"/>
      <c r="M523" s="552"/>
      <c r="N523" s="552"/>
      <c r="O523" s="552"/>
      <c r="P523" s="552"/>
      <c r="Q523" s="552"/>
      <c r="R523" s="552"/>
      <c r="S523" s="552"/>
      <c r="T523" s="552"/>
      <c r="U523" s="552"/>
      <c r="V523" s="552"/>
      <c r="W523" s="552"/>
      <c r="X523" s="552"/>
      <c r="Y523" s="552"/>
      <c r="Z523" s="552"/>
      <c r="AA523" s="552"/>
      <c r="AB523" s="552"/>
      <c r="AC523" s="552"/>
      <c r="AD523" s="552"/>
      <c r="AE523" s="552"/>
      <c r="AF523" s="552"/>
      <c r="AG523" s="552"/>
      <c r="AH523" s="552"/>
      <c r="AI523" s="552"/>
      <c r="AJ523" s="552"/>
      <c r="AK523" s="552"/>
      <c r="AL523" s="552"/>
      <c r="AM523" s="552"/>
      <c r="AN523" s="552"/>
      <c r="AO523" s="709" t="s">
        <v>7592</v>
      </c>
      <c r="AP523" s="713" t="s">
        <v>7593</v>
      </c>
      <c r="AQ523" s="552" t="s">
        <v>1186</v>
      </c>
      <c r="AR523" s="552" t="s">
        <v>2998</v>
      </c>
      <c r="AS523" s="552" t="s">
        <v>7484</v>
      </c>
      <c r="AT523" s="552" t="s">
        <v>726</v>
      </c>
    </row>
    <row r="524" spans="1:46" ht="14.7" customHeight="1">
      <c r="A524" s="706"/>
      <c r="B524" s="557" t="s">
        <v>3698</v>
      </c>
      <c r="C524" s="539" t="s">
        <v>6869</v>
      </c>
      <c r="D524" s="539" t="s">
        <v>2783</v>
      </c>
      <c r="E524" s="539"/>
      <c r="F524" s="539"/>
      <c r="G524" s="539"/>
      <c r="H524" s="552"/>
      <c r="I524" s="552"/>
      <c r="J524" s="552"/>
      <c r="K524" s="552"/>
      <c r="L524" s="552"/>
      <c r="M524" s="552"/>
      <c r="N524" s="552"/>
      <c r="O524" s="552"/>
      <c r="P524" s="552"/>
      <c r="Q524" s="552"/>
      <c r="R524" s="552"/>
      <c r="S524" s="552"/>
      <c r="T524" s="552"/>
      <c r="U524" s="552"/>
      <c r="V524" s="552"/>
      <c r="W524" s="552"/>
      <c r="X524" s="552"/>
      <c r="Y524" s="552"/>
      <c r="Z524" s="552"/>
      <c r="AA524" s="552"/>
      <c r="AB524" s="552"/>
      <c r="AC524" s="552"/>
      <c r="AD524" s="552"/>
      <c r="AE524" s="552"/>
      <c r="AF524" s="552"/>
      <c r="AG524" s="552"/>
      <c r="AH524" s="552"/>
      <c r="AI524" s="552"/>
      <c r="AJ524" s="552"/>
      <c r="AK524" s="552"/>
      <c r="AL524" s="552"/>
      <c r="AM524" s="552"/>
      <c r="AN524" s="552"/>
      <c r="AO524" s="552"/>
      <c r="AP524" s="552"/>
      <c r="AQ524" s="552" t="s">
        <v>1186</v>
      </c>
      <c r="AR524" s="552" t="s">
        <v>2998</v>
      </c>
      <c r="AS524" s="552" t="s">
        <v>7484</v>
      </c>
      <c r="AT524" s="552" t="s">
        <v>726</v>
      </c>
    </row>
    <row r="525" spans="1:46" ht="14.7" customHeight="1">
      <c r="A525" s="706"/>
      <c r="B525" s="557" t="s">
        <v>3698</v>
      </c>
      <c r="C525" s="539" t="s">
        <v>6869</v>
      </c>
      <c r="D525" s="539" t="s">
        <v>2783</v>
      </c>
      <c r="E525" s="539"/>
      <c r="F525" s="539"/>
      <c r="G525" s="539"/>
      <c r="H525" s="552"/>
      <c r="I525" s="552"/>
      <c r="J525" s="552"/>
      <c r="K525" s="552"/>
      <c r="L525" s="552"/>
      <c r="M525" s="552"/>
      <c r="N525" s="552"/>
      <c r="O525" s="552"/>
      <c r="P525" s="552"/>
      <c r="Q525" s="552"/>
      <c r="R525" s="552"/>
      <c r="S525" s="552"/>
      <c r="T525" s="552"/>
      <c r="U525" s="552"/>
      <c r="V525" s="552"/>
      <c r="W525" s="552"/>
      <c r="X525" s="552"/>
      <c r="Y525" s="552"/>
      <c r="Z525" s="552"/>
      <c r="AA525" s="552"/>
      <c r="AB525" s="552"/>
      <c r="AC525" s="552"/>
      <c r="AD525" s="552"/>
      <c r="AE525" s="552"/>
      <c r="AF525" s="552"/>
      <c r="AG525" s="552"/>
      <c r="AH525" s="552"/>
      <c r="AI525" s="552"/>
      <c r="AJ525" s="552"/>
      <c r="AK525" s="552"/>
      <c r="AL525" s="552"/>
      <c r="AM525" s="552"/>
      <c r="AN525" s="552"/>
      <c r="AO525" s="552"/>
      <c r="AP525" s="552"/>
      <c r="AQ525" s="552" t="s">
        <v>1186</v>
      </c>
      <c r="AR525" s="552" t="s">
        <v>2998</v>
      </c>
      <c r="AS525" s="552" t="s">
        <v>7484</v>
      </c>
      <c r="AT525" s="552" t="s">
        <v>726</v>
      </c>
    </row>
    <row r="526" spans="1:46" ht="14.7" customHeight="1">
      <c r="A526" s="710" t="s">
        <v>7594</v>
      </c>
      <c r="B526" s="344" t="s">
        <v>3699</v>
      </c>
      <c r="C526" s="539" t="s">
        <v>6869</v>
      </c>
      <c r="D526" s="709" t="s">
        <v>7595</v>
      </c>
      <c r="E526" s="552" t="s">
        <v>6871</v>
      </c>
      <c r="F526" s="552" t="s">
        <v>7363</v>
      </c>
      <c r="G526" s="552" t="s">
        <v>7578</v>
      </c>
      <c r="H526" s="552"/>
      <c r="I526" s="552"/>
      <c r="J526" s="709" t="s">
        <v>7596</v>
      </c>
      <c r="K526" s="709"/>
      <c r="L526" s="709"/>
      <c r="M526" s="552"/>
      <c r="N526" s="552"/>
      <c r="O526" s="552"/>
      <c r="P526" s="552"/>
      <c r="Q526" s="552"/>
      <c r="R526" s="552"/>
      <c r="S526" s="552"/>
      <c r="T526" s="552"/>
      <c r="U526" s="552"/>
      <c r="V526" s="552"/>
      <c r="W526" s="552"/>
      <c r="X526" s="552"/>
      <c r="Y526" s="552"/>
      <c r="Z526" s="552"/>
      <c r="AA526" s="552"/>
      <c r="AB526" s="552"/>
      <c r="AC526" s="552"/>
      <c r="AD526" s="552"/>
      <c r="AE526" s="552"/>
      <c r="AF526" s="552"/>
      <c r="AG526" s="552"/>
      <c r="AH526" s="552"/>
      <c r="AI526" s="552"/>
      <c r="AJ526" s="552"/>
      <c r="AK526" s="552"/>
      <c r="AL526" s="552"/>
      <c r="AM526" s="552"/>
      <c r="AN526" s="552"/>
      <c r="AO526" s="713" t="s">
        <v>7597</v>
      </c>
      <c r="AP526" s="709" t="s">
        <v>7598</v>
      </c>
      <c r="AQ526" s="552" t="s">
        <v>1186</v>
      </c>
      <c r="AR526" s="552" t="s">
        <v>2809</v>
      </c>
      <c r="AS526" s="552" t="s">
        <v>7484</v>
      </c>
      <c r="AT526" s="552" t="s">
        <v>726</v>
      </c>
    </row>
    <row r="527" spans="1:46" ht="14.7" customHeight="1">
      <c r="A527" s="710" t="s">
        <v>7599</v>
      </c>
      <c r="B527" s="344" t="s">
        <v>3699</v>
      </c>
      <c r="C527" s="539" t="s">
        <v>6869</v>
      </c>
      <c r="D527" s="709" t="s">
        <v>7600</v>
      </c>
      <c r="E527" s="552" t="s">
        <v>6871</v>
      </c>
      <c r="F527" s="552" t="s">
        <v>7363</v>
      </c>
      <c r="G527" s="552" t="s">
        <v>7578</v>
      </c>
      <c r="H527" s="552"/>
      <c r="I527" s="552"/>
      <c r="J527" s="709" t="s">
        <v>7601</v>
      </c>
      <c r="K527" s="709"/>
      <c r="L527" s="709"/>
      <c r="M527" s="709"/>
      <c r="N527" s="552"/>
      <c r="O527" s="552"/>
      <c r="P527" s="552"/>
      <c r="Q527" s="552"/>
      <c r="R527" s="552">
        <v>10</v>
      </c>
      <c r="S527" s="552"/>
      <c r="T527" s="552"/>
      <c r="U527" s="552"/>
      <c r="V527" s="552"/>
      <c r="W527" s="552"/>
      <c r="X527" s="552"/>
      <c r="Y527" s="552"/>
      <c r="Z527" s="552"/>
      <c r="AA527" s="552"/>
      <c r="AB527" s="552"/>
      <c r="AC527" s="552"/>
      <c r="AD527" s="552"/>
      <c r="AE527" s="552"/>
      <c r="AF527" s="552"/>
      <c r="AG527" s="552"/>
      <c r="AH527" s="552"/>
      <c r="AI527" s="552"/>
      <c r="AJ527" s="552"/>
      <c r="AK527" s="552"/>
      <c r="AL527" s="552"/>
      <c r="AM527" s="552"/>
      <c r="AN527" s="552"/>
      <c r="AO527" s="713" t="s">
        <v>7602</v>
      </c>
      <c r="AP527" s="709" t="s">
        <v>7603</v>
      </c>
      <c r="AQ527" s="552" t="s">
        <v>1186</v>
      </c>
      <c r="AR527" s="552" t="s">
        <v>2809</v>
      </c>
      <c r="AS527" s="552" t="s">
        <v>7484</v>
      </c>
      <c r="AT527" s="552" t="s">
        <v>726</v>
      </c>
    </row>
    <row r="528" spans="1:46" ht="14.7" customHeight="1">
      <c r="A528" s="710" t="s">
        <v>7604</v>
      </c>
      <c r="B528" s="344" t="s">
        <v>3699</v>
      </c>
      <c r="C528" s="539" t="s">
        <v>6869</v>
      </c>
      <c r="D528" s="709" t="s">
        <v>7605</v>
      </c>
      <c r="E528" s="552" t="s">
        <v>6871</v>
      </c>
      <c r="F528" s="552" t="s">
        <v>7363</v>
      </c>
      <c r="G528" s="552" t="s">
        <v>7578</v>
      </c>
      <c r="H528" s="552"/>
      <c r="I528" s="552"/>
      <c r="J528" s="709" t="s">
        <v>7591</v>
      </c>
      <c r="K528" s="709"/>
      <c r="L528" s="552"/>
      <c r="M528" s="552"/>
      <c r="N528" s="552"/>
      <c r="O528" s="552"/>
      <c r="P528" s="552"/>
      <c r="Q528" s="552"/>
      <c r="R528" s="552"/>
      <c r="S528" s="552"/>
      <c r="T528" s="552"/>
      <c r="U528" s="552"/>
      <c r="V528" s="552"/>
      <c r="W528" s="552"/>
      <c r="X528" s="552"/>
      <c r="Y528" s="552"/>
      <c r="Z528" s="552"/>
      <c r="AA528" s="552"/>
      <c r="AB528" s="552"/>
      <c r="AC528" s="552"/>
      <c r="AD528" s="552"/>
      <c r="AE528" s="552"/>
      <c r="AF528" s="552"/>
      <c r="AG528" s="552"/>
      <c r="AH528" s="552"/>
      <c r="AI528" s="552"/>
      <c r="AJ528" s="552"/>
      <c r="AK528" s="552"/>
      <c r="AL528" s="552"/>
      <c r="AM528" s="552"/>
      <c r="AN528" s="552"/>
      <c r="AO528" s="552"/>
      <c r="AP528" s="709" t="s">
        <v>7606</v>
      </c>
      <c r="AQ528" s="552" t="s">
        <v>1186</v>
      </c>
      <c r="AR528" s="552" t="s">
        <v>2809</v>
      </c>
      <c r="AS528" s="552" t="s">
        <v>7484</v>
      </c>
      <c r="AT528" s="552" t="s">
        <v>726</v>
      </c>
    </row>
    <row r="529" spans="1:46" ht="14.7" customHeight="1">
      <c r="A529" s="710" t="s">
        <v>6293</v>
      </c>
      <c r="B529" s="344" t="s">
        <v>3699</v>
      </c>
      <c r="C529" s="539" t="s">
        <v>6869</v>
      </c>
      <c r="D529" s="709" t="s">
        <v>7607</v>
      </c>
      <c r="E529" s="552" t="s">
        <v>6871</v>
      </c>
      <c r="F529" s="552" t="s">
        <v>7363</v>
      </c>
      <c r="G529" s="552" t="s">
        <v>7578</v>
      </c>
      <c r="H529" s="552"/>
      <c r="I529" s="552"/>
      <c r="J529" s="709" t="s">
        <v>7608</v>
      </c>
      <c r="K529" s="709"/>
      <c r="L529" s="709"/>
      <c r="M529" s="709"/>
      <c r="N529" s="552"/>
      <c r="O529" s="552"/>
      <c r="P529" s="552"/>
      <c r="Q529" s="552"/>
      <c r="R529" s="552"/>
      <c r="S529" s="552"/>
      <c r="T529" s="552"/>
      <c r="U529" s="552"/>
      <c r="V529" s="552"/>
      <c r="W529" s="552"/>
      <c r="X529" s="552"/>
      <c r="Y529" s="552"/>
      <c r="Z529" s="552"/>
      <c r="AA529" s="552"/>
      <c r="AB529" s="552"/>
      <c r="AC529" s="552"/>
      <c r="AD529" s="552"/>
      <c r="AE529" s="552"/>
      <c r="AF529" s="552"/>
      <c r="AG529" s="552"/>
      <c r="AH529" s="552"/>
      <c r="AI529" s="552"/>
      <c r="AJ529" s="552"/>
      <c r="AK529" s="552"/>
      <c r="AL529" s="552"/>
      <c r="AM529" s="552"/>
      <c r="AN529" s="552"/>
      <c r="AO529" s="713" t="s">
        <v>7609</v>
      </c>
      <c r="AP529" s="552"/>
      <c r="AQ529" s="552" t="s">
        <v>1186</v>
      </c>
      <c r="AR529" s="552" t="s">
        <v>2809</v>
      </c>
      <c r="AS529" s="552" t="s">
        <v>7484</v>
      </c>
      <c r="AT529" s="552" t="s">
        <v>726</v>
      </c>
    </row>
    <row r="530" spans="1:46" ht="14.7" customHeight="1">
      <c r="A530" s="706"/>
      <c r="B530" s="344" t="s">
        <v>3699</v>
      </c>
      <c r="C530" s="539" t="s">
        <v>6869</v>
      </c>
      <c r="D530" s="539" t="s">
        <v>2783</v>
      </c>
      <c r="E530" s="539"/>
      <c r="F530" s="539"/>
      <c r="G530" s="539"/>
      <c r="H530" s="552"/>
      <c r="I530" s="552"/>
      <c r="J530" s="552"/>
      <c r="K530" s="552"/>
      <c r="L530" s="552"/>
      <c r="M530" s="552"/>
      <c r="N530" s="552"/>
      <c r="O530" s="552"/>
      <c r="P530" s="552"/>
      <c r="Q530" s="552"/>
      <c r="R530" s="552"/>
      <c r="S530" s="552"/>
      <c r="T530" s="552"/>
      <c r="U530" s="552"/>
      <c r="V530" s="552"/>
      <c r="W530" s="552"/>
      <c r="X530" s="552"/>
      <c r="Y530" s="552"/>
      <c r="Z530" s="552"/>
      <c r="AA530" s="552"/>
      <c r="AB530" s="552"/>
      <c r="AC530" s="552"/>
      <c r="AD530" s="552"/>
      <c r="AE530" s="552"/>
      <c r="AF530" s="552"/>
      <c r="AG530" s="552"/>
      <c r="AH530" s="552"/>
      <c r="AI530" s="552"/>
      <c r="AJ530" s="552"/>
      <c r="AK530" s="552"/>
      <c r="AL530" s="552"/>
      <c r="AM530" s="552"/>
      <c r="AN530" s="552"/>
      <c r="AO530" s="552"/>
      <c r="AP530" s="552"/>
      <c r="AQ530" s="552" t="s">
        <v>1186</v>
      </c>
      <c r="AR530" s="552" t="s">
        <v>2809</v>
      </c>
      <c r="AS530" s="552" t="s">
        <v>7484</v>
      </c>
      <c r="AT530" s="552" t="s">
        <v>726</v>
      </c>
    </row>
    <row r="531" spans="1:46" ht="14.7" customHeight="1">
      <c r="A531" s="706"/>
      <c r="B531" s="559" t="s">
        <v>3700</v>
      </c>
      <c r="C531" s="539" t="s">
        <v>6869</v>
      </c>
      <c r="D531" s="539" t="s">
        <v>2783</v>
      </c>
      <c r="E531" s="539"/>
      <c r="F531" s="539"/>
      <c r="G531" s="539"/>
      <c r="H531" s="552"/>
      <c r="I531" s="552"/>
      <c r="J531" s="552"/>
      <c r="K531" s="552"/>
      <c r="L531" s="552"/>
      <c r="M531" s="552"/>
      <c r="N531" s="552"/>
      <c r="O531" s="552"/>
      <c r="P531" s="552"/>
      <c r="Q531" s="552"/>
      <c r="R531" s="552"/>
      <c r="S531" s="552"/>
      <c r="T531" s="552"/>
      <c r="U531" s="552"/>
      <c r="V531" s="552"/>
      <c r="W531" s="552"/>
      <c r="X531" s="552"/>
      <c r="Y531" s="552"/>
      <c r="Z531" s="552"/>
      <c r="AA531" s="552"/>
      <c r="AB531" s="552"/>
      <c r="AC531" s="552"/>
      <c r="AD531" s="552"/>
      <c r="AE531" s="552"/>
      <c r="AF531" s="552"/>
      <c r="AG531" s="552"/>
      <c r="AH531" s="552"/>
      <c r="AI531" s="552"/>
      <c r="AJ531" s="552"/>
      <c r="AK531" s="552"/>
      <c r="AL531" s="552"/>
      <c r="AM531" s="552"/>
      <c r="AN531" s="552"/>
      <c r="AO531" s="552"/>
      <c r="AP531" s="552"/>
      <c r="AQ531" s="552" t="s">
        <v>1186</v>
      </c>
      <c r="AR531" s="552" t="s">
        <v>2971</v>
      </c>
      <c r="AS531" s="552" t="s">
        <v>7484</v>
      </c>
      <c r="AT531" s="552" t="s">
        <v>726</v>
      </c>
    </row>
    <row r="532" spans="1:46" ht="14.7" customHeight="1">
      <c r="A532" s="706"/>
      <c r="B532" s="559" t="s">
        <v>3700</v>
      </c>
      <c r="C532" s="539" t="s">
        <v>6869</v>
      </c>
      <c r="D532" s="539" t="s">
        <v>2783</v>
      </c>
      <c r="E532" s="539"/>
      <c r="F532" s="539"/>
      <c r="G532" s="539"/>
      <c r="H532" s="552"/>
      <c r="I532" s="552"/>
      <c r="J532" s="552"/>
      <c r="K532" s="552"/>
      <c r="L532" s="552"/>
      <c r="M532" s="552"/>
      <c r="N532" s="552"/>
      <c r="O532" s="552"/>
      <c r="P532" s="552"/>
      <c r="Q532" s="552"/>
      <c r="R532" s="552"/>
      <c r="S532" s="552"/>
      <c r="T532" s="552"/>
      <c r="U532" s="552"/>
      <c r="V532" s="552"/>
      <c r="W532" s="552"/>
      <c r="X532" s="552"/>
      <c r="Y532" s="552"/>
      <c r="Z532" s="552"/>
      <c r="AA532" s="552"/>
      <c r="AB532" s="552"/>
      <c r="AC532" s="552"/>
      <c r="AD532" s="552"/>
      <c r="AE532" s="552"/>
      <c r="AF532" s="552"/>
      <c r="AG532" s="552"/>
      <c r="AH532" s="552"/>
      <c r="AI532" s="552"/>
      <c r="AJ532" s="552"/>
      <c r="AK532" s="552"/>
      <c r="AL532" s="552"/>
      <c r="AM532" s="552"/>
      <c r="AN532" s="552"/>
      <c r="AO532" s="552"/>
      <c r="AP532" s="552"/>
      <c r="AQ532" s="552" t="s">
        <v>1186</v>
      </c>
      <c r="AR532" s="552" t="s">
        <v>2971</v>
      </c>
      <c r="AS532" s="552" t="s">
        <v>7484</v>
      </c>
      <c r="AT532" s="552" t="s">
        <v>726</v>
      </c>
    </row>
    <row r="533" spans="1:46" ht="14.7" customHeight="1">
      <c r="A533" s="706"/>
      <c r="B533" s="711" t="s">
        <v>6055</v>
      </c>
      <c r="C533" s="539" t="s">
        <v>6869</v>
      </c>
      <c r="D533" s="539"/>
      <c r="E533" s="552"/>
      <c r="F533" s="552"/>
      <c r="G533" s="552"/>
      <c r="H533" s="552"/>
      <c r="I533" s="552"/>
      <c r="J533" s="552"/>
      <c r="K533" s="552"/>
      <c r="L533" s="552"/>
      <c r="M533" s="552"/>
      <c r="N533" s="552"/>
      <c r="O533" s="552"/>
      <c r="P533" s="552"/>
      <c r="Q533" s="552"/>
      <c r="R533" s="552"/>
      <c r="S533" s="552"/>
      <c r="T533" s="552"/>
      <c r="U533" s="552"/>
      <c r="V533" s="552"/>
      <c r="W533" s="552"/>
      <c r="X533" s="552"/>
      <c r="Y533" s="552"/>
      <c r="Z533" s="552"/>
      <c r="AA533" s="552"/>
      <c r="AB533" s="552"/>
      <c r="AC533" s="552"/>
      <c r="AD533" s="552"/>
      <c r="AE533" s="552"/>
      <c r="AF533" s="552"/>
      <c r="AG533" s="552"/>
      <c r="AH533" s="552"/>
      <c r="AI533" s="552"/>
      <c r="AJ533" s="552"/>
      <c r="AK533" s="552"/>
      <c r="AL533" s="552"/>
      <c r="AM533" s="552"/>
      <c r="AN533" s="552"/>
      <c r="AO533" s="552"/>
      <c r="AP533" s="552"/>
      <c r="AQ533" s="552" t="s">
        <v>1186</v>
      </c>
      <c r="AR533" s="552" t="s">
        <v>6697</v>
      </c>
      <c r="AS533" s="552" t="s">
        <v>7484</v>
      </c>
      <c r="AT533" s="552" t="s">
        <v>726</v>
      </c>
    </row>
    <row r="534" spans="1:46" ht="14.7" customHeight="1">
      <c r="A534" s="706" t="s">
        <v>6294</v>
      </c>
      <c r="B534" s="540" t="s">
        <v>3695</v>
      </c>
      <c r="C534" s="539" t="s">
        <v>7610</v>
      </c>
      <c r="D534" s="709" t="s">
        <v>7611</v>
      </c>
      <c r="E534" s="552" t="s">
        <v>6871</v>
      </c>
      <c r="F534" s="552" t="s">
        <v>726</v>
      </c>
      <c r="G534" s="552" t="s">
        <v>7612</v>
      </c>
      <c r="H534" s="552"/>
      <c r="I534" s="552"/>
      <c r="J534" s="552"/>
      <c r="K534" s="552"/>
      <c r="L534" s="552"/>
      <c r="M534" s="552"/>
      <c r="N534" s="552"/>
      <c r="O534" s="552"/>
      <c r="P534" s="552"/>
      <c r="Q534" s="552"/>
      <c r="R534" s="552">
        <v>5</v>
      </c>
      <c r="S534" s="552"/>
      <c r="T534" s="552"/>
      <c r="U534" s="552"/>
      <c r="V534" s="552"/>
      <c r="W534" s="552"/>
      <c r="X534" s="552"/>
      <c r="Y534" s="552"/>
      <c r="Z534" s="552"/>
      <c r="AA534" s="552"/>
      <c r="AB534" s="552"/>
      <c r="AC534" s="552"/>
      <c r="AD534" s="552"/>
      <c r="AE534" s="552"/>
      <c r="AF534" s="552"/>
      <c r="AG534" s="552"/>
      <c r="AH534" s="552"/>
      <c r="AI534" s="552"/>
      <c r="AJ534" s="552"/>
      <c r="AK534" s="552"/>
      <c r="AL534" s="552"/>
      <c r="AM534" s="552"/>
      <c r="AN534" s="552"/>
      <c r="AO534" s="552"/>
      <c r="AP534" s="552"/>
      <c r="AQ534" s="552" t="s">
        <v>1186</v>
      </c>
      <c r="AR534" s="552" t="s">
        <v>2802</v>
      </c>
      <c r="AS534" s="552" t="s">
        <v>7484</v>
      </c>
      <c r="AT534" s="552" t="s">
        <v>726</v>
      </c>
    </row>
    <row r="535" spans="1:46" ht="14.7" customHeight="1">
      <c r="A535" s="706"/>
      <c r="B535" s="540" t="s">
        <v>3695</v>
      </c>
      <c r="C535" s="539" t="s">
        <v>7610</v>
      </c>
      <c r="D535" s="539" t="s">
        <v>2783</v>
      </c>
      <c r="E535" s="539"/>
      <c r="F535" s="539"/>
      <c r="G535" s="539"/>
      <c r="H535" s="552"/>
      <c r="I535" s="552"/>
      <c r="J535" s="552"/>
      <c r="K535" s="552"/>
      <c r="L535" s="552"/>
      <c r="M535" s="552"/>
      <c r="N535" s="552"/>
      <c r="O535" s="552"/>
      <c r="P535" s="552"/>
      <c r="Q535" s="552"/>
      <c r="R535" s="552"/>
      <c r="S535" s="552"/>
      <c r="T535" s="552"/>
      <c r="U535" s="552"/>
      <c r="V535" s="552"/>
      <c r="W535" s="552"/>
      <c r="X535" s="552"/>
      <c r="Y535" s="552"/>
      <c r="Z535" s="552"/>
      <c r="AA535" s="552"/>
      <c r="AB535" s="552"/>
      <c r="AC535" s="552"/>
      <c r="AD535" s="552"/>
      <c r="AE535" s="552"/>
      <c r="AF535" s="552"/>
      <c r="AG535" s="552"/>
      <c r="AH535" s="552"/>
      <c r="AI535" s="552"/>
      <c r="AJ535" s="552"/>
      <c r="AK535" s="552"/>
      <c r="AL535" s="552"/>
      <c r="AM535" s="552"/>
      <c r="AN535" s="552"/>
      <c r="AO535" s="552"/>
      <c r="AP535" s="552"/>
      <c r="AQ535" s="552" t="s">
        <v>1186</v>
      </c>
      <c r="AR535" s="552" t="s">
        <v>2802</v>
      </c>
      <c r="AS535" s="552" t="s">
        <v>7484</v>
      </c>
      <c r="AT535" s="552" t="s">
        <v>726</v>
      </c>
    </row>
    <row r="536" spans="1:46" ht="14.7" customHeight="1">
      <c r="A536" s="706" t="s">
        <v>6295</v>
      </c>
      <c r="B536" s="707" t="s">
        <v>3696</v>
      </c>
      <c r="C536" s="539" t="s">
        <v>7610</v>
      </c>
      <c r="D536" s="709" t="s">
        <v>7613</v>
      </c>
      <c r="E536" s="552" t="s">
        <v>6871</v>
      </c>
      <c r="F536" s="552" t="s">
        <v>726</v>
      </c>
      <c r="G536" s="552" t="s">
        <v>7612</v>
      </c>
      <c r="H536" s="552"/>
      <c r="I536" s="552"/>
      <c r="J536" s="552"/>
      <c r="K536" s="552"/>
      <c r="L536" s="552"/>
      <c r="M536" s="552"/>
      <c r="N536" s="552"/>
      <c r="O536" s="552">
        <v>80</v>
      </c>
      <c r="P536" s="552"/>
      <c r="Q536" s="552"/>
      <c r="R536" s="552"/>
      <c r="S536" s="552"/>
      <c r="T536" s="552"/>
      <c r="U536" s="552"/>
      <c r="V536" s="552"/>
      <c r="W536" s="552"/>
      <c r="X536" s="552"/>
      <c r="Y536" s="552"/>
      <c r="Z536" s="552"/>
      <c r="AA536" s="552"/>
      <c r="AB536" s="552"/>
      <c r="AC536" s="552"/>
      <c r="AD536" s="552"/>
      <c r="AE536" s="552"/>
      <c r="AF536" s="552"/>
      <c r="AG536" s="552"/>
      <c r="AH536" s="552"/>
      <c r="AI536" s="552"/>
      <c r="AJ536" s="552"/>
      <c r="AK536" s="552"/>
      <c r="AL536" s="552"/>
      <c r="AM536" s="552"/>
      <c r="AN536" s="552"/>
      <c r="AO536" s="552"/>
      <c r="AP536" s="552"/>
      <c r="AQ536" s="552" t="s">
        <v>1186</v>
      </c>
      <c r="AR536" s="552" t="s">
        <v>2805</v>
      </c>
      <c r="AS536" s="552" t="s">
        <v>7484</v>
      </c>
      <c r="AT536" s="552" t="s">
        <v>726</v>
      </c>
    </row>
    <row r="537" spans="1:46" ht="14.7" customHeight="1">
      <c r="A537" s="706"/>
      <c r="B537" s="707" t="s">
        <v>3696</v>
      </c>
      <c r="C537" s="539" t="s">
        <v>7610</v>
      </c>
      <c r="D537" s="539" t="s">
        <v>2783</v>
      </c>
      <c r="E537" s="539"/>
      <c r="F537" s="539"/>
      <c r="G537" s="539"/>
      <c r="H537" s="552"/>
      <c r="I537" s="552"/>
      <c r="J537" s="552"/>
      <c r="K537" s="552"/>
      <c r="L537" s="552"/>
      <c r="M537" s="552"/>
      <c r="N537" s="552"/>
      <c r="O537" s="552"/>
      <c r="P537" s="552"/>
      <c r="Q537" s="552"/>
      <c r="R537" s="552"/>
      <c r="S537" s="552"/>
      <c r="T537" s="552"/>
      <c r="U537" s="552"/>
      <c r="V537" s="552"/>
      <c r="W537" s="552"/>
      <c r="X537" s="552"/>
      <c r="Y537" s="552"/>
      <c r="Z537" s="552"/>
      <c r="AA537" s="552"/>
      <c r="AB537" s="552"/>
      <c r="AC537" s="552"/>
      <c r="AD537" s="552"/>
      <c r="AE537" s="552"/>
      <c r="AF537" s="552"/>
      <c r="AG537" s="552"/>
      <c r="AH537" s="552"/>
      <c r="AI537" s="552"/>
      <c r="AJ537" s="552"/>
      <c r="AK537" s="552"/>
      <c r="AL537" s="552"/>
      <c r="AM537" s="552"/>
      <c r="AN537" s="552"/>
      <c r="AO537" s="552"/>
      <c r="AP537" s="552"/>
      <c r="AQ537" s="552" t="s">
        <v>1186</v>
      </c>
      <c r="AR537" s="552" t="s">
        <v>2805</v>
      </c>
      <c r="AS537" s="552" t="s">
        <v>7484</v>
      </c>
      <c r="AT537" s="552" t="s">
        <v>726</v>
      </c>
    </row>
    <row r="538" spans="1:46" ht="14.7" customHeight="1">
      <c r="A538" s="706" t="s">
        <v>6296</v>
      </c>
      <c r="B538" s="556" t="s">
        <v>3697</v>
      </c>
      <c r="C538" s="539" t="s">
        <v>7610</v>
      </c>
      <c r="D538" s="709" t="s">
        <v>7614</v>
      </c>
      <c r="E538" s="552" t="s">
        <v>6871</v>
      </c>
      <c r="F538" s="552" t="s">
        <v>726</v>
      </c>
      <c r="G538" s="552" t="s">
        <v>7612</v>
      </c>
      <c r="H538" s="552"/>
      <c r="I538" s="552"/>
      <c r="J538" s="552"/>
      <c r="K538" s="552"/>
      <c r="L538" s="552"/>
      <c r="M538" s="552"/>
      <c r="N538" s="552"/>
      <c r="O538" s="552"/>
      <c r="P538" s="552"/>
      <c r="Q538" s="552"/>
      <c r="R538" s="552"/>
      <c r="S538" s="552"/>
      <c r="T538" s="552"/>
      <c r="U538" s="552"/>
      <c r="V538" s="552"/>
      <c r="W538" s="552"/>
      <c r="X538" s="552"/>
      <c r="Y538" s="552"/>
      <c r="Z538" s="552"/>
      <c r="AA538" s="552"/>
      <c r="AB538" s="552"/>
      <c r="AC538" s="552"/>
      <c r="AD538" s="552"/>
      <c r="AE538" s="552"/>
      <c r="AF538" s="552"/>
      <c r="AG538" s="552"/>
      <c r="AH538" s="552"/>
      <c r="AI538" s="552"/>
      <c r="AJ538" s="552"/>
      <c r="AK538" s="552"/>
      <c r="AL538" s="552"/>
      <c r="AM538" s="552"/>
      <c r="AN538" s="552"/>
      <c r="AO538" s="709" t="s">
        <v>7615</v>
      </c>
      <c r="AP538" s="709"/>
      <c r="AQ538" s="552" t="s">
        <v>1186</v>
      </c>
      <c r="AR538" s="552" t="s">
        <v>2875</v>
      </c>
      <c r="AS538" s="552" t="s">
        <v>7484</v>
      </c>
      <c r="AT538" s="552" t="s">
        <v>726</v>
      </c>
    </row>
    <row r="539" spans="1:46" ht="14.7" customHeight="1">
      <c r="A539" s="706" t="s">
        <v>6297</v>
      </c>
      <c r="B539" s="556" t="s">
        <v>3697</v>
      </c>
      <c r="C539" s="539" t="s">
        <v>7610</v>
      </c>
      <c r="D539" s="709" t="s">
        <v>7616</v>
      </c>
      <c r="E539" s="552" t="s">
        <v>6871</v>
      </c>
      <c r="F539" s="552" t="s">
        <v>726</v>
      </c>
      <c r="G539" s="552" t="s">
        <v>7612</v>
      </c>
      <c r="H539" s="552"/>
      <c r="I539" s="552"/>
      <c r="J539" s="552"/>
      <c r="K539" s="552"/>
      <c r="L539" s="552"/>
      <c r="M539" s="552"/>
      <c r="N539" s="552"/>
      <c r="O539" s="552"/>
      <c r="P539" s="552"/>
      <c r="Q539" s="552"/>
      <c r="R539" s="552"/>
      <c r="S539" s="552"/>
      <c r="T539" s="552"/>
      <c r="U539" s="552"/>
      <c r="V539" s="552"/>
      <c r="W539" s="552"/>
      <c r="X539" s="552"/>
      <c r="Y539" s="552"/>
      <c r="Z539" s="552"/>
      <c r="AA539" s="552"/>
      <c r="AB539" s="552"/>
      <c r="AC539" s="552"/>
      <c r="AD539" s="552"/>
      <c r="AE539" s="552"/>
      <c r="AF539" s="552"/>
      <c r="AG539" s="552"/>
      <c r="AH539" s="552"/>
      <c r="AI539" s="552"/>
      <c r="AJ539" s="552"/>
      <c r="AK539" s="552"/>
      <c r="AL539" s="552"/>
      <c r="AM539" s="552"/>
      <c r="AN539" s="552"/>
      <c r="AO539" s="709" t="s">
        <v>7617</v>
      </c>
      <c r="AP539" s="709"/>
      <c r="AQ539" s="552" t="s">
        <v>1186</v>
      </c>
      <c r="AR539" s="552" t="s">
        <v>2875</v>
      </c>
      <c r="AS539" s="552" t="s">
        <v>7484</v>
      </c>
      <c r="AT539" s="552" t="s">
        <v>726</v>
      </c>
    </row>
    <row r="540" spans="1:46" ht="14.7" customHeight="1">
      <c r="A540" s="706"/>
      <c r="B540" s="556" t="s">
        <v>3697</v>
      </c>
      <c r="C540" s="539" t="s">
        <v>7610</v>
      </c>
      <c r="D540" s="539" t="s">
        <v>2783</v>
      </c>
      <c r="E540" s="539"/>
      <c r="F540" s="539"/>
      <c r="G540" s="539"/>
      <c r="H540" s="552"/>
      <c r="I540" s="552"/>
      <c r="J540" s="552"/>
      <c r="K540" s="552"/>
      <c r="L540" s="552"/>
      <c r="M540" s="552"/>
      <c r="N540" s="552"/>
      <c r="O540" s="552"/>
      <c r="P540" s="552"/>
      <c r="Q540" s="552"/>
      <c r="R540" s="552"/>
      <c r="S540" s="552"/>
      <c r="T540" s="552"/>
      <c r="U540" s="552"/>
      <c r="V540" s="552"/>
      <c r="W540" s="552"/>
      <c r="X540" s="552"/>
      <c r="Y540" s="552"/>
      <c r="Z540" s="552"/>
      <c r="AA540" s="552"/>
      <c r="AB540" s="552"/>
      <c r="AC540" s="552"/>
      <c r="AD540" s="552"/>
      <c r="AE540" s="552"/>
      <c r="AF540" s="552"/>
      <c r="AG540" s="552"/>
      <c r="AH540" s="552"/>
      <c r="AI540" s="552"/>
      <c r="AJ540" s="552"/>
      <c r="AK540" s="552"/>
      <c r="AL540" s="552"/>
      <c r="AM540" s="552"/>
      <c r="AN540" s="552"/>
      <c r="AO540" s="552"/>
      <c r="AP540" s="552"/>
      <c r="AQ540" s="552" t="s">
        <v>1186</v>
      </c>
      <c r="AR540" s="552" t="s">
        <v>2875</v>
      </c>
      <c r="AS540" s="552" t="s">
        <v>7484</v>
      </c>
      <c r="AT540" s="552" t="s">
        <v>726</v>
      </c>
    </row>
    <row r="541" spans="1:46" ht="14.7" customHeight="1">
      <c r="A541" s="710" t="s">
        <v>7618</v>
      </c>
      <c r="B541" s="557" t="s">
        <v>3698</v>
      </c>
      <c r="C541" s="539" t="s">
        <v>7610</v>
      </c>
      <c r="D541" s="709" t="s">
        <v>7619</v>
      </c>
      <c r="E541" s="552" t="s">
        <v>6871</v>
      </c>
      <c r="F541" s="552" t="s">
        <v>726</v>
      </c>
      <c r="G541" s="552" t="s">
        <v>7612</v>
      </c>
      <c r="H541" s="552"/>
      <c r="I541" s="552"/>
      <c r="J541" s="552"/>
      <c r="K541" s="552"/>
      <c r="L541" s="552"/>
      <c r="M541" s="552"/>
      <c r="N541" s="552"/>
      <c r="O541" s="552"/>
      <c r="P541" s="552"/>
      <c r="Q541" s="552"/>
      <c r="R541" s="552"/>
      <c r="S541" s="552"/>
      <c r="T541" s="552"/>
      <c r="U541" s="552"/>
      <c r="V541" s="552"/>
      <c r="W541" s="552"/>
      <c r="X541" s="552"/>
      <c r="Y541" s="552"/>
      <c r="Z541" s="552"/>
      <c r="AA541" s="552"/>
      <c r="AB541" s="552"/>
      <c r="AC541" s="552"/>
      <c r="AD541" s="552"/>
      <c r="AE541" s="552"/>
      <c r="AF541" s="552"/>
      <c r="AG541" s="552"/>
      <c r="AH541" s="552"/>
      <c r="AI541" s="552"/>
      <c r="AJ541" s="552"/>
      <c r="AK541" s="552"/>
      <c r="AL541" s="552"/>
      <c r="AM541" s="552"/>
      <c r="AN541" s="552"/>
      <c r="AO541" s="552"/>
      <c r="AP541" s="713" t="s">
        <v>7620</v>
      </c>
      <c r="AQ541" s="552" t="s">
        <v>1186</v>
      </c>
      <c r="AR541" s="552" t="s">
        <v>2998</v>
      </c>
      <c r="AS541" s="552" t="s">
        <v>7484</v>
      </c>
      <c r="AT541" s="552" t="s">
        <v>726</v>
      </c>
    </row>
    <row r="542" spans="1:46" ht="14.7" customHeight="1">
      <c r="A542" s="706" t="s">
        <v>6298</v>
      </c>
      <c r="B542" s="557" t="s">
        <v>3698</v>
      </c>
      <c r="C542" s="539" t="s">
        <v>7610</v>
      </c>
      <c r="D542" s="709" t="s">
        <v>7621</v>
      </c>
      <c r="E542" s="552" t="s">
        <v>6871</v>
      </c>
      <c r="F542" s="552" t="s">
        <v>726</v>
      </c>
      <c r="G542" s="552" t="s">
        <v>7612</v>
      </c>
      <c r="H542" s="552"/>
      <c r="I542" s="552"/>
      <c r="J542" s="552"/>
      <c r="K542" s="552"/>
      <c r="L542" s="552"/>
      <c r="M542" s="552"/>
      <c r="N542" s="552"/>
      <c r="O542" s="552"/>
      <c r="P542" s="552"/>
      <c r="Q542" s="552"/>
      <c r="R542" s="552">
        <v>8</v>
      </c>
      <c r="S542" s="552"/>
      <c r="T542" s="552"/>
      <c r="U542" s="552"/>
      <c r="V542" s="552"/>
      <c r="W542" s="552"/>
      <c r="X542" s="552"/>
      <c r="Y542" s="552"/>
      <c r="Z542" s="552"/>
      <c r="AA542" s="552"/>
      <c r="AB542" s="552"/>
      <c r="AC542" s="552"/>
      <c r="AD542" s="552"/>
      <c r="AE542" s="552"/>
      <c r="AF542" s="552"/>
      <c r="AG542" s="552"/>
      <c r="AH542" s="552"/>
      <c r="AI542" s="552"/>
      <c r="AJ542" s="552"/>
      <c r="AK542" s="552"/>
      <c r="AL542" s="552"/>
      <c r="AM542" s="552"/>
      <c r="AN542" s="552"/>
      <c r="AO542" s="709" t="s">
        <v>7622</v>
      </c>
      <c r="AP542" s="709"/>
      <c r="AQ542" s="552" t="s">
        <v>1186</v>
      </c>
      <c r="AR542" s="552" t="s">
        <v>2998</v>
      </c>
      <c r="AS542" s="552" t="s">
        <v>7484</v>
      </c>
      <c r="AT542" s="552" t="s">
        <v>726</v>
      </c>
    </row>
    <row r="543" spans="1:46" ht="14.7" customHeight="1">
      <c r="A543" s="706"/>
      <c r="B543" s="557" t="s">
        <v>3698</v>
      </c>
      <c r="C543" s="539" t="s">
        <v>7610</v>
      </c>
      <c r="D543" s="539" t="s">
        <v>2783</v>
      </c>
      <c r="E543" s="539"/>
      <c r="F543" s="539"/>
      <c r="G543" s="539"/>
      <c r="H543" s="552"/>
      <c r="I543" s="552"/>
      <c r="J543" s="552"/>
      <c r="K543" s="552"/>
      <c r="L543" s="552"/>
      <c r="M543" s="552"/>
      <c r="N543" s="552"/>
      <c r="O543" s="552"/>
      <c r="P543" s="552"/>
      <c r="Q543" s="552"/>
      <c r="R543" s="552"/>
      <c r="S543" s="552"/>
      <c r="T543" s="552"/>
      <c r="U543" s="552"/>
      <c r="V543" s="552"/>
      <c r="W543" s="552"/>
      <c r="X543" s="552"/>
      <c r="Y543" s="552"/>
      <c r="Z543" s="552"/>
      <c r="AA543" s="552"/>
      <c r="AB543" s="552"/>
      <c r="AC543" s="552"/>
      <c r="AD543" s="552"/>
      <c r="AE543" s="552"/>
      <c r="AF543" s="552"/>
      <c r="AG543" s="552"/>
      <c r="AH543" s="552"/>
      <c r="AI543" s="552"/>
      <c r="AJ543" s="552"/>
      <c r="AK543" s="552"/>
      <c r="AL543" s="552"/>
      <c r="AM543" s="552"/>
      <c r="AN543" s="552"/>
      <c r="AO543" s="552"/>
      <c r="AP543" s="552"/>
      <c r="AQ543" s="552" t="s">
        <v>1186</v>
      </c>
      <c r="AR543" s="552" t="s">
        <v>2998</v>
      </c>
      <c r="AS543" s="552" t="s">
        <v>7484</v>
      </c>
      <c r="AT543" s="552" t="s">
        <v>726</v>
      </c>
    </row>
    <row r="544" spans="1:46" ht="14.7" customHeight="1">
      <c r="A544" s="706"/>
      <c r="B544" s="557" t="s">
        <v>3698</v>
      </c>
      <c r="C544" s="539" t="s">
        <v>7610</v>
      </c>
      <c r="D544" s="539" t="s">
        <v>2783</v>
      </c>
      <c r="E544" s="539"/>
      <c r="F544" s="539"/>
      <c r="G544" s="539"/>
      <c r="H544" s="552"/>
      <c r="I544" s="552"/>
      <c r="J544" s="552"/>
      <c r="K544" s="552"/>
      <c r="L544" s="552"/>
      <c r="M544" s="552"/>
      <c r="N544" s="552"/>
      <c r="O544" s="552"/>
      <c r="P544" s="552"/>
      <c r="Q544" s="552"/>
      <c r="R544" s="552"/>
      <c r="S544" s="552"/>
      <c r="T544" s="552"/>
      <c r="U544" s="552"/>
      <c r="V544" s="552"/>
      <c r="W544" s="552"/>
      <c r="X544" s="552"/>
      <c r="Y544" s="552"/>
      <c r="Z544" s="552"/>
      <c r="AA544" s="552"/>
      <c r="AB544" s="552"/>
      <c r="AC544" s="552"/>
      <c r="AD544" s="552"/>
      <c r="AE544" s="552"/>
      <c r="AF544" s="552"/>
      <c r="AG544" s="552"/>
      <c r="AH544" s="552"/>
      <c r="AI544" s="552"/>
      <c r="AJ544" s="552"/>
      <c r="AK544" s="552"/>
      <c r="AL544" s="552"/>
      <c r="AM544" s="552"/>
      <c r="AN544" s="552"/>
      <c r="AO544" s="552"/>
      <c r="AP544" s="552"/>
      <c r="AQ544" s="552" t="s">
        <v>1186</v>
      </c>
      <c r="AR544" s="552" t="s">
        <v>2998</v>
      </c>
      <c r="AS544" s="552" t="s">
        <v>7484</v>
      </c>
      <c r="AT544" s="552" t="s">
        <v>726</v>
      </c>
    </row>
    <row r="545" spans="1:46" ht="14.7" customHeight="1">
      <c r="A545" s="706" t="s">
        <v>6299</v>
      </c>
      <c r="B545" s="344" t="s">
        <v>3699</v>
      </c>
      <c r="C545" s="539" t="s">
        <v>7610</v>
      </c>
      <c r="D545" s="709" t="s">
        <v>7623</v>
      </c>
      <c r="E545" s="552" t="s">
        <v>6871</v>
      </c>
      <c r="F545" s="552" t="s">
        <v>726</v>
      </c>
      <c r="G545" s="552" t="s">
        <v>7612</v>
      </c>
      <c r="H545" s="552"/>
      <c r="I545" s="552"/>
      <c r="J545" s="552"/>
      <c r="K545" s="552"/>
      <c r="L545" s="552"/>
      <c r="M545" s="552"/>
      <c r="N545" s="552"/>
      <c r="O545" s="552"/>
      <c r="P545" s="552"/>
      <c r="Q545" s="552"/>
      <c r="R545" s="552"/>
      <c r="S545" s="552"/>
      <c r="T545" s="552"/>
      <c r="U545" s="552"/>
      <c r="V545" s="552"/>
      <c r="W545" s="552"/>
      <c r="X545" s="552"/>
      <c r="Y545" s="552"/>
      <c r="Z545" s="552"/>
      <c r="AA545" s="552"/>
      <c r="AB545" s="552"/>
      <c r="AC545" s="552"/>
      <c r="AD545" s="552"/>
      <c r="AE545" s="552"/>
      <c r="AF545" s="552"/>
      <c r="AG545" s="552"/>
      <c r="AH545" s="552"/>
      <c r="AI545" s="552"/>
      <c r="AJ545" s="552"/>
      <c r="AK545" s="552"/>
      <c r="AL545" s="552"/>
      <c r="AM545" s="552"/>
      <c r="AN545" s="552"/>
      <c r="AO545" s="709" t="s">
        <v>7624</v>
      </c>
      <c r="AP545" s="709"/>
      <c r="AQ545" s="552" t="s">
        <v>1186</v>
      </c>
      <c r="AR545" s="552" t="s">
        <v>2809</v>
      </c>
      <c r="AS545" s="552" t="s">
        <v>7484</v>
      </c>
      <c r="AT545" s="552" t="s">
        <v>726</v>
      </c>
    </row>
    <row r="546" spans="1:46" ht="14.7" customHeight="1">
      <c r="A546" s="710" t="s">
        <v>6300</v>
      </c>
      <c r="B546" s="344" t="s">
        <v>3699</v>
      </c>
      <c r="C546" s="539" t="s">
        <v>7610</v>
      </c>
      <c r="D546" s="709" t="s">
        <v>7625</v>
      </c>
      <c r="E546" s="552" t="s">
        <v>6871</v>
      </c>
      <c r="F546" s="552" t="s">
        <v>726</v>
      </c>
      <c r="G546" s="552" t="s">
        <v>7612</v>
      </c>
      <c r="H546" s="552"/>
      <c r="I546" s="552"/>
      <c r="J546" s="552"/>
      <c r="K546" s="552"/>
      <c r="L546" s="552"/>
      <c r="M546" s="552"/>
      <c r="N546" s="552"/>
      <c r="O546" s="552"/>
      <c r="P546" s="552"/>
      <c r="Q546" s="552"/>
      <c r="R546" s="552"/>
      <c r="S546" s="552"/>
      <c r="T546" s="552"/>
      <c r="U546" s="552"/>
      <c r="V546" s="552"/>
      <c r="W546" s="552"/>
      <c r="X546" s="552"/>
      <c r="Y546" s="552"/>
      <c r="Z546" s="552"/>
      <c r="AA546" s="552"/>
      <c r="AB546" s="552"/>
      <c r="AC546" s="552"/>
      <c r="AD546" s="552"/>
      <c r="AE546" s="552"/>
      <c r="AF546" s="552"/>
      <c r="AG546" s="552"/>
      <c r="AH546" s="552"/>
      <c r="AI546" s="552"/>
      <c r="AJ546" s="552"/>
      <c r="AK546" s="552"/>
      <c r="AL546" s="552"/>
      <c r="AM546" s="552"/>
      <c r="AN546" s="552"/>
      <c r="AO546" s="713" t="s">
        <v>7626</v>
      </c>
      <c r="AP546" s="713" t="s">
        <v>7627</v>
      </c>
      <c r="AQ546" s="552" t="s">
        <v>1186</v>
      </c>
      <c r="AR546" s="552" t="s">
        <v>2809</v>
      </c>
      <c r="AS546" s="552" t="s">
        <v>7484</v>
      </c>
      <c r="AT546" s="552" t="s">
        <v>726</v>
      </c>
    </row>
    <row r="547" spans="1:46" ht="14.7" customHeight="1">
      <c r="A547" s="710" t="s">
        <v>9123</v>
      </c>
      <c r="B547" s="344" t="s">
        <v>3699</v>
      </c>
      <c r="C547" s="539" t="s">
        <v>7610</v>
      </c>
      <c r="D547" s="721" t="s">
        <v>7628</v>
      </c>
      <c r="E547" s="552" t="s">
        <v>6871</v>
      </c>
      <c r="F547" s="552" t="s">
        <v>726</v>
      </c>
      <c r="G547" s="552" t="s">
        <v>7612</v>
      </c>
      <c r="H547" s="722"/>
      <c r="I547" s="552"/>
      <c r="J547" s="552"/>
      <c r="K547" s="552"/>
      <c r="L547" s="552"/>
      <c r="M547" s="552"/>
      <c r="N547" s="552"/>
      <c r="O547" s="552"/>
      <c r="P547" s="552"/>
      <c r="Q547" s="552"/>
      <c r="R547" s="552"/>
      <c r="S547" s="552"/>
      <c r="T547" s="552"/>
      <c r="U547" s="552"/>
      <c r="V547" s="552"/>
      <c r="W547" s="552"/>
      <c r="X547" s="552"/>
      <c r="Y547" s="552"/>
      <c r="Z547" s="552"/>
      <c r="AA547" s="552"/>
      <c r="AB547" s="552"/>
      <c r="AC547" s="552"/>
      <c r="AD547" s="552"/>
      <c r="AE547" s="552"/>
      <c r="AF547" s="552"/>
      <c r="AG547" s="552"/>
      <c r="AH547" s="552"/>
      <c r="AI547" s="552"/>
      <c r="AJ547" s="552"/>
      <c r="AK547" s="552"/>
      <c r="AL547" s="552"/>
      <c r="AM547" s="552"/>
      <c r="AN547" s="552"/>
      <c r="AO547" s="552"/>
      <c r="AP547" s="724" t="s">
        <v>9124</v>
      </c>
      <c r="AQ547" s="552" t="s">
        <v>1186</v>
      </c>
      <c r="AR547" s="552" t="s">
        <v>2809</v>
      </c>
      <c r="AS547" s="552" t="s">
        <v>7484</v>
      </c>
      <c r="AT547" s="552" t="s">
        <v>726</v>
      </c>
    </row>
    <row r="548" spans="1:46" ht="14.7" customHeight="1">
      <c r="A548" s="706"/>
      <c r="B548" s="344" t="s">
        <v>3699</v>
      </c>
      <c r="C548" s="539" t="s">
        <v>7610</v>
      </c>
      <c r="D548" s="539" t="s">
        <v>2783</v>
      </c>
      <c r="E548" s="552" t="s">
        <v>6871</v>
      </c>
      <c r="F548" s="552" t="s">
        <v>726</v>
      </c>
      <c r="G548" s="552" t="s">
        <v>7612</v>
      </c>
      <c r="H548" s="552"/>
      <c r="I548" s="552"/>
      <c r="J548" s="552"/>
      <c r="K548" s="552"/>
      <c r="L548" s="552"/>
      <c r="M548" s="552"/>
      <c r="N548" s="552"/>
      <c r="O548" s="552"/>
      <c r="P548" s="552"/>
      <c r="Q548" s="552"/>
      <c r="R548" s="552"/>
      <c r="S548" s="552"/>
      <c r="T548" s="552"/>
      <c r="U548" s="552"/>
      <c r="V548" s="552"/>
      <c r="W548" s="552"/>
      <c r="X548" s="552"/>
      <c r="Y548" s="552"/>
      <c r="Z548" s="552"/>
      <c r="AA548" s="552"/>
      <c r="AB548" s="552"/>
      <c r="AC548" s="552"/>
      <c r="AD548" s="552"/>
      <c r="AE548" s="552"/>
      <c r="AF548" s="552"/>
      <c r="AG548" s="552"/>
      <c r="AH548" s="552"/>
      <c r="AI548" s="552"/>
      <c r="AJ548" s="552"/>
      <c r="AK548" s="552"/>
      <c r="AL548" s="552"/>
      <c r="AM548" s="552"/>
      <c r="AN548" s="552"/>
      <c r="AO548" s="552"/>
      <c r="AP548" s="552"/>
      <c r="AQ548" s="552" t="s">
        <v>1186</v>
      </c>
      <c r="AR548" s="552" t="s">
        <v>2809</v>
      </c>
      <c r="AS548" s="552" t="s">
        <v>7484</v>
      </c>
      <c r="AT548" s="552" t="s">
        <v>726</v>
      </c>
    </row>
    <row r="549" spans="1:46" ht="14.7" customHeight="1">
      <c r="A549" s="710" t="s">
        <v>6301</v>
      </c>
      <c r="B549" s="344" t="s">
        <v>3699</v>
      </c>
      <c r="C549" s="539" t="s">
        <v>7610</v>
      </c>
      <c r="D549" s="709" t="s">
        <v>7629</v>
      </c>
      <c r="E549" s="552" t="s">
        <v>6871</v>
      </c>
      <c r="F549" s="552" t="s">
        <v>726</v>
      </c>
      <c r="G549" s="552" t="s">
        <v>7612</v>
      </c>
      <c r="H549" s="552"/>
      <c r="I549" s="552"/>
      <c r="J549" s="552"/>
      <c r="K549" s="552"/>
      <c r="L549" s="552"/>
      <c r="M549" s="552"/>
      <c r="N549" s="552"/>
      <c r="O549" s="552"/>
      <c r="P549" s="552"/>
      <c r="Q549" s="552"/>
      <c r="R549" s="552"/>
      <c r="S549" s="552"/>
      <c r="T549" s="552"/>
      <c r="U549" s="552"/>
      <c r="V549" s="552"/>
      <c r="W549" s="552"/>
      <c r="X549" s="552"/>
      <c r="Y549" s="552"/>
      <c r="Z549" s="552"/>
      <c r="AA549" s="552"/>
      <c r="AB549" s="552"/>
      <c r="AC549" s="552"/>
      <c r="AD549" s="552"/>
      <c r="AE549" s="552"/>
      <c r="AF549" s="552"/>
      <c r="AG549" s="552"/>
      <c r="AH549" s="552"/>
      <c r="AI549" s="552"/>
      <c r="AJ549" s="552"/>
      <c r="AK549" s="552"/>
      <c r="AL549" s="552"/>
      <c r="AM549" s="552"/>
      <c r="AN549" s="552"/>
      <c r="AO549" s="552"/>
      <c r="AP549" s="713" t="s">
        <v>7630</v>
      </c>
      <c r="AQ549" s="552" t="s">
        <v>1186</v>
      </c>
      <c r="AR549" s="552" t="s">
        <v>2809</v>
      </c>
      <c r="AS549" s="552" t="s">
        <v>7484</v>
      </c>
      <c r="AT549" s="552" t="s">
        <v>726</v>
      </c>
    </row>
    <row r="550" spans="1:46" ht="14.7" customHeight="1">
      <c r="A550" s="710" t="s">
        <v>6302</v>
      </c>
      <c r="B550" s="559" t="s">
        <v>3700</v>
      </c>
      <c r="C550" s="539" t="s">
        <v>7610</v>
      </c>
      <c r="D550" s="709" t="s">
        <v>7631</v>
      </c>
      <c r="E550" s="552" t="s">
        <v>6871</v>
      </c>
      <c r="F550" s="552" t="s">
        <v>726</v>
      </c>
      <c r="G550" s="552" t="s">
        <v>7612</v>
      </c>
      <c r="H550" s="552"/>
      <c r="I550" s="552"/>
      <c r="J550" s="552"/>
      <c r="K550" s="552"/>
      <c r="L550" s="552"/>
      <c r="M550" s="552"/>
      <c r="N550" s="552"/>
      <c r="O550" s="552"/>
      <c r="P550" s="552"/>
      <c r="Q550" s="552"/>
      <c r="R550" s="552"/>
      <c r="S550" s="552"/>
      <c r="T550" s="552"/>
      <c r="U550" s="552"/>
      <c r="V550" s="552"/>
      <c r="W550" s="552"/>
      <c r="X550" s="552"/>
      <c r="Y550" s="552"/>
      <c r="Z550" s="552"/>
      <c r="AA550" s="552"/>
      <c r="AB550" s="552"/>
      <c r="AC550" s="552"/>
      <c r="AD550" s="552"/>
      <c r="AE550" s="552"/>
      <c r="AF550" s="552"/>
      <c r="AG550" s="552"/>
      <c r="AH550" s="552"/>
      <c r="AI550" s="552"/>
      <c r="AJ550" s="552"/>
      <c r="AK550" s="552"/>
      <c r="AL550" s="552"/>
      <c r="AM550" s="552"/>
      <c r="AN550" s="552"/>
      <c r="AO550" s="552"/>
      <c r="AP550" s="709" t="s">
        <v>7632</v>
      </c>
      <c r="AQ550" s="552" t="s">
        <v>1186</v>
      </c>
      <c r="AR550" s="552" t="s">
        <v>2971</v>
      </c>
      <c r="AS550" s="552" t="s">
        <v>7484</v>
      </c>
      <c r="AT550" s="552" t="s">
        <v>726</v>
      </c>
    </row>
    <row r="551" spans="1:46" ht="14.7" customHeight="1">
      <c r="A551" s="706" t="s">
        <v>7633</v>
      </c>
      <c r="B551" s="559" t="s">
        <v>3700</v>
      </c>
      <c r="C551" s="539" t="s">
        <v>7610</v>
      </c>
      <c r="D551" s="709" t="s">
        <v>7634</v>
      </c>
      <c r="E551" s="552" t="s">
        <v>6871</v>
      </c>
      <c r="F551" s="552" t="s">
        <v>726</v>
      </c>
      <c r="G551" s="552" t="s">
        <v>7612</v>
      </c>
      <c r="H551" s="552"/>
      <c r="I551" s="552"/>
      <c r="J551" s="552"/>
      <c r="K551" s="552"/>
      <c r="L551" s="552"/>
      <c r="M551" s="552"/>
      <c r="N551" s="552"/>
      <c r="O551" s="552"/>
      <c r="P551" s="552"/>
      <c r="Q551" s="552"/>
      <c r="R551" s="552"/>
      <c r="S551" s="552"/>
      <c r="T551" s="552"/>
      <c r="U551" s="552"/>
      <c r="V551" s="552"/>
      <c r="W551" s="552"/>
      <c r="X551" s="552"/>
      <c r="Y551" s="552"/>
      <c r="Z551" s="552"/>
      <c r="AA551" s="552"/>
      <c r="AB551" s="552"/>
      <c r="AC551" s="552"/>
      <c r="AD551" s="552"/>
      <c r="AE551" s="552"/>
      <c r="AF551" s="552"/>
      <c r="AG551" s="552"/>
      <c r="AH551" s="552"/>
      <c r="AI551" s="552"/>
      <c r="AJ551" s="552"/>
      <c r="AK551" s="552"/>
      <c r="AL551" s="552"/>
      <c r="AM551" s="552"/>
      <c r="AN551" s="552"/>
      <c r="AO551" s="552"/>
      <c r="AP551" s="709" t="s">
        <v>7635</v>
      </c>
      <c r="AQ551" s="552" t="s">
        <v>1186</v>
      </c>
      <c r="AR551" s="552" t="s">
        <v>2971</v>
      </c>
      <c r="AS551" s="552" t="s">
        <v>7484</v>
      </c>
      <c r="AT551" s="552" t="s">
        <v>726</v>
      </c>
    </row>
    <row r="552" spans="1:46" ht="14.7" customHeight="1">
      <c r="A552" s="706"/>
      <c r="B552" s="711" t="s">
        <v>6055</v>
      </c>
      <c r="C552" s="539" t="s">
        <v>7610</v>
      </c>
      <c r="D552" s="709"/>
      <c r="E552" s="552"/>
      <c r="F552" s="552"/>
      <c r="G552" s="552"/>
      <c r="H552" s="552"/>
      <c r="I552" s="552"/>
      <c r="J552" s="552"/>
      <c r="K552" s="552"/>
      <c r="L552" s="552"/>
      <c r="M552" s="552"/>
      <c r="N552" s="552"/>
      <c r="O552" s="552"/>
      <c r="P552" s="552"/>
      <c r="Q552" s="552"/>
      <c r="R552" s="552"/>
      <c r="S552" s="552"/>
      <c r="T552" s="552"/>
      <c r="U552" s="552"/>
      <c r="V552" s="552"/>
      <c r="W552" s="552"/>
      <c r="X552" s="552"/>
      <c r="Y552" s="552"/>
      <c r="Z552" s="552"/>
      <c r="AA552" s="552"/>
      <c r="AB552" s="552"/>
      <c r="AC552" s="552"/>
      <c r="AD552" s="552"/>
      <c r="AE552" s="552"/>
      <c r="AF552" s="552"/>
      <c r="AG552" s="552"/>
      <c r="AH552" s="552"/>
      <c r="AI552" s="552"/>
      <c r="AJ552" s="552"/>
      <c r="AK552" s="552"/>
      <c r="AL552" s="552"/>
      <c r="AM552" s="552"/>
      <c r="AN552" s="552"/>
      <c r="AO552" s="552"/>
      <c r="AP552" s="709"/>
      <c r="AQ552" s="552" t="s">
        <v>1186</v>
      </c>
      <c r="AR552" s="552" t="s">
        <v>6697</v>
      </c>
      <c r="AS552" s="552" t="s">
        <v>7484</v>
      </c>
      <c r="AT552" s="552" t="s">
        <v>726</v>
      </c>
    </row>
    <row r="553" spans="1:46" ht="14.7" customHeight="1">
      <c r="A553" s="706" t="s">
        <v>6303</v>
      </c>
      <c r="B553" s="540" t="s">
        <v>3695</v>
      </c>
      <c r="C553" s="539" t="s">
        <v>7610</v>
      </c>
      <c r="D553" s="709" t="s">
        <v>7636</v>
      </c>
      <c r="E553" s="552" t="s">
        <v>6871</v>
      </c>
      <c r="F553" s="552" t="s">
        <v>726</v>
      </c>
      <c r="G553" s="552" t="s">
        <v>7637</v>
      </c>
      <c r="H553" s="552"/>
      <c r="I553" s="552"/>
      <c r="J553" s="552"/>
      <c r="K553" s="552"/>
      <c r="L553" s="552"/>
      <c r="M553" s="552"/>
      <c r="N553" s="552"/>
      <c r="O553" s="552"/>
      <c r="P553" s="552"/>
      <c r="Q553" s="552"/>
      <c r="R553" s="552"/>
      <c r="S553" s="552"/>
      <c r="T553" s="552"/>
      <c r="U553" s="552"/>
      <c r="V553" s="552"/>
      <c r="W553" s="552"/>
      <c r="X553" s="552"/>
      <c r="Y553" s="552"/>
      <c r="Z553" s="552"/>
      <c r="AA553" s="552"/>
      <c r="AB553" s="552"/>
      <c r="AC553" s="552"/>
      <c r="AD553" s="552"/>
      <c r="AE553" s="552"/>
      <c r="AF553" s="552"/>
      <c r="AG553" s="552"/>
      <c r="AH553" s="552"/>
      <c r="AI553" s="552"/>
      <c r="AJ553" s="552"/>
      <c r="AK553" s="552"/>
      <c r="AL553" s="552"/>
      <c r="AM553" s="552"/>
      <c r="AN553" s="552"/>
      <c r="AO553" s="552" t="s">
        <v>7638</v>
      </c>
      <c r="AP553" s="552"/>
      <c r="AQ553" s="552" t="s">
        <v>1186</v>
      </c>
      <c r="AR553" s="552" t="s">
        <v>2802</v>
      </c>
      <c r="AS553" s="552" t="s">
        <v>6967</v>
      </c>
      <c r="AT553" s="552" t="s">
        <v>726</v>
      </c>
    </row>
    <row r="554" spans="1:46" ht="14.7" customHeight="1">
      <c r="A554" s="706"/>
      <c r="B554" s="540" t="s">
        <v>3695</v>
      </c>
      <c r="C554" s="539" t="s">
        <v>7610</v>
      </c>
      <c r="D554" s="539" t="s">
        <v>2783</v>
      </c>
      <c r="E554" s="539"/>
      <c r="F554" s="539"/>
      <c r="G554" s="539"/>
      <c r="H554" s="552"/>
      <c r="I554" s="552"/>
      <c r="J554" s="552"/>
      <c r="K554" s="552"/>
      <c r="L554" s="552"/>
      <c r="M554" s="552"/>
      <c r="N554" s="552"/>
      <c r="O554" s="552"/>
      <c r="P554" s="552"/>
      <c r="Q554" s="552"/>
      <c r="R554" s="552"/>
      <c r="S554" s="552"/>
      <c r="T554" s="552"/>
      <c r="U554" s="552"/>
      <c r="V554" s="552"/>
      <c r="W554" s="552"/>
      <c r="X554" s="552"/>
      <c r="Y554" s="552"/>
      <c r="Z554" s="552"/>
      <c r="AA554" s="552"/>
      <c r="AB554" s="552"/>
      <c r="AC554" s="552"/>
      <c r="AD554" s="552"/>
      <c r="AE554" s="552"/>
      <c r="AF554" s="552"/>
      <c r="AG554" s="552"/>
      <c r="AH554" s="552"/>
      <c r="AI554" s="552"/>
      <c r="AJ554" s="552"/>
      <c r="AK554" s="552"/>
      <c r="AL554" s="552"/>
      <c r="AM554" s="552"/>
      <c r="AN554" s="552"/>
      <c r="AO554" s="552"/>
      <c r="AP554" s="552"/>
      <c r="AQ554" s="552" t="s">
        <v>1186</v>
      </c>
      <c r="AR554" s="552" t="s">
        <v>2802</v>
      </c>
      <c r="AS554" s="552" t="s">
        <v>6967</v>
      </c>
      <c r="AT554" s="552" t="s">
        <v>726</v>
      </c>
    </row>
    <row r="555" spans="1:46" ht="14.7" customHeight="1">
      <c r="A555" s="710" t="s">
        <v>6304</v>
      </c>
      <c r="B555" s="707" t="s">
        <v>3696</v>
      </c>
      <c r="C555" s="539" t="s">
        <v>7610</v>
      </c>
      <c r="D555" s="709" t="s">
        <v>7639</v>
      </c>
      <c r="E555" s="552" t="s">
        <v>6871</v>
      </c>
      <c r="F555" s="552" t="s">
        <v>726</v>
      </c>
      <c r="G555" s="552" t="s">
        <v>7637</v>
      </c>
      <c r="H555" s="552"/>
      <c r="I555" s="552"/>
      <c r="J555" s="552"/>
      <c r="K555" s="552"/>
      <c r="L555" s="552"/>
      <c r="M555" s="552"/>
      <c r="N555" s="552"/>
      <c r="O555" s="552"/>
      <c r="P555" s="552">
        <v>2</v>
      </c>
      <c r="Q555" s="552">
        <v>2</v>
      </c>
      <c r="R555" s="552">
        <v>2</v>
      </c>
      <c r="S555" s="552"/>
      <c r="T555" s="552"/>
      <c r="U555" s="552"/>
      <c r="V555" s="552"/>
      <c r="W555" s="552"/>
      <c r="X555" s="552"/>
      <c r="Y555" s="552"/>
      <c r="Z555" s="552"/>
      <c r="AA555" s="552"/>
      <c r="AB555" s="552"/>
      <c r="AC555" s="552"/>
      <c r="AD555" s="552"/>
      <c r="AE555" s="552"/>
      <c r="AF555" s="552"/>
      <c r="AG555" s="552"/>
      <c r="AH555" s="552"/>
      <c r="AI555" s="552"/>
      <c r="AJ555" s="552"/>
      <c r="AK555" s="552"/>
      <c r="AL555" s="552"/>
      <c r="AM555" s="552"/>
      <c r="AN555" s="552"/>
      <c r="AO555" s="552"/>
      <c r="AP555" s="709" t="s">
        <v>7640</v>
      </c>
      <c r="AQ555" s="552" t="s">
        <v>1186</v>
      </c>
      <c r="AR555" s="552" t="s">
        <v>2805</v>
      </c>
      <c r="AS555" s="552" t="s">
        <v>6881</v>
      </c>
      <c r="AT555" s="552" t="s">
        <v>726</v>
      </c>
    </row>
    <row r="556" spans="1:46" ht="14.7" customHeight="1">
      <c r="A556" s="706"/>
      <c r="B556" s="707" t="s">
        <v>3696</v>
      </c>
      <c r="C556" s="539" t="s">
        <v>7610</v>
      </c>
      <c r="D556" s="539" t="s">
        <v>2783</v>
      </c>
      <c r="E556" s="539"/>
      <c r="F556" s="539"/>
      <c r="G556" s="539"/>
      <c r="H556" s="552"/>
      <c r="I556" s="552"/>
      <c r="J556" s="552"/>
      <c r="K556" s="552"/>
      <c r="L556" s="552"/>
      <c r="M556" s="552"/>
      <c r="N556" s="552"/>
      <c r="O556" s="552"/>
      <c r="P556" s="552"/>
      <c r="Q556" s="552"/>
      <c r="R556" s="552"/>
      <c r="S556" s="552"/>
      <c r="T556" s="552"/>
      <c r="U556" s="552"/>
      <c r="V556" s="552"/>
      <c r="W556" s="552"/>
      <c r="X556" s="552"/>
      <c r="Y556" s="552"/>
      <c r="Z556" s="552"/>
      <c r="AA556" s="552"/>
      <c r="AB556" s="552"/>
      <c r="AC556" s="552"/>
      <c r="AD556" s="552"/>
      <c r="AE556" s="552"/>
      <c r="AF556" s="552"/>
      <c r="AG556" s="552"/>
      <c r="AH556" s="552"/>
      <c r="AI556" s="552"/>
      <c r="AJ556" s="552"/>
      <c r="AK556" s="552"/>
      <c r="AL556" s="552"/>
      <c r="AM556" s="552"/>
      <c r="AN556" s="552"/>
      <c r="AO556" s="552"/>
      <c r="AP556" s="552"/>
      <c r="AQ556" s="552" t="s">
        <v>1186</v>
      </c>
      <c r="AR556" s="552" t="s">
        <v>2805</v>
      </c>
      <c r="AS556" s="552" t="s">
        <v>6881</v>
      </c>
      <c r="AT556" s="552" t="s">
        <v>726</v>
      </c>
    </row>
    <row r="557" spans="1:46" ht="14.7" customHeight="1">
      <c r="A557" s="706" t="s">
        <v>6305</v>
      </c>
      <c r="B557" s="556" t="s">
        <v>3697</v>
      </c>
      <c r="C557" s="539" t="s">
        <v>7610</v>
      </c>
      <c r="D557" s="709" t="s">
        <v>7641</v>
      </c>
      <c r="E557" s="552" t="s">
        <v>6871</v>
      </c>
      <c r="F557" s="552" t="s">
        <v>726</v>
      </c>
      <c r="G557" s="552" t="s">
        <v>7637</v>
      </c>
      <c r="H557" s="552"/>
      <c r="I557" s="552"/>
      <c r="J557" s="552"/>
      <c r="K557" s="552"/>
      <c r="L557" s="552"/>
      <c r="M557" s="552"/>
      <c r="N557" s="552"/>
      <c r="O557" s="552"/>
      <c r="P557" s="552"/>
      <c r="Q557" s="552"/>
      <c r="R557" s="552">
        <v>8</v>
      </c>
      <c r="S557" s="552"/>
      <c r="T557" s="552"/>
      <c r="U557" s="552"/>
      <c r="V557" s="552"/>
      <c r="W557" s="552"/>
      <c r="X557" s="552"/>
      <c r="Y557" s="552"/>
      <c r="Z557" s="552"/>
      <c r="AA557" s="552"/>
      <c r="AB557" s="552"/>
      <c r="AC557" s="552"/>
      <c r="AD557" s="552"/>
      <c r="AE557" s="552"/>
      <c r="AF557" s="552"/>
      <c r="AG557" s="552"/>
      <c r="AH557" s="552"/>
      <c r="AI557" s="552"/>
      <c r="AJ557" s="552"/>
      <c r="AK557" s="552"/>
      <c r="AL557" s="552"/>
      <c r="AM557" s="552"/>
      <c r="AN557" s="552"/>
      <c r="AO557" s="552"/>
      <c r="AP557" s="552"/>
      <c r="AQ557" s="552" t="s">
        <v>1186</v>
      </c>
      <c r="AR557" s="552" t="s">
        <v>2875</v>
      </c>
      <c r="AS557" s="552" t="s">
        <v>7484</v>
      </c>
      <c r="AT557" s="552" t="s">
        <v>726</v>
      </c>
    </row>
    <row r="558" spans="1:46" ht="14.7" customHeight="1">
      <c r="A558" s="706" t="s">
        <v>6306</v>
      </c>
      <c r="B558" s="556" t="s">
        <v>3697</v>
      </c>
      <c r="C558" s="539" t="s">
        <v>7610</v>
      </c>
      <c r="D558" s="709" t="s">
        <v>7642</v>
      </c>
      <c r="E558" s="552" t="s">
        <v>6871</v>
      </c>
      <c r="F558" s="552" t="s">
        <v>726</v>
      </c>
      <c r="G558" s="552" t="s">
        <v>7637</v>
      </c>
      <c r="H558" s="552"/>
      <c r="I558" s="552"/>
      <c r="J558" s="552"/>
      <c r="K558" s="552"/>
      <c r="L558" s="552"/>
      <c r="M558" s="552"/>
      <c r="N558" s="552"/>
      <c r="O558" s="552"/>
      <c r="P558" s="552">
        <v>8</v>
      </c>
      <c r="Q558" s="552"/>
      <c r="R558" s="552"/>
      <c r="S558" s="552"/>
      <c r="T558" s="552"/>
      <c r="U558" s="552"/>
      <c r="V558" s="552"/>
      <c r="W558" s="552"/>
      <c r="X558" s="552"/>
      <c r="Y558" s="552"/>
      <c r="Z558" s="552"/>
      <c r="AA558" s="552"/>
      <c r="AB558" s="552"/>
      <c r="AC558" s="552"/>
      <c r="AD558" s="552"/>
      <c r="AE558" s="552"/>
      <c r="AF558" s="552"/>
      <c r="AG558" s="552"/>
      <c r="AH558" s="552"/>
      <c r="AI558" s="552"/>
      <c r="AJ558" s="552"/>
      <c r="AK558" s="552"/>
      <c r="AL558" s="552"/>
      <c r="AM558" s="552"/>
      <c r="AN558" s="552"/>
      <c r="AO558" s="552"/>
      <c r="AP558" s="552"/>
      <c r="AQ558" s="552" t="s">
        <v>1186</v>
      </c>
      <c r="AR558" s="552" t="s">
        <v>2875</v>
      </c>
      <c r="AS558" s="552" t="s">
        <v>6881</v>
      </c>
      <c r="AT558" s="552" t="s">
        <v>726</v>
      </c>
    </row>
    <row r="559" spans="1:46" ht="14.7" customHeight="1">
      <c r="A559" s="706" t="s">
        <v>6307</v>
      </c>
      <c r="B559" s="556" t="s">
        <v>3697</v>
      </c>
      <c r="C559" s="539" t="s">
        <v>7610</v>
      </c>
      <c r="D559" s="709" t="s">
        <v>7643</v>
      </c>
      <c r="E559" s="552" t="s">
        <v>6871</v>
      </c>
      <c r="F559" s="552" t="s">
        <v>726</v>
      </c>
      <c r="G559" s="552" t="s">
        <v>7637</v>
      </c>
      <c r="H559" s="552"/>
      <c r="I559" s="552"/>
      <c r="J559" s="552"/>
      <c r="K559" s="552"/>
      <c r="L559" s="552"/>
      <c r="M559" s="552"/>
      <c r="N559" s="552"/>
      <c r="O559" s="552"/>
      <c r="P559" s="552"/>
      <c r="Q559" s="552">
        <v>8</v>
      </c>
      <c r="R559" s="552"/>
      <c r="S559" s="552"/>
      <c r="T559" s="552"/>
      <c r="U559" s="552"/>
      <c r="V559" s="552"/>
      <c r="W559" s="552"/>
      <c r="X559" s="552"/>
      <c r="Y559" s="552"/>
      <c r="Z559" s="552"/>
      <c r="AA559" s="552"/>
      <c r="AB559" s="552"/>
      <c r="AC559" s="552"/>
      <c r="AD559" s="552"/>
      <c r="AE559" s="552"/>
      <c r="AF559" s="552"/>
      <c r="AG559" s="552"/>
      <c r="AH559" s="552"/>
      <c r="AI559" s="552"/>
      <c r="AJ559" s="552"/>
      <c r="AK559" s="552"/>
      <c r="AL559" s="552"/>
      <c r="AM559" s="552"/>
      <c r="AN559" s="552"/>
      <c r="AO559" s="552"/>
      <c r="AP559" s="552"/>
      <c r="AQ559" s="552" t="s">
        <v>1186</v>
      </c>
      <c r="AR559" s="552" t="s">
        <v>2875</v>
      </c>
      <c r="AS559" s="552" t="s">
        <v>6967</v>
      </c>
      <c r="AT559" s="552" t="s">
        <v>726</v>
      </c>
    </row>
    <row r="560" spans="1:46" ht="14.7" customHeight="1">
      <c r="A560" s="706" t="s">
        <v>6308</v>
      </c>
      <c r="B560" s="557" t="s">
        <v>3698</v>
      </c>
      <c r="C560" s="539" t="s">
        <v>7610</v>
      </c>
      <c r="D560" s="709" t="s">
        <v>7644</v>
      </c>
      <c r="E560" s="552" t="s">
        <v>6871</v>
      </c>
      <c r="F560" s="552" t="s">
        <v>726</v>
      </c>
      <c r="G560" s="552" t="s">
        <v>7637</v>
      </c>
      <c r="H560" s="552"/>
      <c r="I560" s="552"/>
      <c r="J560" s="552"/>
      <c r="K560" s="552"/>
      <c r="L560" s="552"/>
      <c r="M560" s="552"/>
      <c r="N560" s="552"/>
      <c r="O560" s="552"/>
      <c r="P560" s="552"/>
      <c r="Q560" s="552"/>
      <c r="R560" s="552"/>
      <c r="S560" s="552"/>
      <c r="T560" s="552"/>
      <c r="U560" s="552"/>
      <c r="V560" s="552"/>
      <c r="W560" s="552"/>
      <c r="X560" s="552"/>
      <c r="Y560" s="552"/>
      <c r="Z560" s="552"/>
      <c r="AA560" s="552"/>
      <c r="AB560" s="552"/>
      <c r="AC560" s="552"/>
      <c r="AD560" s="552"/>
      <c r="AE560" s="552"/>
      <c r="AF560" s="552"/>
      <c r="AG560" s="552"/>
      <c r="AH560" s="552"/>
      <c r="AI560" s="552"/>
      <c r="AJ560" s="552"/>
      <c r="AK560" s="552"/>
      <c r="AL560" s="552"/>
      <c r="AM560" s="552"/>
      <c r="AN560" s="552"/>
      <c r="AO560" s="709" t="s">
        <v>7645</v>
      </c>
      <c r="AP560" s="709"/>
      <c r="AQ560" s="552" t="s">
        <v>1186</v>
      </c>
      <c r="AR560" s="552" t="s">
        <v>2998</v>
      </c>
      <c r="AS560" s="552" t="s">
        <v>6967</v>
      </c>
      <c r="AT560" s="552" t="s">
        <v>726</v>
      </c>
    </row>
    <row r="561" spans="1:46" ht="14.7" customHeight="1">
      <c r="A561" s="710" t="s">
        <v>7646</v>
      </c>
      <c r="B561" s="557" t="s">
        <v>3698</v>
      </c>
      <c r="C561" s="539" t="s">
        <v>7610</v>
      </c>
      <c r="D561" s="709" t="s">
        <v>7647</v>
      </c>
      <c r="E561" s="552" t="s">
        <v>6871</v>
      </c>
      <c r="F561" s="552" t="s">
        <v>726</v>
      </c>
      <c r="G561" s="552" t="s">
        <v>7637</v>
      </c>
      <c r="H561" s="552"/>
      <c r="I561" s="552"/>
      <c r="J561" s="552"/>
      <c r="K561" s="552"/>
      <c r="L561" s="552"/>
      <c r="M561" s="552"/>
      <c r="N561" s="552"/>
      <c r="O561" s="552"/>
      <c r="P561" s="552"/>
      <c r="Q561" s="552"/>
      <c r="R561" s="552"/>
      <c r="S561" s="552"/>
      <c r="T561" s="552"/>
      <c r="U561" s="552"/>
      <c r="V561" s="552"/>
      <c r="W561" s="552"/>
      <c r="X561" s="552"/>
      <c r="Y561" s="552"/>
      <c r="Z561" s="552"/>
      <c r="AA561" s="552"/>
      <c r="AB561" s="552"/>
      <c r="AC561" s="552"/>
      <c r="AD561" s="552"/>
      <c r="AE561" s="552"/>
      <c r="AF561" s="552"/>
      <c r="AG561" s="552"/>
      <c r="AH561" s="552"/>
      <c r="AI561" s="552"/>
      <c r="AJ561" s="552"/>
      <c r="AK561" s="552"/>
      <c r="AL561" s="552"/>
      <c r="AM561" s="552"/>
      <c r="AN561" s="552"/>
      <c r="AO561" s="713" t="s">
        <v>7648</v>
      </c>
      <c r="AP561" s="709" t="s">
        <v>7649</v>
      </c>
      <c r="AQ561" s="552" t="s">
        <v>1186</v>
      </c>
      <c r="AR561" s="552" t="s">
        <v>2998</v>
      </c>
      <c r="AS561" s="552" t="s">
        <v>6881</v>
      </c>
      <c r="AT561" s="552" t="s">
        <v>726</v>
      </c>
    </row>
    <row r="562" spans="1:46" ht="14.7" customHeight="1">
      <c r="A562" s="706"/>
      <c r="B562" s="557" t="s">
        <v>3698</v>
      </c>
      <c r="C562" s="539" t="s">
        <v>7610</v>
      </c>
      <c r="D562" s="539" t="s">
        <v>2783</v>
      </c>
      <c r="E562" s="539"/>
      <c r="F562" s="539"/>
      <c r="G562" s="539"/>
      <c r="H562" s="552"/>
      <c r="I562" s="552"/>
      <c r="J562" s="552"/>
      <c r="K562" s="552"/>
      <c r="L562" s="552"/>
      <c r="M562" s="552"/>
      <c r="N562" s="552"/>
      <c r="O562" s="552"/>
      <c r="P562" s="552"/>
      <c r="Q562" s="552"/>
      <c r="R562" s="552"/>
      <c r="S562" s="552"/>
      <c r="T562" s="552"/>
      <c r="U562" s="552"/>
      <c r="V562" s="552"/>
      <c r="W562" s="552"/>
      <c r="X562" s="552"/>
      <c r="Y562" s="552"/>
      <c r="Z562" s="552"/>
      <c r="AA562" s="552"/>
      <c r="AB562" s="552"/>
      <c r="AC562" s="552"/>
      <c r="AD562" s="552"/>
      <c r="AE562" s="552"/>
      <c r="AF562" s="552"/>
      <c r="AG562" s="552"/>
      <c r="AH562" s="552"/>
      <c r="AI562" s="552"/>
      <c r="AJ562" s="552"/>
      <c r="AK562" s="552"/>
      <c r="AL562" s="552"/>
      <c r="AM562" s="552"/>
      <c r="AN562" s="552"/>
      <c r="AO562" s="552"/>
      <c r="AP562" s="552"/>
      <c r="AQ562" s="552" t="s">
        <v>1186</v>
      </c>
      <c r="AR562" s="552" t="s">
        <v>2998</v>
      </c>
      <c r="AS562" s="552" t="s">
        <v>6881</v>
      </c>
      <c r="AT562" s="552" t="s">
        <v>726</v>
      </c>
    </row>
    <row r="563" spans="1:46" ht="14.7" customHeight="1">
      <c r="A563" s="706"/>
      <c r="B563" s="557" t="s">
        <v>3698</v>
      </c>
      <c r="C563" s="539" t="s">
        <v>7610</v>
      </c>
      <c r="D563" s="539" t="s">
        <v>2783</v>
      </c>
      <c r="E563" s="539"/>
      <c r="F563" s="539"/>
      <c r="G563" s="539"/>
      <c r="H563" s="552"/>
      <c r="I563" s="552"/>
      <c r="J563" s="552"/>
      <c r="K563" s="552"/>
      <c r="L563" s="552"/>
      <c r="M563" s="552"/>
      <c r="N563" s="552"/>
      <c r="O563" s="552"/>
      <c r="P563" s="552"/>
      <c r="Q563" s="552"/>
      <c r="R563" s="552"/>
      <c r="S563" s="552"/>
      <c r="T563" s="552"/>
      <c r="U563" s="552"/>
      <c r="V563" s="552"/>
      <c r="W563" s="552"/>
      <c r="X563" s="552"/>
      <c r="Y563" s="552"/>
      <c r="Z563" s="552"/>
      <c r="AA563" s="552"/>
      <c r="AB563" s="552"/>
      <c r="AC563" s="552"/>
      <c r="AD563" s="552"/>
      <c r="AE563" s="552"/>
      <c r="AF563" s="552"/>
      <c r="AG563" s="552"/>
      <c r="AH563" s="552"/>
      <c r="AI563" s="552"/>
      <c r="AJ563" s="552"/>
      <c r="AK563" s="552"/>
      <c r="AL563" s="552"/>
      <c r="AM563" s="552"/>
      <c r="AN563" s="552"/>
      <c r="AO563" s="552"/>
      <c r="AP563" s="552"/>
      <c r="AQ563" s="552" t="s">
        <v>1186</v>
      </c>
      <c r="AR563" s="552" t="s">
        <v>2998</v>
      </c>
      <c r="AS563" s="552" t="s">
        <v>6881</v>
      </c>
      <c r="AT563" s="552" t="s">
        <v>726</v>
      </c>
    </row>
    <row r="564" spans="1:46" ht="14.7" customHeight="1">
      <c r="A564" s="710" t="s">
        <v>6309</v>
      </c>
      <c r="B564" s="344" t="s">
        <v>3699</v>
      </c>
      <c r="C564" s="539" t="s">
        <v>7610</v>
      </c>
      <c r="D564" s="709" t="s">
        <v>7650</v>
      </c>
      <c r="E564" s="552" t="s">
        <v>6871</v>
      </c>
      <c r="F564" s="552" t="s">
        <v>726</v>
      </c>
      <c r="G564" s="552" t="s">
        <v>7637</v>
      </c>
      <c r="H564" s="552"/>
      <c r="I564" s="552"/>
      <c r="J564" s="552"/>
      <c r="K564" s="552"/>
      <c r="L564" s="552"/>
      <c r="M564" s="552"/>
      <c r="N564" s="552"/>
      <c r="O564" s="552"/>
      <c r="P564" s="552"/>
      <c r="Q564" s="552"/>
      <c r="R564" s="552"/>
      <c r="S564" s="552"/>
      <c r="T564" s="552"/>
      <c r="U564" s="552"/>
      <c r="V564" s="552"/>
      <c r="W564" s="552"/>
      <c r="X564" s="552"/>
      <c r="Y564" s="552"/>
      <c r="Z564" s="552"/>
      <c r="AA564" s="552"/>
      <c r="AB564" s="552"/>
      <c r="AC564" s="552"/>
      <c r="AD564" s="552"/>
      <c r="AE564" s="552"/>
      <c r="AF564" s="552"/>
      <c r="AG564" s="552"/>
      <c r="AH564" s="552"/>
      <c r="AI564" s="552"/>
      <c r="AJ564" s="552"/>
      <c r="AK564" s="552"/>
      <c r="AL564" s="552"/>
      <c r="AM564" s="552">
        <v>3</v>
      </c>
      <c r="AN564" s="552"/>
      <c r="AO564" s="709" t="s">
        <v>7651</v>
      </c>
      <c r="AP564" s="709" t="s">
        <v>7652</v>
      </c>
      <c r="AQ564" s="552" t="s">
        <v>1186</v>
      </c>
      <c r="AR564" s="552" t="s">
        <v>2809</v>
      </c>
      <c r="AS564" s="552" t="s">
        <v>6881</v>
      </c>
      <c r="AT564" s="552" t="s">
        <v>726</v>
      </c>
    </row>
    <row r="565" spans="1:46" ht="14.7" customHeight="1">
      <c r="A565" s="710" t="s">
        <v>6310</v>
      </c>
      <c r="B565" s="344" t="s">
        <v>3699</v>
      </c>
      <c r="C565" s="539" t="s">
        <v>7610</v>
      </c>
      <c r="D565" s="709" t="s">
        <v>7653</v>
      </c>
      <c r="E565" s="552" t="s">
        <v>6871</v>
      </c>
      <c r="F565" s="552" t="s">
        <v>726</v>
      </c>
      <c r="G565" s="552" t="s">
        <v>7637</v>
      </c>
      <c r="H565" s="552"/>
      <c r="I565" s="552"/>
      <c r="J565" s="552"/>
      <c r="K565" s="552"/>
      <c r="L565" s="552"/>
      <c r="M565" s="552"/>
      <c r="N565" s="552"/>
      <c r="O565" s="552"/>
      <c r="P565" s="552">
        <v>5</v>
      </c>
      <c r="Q565" s="552">
        <v>5</v>
      </c>
      <c r="R565" s="552"/>
      <c r="S565" s="552"/>
      <c r="T565" s="552"/>
      <c r="U565" s="552"/>
      <c r="V565" s="552"/>
      <c r="W565" s="552"/>
      <c r="X565" s="552"/>
      <c r="Y565" s="552"/>
      <c r="Z565" s="552"/>
      <c r="AA565" s="552"/>
      <c r="AB565" s="552"/>
      <c r="AC565" s="552"/>
      <c r="AD565" s="552"/>
      <c r="AE565" s="552"/>
      <c r="AF565" s="552"/>
      <c r="AG565" s="552"/>
      <c r="AH565" s="552"/>
      <c r="AI565" s="552"/>
      <c r="AJ565" s="552"/>
      <c r="AK565" s="552"/>
      <c r="AL565" s="552"/>
      <c r="AM565" s="552"/>
      <c r="AN565" s="552"/>
      <c r="AO565" s="712" t="s">
        <v>7654</v>
      </c>
      <c r="AP565" s="552"/>
      <c r="AQ565" s="552" t="s">
        <v>1186</v>
      </c>
      <c r="AR565" s="552" t="s">
        <v>2809</v>
      </c>
      <c r="AS565" s="552" t="s">
        <v>6881</v>
      </c>
      <c r="AT565" s="552" t="s">
        <v>726</v>
      </c>
    </row>
    <row r="566" spans="1:46" ht="14.7" customHeight="1">
      <c r="A566" s="706"/>
      <c r="B566" s="344" t="s">
        <v>3699</v>
      </c>
      <c r="C566" s="539" t="s">
        <v>7610</v>
      </c>
      <c r="D566" s="539" t="s">
        <v>2783</v>
      </c>
      <c r="E566" s="539"/>
      <c r="F566" s="539"/>
      <c r="G566" s="539"/>
      <c r="H566" s="552"/>
      <c r="I566" s="552"/>
      <c r="J566" s="552"/>
      <c r="K566" s="552"/>
      <c r="L566" s="552"/>
      <c r="M566" s="552"/>
      <c r="N566" s="552"/>
      <c r="O566" s="552"/>
      <c r="P566" s="552"/>
      <c r="Q566" s="552"/>
      <c r="R566" s="552"/>
      <c r="S566" s="552"/>
      <c r="T566" s="552"/>
      <c r="U566" s="552"/>
      <c r="V566" s="552"/>
      <c r="W566" s="552"/>
      <c r="X566" s="552"/>
      <c r="Y566" s="552"/>
      <c r="Z566" s="552"/>
      <c r="AA566" s="552"/>
      <c r="AB566" s="552"/>
      <c r="AC566" s="552"/>
      <c r="AD566" s="552"/>
      <c r="AE566" s="552"/>
      <c r="AF566" s="552"/>
      <c r="AG566" s="552"/>
      <c r="AH566" s="552"/>
      <c r="AI566" s="552"/>
      <c r="AJ566" s="552"/>
      <c r="AK566" s="552"/>
      <c r="AL566" s="552"/>
      <c r="AM566" s="552"/>
      <c r="AN566" s="552"/>
      <c r="AO566" s="552"/>
      <c r="AP566" s="552"/>
      <c r="AQ566" s="552" t="s">
        <v>1186</v>
      </c>
      <c r="AR566" s="552" t="s">
        <v>2809</v>
      </c>
      <c r="AS566" s="552" t="s">
        <v>6881</v>
      </c>
      <c r="AT566" s="552" t="s">
        <v>726</v>
      </c>
    </row>
    <row r="567" spans="1:46" ht="14.7" customHeight="1">
      <c r="A567" s="706"/>
      <c r="B567" s="344" t="s">
        <v>3699</v>
      </c>
      <c r="C567" s="539" t="s">
        <v>7610</v>
      </c>
      <c r="D567" s="539" t="s">
        <v>2783</v>
      </c>
      <c r="E567" s="539"/>
      <c r="F567" s="539"/>
      <c r="G567" s="539"/>
      <c r="H567" s="552"/>
      <c r="I567" s="552"/>
      <c r="J567" s="552"/>
      <c r="K567" s="552"/>
      <c r="L567" s="552"/>
      <c r="M567" s="552"/>
      <c r="N567" s="552"/>
      <c r="O567" s="552"/>
      <c r="P567" s="552"/>
      <c r="Q567" s="552"/>
      <c r="R567" s="552"/>
      <c r="S567" s="552"/>
      <c r="T567" s="552"/>
      <c r="U567" s="552"/>
      <c r="V567" s="552"/>
      <c r="W567" s="552"/>
      <c r="X567" s="552"/>
      <c r="Y567" s="552"/>
      <c r="Z567" s="552"/>
      <c r="AA567" s="552"/>
      <c r="AB567" s="552"/>
      <c r="AC567" s="552"/>
      <c r="AD567" s="552"/>
      <c r="AE567" s="552"/>
      <c r="AF567" s="552"/>
      <c r="AG567" s="552"/>
      <c r="AH567" s="552"/>
      <c r="AI567" s="552"/>
      <c r="AJ567" s="552"/>
      <c r="AK567" s="552"/>
      <c r="AL567" s="552"/>
      <c r="AM567" s="552"/>
      <c r="AN567" s="552"/>
      <c r="AO567" s="552"/>
      <c r="AP567" s="552"/>
      <c r="AQ567" s="552" t="s">
        <v>1186</v>
      </c>
      <c r="AR567" s="552" t="s">
        <v>2809</v>
      </c>
      <c r="AS567" s="552" t="s">
        <v>6881</v>
      </c>
      <c r="AT567" s="552" t="s">
        <v>726</v>
      </c>
    </row>
    <row r="568" spans="1:46" ht="14.7" customHeight="1">
      <c r="A568" s="706"/>
      <c r="B568" s="344" t="s">
        <v>3699</v>
      </c>
      <c r="C568" s="539" t="s">
        <v>7610</v>
      </c>
      <c r="D568" s="539" t="s">
        <v>2783</v>
      </c>
      <c r="E568" s="539"/>
      <c r="F568" s="539"/>
      <c r="G568" s="539"/>
      <c r="H568" s="552"/>
      <c r="I568" s="552"/>
      <c r="J568" s="552"/>
      <c r="K568" s="552"/>
      <c r="L568" s="552"/>
      <c r="M568" s="552"/>
      <c r="N568" s="552"/>
      <c r="O568" s="552"/>
      <c r="P568" s="552"/>
      <c r="Q568" s="552"/>
      <c r="R568" s="552"/>
      <c r="S568" s="552"/>
      <c r="T568" s="552"/>
      <c r="U568" s="552"/>
      <c r="V568" s="552"/>
      <c r="W568" s="552"/>
      <c r="X568" s="552"/>
      <c r="Y568" s="552"/>
      <c r="Z568" s="552"/>
      <c r="AA568" s="552"/>
      <c r="AB568" s="552"/>
      <c r="AC568" s="552"/>
      <c r="AD568" s="552"/>
      <c r="AE568" s="552"/>
      <c r="AF568" s="552"/>
      <c r="AG568" s="552"/>
      <c r="AH568" s="552"/>
      <c r="AI568" s="552"/>
      <c r="AJ568" s="552"/>
      <c r="AK568" s="552"/>
      <c r="AL568" s="552"/>
      <c r="AM568" s="552"/>
      <c r="AN568" s="552"/>
      <c r="AO568" s="552"/>
      <c r="AP568" s="552"/>
      <c r="AQ568" s="552" t="s">
        <v>1186</v>
      </c>
      <c r="AR568" s="552" t="s">
        <v>2809</v>
      </c>
      <c r="AS568" s="552" t="s">
        <v>6881</v>
      </c>
      <c r="AT568" s="552" t="s">
        <v>726</v>
      </c>
    </row>
    <row r="569" spans="1:46" ht="14.7" customHeight="1">
      <c r="A569" s="710" t="s">
        <v>6311</v>
      </c>
      <c r="B569" s="559" t="s">
        <v>3700</v>
      </c>
      <c r="C569" s="539" t="s">
        <v>7610</v>
      </c>
      <c r="D569" s="709" t="s">
        <v>7655</v>
      </c>
      <c r="E569" s="552" t="s">
        <v>6871</v>
      </c>
      <c r="F569" s="552" t="s">
        <v>726</v>
      </c>
      <c r="G569" s="552" t="s">
        <v>7637</v>
      </c>
      <c r="H569" s="552"/>
      <c r="I569" s="552"/>
      <c r="J569" s="552"/>
      <c r="K569" s="552"/>
      <c r="L569" s="552"/>
      <c r="M569" s="552"/>
      <c r="N569" s="552"/>
      <c r="O569" s="552"/>
      <c r="P569" s="552"/>
      <c r="Q569" s="552"/>
      <c r="R569" s="552"/>
      <c r="S569" s="552"/>
      <c r="T569" s="552"/>
      <c r="U569" s="552"/>
      <c r="V569" s="552"/>
      <c r="W569" s="552"/>
      <c r="X569" s="552"/>
      <c r="Y569" s="552"/>
      <c r="Z569" s="552"/>
      <c r="AA569" s="552"/>
      <c r="AB569" s="552"/>
      <c r="AC569" s="552"/>
      <c r="AD569" s="552">
        <v>-100</v>
      </c>
      <c r="AE569" s="552"/>
      <c r="AF569" s="552"/>
      <c r="AG569" s="552"/>
      <c r="AH569" s="552"/>
      <c r="AI569" s="552"/>
      <c r="AJ569" s="552"/>
      <c r="AK569" s="552"/>
      <c r="AL569" s="552"/>
      <c r="AM569" s="552"/>
      <c r="AN569" s="552"/>
      <c r="AO569" s="713" t="s">
        <v>7656</v>
      </c>
      <c r="AP569" s="552"/>
      <c r="AQ569" s="552" t="s">
        <v>1186</v>
      </c>
      <c r="AR569" s="552" t="s">
        <v>2971</v>
      </c>
      <c r="AS569" s="552" t="s">
        <v>7484</v>
      </c>
      <c r="AT569" s="552" t="s">
        <v>726</v>
      </c>
    </row>
    <row r="570" spans="1:46" ht="14.7" customHeight="1">
      <c r="A570" s="706"/>
      <c r="B570" s="559" t="s">
        <v>3700</v>
      </c>
      <c r="C570" s="539" t="s">
        <v>7610</v>
      </c>
      <c r="D570" s="539" t="s">
        <v>2783</v>
      </c>
      <c r="E570" s="539"/>
      <c r="F570" s="539"/>
      <c r="G570" s="539"/>
      <c r="H570" s="552"/>
      <c r="I570" s="552"/>
      <c r="J570" s="552"/>
      <c r="K570" s="552"/>
      <c r="L570" s="552"/>
      <c r="M570" s="552"/>
      <c r="N570" s="552"/>
      <c r="O570" s="552"/>
      <c r="P570" s="552"/>
      <c r="Q570" s="552"/>
      <c r="R570" s="552"/>
      <c r="S570" s="552"/>
      <c r="T570" s="552"/>
      <c r="U570" s="552"/>
      <c r="V570" s="552"/>
      <c r="W570" s="552"/>
      <c r="X570" s="552"/>
      <c r="Y570" s="552"/>
      <c r="Z570" s="552"/>
      <c r="AA570" s="552"/>
      <c r="AB570" s="552"/>
      <c r="AC570" s="552"/>
      <c r="AD570" s="552"/>
      <c r="AE570" s="552"/>
      <c r="AF570" s="552"/>
      <c r="AG570" s="552"/>
      <c r="AH570" s="552"/>
      <c r="AI570" s="552"/>
      <c r="AJ570" s="552"/>
      <c r="AK570" s="552"/>
      <c r="AL570" s="552"/>
      <c r="AM570" s="552"/>
      <c r="AN570" s="552"/>
      <c r="AO570" s="552"/>
      <c r="AP570" s="552"/>
      <c r="AQ570" s="552" t="s">
        <v>1186</v>
      </c>
      <c r="AR570" s="552" t="s">
        <v>2971</v>
      </c>
      <c r="AS570" s="552" t="s">
        <v>7484</v>
      </c>
      <c r="AT570" s="552" t="s">
        <v>726</v>
      </c>
    </row>
    <row r="571" spans="1:46" ht="14.7" customHeight="1">
      <c r="A571" s="706"/>
      <c r="B571" s="711" t="s">
        <v>6055</v>
      </c>
      <c r="C571" s="539" t="s">
        <v>7610</v>
      </c>
      <c r="D571" s="539" t="s">
        <v>2783</v>
      </c>
      <c r="E571" s="552"/>
      <c r="F571" s="552"/>
      <c r="G571" s="552"/>
      <c r="H571" s="552"/>
      <c r="I571" s="552"/>
      <c r="J571" s="552"/>
      <c r="K571" s="552"/>
      <c r="L571" s="552"/>
      <c r="M571" s="552"/>
      <c r="N571" s="552"/>
      <c r="O571" s="552"/>
      <c r="P571" s="552"/>
      <c r="Q571" s="552"/>
      <c r="R571" s="552"/>
      <c r="S571" s="552"/>
      <c r="T571" s="552"/>
      <c r="U571" s="552"/>
      <c r="V571" s="552"/>
      <c r="W571" s="552"/>
      <c r="X571" s="552"/>
      <c r="Y571" s="552"/>
      <c r="Z571" s="552"/>
      <c r="AA571" s="552"/>
      <c r="AB571" s="552"/>
      <c r="AC571" s="552"/>
      <c r="AD571" s="552"/>
      <c r="AE571" s="552"/>
      <c r="AF571" s="552"/>
      <c r="AG571" s="552"/>
      <c r="AH571" s="552"/>
      <c r="AI571" s="552"/>
      <c r="AJ571" s="552"/>
      <c r="AK571" s="552"/>
      <c r="AL571" s="552"/>
      <c r="AM571" s="552"/>
      <c r="AN571" s="552"/>
      <c r="AO571" s="552"/>
      <c r="AP571" s="552"/>
      <c r="AQ571" s="552" t="s">
        <v>1186</v>
      </c>
      <c r="AR571" s="552" t="s">
        <v>6697</v>
      </c>
      <c r="AS571" s="552" t="s">
        <v>7484</v>
      </c>
      <c r="AT571" s="552" t="s">
        <v>726</v>
      </c>
    </row>
    <row r="572" spans="1:46" ht="14.7" customHeight="1">
      <c r="A572" s="706" t="s">
        <v>6312</v>
      </c>
      <c r="B572" s="540" t="s">
        <v>3695</v>
      </c>
      <c r="C572" s="539" t="s">
        <v>7610</v>
      </c>
      <c r="D572" s="709" t="s">
        <v>7657</v>
      </c>
      <c r="E572" s="552" t="s">
        <v>6871</v>
      </c>
      <c r="F572" s="552" t="s">
        <v>726</v>
      </c>
      <c r="G572" s="552" t="s">
        <v>7658</v>
      </c>
      <c r="H572" s="552"/>
      <c r="I572" s="552"/>
      <c r="J572" s="552"/>
      <c r="K572" s="552"/>
      <c r="L572" s="552"/>
      <c r="M572" s="552"/>
      <c r="N572" s="552">
        <v>20</v>
      </c>
      <c r="O572" s="552"/>
      <c r="P572" s="552"/>
      <c r="Q572" s="552"/>
      <c r="R572" s="552"/>
      <c r="S572" s="552"/>
      <c r="T572" s="552"/>
      <c r="U572" s="552"/>
      <c r="V572" s="552"/>
      <c r="W572" s="552"/>
      <c r="X572" s="552"/>
      <c r="Y572" s="552"/>
      <c r="Z572" s="552"/>
      <c r="AA572" s="552"/>
      <c r="AB572" s="552"/>
      <c r="AC572" s="552"/>
      <c r="AD572" s="552"/>
      <c r="AE572" s="552"/>
      <c r="AF572" s="552"/>
      <c r="AG572" s="552"/>
      <c r="AH572" s="552"/>
      <c r="AI572" s="552"/>
      <c r="AJ572" s="552"/>
      <c r="AK572" s="552"/>
      <c r="AL572" s="552"/>
      <c r="AM572" s="552"/>
      <c r="AN572" s="552"/>
      <c r="AO572" s="709" t="s">
        <v>7659</v>
      </c>
      <c r="AP572" s="709"/>
      <c r="AQ572" s="552" t="s">
        <v>1186</v>
      </c>
      <c r="AR572" s="552" t="s">
        <v>2802</v>
      </c>
      <c r="AS572" s="552" t="s">
        <v>6881</v>
      </c>
      <c r="AT572" s="552" t="s">
        <v>726</v>
      </c>
    </row>
    <row r="573" spans="1:46" ht="14.7" customHeight="1">
      <c r="A573" s="706"/>
      <c r="B573" s="540" t="s">
        <v>3695</v>
      </c>
      <c r="C573" s="539" t="s">
        <v>7610</v>
      </c>
      <c r="D573" s="539" t="s">
        <v>2783</v>
      </c>
      <c r="E573" s="539"/>
      <c r="F573" s="539"/>
      <c r="G573" s="539"/>
      <c r="H573" s="552"/>
      <c r="I573" s="552"/>
      <c r="J573" s="552"/>
      <c r="K573" s="552"/>
      <c r="L573" s="552"/>
      <c r="M573" s="552"/>
      <c r="N573" s="552"/>
      <c r="O573" s="552"/>
      <c r="P573" s="552"/>
      <c r="Q573" s="552"/>
      <c r="R573" s="552"/>
      <c r="S573" s="552"/>
      <c r="T573" s="552"/>
      <c r="U573" s="552"/>
      <c r="V573" s="552"/>
      <c r="W573" s="552"/>
      <c r="X573" s="552"/>
      <c r="Y573" s="552"/>
      <c r="Z573" s="552"/>
      <c r="AA573" s="552"/>
      <c r="AB573" s="552"/>
      <c r="AC573" s="552"/>
      <c r="AD573" s="552"/>
      <c r="AE573" s="552"/>
      <c r="AF573" s="552"/>
      <c r="AG573" s="552"/>
      <c r="AH573" s="552"/>
      <c r="AI573" s="552"/>
      <c r="AJ573" s="552"/>
      <c r="AK573" s="552"/>
      <c r="AL573" s="552"/>
      <c r="AM573" s="552"/>
      <c r="AN573" s="552"/>
      <c r="AO573" s="552"/>
      <c r="AP573" s="552"/>
      <c r="AQ573" s="552" t="s">
        <v>1186</v>
      </c>
      <c r="AR573" s="552" t="s">
        <v>2802</v>
      </c>
      <c r="AS573" s="552" t="s">
        <v>6881</v>
      </c>
      <c r="AT573" s="552" t="s">
        <v>726</v>
      </c>
    </row>
    <row r="574" spans="1:46" ht="14.7" customHeight="1">
      <c r="A574" s="706" t="s">
        <v>6313</v>
      </c>
      <c r="B574" s="707" t="s">
        <v>3696</v>
      </c>
      <c r="C574" s="539" t="s">
        <v>7610</v>
      </c>
      <c r="D574" s="709" t="s">
        <v>7660</v>
      </c>
      <c r="E574" s="552" t="s">
        <v>6871</v>
      </c>
      <c r="F574" s="552" t="s">
        <v>726</v>
      </c>
      <c r="G574" s="552" t="s">
        <v>7658</v>
      </c>
      <c r="H574" s="552"/>
      <c r="I574" s="552"/>
      <c r="J574" s="552"/>
      <c r="K574" s="552"/>
      <c r="L574" s="552"/>
      <c r="M574" s="552"/>
      <c r="N574" s="552">
        <v>30</v>
      </c>
      <c r="O574" s="552"/>
      <c r="P574" s="552"/>
      <c r="Q574" s="552"/>
      <c r="R574" s="552"/>
      <c r="S574" s="552"/>
      <c r="T574" s="552"/>
      <c r="U574" s="552"/>
      <c r="V574" s="552"/>
      <c r="W574" s="552"/>
      <c r="X574" s="552"/>
      <c r="Y574" s="552"/>
      <c r="Z574" s="552"/>
      <c r="AA574" s="552"/>
      <c r="AB574" s="552"/>
      <c r="AC574" s="552"/>
      <c r="AD574" s="552"/>
      <c r="AE574" s="552"/>
      <c r="AF574" s="552"/>
      <c r="AG574" s="552"/>
      <c r="AH574" s="552"/>
      <c r="AI574" s="552"/>
      <c r="AJ574" s="552"/>
      <c r="AK574" s="552"/>
      <c r="AL574" s="552"/>
      <c r="AM574" s="552"/>
      <c r="AN574" s="552"/>
      <c r="AO574" s="709" t="s">
        <v>7661</v>
      </c>
      <c r="AP574" s="709"/>
      <c r="AQ574" s="552" t="s">
        <v>1186</v>
      </c>
      <c r="AR574" s="552" t="s">
        <v>2805</v>
      </c>
      <c r="AS574" s="552" t="s">
        <v>6881</v>
      </c>
      <c r="AT574" s="552" t="s">
        <v>726</v>
      </c>
    </row>
    <row r="575" spans="1:46" ht="14.7" customHeight="1">
      <c r="A575" s="706"/>
      <c r="B575" s="707" t="s">
        <v>3696</v>
      </c>
      <c r="C575" s="539" t="s">
        <v>7610</v>
      </c>
      <c r="D575" s="539" t="s">
        <v>2783</v>
      </c>
      <c r="E575" s="539"/>
      <c r="F575" s="539"/>
      <c r="G575" s="539"/>
      <c r="H575" s="552"/>
      <c r="I575" s="552"/>
      <c r="J575" s="552"/>
      <c r="K575" s="552"/>
      <c r="L575" s="552"/>
      <c r="M575" s="552"/>
      <c r="N575" s="552"/>
      <c r="O575" s="552"/>
      <c r="P575" s="552"/>
      <c r="Q575" s="552"/>
      <c r="R575" s="552"/>
      <c r="S575" s="552"/>
      <c r="T575" s="552"/>
      <c r="U575" s="552"/>
      <c r="V575" s="552"/>
      <c r="W575" s="552"/>
      <c r="X575" s="552"/>
      <c r="Y575" s="552"/>
      <c r="Z575" s="552"/>
      <c r="AA575" s="552"/>
      <c r="AB575" s="552"/>
      <c r="AC575" s="552"/>
      <c r="AD575" s="552"/>
      <c r="AE575" s="552"/>
      <c r="AF575" s="552"/>
      <c r="AG575" s="552"/>
      <c r="AH575" s="552"/>
      <c r="AI575" s="552"/>
      <c r="AJ575" s="552"/>
      <c r="AK575" s="552"/>
      <c r="AL575" s="552"/>
      <c r="AM575" s="552"/>
      <c r="AN575" s="552"/>
      <c r="AO575" s="552"/>
      <c r="AP575" s="552"/>
      <c r="AQ575" s="552" t="s">
        <v>1186</v>
      </c>
      <c r="AR575" s="552" t="s">
        <v>2805</v>
      </c>
      <c r="AS575" s="552" t="s">
        <v>6881</v>
      </c>
      <c r="AT575" s="552" t="s">
        <v>726</v>
      </c>
    </row>
    <row r="576" spans="1:46" ht="14.7" customHeight="1">
      <c r="A576" s="706" t="s">
        <v>6314</v>
      </c>
      <c r="B576" s="556" t="s">
        <v>3697</v>
      </c>
      <c r="C576" s="539" t="s">
        <v>7610</v>
      </c>
      <c r="D576" s="709" t="s">
        <v>7662</v>
      </c>
      <c r="E576" s="552" t="s">
        <v>6871</v>
      </c>
      <c r="F576" s="552" t="s">
        <v>726</v>
      </c>
      <c r="G576" s="552" t="s">
        <v>7658</v>
      </c>
      <c r="H576" s="552"/>
      <c r="I576" s="552"/>
      <c r="J576" s="552"/>
      <c r="K576" s="552"/>
      <c r="L576" s="552"/>
      <c r="M576" s="552"/>
      <c r="N576" s="552"/>
      <c r="O576" s="552"/>
      <c r="P576" s="552"/>
      <c r="Q576" s="552"/>
      <c r="R576" s="552"/>
      <c r="S576" s="552"/>
      <c r="T576" s="552"/>
      <c r="U576" s="552"/>
      <c r="V576" s="552"/>
      <c r="W576" s="552"/>
      <c r="X576" s="552"/>
      <c r="Y576" s="552"/>
      <c r="Z576" s="552"/>
      <c r="AA576" s="552"/>
      <c r="AB576" s="552"/>
      <c r="AC576" s="552"/>
      <c r="AD576" s="552"/>
      <c r="AE576" s="552"/>
      <c r="AF576" s="552"/>
      <c r="AG576" s="552"/>
      <c r="AH576" s="552"/>
      <c r="AI576" s="552"/>
      <c r="AJ576" s="552"/>
      <c r="AK576" s="552"/>
      <c r="AL576" s="552"/>
      <c r="AM576" s="552"/>
      <c r="AN576" s="552"/>
      <c r="AO576" s="709" t="s">
        <v>7663</v>
      </c>
      <c r="AP576" s="709"/>
      <c r="AQ576" s="552" t="s">
        <v>1186</v>
      </c>
      <c r="AR576" s="552" t="s">
        <v>2875</v>
      </c>
      <c r="AS576" s="552" t="s">
        <v>6881</v>
      </c>
      <c r="AT576" s="552" t="s">
        <v>726</v>
      </c>
    </row>
    <row r="577" spans="1:46" ht="14.7" customHeight="1">
      <c r="A577" s="706" t="s">
        <v>6315</v>
      </c>
      <c r="B577" s="556" t="s">
        <v>3697</v>
      </c>
      <c r="C577" s="539" t="s">
        <v>7610</v>
      </c>
      <c r="D577" s="709" t="s">
        <v>7664</v>
      </c>
      <c r="E577" s="552" t="s">
        <v>6871</v>
      </c>
      <c r="F577" s="552" t="s">
        <v>726</v>
      </c>
      <c r="G577" s="552" t="s">
        <v>7658</v>
      </c>
      <c r="H577" s="552"/>
      <c r="I577" s="552"/>
      <c r="J577" s="552"/>
      <c r="K577" s="552"/>
      <c r="L577" s="552"/>
      <c r="M577" s="552"/>
      <c r="N577" s="552">
        <v>50</v>
      </c>
      <c r="O577" s="552"/>
      <c r="P577" s="552"/>
      <c r="Q577" s="552"/>
      <c r="R577" s="552"/>
      <c r="S577" s="552"/>
      <c r="T577" s="552"/>
      <c r="U577" s="552"/>
      <c r="V577" s="552"/>
      <c r="W577" s="552"/>
      <c r="X577" s="552"/>
      <c r="Y577" s="552"/>
      <c r="Z577" s="552"/>
      <c r="AA577" s="552"/>
      <c r="AB577" s="552"/>
      <c r="AC577" s="552"/>
      <c r="AD577" s="552"/>
      <c r="AE577" s="552"/>
      <c r="AF577" s="552"/>
      <c r="AG577" s="552"/>
      <c r="AH577" s="552"/>
      <c r="AI577" s="552"/>
      <c r="AJ577" s="552"/>
      <c r="AK577" s="552"/>
      <c r="AL577" s="552"/>
      <c r="AM577" s="552"/>
      <c r="AN577" s="552"/>
      <c r="AO577" s="552"/>
      <c r="AP577" s="552"/>
      <c r="AQ577" s="552" t="s">
        <v>1186</v>
      </c>
      <c r="AR577" s="552" t="s">
        <v>2875</v>
      </c>
      <c r="AS577" s="552" t="s">
        <v>6881</v>
      </c>
      <c r="AT577" s="552" t="s">
        <v>726</v>
      </c>
    </row>
    <row r="578" spans="1:46" ht="14.7" customHeight="1">
      <c r="A578" s="706"/>
      <c r="B578" s="556" t="s">
        <v>3697</v>
      </c>
      <c r="C578" s="539" t="s">
        <v>7610</v>
      </c>
      <c r="D578" s="539" t="s">
        <v>2783</v>
      </c>
      <c r="E578" s="539"/>
      <c r="F578" s="539"/>
      <c r="G578" s="539"/>
      <c r="H578" s="552"/>
      <c r="I578" s="552"/>
      <c r="J578" s="552"/>
      <c r="K578" s="552"/>
      <c r="L578" s="552"/>
      <c r="M578" s="552"/>
      <c r="N578" s="552"/>
      <c r="O578" s="552"/>
      <c r="P578" s="552"/>
      <c r="Q578" s="552"/>
      <c r="R578" s="552"/>
      <c r="S578" s="552"/>
      <c r="T578" s="552"/>
      <c r="U578" s="552"/>
      <c r="V578" s="552"/>
      <c r="W578" s="552"/>
      <c r="X578" s="552"/>
      <c r="Y578" s="552"/>
      <c r="Z578" s="552"/>
      <c r="AA578" s="552"/>
      <c r="AB578" s="552"/>
      <c r="AC578" s="552"/>
      <c r="AD578" s="552"/>
      <c r="AE578" s="552"/>
      <c r="AF578" s="552"/>
      <c r="AG578" s="552"/>
      <c r="AH578" s="552"/>
      <c r="AI578" s="552"/>
      <c r="AJ578" s="552"/>
      <c r="AK578" s="552"/>
      <c r="AL578" s="552"/>
      <c r="AM578" s="552"/>
      <c r="AN578" s="552"/>
      <c r="AO578" s="552"/>
      <c r="AP578" s="552"/>
      <c r="AQ578" s="552" t="s">
        <v>1186</v>
      </c>
      <c r="AR578" s="552" t="s">
        <v>2875</v>
      </c>
      <c r="AS578" s="552" t="s">
        <v>6881</v>
      </c>
      <c r="AT578" s="552" t="s">
        <v>726</v>
      </c>
    </row>
    <row r="579" spans="1:46" ht="14.7" customHeight="1">
      <c r="A579" s="706" t="s">
        <v>7665</v>
      </c>
      <c r="B579" s="557" t="s">
        <v>3698</v>
      </c>
      <c r="C579" s="539" t="s">
        <v>7610</v>
      </c>
      <c r="D579" s="709" t="s">
        <v>7666</v>
      </c>
      <c r="E579" s="552" t="s">
        <v>6871</v>
      </c>
      <c r="F579" s="552" t="s">
        <v>726</v>
      </c>
      <c r="G579" s="552" t="s">
        <v>7658</v>
      </c>
      <c r="H579" s="552"/>
      <c r="I579" s="552"/>
      <c r="J579" s="552"/>
      <c r="K579" s="552"/>
      <c r="L579" s="552"/>
      <c r="M579" s="552"/>
      <c r="N579" s="552">
        <v>30</v>
      </c>
      <c r="O579" s="552"/>
      <c r="P579" s="552"/>
      <c r="Q579" s="552"/>
      <c r="R579" s="552"/>
      <c r="S579" s="552"/>
      <c r="T579" s="552"/>
      <c r="U579" s="552"/>
      <c r="V579" s="552"/>
      <c r="W579" s="552"/>
      <c r="X579" s="552"/>
      <c r="Y579" s="552"/>
      <c r="Z579" s="552"/>
      <c r="AA579" s="552"/>
      <c r="AB579" s="552"/>
      <c r="AC579" s="552"/>
      <c r="AD579" s="552"/>
      <c r="AE579" s="552"/>
      <c r="AF579" s="552"/>
      <c r="AG579" s="552"/>
      <c r="AH579" s="552"/>
      <c r="AI579" s="552"/>
      <c r="AJ579" s="552"/>
      <c r="AK579" s="552"/>
      <c r="AL579" s="552"/>
      <c r="AM579" s="552"/>
      <c r="AN579" s="552"/>
      <c r="AO579" s="552"/>
      <c r="AP579" s="709" t="s">
        <v>7667</v>
      </c>
      <c r="AQ579" s="552" t="s">
        <v>1186</v>
      </c>
      <c r="AR579" s="552" t="s">
        <v>2998</v>
      </c>
      <c r="AS579" s="552" t="s">
        <v>6881</v>
      </c>
      <c r="AT579" s="552" t="s">
        <v>726</v>
      </c>
    </row>
    <row r="580" spans="1:46" ht="14.7" customHeight="1">
      <c r="A580" s="706" t="s">
        <v>6316</v>
      </c>
      <c r="B580" s="557" t="s">
        <v>3698</v>
      </c>
      <c r="C580" s="539" t="s">
        <v>7610</v>
      </c>
      <c r="D580" s="709" t="s">
        <v>7668</v>
      </c>
      <c r="E580" s="552" t="s">
        <v>6871</v>
      </c>
      <c r="F580" s="552" t="s">
        <v>726</v>
      </c>
      <c r="G580" s="552" t="s">
        <v>7658</v>
      </c>
      <c r="H580" s="552"/>
      <c r="I580" s="552"/>
      <c r="J580" s="552"/>
      <c r="K580" s="552"/>
      <c r="L580" s="552"/>
      <c r="M580" s="552"/>
      <c r="N580" s="552">
        <v>50</v>
      </c>
      <c r="O580" s="552"/>
      <c r="P580" s="552"/>
      <c r="Q580" s="552"/>
      <c r="R580" s="552"/>
      <c r="S580" s="552"/>
      <c r="T580" s="552"/>
      <c r="U580" s="552"/>
      <c r="V580" s="552"/>
      <c r="W580" s="552"/>
      <c r="X580" s="552"/>
      <c r="Y580" s="552"/>
      <c r="Z580" s="552"/>
      <c r="AA580" s="552"/>
      <c r="AB580" s="552"/>
      <c r="AC580" s="552"/>
      <c r="AD580" s="552"/>
      <c r="AE580" s="552">
        <v>60</v>
      </c>
      <c r="AF580" s="552"/>
      <c r="AG580" s="552"/>
      <c r="AH580" s="552"/>
      <c r="AI580" s="552"/>
      <c r="AJ580" s="552"/>
      <c r="AK580" s="552"/>
      <c r="AL580" s="552"/>
      <c r="AM580" s="552"/>
      <c r="AN580" s="552"/>
      <c r="AO580" s="552" t="s">
        <v>7669</v>
      </c>
      <c r="AP580" s="552"/>
      <c r="AQ580" s="552" t="s">
        <v>1186</v>
      </c>
      <c r="AR580" s="552" t="s">
        <v>2998</v>
      </c>
      <c r="AS580" s="552" t="s">
        <v>6881</v>
      </c>
      <c r="AT580" s="552" t="s">
        <v>726</v>
      </c>
    </row>
    <row r="581" spans="1:46" ht="14.7" customHeight="1">
      <c r="A581" s="706" t="s">
        <v>6317</v>
      </c>
      <c r="B581" s="557" t="s">
        <v>3698</v>
      </c>
      <c r="C581" s="539" t="s">
        <v>7610</v>
      </c>
      <c r="D581" s="709" t="s">
        <v>7670</v>
      </c>
      <c r="E581" s="552" t="s">
        <v>6871</v>
      </c>
      <c r="F581" s="552" t="s">
        <v>726</v>
      </c>
      <c r="G581" s="552" t="s">
        <v>7658</v>
      </c>
      <c r="H581" s="552"/>
      <c r="I581" s="552"/>
      <c r="J581" s="552"/>
      <c r="K581" s="552"/>
      <c r="L581" s="552"/>
      <c r="M581" s="552"/>
      <c r="N581" s="552"/>
      <c r="O581" s="552"/>
      <c r="P581" s="552"/>
      <c r="Q581" s="552"/>
      <c r="R581" s="552"/>
      <c r="S581" s="552"/>
      <c r="T581" s="552"/>
      <c r="U581" s="552"/>
      <c r="V581" s="552"/>
      <c r="W581" s="552"/>
      <c r="X581" s="552"/>
      <c r="Y581" s="552"/>
      <c r="Z581" s="552"/>
      <c r="AA581" s="552"/>
      <c r="AB581" s="552"/>
      <c r="AC581" s="552"/>
      <c r="AD581" s="552"/>
      <c r="AE581" s="552"/>
      <c r="AF581" s="552"/>
      <c r="AG581" s="552"/>
      <c r="AH581" s="552"/>
      <c r="AI581" s="552"/>
      <c r="AJ581" s="552"/>
      <c r="AK581" s="552">
        <v>20</v>
      </c>
      <c r="AL581" s="552"/>
      <c r="AM581" s="552"/>
      <c r="AN581" s="552"/>
      <c r="AO581" s="552" t="s">
        <v>7671</v>
      </c>
      <c r="AP581" s="552"/>
      <c r="AQ581" s="552" t="s">
        <v>1186</v>
      </c>
      <c r="AR581" s="552" t="s">
        <v>2998</v>
      </c>
      <c r="AS581" s="552" t="s">
        <v>6881</v>
      </c>
      <c r="AT581" s="552" t="s">
        <v>726</v>
      </c>
    </row>
    <row r="582" spans="1:46" ht="14.7" customHeight="1">
      <c r="A582" s="706"/>
      <c r="B582" s="557" t="s">
        <v>3698</v>
      </c>
      <c r="C582" s="539" t="s">
        <v>7610</v>
      </c>
      <c r="D582" s="539" t="s">
        <v>2783</v>
      </c>
      <c r="E582" s="539"/>
      <c r="F582" s="539"/>
      <c r="G582" s="539"/>
      <c r="H582" s="552"/>
      <c r="I582" s="552"/>
      <c r="J582" s="552"/>
      <c r="K582" s="552"/>
      <c r="L582" s="552"/>
      <c r="M582" s="552"/>
      <c r="N582" s="552"/>
      <c r="O582" s="552"/>
      <c r="P582" s="552"/>
      <c r="Q582" s="552"/>
      <c r="R582" s="552"/>
      <c r="S582" s="552"/>
      <c r="T582" s="552"/>
      <c r="U582" s="552"/>
      <c r="V582" s="552"/>
      <c r="W582" s="552"/>
      <c r="X582" s="552"/>
      <c r="Y582" s="552"/>
      <c r="Z582" s="552"/>
      <c r="AA582" s="552"/>
      <c r="AB582" s="552"/>
      <c r="AC582" s="552"/>
      <c r="AD582" s="552"/>
      <c r="AE582" s="552"/>
      <c r="AF582" s="552"/>
      <c r="AG582" s="552"/>
      <c r="AH582" s="552"/>
      <c r="AI582" s="552"/>
      <c r="AJ582" s="552"/>
      <c r="AK582" s="552"/>
      <c r="AL582" s="552"/>
      <c r="AM582" s="552"/>
      <c r="AN582" s="552"/>
      <c r="AO582" s="552"/>
      <c r="AP582" s="552"/>
      <c r="AQ582" s="552" t="s">
        <v>1186</v>
      </c>
      <c r="AR582" s="552" t="s">
        <v>2998</v>
      </c>
      <c r="AS582" s="552" t="s">
        <v>6881</v>
      </c>
      <c r="AT582" s="552" t="s">
        <v>726</v>
      </c>
    </row>
    <row r="583" spans="1:46" ht="14.7" customHeight="1">
      <c r="A583" s="710" t="s">
        <v>6318</v>
      </c>
      <c r="B583" s="344" t="s">
        <v>3699</v>
      </c>
      <c r="C583" s="539" t="s">
        <v>7610</v>
      </c>
      <c r="D583" s="709" t="s">
        <v>7672</v>
      </c>
      <c r="E583" s="552" t="s">
        <v>6871</v>
      </c>
      <c r="F583" s="552" t="s">
        <v>726</v>
      </c>
      <c r="G583" s="552" t="s">
        <v>7658</v>
      </c>
      <c r="H583" s="552"/>
      <c r="I583" s="552"/>
      <c r="J583" s="552"/>
      <c r="K583" s="552"/>
      <c r="L583" s="552"/>
      <c r="M583" s="552"/>
      <c r="N583" s="552"/>
      <c r="O583" s="552"/>
      <c r="P583" s="552"/>
      <c r="Q583" s="552"/>
      <c r="R583" s="552"/>
      <c r="S583" s="552"/>
      <c r="T583" s="552"/>
      <c r="U583" s="552"/>
      <c r="V583" s="552"/>
      <c r="W583" s="552"/>
      <c r="X583" s="552"/>
      <c r="Y583" s="552">
        <v>2</v>
      </c>
      <c r="Z583" s="552"/>
      <c r="AA583" s="552"/>
      <c r="AB583" s="552">
        <v>40</v>
      </c>
      <c r="AC583" s="552"/>
      <c r="AD583" s="552">
        <v>40</v>
      </c>
      <c r="AE583" s="552"/>
      <c r="AF583" s="552"/>
      <c r="AG583" s="552"/>
      <c r="AH583" s="552"/>
      <c r="AI583" s="552"/>
      <c r="AJ583" s="552"/>
      <c r="AK583" s="552"/>
      <c r="AL583" s="552"/>
      <c r="AM583" s="552"/>
      <c r="AN583" s="552"/>
      <c r="AO583" s="709" t="s">
        <v>7673</v>
      </c>
      <c r="AP583" s="709"/>
      <c r="AQ583" s="552" t="s">
        <v>1186</v>
      </c>
      <c r="AR583" s="552" t="s">
        <v>2809</v>
      </c>
      <c r="AS583" s="552" t="s">
        <v>6881</v>
      </c>
      <c r="AT583" s="552" t="s">
        <v>726</v>
      </c>
    </row>
    <row r="584" spans="1:46" ht="14.7" customHeight="1">
      <c r="A584" s="710" t="s">
        <v>6319</v>
      </c>
      <c r="B584" s="344" t="s">
        <v>3699</v>
      </c>
      <c r="C584" s="539" t="s">
        <v>7610</v>
      </c>
      <c r="D584" s="709" t="s">
        <v>7674</v>
      </c>
      <c r="E584" s="552" t="s">
        <v>6871</v>
      </c>
      <c r="F584" s="552" t="s">
        <v>726</v>
      </c>
      <c r="G584" s="552" t="s">
        <v>7658</v>
      </c>
      <c r="H584" s="552"/>
      <c r="I584" s="552"/>
      <c r="J584" s="552"/>
      <c r="K584" s="552"/>
      <c r="L584" s="552"/>
      <c r="M584" s="552"/>
      <c r="N584" s="552">
        <v>200</v>
      </c>
      <c r="O584" s="552"/>
      <c r="P584" s="552"/>
      <c r="Q584" s="552"/>
      <c r="R584" s="552"/>
      <c r="S584" s="552"/>
      <c r="T584" s="552"/>
      <c r="U584" s="552"/>
      <c r="V584" s="552"/>
      <c r="W584" s="552"/>
      <c r="X584" s="552"/>
      <c r="Y584" s="552"/>
      <c r="Z584" s="552"/>
      <c r="AA584" s="552"/>
      <c r="AB584" s="552"/>
      <c r="AC584" s="552"/>
      <c r="AD584" s="552"/>
      <c r="AE584" s="552"/>
      <c r="AF584" s="552"/>
      <c r="AG584" s="552"/>
      <c r="AH584" s="552"/>
      <c r="AI584" s="552"/>
      <c r="AJ584" s="552"/>
      <c r="AK584" s="552"/>
      <c r="AL584" s="552"/>
      <c r="AM584" s="552"/>
      <c r="AN584" s="552"/>
      <c r="AO584" s="709" t="s">
        <v>7675</v>
      </c>
      <c r="AP584" s="709"/>
      <c r="AQ584" s="552" t="s">
        <v>1186</v>
      </c>
      <c r="AR584" s="552" t="s">
        <v>2809</v>
      </c>
      <c r="AS584" s="552" t="s">
        <v>6881</v>
      </c>
      <c r="AT584" s="552" t="s">
        <v>726</v>
      </c>
    </row>
    <row r="585" spans="1:46" ht="14.7" customHeight="1">
      <c r="A585" s="706"/>
      <c r="B585" s="344" t="s">
        <v>3699</v>
      </c>
      <c r="C585" s="539" t="s">
        <v>7610</v>
      </c>
      <c r="D585" s="539" t="s">
        <v>2783</v>
      </c>
      <c r="E585" s="539"/>
      <c r="F585" s="539"/>
      <c r="G585" s="539"/>
      <c r="H585" s="552"/>
      <c r="I585" s="552"/>
      <c r="J585" s="552"/>
      <c r="K585" s="552"/>
      <c r="L585" s="552"/>
      <c r="M585" s="552"/>
      <c r="N585" s="552"/>
      <c r="O585" s="552"/>
      <c r="P585" s="552"/>
      <c r="Q585" s="552"/>
      <c r="R585" s="552"/>
      <c r="S585" s="552"/>
      <c r="T585" s="552"/>
      <c r="U585" s="552"/>
      <c r="V585" s="552"/>
      <c r="W585" s="552"/>
      <c r="X585" s="552"/>
      <c r="Y585" s="552"/>
      <c r="Z585" s="552"/>
      <c r="AA585" s="552"/>
      <c r="AB585" s="552"/>
      <c r="AC585" s="552"/>
      <c r="AD585" s="552"/>
      <c r="AE585" s="552"/>
      <c r="AF585" s="552"/>
      <c r="AG585" s="552"/>
      <c r="AH585" s="552"/>
      <c r="AI585" s="552"/>
      <c r="AJ585" s="552"/>
      <c r="AK585" s="552"/>
      <c r="AL585" s="552"/>
      <c r="AM585" s="552"/>
      <c r="AN585" s="552"/>
      <c r="AO585" s="552"/>
      <c r="AP585" s="552"/>
      <c r="AQ585" s="552" t="s">
        <v>1186</v>
      </c>
      <c r="AR585" s="552" t="s">
        <v>2809</v>
      </c>
      <c r="AS585" s="552" t="s">
        <v>6881</v>
      </c>
      <c r="AT585" s="552" t="s">
        <v>726</v>
      </c>
    </row>
    <row r="586" spans="1:46" ht="14.7" customHeight="1">
      <c r="A586" s="706"/>
      <c r="B586" s="344" t="s">
        <v>3699</v>
      </c>
      <c r="C586" s="539" t="s">
        <v>7610</v>
      </c>
      <c r="D586" s="539" t="s">
        <v>2783</v>
      </c>
      <c r="E586" s="539"/>
      <c r="F586" s="539"/>
      <c r="G586" s="539"/>
      <c r="H586" s="552"/>
      <c r="I586" s="552"/>
      <c r="J586" s="552"/>
      <c r="K586" s="552"/>
      <c r="L586" s="552"/>
      <c r="M586" s="552"/>
      <c r="N586" s="552"/>
      <c r="O586" s="552"/>
      <c r="P586" s="552"/>
      <c r="Q586" s="552"/>
      <c r="R586" s="552"/>
      <c r="S586" s="552"/>
      <c r="T586" s="552"/>
      <c r="U586" s="552"/>
      <c r="V586" s="552"/>
      <c r="W586" s="552"/>
      <c r="X586" s="552"/>
      <c r="Y586" s="552"/>
      <c r="Z586" s="552"/>
      <c r="AA586" s="552"/>
      <c r="AB586" s="552"/>
      <c r="AC586" s="552"/>
      <c r="AD586" s="552"/>
      <c r="AE586" s="552"/>
      <c r="AF586" s="552"/>
      <c r="AG586" s="552"/>
      <c r="AH586" s="552"/>
      <c r="AI586" s="552"/>
      <c r="AJ586" s="552"/>
      <c r="AK586" s="552"/>
      <c r="AL586" s="552"/>
      <c r="AM586" s="552"/>
      <c r="AN586" s="552"/>
      <c r="AO586" s="552"/>
      <c r="AP586" s="552"/>
      <c r="AQ586" s="552" t="s">
        <v>1186</v>
      </c>
      <c r="AR586" s="552" t="s">
        <v>2809</v>
      </c>
      <c r="AS586" s="552" t="s">
        <v>6881</v>
      </c>
      <c r="AT586" s="552" t="s">
        <v>726</v>
      </c>
    </row>
    <row r="587" spans="1:46" ht="14.7" customHeight="1">
      <c r="A587" s="706"/>
      <c r="B587" s="344" t="s">
        <v>3699</v>
      </c>
      <c r="C587" s="539" t="s">
        <v>7610</v>
      </c>
      <c r="D587" s="539" t="s">
        <v>2783</v>
      </c>
      <c r="E587" s="539"/>
      <c r="F587" s="539"/>
      <c r="G587" s="539"/>
      <c r="H587" s="552"/>
      <c r="I587" s="552"/>
      <c r="J587" s="552"/>
      <c r="K587" s="552"/>
      <c r="L587" s="552"/>
      <c r="M587" s="552"/>
      <c r="N587" s="552"/>
      <c r="O587" s="552"/>
      <c r="P587" s="552"/>
      <c r="Q587" s="552"/>
      <c r="R587" s="552"/>
      <c r="S587" s="552"/>
      <c r="T587" s="552"/>
      <c r="U587" s="552"/>
      <c r="V587" s="552"/>
      <c r="W587" s="552"/>
      <c r="X587" s="552"/>
      <c r="Y587" s="552"/>
      <c r="Z587" s="552"/>
      <c r="AA587" s="552"/>
      <c r="AB587" s="552"/>
      <c r="AC587" s="552"/>
      <c r="AD587" s="552"/>
      <c r="AE587" s="552"/>
      <c r="AF587" s="552"/>
      <c r="AG587" s="552"/>
      <c r="AH587" s="552"/>
      <c r="AI587" s="552"/>
      <c r="AJ587" s="552"/>
      <c r="AK587" s="552"/>
      <c r="AL587" s="552"/>
      <c r="AM587" s="552"/>
      <c r="AN587" s="552"/>
      <c r="AO587" s="552"/>
      <c r="AP587" s="552"/>
      <c r="AQ587" s="552" t="s">
        <v>1186</v>
      </c>
      <c r="AR587" s="552" t="s">
        <v>2809</v>
      </c>
      <c r="AS587" s="552" t="s">
        <v>6881</v>
      </c>
      <c r="AT587" s="552" t="s">
        <v>726</v>
      </c>
    </row>
    <row r="588" spans="1:46" ht="14.7" customHeight="1">
      <c r="A588" s="723" t="s">
        <v>6320</v>
      </c>
      <c r="B588" s="559" t="s">
        <v>3700</v>
      </c>
      <c r="C588" s="539" t="s">
        <v>7610</v>
      </c>
      <c r="D588" s="709" t="s">
        <v>7676</v>
      </c>
      <c r="E588" s="552" t="s">
        <v>6871</v>
      </c>
      <c r="F588" s="552" t="s">
        <v>726</v>
      </c>
      <c r="G588" s="552" t="s">
        <v>7658</v>
      </c>
      <c r="H588" s="552"/>
      <c r="I588" s="552"/>
      <c r="J588" s="552"/>
      <c r="K588" s="552"/>
      <c r="L588" s="552"/>
      <c r="M588" s="552"/>
      <c r="N588" s="552"/>
      <c r="O588" s="552"/>
      <c r="P588" s="552"/>
      <c r="Q588" s="552"/>
      <c r="R588" s="552"/>
      <c r="S588" s="552"/>
      <c r="T588" s="552"/>
      <c r="U588" s="552"/>
      <c r="V588" s="552"/>
      <c r="W588" s="552"/>
      <c r="X588" s="552"/>
      <c r="Y588" s="552"/>
      <c r="Z588" s="552"/>
      <c r="AA588" s="552"/>
      <c r="AB588" s="552"/>
      <c r="AC588" s="552"/>
      <c r="AD588" s="552"/>
      <c r="AE588" s="552"/>
      <c r="AF588" s="552"/>
      <c r="AG588" s="552"/>
      <c r="AH588" s="552"/>
      <c r="AI588" s="552"/>
      <c r="AJ588" s="552"/>
      <c r="AK588" s="552"/>
      <c r="AL588" s="552"/>
      <c r="AM588" s="552"/>
      <c r="AN588" s="552"/>
      <c r="AO588" s="724" t="s">
        <v>7677</v>
      </c>
      <c r="AP588" s="552"/>
      <c r="AQ588" s="552" t="s">
        <v>1186</v>
      </c>
      <c r="AR588" s="552" t="s">
        <v>2971</v>
      </c>
      <c r="AS588" s="552" t="s">
        <v>6881</v>
      </c>
      <c r="AT588" s="552" t="s">
        <v>726</v>
      </c>
    </row>
    <row r="589" spans="1:46" ht="14.7" customHeight="1">
      <c r="A589" s="706"/>
      <c r="B589" s="559" t="s">
        <v>3700</v>
      </c>
      <c r="C589" s="539" t="s">
        <v>7610</v>
      </c>
      <c r="D589" s="539" t="s">
        <v>2783</v>
      </c>
      <c r="E589" s="539"/>
      <c r="F589" s="539"/>
      <c r="G589" s="539"/>
      <c r="H589" s="552"/>
      <c r="I589" s="552"/>
      <c r="J589" s="552"/>
      <c r="K589" s="552"/>
      <c r="L589" s="552"/>
      <c r="M589" s="552"/>
      <c r="N589" s="552"/>
      <c r="O589" s="552"/>
      <c r="P589" s="552"/>
      <c r="Q589" s="552"/>
      <c r="R589" s="552"/>
      <c r="S589" s="552"/>
      <c r="T589" s="552"/>
      <c r="U589" s="552"/>
      <c r="V589" s="552"/>
      <c r="W589" s="552"/>
      <c r="X589" s="552"/>
      <c r="Y589" s="552"/>
      <c r="Z589" s="552"/>
      <c r="AA589" s="552"/>
      <c r="AB589" s="552"/>
      <c r="AC589" s="552"/>
      <c r="AD589" s="552"/>
      <c r="AE589" s="552"/>
      <c r="AF589" s="552"/>
      <c r="AG589" s="552"/>
      <c r="AH589" s="552"/>
      <c r="AI589" s="552"/>
      <c r="AJ589" s="552"/>
      <c r="AK589" s="552"/>
      <c r="AL589" s="552"/>
      <c r="AM589" s="552"/>
      <c r="AN589" s="552"/>
      <c r="AO589" s="552"/>
      <c r="AP589" s="552"/>
      <c r="AQ589" s="552" t="s">
        <v>1186</v>
      </c>
      <c r="AR589" s="552" t="s">
        <v>2971</v>
      </c>
      <c r="AS589" s="552" t="s">
        <v>6881</v>
      </c>
      <c r="AT589" s="552" t="s">
        <v>726</v>
      </c>
    </row>
    <row r="590" spans="1:46" ht="14.7" customHeight="1">
      <c r="A590" s="706"/>
      <c r="B590" s="711" t="s">
        <v>6055</v>
      </c>
      <c r="C590" s="539" t="s">
        <v>7610</v>
      </c>
      <c r="D590" s="539"/>
      <c r="E590" s="552"/>
      <c r="F590" s="552"/>
      <c r="G590" s="552"/>
      <c r="H590" s="552"/>
      <c r="I590" s="552"/>
      <c r="J590" s="552"/>
      <c r="K590" s="552"/>
      <c r="L590" s="552"/>
      <c r="M590" s="552"/>
      <c r="N590" s="552"/>
      <c r="O590" s="552"/>
      <c r="P590" s="552"/>
      <c r="Q590" s="552"/>
      <c r="R590" s="552"/>
      <c r="S590" s="552"/>
      <c r="T590" s="552"/>
      <c r="U590" s="552"/>
      <c r="V590" s="552"/>
      <c r="W590" s="552"/>
      <c r="X590" s="552"/>
      <c r="Y590" s="552"/>
      <c r="Z590" s="552"/>
      <c r="AA590" s="552"/>
      <c r="AB590" s="552"/>
      <c r="AC590" s="552"/>
      <c r="AD590" s="552"/>
      <c r="AE590" s="552"/>
      <c r="AF590" s="552"/>
      <c r="AG590" s="552"/>
      <c r="AH590" s="552"/>
      <c r="AI590" s="552"/>
      <c r="AJ590" s="552"/>
      <c r="AK590" s="552"/>
      <c r="AL590" s="552"/>
      <c r="AM590" s="552"/>
      <c r="AN590" s="552"/>
      <c r="AO590" s="552"/>
      <c r="AP590" s="552"/>
      <c r="AQ590" s="552" t="s">
        <v>1186</v>
      </c>
      <c r="AR590" s="552" t="s">
        <v>6697</v>
      </c>
      <c r="AS590" s="552" t="s">
        <v>6881</v>
      </c>
      <c r="AT590" s="552" t="s">
        <v>726</v>
      </c>
    </row>
    <row r="591" spans="1:46" ht="14.7" customHeight="1">
      <c r="A591" s="706" t="s">
        <v>6321</v>
      </c>
      <c r="B591" s="540" t="s">
        <v>3695</v>
      </c>
      <c r="C591" s="539" t="s">
        <v>7610</v>
      </c>
      <c r="D591" s="709" t="s">
        <v>7678</v>
      </c>
      <c r="E591" s="552" t="s">
        <v>6871</v>
      </c>
      <c r="F591" s="552" t="s">
        <v>726</v>
      </c>
      <c r="G591" s="552" t="s">
        <v>7679</v>
      </c>
      <c r="H591" s="552"/>
      <c r="I591" s="552"/>
      <c r="J591" s="552"/>
      <c r="K591" s="552"/>
      <c r="L591" s="552"/>
      <c r="M591" s="552"/>
      <c r="N591" s="552"/>
      <c r="O591" s="552"/>
      <c r="P591" s="552"/>
      <c r="Q591" s="552"/>
      <c r="R591" s="552"/>
      <c r="S591" s="552"/>
      <c r="T591" s="552"/>
      <c r="U591" s="552"/>
      <c r="V591" s="552"/>
      <c r="W591" s="552"/>
      <c r="X591" s="552">
        <v>2</v>
      </c>
      <c r="Y591" s="552"/>
      <c r="Z591" s="552"/>
      <c r="AA591" s="552"/>
      <c r="AB591" s="552"/>
      <c r="AC591" s="552"/>
      <c r="AD591" s="552"/>
      <c r="AE591" s="552"/>
      <c r="AF591" s="552"/>
      <c r="AG591" s="552"/>
      <c r="AH591" s="552"/>
      <c r="AI591" s="552"/>
      <c r="AJ591" s="552"/>
      <c r="AK591" s="552"/>
      <c r="AL591" s="552"/>
      <c r="AM591" s="552"/>
      <c r="AN591" s="552"/>
      <c r="AO591" s="709" t="s">
        <v>7659</v>
      </c>
      <c r="AP591" s="709"/>
      <c r="AQ591" s="552" t="s">
        <v>1186</v>
      </c>
      <c r="AR591" s="552" t="s">
        <v>2802</v>
      </c>
      <c r="AS591" s="552" t="s">
        <v>6881</v>
      </c>
      <c r="AT591" s="552" t="s">
        <v>726</v>
      </c>
    </row>
    <row r="592" spans="1:46" ht="14.7" customHeight="1">
      <c r="A592" s="706" t="s">
        <v>6322</v>
      </c>
      <c r="B592" s="540" t="s">
        <v>3695</v>
      </c>
      <c r="C592" s="539" t="s">
        <v>7610</v>
      </c>
      <c r="D592" s="709" t="s">
        <v>7680</v>
      </c>
      <c r="E592" s="552" t="s">
        <v>6871</v>
      </c>
      <c r="F592" s="552" t="s">
        <v>726</v>
      </c>
      <c r="G592" s="552" t="s">
        <v>7679</v>
      </c>
      <c r="H592" s="552"/>
      <c r="I592" s="552"/>
      <c r="J592" s="552"/>
      <c r="K592" s="552"/>
      <c r="L592" s="552"/>
      <c r="M592" s="552"/>
      <c r="N592" s="552"/>
      <c r="O592" s="552"/>
      <c r="P592" s="552"/>
      <c r="Q592" s="552"/>
      <c r="R592" s="552"/>
      <c r="S592" s="552"/>
      <c r="T592" s="552"/>
      <c r="U592" s="552"/>
      <c r="V592" s="552"/>
      <c r="W592" s="552"/>
      <c r="X592" s="552"/>
      <c r="Y592" s="552">
        <v>2</v>
      </c>
      <c r="Z592" s="552"/>
      <c r="AA592" s="552"/>
      <c r="AB592" s="552"/>
      <c r="AC592" s="552"/>
      <c r="AD592" s="552"/>
      <c r="AE592" s="552"/>
      <c r="AF592" s="552"/>
      <c r="AG592" s="552"/>
      <c r="AH592" s="552"/>
      <c r="AI592" s="552"/>
      <c r="AJ592" s="552"/>
      <c r="AK592" s="552">
        <v>10</v>
      </c>
      <c r="AL592" s="552"/>
      <c r="AM592" s="552"/>
      <c r="AN592" s="552"/>
      <c r="AO592" s="552"/>
      <c r="AP592" s="552"/>
      <c r="AQ592" s="552" t="s">
        <v>1186</v>
      </c>
      <c r="AR592" s="552" t="s">
        <v>2802</v>
      </c>
      <c r="AS592" s="552" t="s">
        <v>6881</v>
      </c>
      <c r="AT592" s="552" t="s">
        <v>726</v>
      </c>
    </row>
    <row r="593" spans="1:46" ht="14.7" customHeight="1">
      <c r="A593" s="706" t="s">
        <v>6323</v>
      </c>
      <c r="B593" s="707" t="s">
        <v>3696</v>
      </c>
      <c r="C593" s="539" t="s">
        <v>7610</v>
      </c>
      <c r="D593" s="709" t="s">
        <v>7681</v>
      </c>
      <c r="E593" s="552" t="s">
        <v>6871</v>
      </c>
      <c r="F593" s="552" t="s">
        <v>726</v>
      </c>
      <c r="G593" s="552" t="s">
        <v>7679</v>
      </c>
      <c r="H593" s="552"/>
      <c r="I593" s="552"/>
      <c r="J593" s="552"/>
      <c r="K593" s="552"/>
      <c r="L593" s="552"/>
      <c r="M593" s="552"/>
      <c r="N593" s="552"/>
      <c r="O593" s="552"/>
      <c r="P593" s="552"/>
      <c r="Q593" s="552"/>
      <c r="R593" s="552"/>
      <c r="S593" s="552"/>
      <c r="T593" s="552"/>
      <c r="U593" s="552"/>
      <c r="V593" s="552"/>
      <c r="W593" s="552"/>
      <c r="X593" s="552"/>
      <c r="Y593" s="552"/>
      <c r="Z593" s="552"/>
      <c r="AA593" s="552"/>
      <c r="AB593" s="552"/>
      <c r="AC593" s="552"/>
      <c r="AD593" s="552"/>
      <c r="AE593" s="552"/>
      <c r="AF593" s="552"/>
      <c r="AG593" s="552"/>
      <c r="AH593" s="552"/>
      <c r="AI593" s="552"/>
      <c r="AJ593" s="552"/>
      <c r="AK593" s="552"/>
      <c r="AL593" s="552"/>
      <c r="AM593" s="552"/>
      <c r="AN593" s="552"/>
      <c r="AO593" s="709" t="s">
        <v>7682</v>
      </c>
      <c r="AP593" s="709"/>
      <c r="AQ593" s="552" t="s">
        <v>1186</v>
      </c>
      <c r="AR593" s="552" t="s">
        <v>2805</v>
      </c>
      <c r="AS593" s="552" t="s">
        <v>6881</v>
      </c>
      <c r="AT593" s="552" t="s">
        <v>726</v>
      </c>
    </row>
    <row r="594" spans="1:46" ht="14.7" customHeight="1">
      <c r="A594" s="706"/>
      <c r="B594" s="707" t="s">
        <v>3696</v>
      </c>
      <c r="C594" s="539" t="s">
        <v>7610</v>
      </c>
      <c r="D594" s="539" t="s">
        <v>2783</v>
      </c>
      <c r="E594" s="539"/>
      <c r="F594" s="539"/>
      <c r="G594" s="539"/>
      <c r="H594" s="552"/>
      <c r="I594" s="552"/>
      <c r="J594" s="552"/>
      <c r="K594" s="552"/>
      <c r="L594" s="552"/>
      <c r="M594" s="552"/>
      <c r="N594" s="552"/>
      <c r="O594" s="552"/>
      <c r="P594" s="552"/>
      <c r="Q594" s="552"/>
      <c r="R594" s="552"/>
      <c r="S594" s="552"/>
      <c r="T594" s="552"/>
      <c r="U594" s="552"/>
      <c r="V594" s="552"/>
      <c r="W594" s="552"/>
      <c r="X594" s="552"/>
      <c r="Y594" s="552"/>
      <c r="Z594" s="552"/>
      <c r="AA594" s="552"/>
      <c r="AB594" s="552"/>
      <c r="AC594" s="552"/>
      <c r="AD594" s="552"/>
      <c r="AE594" s="552"/>
      <c r="AF594" s="552"/>
      <c r="AG594" s="552"/>
      <c r="AH594" s="552"/>
      <c r="AI594" s="552"/>
      <c r="AJ594" s="552"/>
      <c r="AK594" s="552"/>
      <c r="AL594" s="552"/>
      <c r="AM594" s="552"/>
      <c r="AN594" s="552"/>
      <c r="AO594" s="552"/>
      <c r="AP594" s="552"/>
      <c r="AQ594" s="552" t="s">
        <v>1186</v>
      </c>
      <c r="AR594" s="552" t="s">
        <v>2805</v>
      </c>
      <c r="AS594" s="552" t="s">
        <v>6881</v>
      </c>
      <c r="AT594" s="552" t="s">
        <v>726</v>
      </c>
    </row>
    <row r="595" spans="1:46" ht="14.7" customHeight="1">
      <c r="A595" s="706" t="s">
        <v>6324</v>
      </c>
      <c r="B595" s="556" t="s">
        <v>3697</v>
      </c>
      <c r="C595" s="539" t="s">
        <v>7610</v>
      </c>
      <c r="D595" s="709" t="s">
        <v>7683</v>
      </c>
      <c r="E595" s="552" t="s">
        <v>6871</v>
      </c>
      <c r="F595" s="552" t="s">
        <v>726</v>
      </c>
      <c r="G595" s="552" t="s">
        <v>7679</v>
      </c>
      <c r="H595" s="552"/>
      <c r="I595" s="552"/>
      <c r="J595" s="552"/>
      <c r="K595" s="552"/>
      <c r="L595" s="552"/>
      <c r="M595" s="552"/>
      <c r="N595" s="552"/>
      <c r="O595" s="552"/>
      <c r="P595" s="552"/>
      <c r="Q595" s="552"/>
      <c r="R595" s="552"/>
      <c r="S595" s="552"/>
      <c r="T595" s="552"/>
      <c r="U595" s="552"/>
      <c r="V595" s="552"/>
      <c r="W595" s="552"/>
      <c r="X595" s="552">
        <v>6</v>
      </c>
      <c r="Y595" s="552"/>
      <c r="Z595" s="552"/>
      <c r="AA595" s="552"/>
      <c r="AB595" s="552">
        <v>20</v>
      </c>
      <c r="AC595" s="552">
        <v>20</v>
      </c>
      <c r="AD595" s="552">
        <v>20</v>
      </c>
      <c r="AE595" s="552">
        <v>20</v>
      </c>
      <c r="AF595" s="552">
        <v>20</v>
      </c>
      <c r="AG595" s="552">
        <v>2</v>
      </c>
      <c r="AH595" s="552">
        <v>20</v>
      </c>
      <c r="AI595" s="552">
        <v>20</v>
      </c>
      <c r="AJ595" s="552">
        <v>20</v>
      </c>
      <c r="AK595" s="552"/>
      <c r="AL595" s="552"/>
      <c r="AM595" s="552"/>
      <c r="AN595" s="552"/>
      <c r="AO595" s="552"/>
      <c r="AP595" s="552"/>
      <c r="AQ595" s="552" t="s">
        <v>1186</v>
      </c>
      <c r="AR595" s="552" t="s">
        <v>2875</v>
      </c>
      <c r="AS595" s="552" t="s">
        <v>6881</v>
      </c>
      <c r="AT595" s="552" t="s">
        <v>726</v>
      </c>
    </row>
    <row r="596" spans="1:46" ht="14.7" customHeight="1">
      <c r="A596" s="706" t="s">
        <v>9112</v>
      </c>
      <c r="B596" s="556" t="s">
        <v>3697</v>
      </c>
      <c r="C596" s="539" t="s">
        <v>7610</v>
      </c>
      <c r="D596" s="709" t="s">
        <v>7684</v>
      </c>
      <c r="E596" s="552" t="s">
        <v>6871</v>
      </c>
      <c r="F596" s="552" t="s">
        <v>726</v>
      </c>
      <c r="G596" s="552" t="s">
        <v>7679</v>
      </c>
      <c r="H596" s="552"/>
      <c r="I596" s="552"/>
      <c r="J596" s="552"/>
      <c r="K596" s="552"/>
      <c r="L596" s="552"/>
      <c r="M596" s="552"/>
      <c r="N596" s="552"/>
      <c r="O596" s="552"/>
      <c r="P596" s="552"/>
      <c r="Q596" s="552"/>
      <c r="R596" s="552"/>
      <c r="S596" s="552"/>
      <c r="T596" s="552"/>
      <c r="U596" s="552"/>
      <c r="V596" s="552"/>
      <c r="W596" s="552"/>
      <c r="X596" s="552">
        <v>3</v>
      </c>
      <c r="Y596" s="552"/>
      <c r="Z596" s="552"/>
      <c r="AA596" s="552"/>
      <c r="AB596" s="552"/>
      <c r="AC596" s="552"/>
      <c r="AD596" s="552"/>
      <c r="AE596" s="552"/>
      <c r="AF596" s="552"/>
      <c r="AG596" s="552"/>
      <c r="AH596" s="552"/>
      <c r="AI596" s="552"/>
      <c r="AJ596" s="552"/>
      <c r="AK596" s="552"/>
      <c r="AL596" s="552">
        <v>10</v>
      </c>
      <c r="AM596" s="552"/>
      <c r="AN596" s="552"/>
      <c r="AO596" s="709" t="s">
        <v>7685</v>
      </c>
      <c r="AP596" s="709"/>
      <c r="AQ596" s="552" t="s">
        <v>1186</v>
      </c>
      <c r="AR596" s="552" t="s">
        <v>2875</v>
      </c>
      <c r="AS596" s="552" t="s">
        <v>6881</v>
      </c>
      <c r="AT596" s="552" t="s">
        <v>726</v>
      </c>
    </row>
    <row r="597" spans="1:46" ht="14.7" customHeight="1">
      <c r="A597" s="710" t="s">
        <v>7686</v>
      </c>
      <c r="B597" s="556" t="s">
        <v>3697</v>
      </c>
      <c r="C597" s="539" t="s">
        <v>7610</v>
      </c>
      <c r="D597" s="709" t="s">
        <v>7687</v>
      </c>
      <c r="E597" s="552" t="s">
        <v>6871</v>
      </c>
      <c r="F597" s="552" t="s">
        <v>726</v>
      </c>
      <c r="G597" s="552" t="s">
        <v>7679</v>
      </c>
      <c r="H597" s="552"/>
      <c r="I597" s="552"/>
      <c r="J597" s="552"/>
      <c r="K597" s="552"/>
      <c r="L597" s="552"/>
      <c r="M597" s="552"/>
      <c r="N597" s="552"/>
      <c r="O597" s="552"/>
      <c r="P597" s="552"/>
      <c r="Q597" s="552"/>
      <c r="R597" s="552"/>
      <c r="S597" s="552"/>
      <c r="T597" s="552"/>
      <c r="U597" s="552"/>
      <c r="V597" s="552"/>
      <c r="W597" s="552"/>
      <c r="X597" s="552">
        <v>5</v>
      </c>
      <c r="Y597" s="552">
        <v>5</v>
      </c>
      <c r="Z597" s="552"/>
      <c r="AA597" s="552"/>
      <c r="AB597" s="552"/>
      <c r="AC597" s="552"/>
      <c r="AD597" s="552"/>
      <c r="AE597" s="552"/>
      <c r="AF597" s="552"/>
      <c r="AG597" s="552"/>
      <c r="AH597" s="552"/>
      <c r="AI597" s="552"/>
      <c r="AJ597" s="552"/>
      <c r="AK597" s="552"/>
      <c r="AL597" s="552"/>
      <c r="AM597" s="552"/>
      <c r="AN597" s="552"/>
      <c r="AO597" s="552"/>
      <c r="AP597" s="713" t="s">
        <v>7688</v>
      </c>
      <c r="AQ597" s="552" t="s">
        <v>1186</v>
      </c>
      <c r="AR597" s="552" t="s">
        <v>2875</v>
      </c>
      <c r="AS597" s="552" t="s">
        <v>6881</v>
      </c>
      <c r="AT597" s="552" t="s">
        <v>726</v>
      </c>
    </row>
    <row r="598" spans="1:46" ht="14.7" customHeight="1">
      <c r="A598" s="710" t="s">
        <v>6325</v>
      </c>
      <c r="B598" s="557" t="s">
        <v>3698</v>
      </c>
      <c r="C598" s="539" t="s">
        <v>7610</v>
      </c>
      <c r="D598" s="721" t="s">
        <v>7689</v>
      </c>
      <c r="E598" s="552" t="s">
        <v>6871</v>
      </c>
      <c r="F598" s="552" t="s">
        <v>726</v>
      </c>
      <c r="G598" s="552" t="s">
        <v>7679</v>
      </c>
      <c r="H598" s="721"/>
      <c r="I598" s="552"/>
      <c r="J598" s="552" t="s">
        <v>7690</v>
      </c>
      <c r="K598" s="552"/>
      <c r="L598" s="552"/>
      <c r="M598" s="552"/>
      <c r="N598" s="552"/>
      <c r="O598" s="552" t="s">
        <v>7691</v>
      </c>
      <c r="P598" s="552"/>
      <c r="Q598" s="552"/>
      <c r="R598" s="552"/>
      <c r="S598" s="552"/>
      <c r="T598" s="552"/>
      <c r="U598" s="552"/>
      <c r="V598" s="552"/>
      <c r="W598" s="552"/>
      <c r="X598" s="552">
        <v>-5</v>
      </c>
      <c r="Y598" s="552">
        <v>8</v>
      </c>
      <c r="Z598" s="552"/>
      <c r="AA598" s="552"/>
      <c r="AB598" s="552"/>
      <c r="AC598" s="552"/>
      <c r="AD598" s="552"/>
      <c r="AE598" s="552"/>
      <c r="AF598" s="552"/>
      <c r="AG598" s="552"/>
      <c r="AH598" s="552"/>
      <c r="AI598" s="552"/>
      <c r="AJ598" s="552"/>
      <c r="AK598" s="552"/>
      <c r="AL598" s="552"/>
      <c r="AM598" s="552"/>
      <c r="AN598" s="552"/>
      <c r="AO598" s="709" t="s">
        <v>7692</v>
      </c>
      <c r="AP598" s="709"/>
      <c r="AQ598" s="552" t="s">
        <v>1186</v>
      </c>
      <c r="AR598" s="552" t="s">
        <v>2998</v>
      </c>
      <c r="AS598" s="552" t="s">
        <v>6881</v>
      </c>
      <c r="AT598" s="552" t="s">
        <v>726</v>
      </c>
    </row>
    <row r="599" spans="1:46" ht="14.7" customHeight="1">
      <c r="A599" s="710" t="s">
        <v>6326</v>
      </c>
      <c r="B599" s="557" t="s">
        <v>3698</v>
      </c>
      <c r="C599" s="539" t="s">
        <v>7610</v>
      </c>
      <c r="D599" s="709" t="s">
        <v>7693</v>
      </c>
      <c r="E599" s="552" t="s">
        <v>6871</v>
      </c>
      <c r="F599" s="552" t="s">
        <v>726</v>
      </c>
      <c r="G599" s="552" t="s">
        <v>7679</v>
      </c>
      <c r="H599" s="552"/>
      <c r="I599" s="552"/>
      <c r="J599" s="552" t="s">
        <v>7690</v>
      </c>
      <c r="K599" s="552"/>
      <c r="L599" s="552"/>
      <c r="M599" s="552"/>
      <c r="N599" s="552"/>
      <c r="O599" s="552"/>
      <c r="P599" s="552"/>
      <c r="Q599" s="552"/>
      <c r="R599" s="552" t="s">
        <v>7694</v>
      </c>
      <c r="S599" s="552"/>
      <c r="T599" s="552">
        <v>1</v>
      </c>
      <c r="U599" s="552"/>
      <c r="V599" s="552"/>
      <c r="W599" s="552"/>
      <c r="X599" s="552">
        <v>5</v>
      </c>
      <c r="Y599" s="552">
        <v>5</v>
      </c>
      <c r="Z599" s="552"/>
      <c r="AA599" s="552"/>
      <c r="AB599" s="552"/>
      <c r="AC599" s="552"/>
      <c r="AD599" s="552"/>
      <c r="AE599" s="552"/>
      <c r="AF599" s="552"/>
      <c r="AG599" s="552"/>
      <c r="AH599" s="552"/>
      <c r="AI599" s="552"/>
      <c r="AJ599" s="552"/>
      <c r="AK599" s="552"/>
      <c r="AL599" s="552"/>
      <c r="AM599" s="552"/>
      <c r="AN599" s="552"/>
      <c r="AO599" s="713" t="s">
        <v>7695</v>
      </c>
      <c r="AP599" s="552"/>
      <c r="AQ599" s="552" t="s">
        <v>1186</v>
      </c>
      <c r="AR599" s="552" t="s">
        <v>2998</v>
      </c>
      <c r="AS599" s="552" t="s">
        <v>6881</v>
      </c>
      <c r="AT599" s="552" t="s">
        <v>726</v>
      </c>
    </row>
    <row r="600" spans="1:46" ht="14.7" customHeight="1">
      <c r="A600" s="706" t="s">
        <v>6327</v>
      </c>
      <c r="B600" s="557" t="s">
        <v>3698</v>
      </c>
      <c r="C600" s="539" t="s">
        <v>7610</v>
      </c>
      <c r="D600" s="709" t="s">
        <v>7696</v>
      </c>
      <c r="E600" s="552" t="s">
        <v>6871</v>
      </c>
      <c r="F600" s="552" t="s">
        <v>726</v>
      </c>
      <c r="G600" s="552" t="s">
        <v>7679</v>
      </c>
      <c r="H600" s="552"/>
      <c r="I600" s="552"/>
      <c r="J600" s="552"/>
      <c r="K600" s="552"/>
      <c r="L600" s="552"/>
      <c r="M600" s="552"/>
      <c r="N600" s="552"/>
      <c r="O600" s="552"/>
      <c r="P600" s="552"/>
      <c r="Q600" s="552"/>
      <c r="R600" s="552"/>
      <c r="S600" s="552"/>
      <c r="T600" s="552"/>
      <c r="U600" s="552"/>
      <c r="V600" s="552"/>
      <c r="W600" s="552"/>
      <c r="X600" s="552"/>
      <c r="Y600" s="552"/>
      <c r="Z600" s="552"/>
      <c r="AA600" s="552"/>
      <c r="AB600" s="552"/>
      <c r="AC600" s="552"/>
      <c r="AD600" s="552"/>
      <c r="AE600" s="552"/>
      <c r="AF600" s="552"/>
      <c r="AG600" s="552"/>
      <c r="AH600" s="552"/>
      <c r="AI600" s="552"/>
      <c r="AJ600" s="552"/>
      <c r="AK600" s="552"/>
      <c r="AL600" s="552"/>
      <c r="AM600" s="552"/>
      <c r="AN600" s="552"/>
      <c r="AO600" s="709" t="s">
        <v>7697</v>
      </c>
      <c r="AP600" s="709"/>
      <c r="AQ600" s="552" t="s">
        <v>1186</v>
      </c>
      <c r="AR600" s="552" t="s">
        <v>2998</v>
      </c>
      <c r="AS600" s="552" t="s">
        <v>6881</v>
      </c>
      <c r="AT600" s="552" t="s">
        <v>726</v>
      </c>
    </row>
    <row r="601" spans="1:46" ht="14.7" customHeight="1">
      <c r="A601" s="706"/>
      <c r="B601" s="557" t="s">
        <v>3698</v>
      </c>
      <c r="C601" s="539" t="s">
        <v>7610</v>
      </c>
      <c r="D601" s="539" t="s">
        <v>2783</v>
      </c>
      <c r="E601" s="539"/>
      <c r="F601" s="539"/>
      <c r="G601" s="539"/>
      <c r="H601" s="552"/>
      <c r="I601" s="552"/>
      <c r="J601" s="552"/>
      <c r="K601" s="552"/>
      <c r="L601" s="552"/>
      <c r="M601" s="552"/>
      <c r="N601" s="552"/>
      <c r="O601" s="552"/>
      <c r="P601" s="552"/>
      <c r="Q601" s="552"/>
      <c r="R601" s="552"/>
      <c r="S601" s="552"/>
      <c r="T601" s="552"/>
      <c r="U601" s="552"/>
      <c r="V601" s="552"/>
      <c r="W601" s="552"/>
      <c r="X601" s="552"/>
      <c r="Y601" s="552"/>
      <c r="Z601" s="552"/>
      <c r="AA601" s="552"/>
      <c r="AB601" s="552"/>
      <c r="AC601" s="552"/>
      <c r="AD601" s="552"/>
      <c r="AE601" s="552"/>
      <c r="AF601" s="552"/>
      <c r="AG601" s="552"/>
      <c r="AH601" s="552"/>
      <c r="AI601" s="552"/>
      <c r="AJ601" s="552"/>
      <c r="AK601" s="552"/>
      <c r="AL601" s="552"/>
      <c r="AM601" s="552"/>
      <c r="AN601" s="552"/>
      <c r="AO601" s="552"/>
      <c r="AP601" s="552"/>
      <c r="AQ601" s="552" t="s">
        <v>1186</v>
      </c>
      <c r="AR601" s="552" t="s">
        <v>2998</v>
      </c>
      <c r="AS601" s="552" t="s">
        <v>6881</v>
      </c>
      <c r="AT601" s="552" t="s">
        <v>726</v>
      </c>
    </row>
    <row r="602" spans="1:46" ht="14.7" customHeight="1">
      <c r="A602" s="710" t="s">
        <v>6328</v>
      </c>
      <c r="B602" s="344" t="s">
        <v>3699</v>
      </c>
      <c r="C602" s="539" t="s">
        <v>7610</v>
      </c>
      <c r="D602" s="709" t="s">
        <v>7698</v>
      </c>
      <c r="E602" s="552" t="s">
        <v>6871</v>
      </c>
      <c r="F602" s="552" t="s">
        <v>6872</v>
      </c>
      <c r="G602" s="552" t="s">
        <v>7679</v>
      </c>
      <c r="H602" s="552"/>
      <c r="I602" s="552"/>
      <c r="J602" s="552"/>
      <c r="K602" s="552"/>
      <c r="L602" s="552"/>
      <c r="M602" s="552"/>
      <c r="N602" s="552"/>
      <c r="O602" s="552"/>
      <c r="P602" s="552"/>
      <c r="Q602" s="552"/>
      <c r="R602" s="552"/>
      <c r="S602" s="552"/>
      <c r="T602" s="552"/>
      <c r="U602" s="552"/>
      <c r="V602" s="552"/>
      <c r="W602" s="552"/>
      <c r="X602" s="552"/>
      <c r="Y602" s="552"/>
      <c r="Z602" s="552"/>
      <c r="AA602" s="552"/>
      <c r="AB602" s="552"/>
      <c r="AC602" s="552"/>
      <c r="AD602" s="552"/>
      <c r="AE602" s="552"/>
      <c r="AF602" s="552"/>
      <c r="AG602" s="552"/>
      <c r="AH602" s="552"/>
      <c r="AI602" s="552"/>
      <c r="AJ602" s="552"/>
      <c r="AK602" s="552"/>
      <c r="AL602" s="552"/>
      <c r="AM602" s="552"/>
      <c r="AN602" s="552"/>
      <c r="AO602" s="713" t="s">
        <v>7699</v>
      </c>
      <c r="AP602" s="552"/>
      <c r="AQ602" s="552" t="s">
        <v>1186</v>
      </c>
      <c r="AR602" s="552" t="s">
        <v>2809</v>
      </c>
      <c r="AS602" s="552" t="s">
        <v>6881</v>
      </c>
      <c r="AT602" s="552" t="s">
        <v>726</v>
      </c>
    </row>
    <row r="603" spans="1:46" ht="14.7" customHeight="1">
      <c r="A603" s="710" t="s">
        <v>9113</v>
      </c>
      <c r="B603" s="344" t="s">
        <v>3699</v>
      </c>
      <c r="C603" s="539" t="s">
        <v>7610</v>
      </c>
      <c r="D603" s="709" t="s">
        <v>7700</v>
      </c>
      <c r="E603" s="552" t="s">
        <v>6871</v>
      </c>
      <c r="F603" s="552" t="s">
        <v>726</v>
      </c>
      <c r="G603" s="552" t="s">
        <v>7679</v>
      </c>
      <c r="H603" s="552"/>
      <c r="I603" s="552"/>
      <c r="J603" s="552"/>
      <c r="K603" s="552"/>
      <c r="L603" s="552"/>
      <c r="M603" s="552"/>
      <c r="N603" s="552"/>
      <c r="O603" s="552"/>
      <c r="P603" s="552">
        <v>-12</v>
      </c>
      <c r="Q603" s="552"/>
      <c r="R603" s="552">
        <v>-12</v>
      </c>
      <c r="S603" s="552"/>
      <c r="T603" s="552"/>
      <c r="U603" s="552"/>
      <c r="V603" s="552"/>
      <c r="W603" s="552"/>
      <c r="X603" s="552">
        <v>8</v>
      </c>
      <c r="Y603" s="552">
        <v>8</v>
      </c>
      <c r="Z603" s="552"/>
      <c r="AA603" s="552"/>
      <c r="AB603" s="552"/>
      <c r="AC603" s="552"/>
      <c r="AD603" s="552"/>
      <c r="AE603" s="552"/>
      <c r="AF603" s="552"/>
      <c r="AG603" s="552"/>
      <c r="AH603" s="552"/>
      <c r="AI603" s="552"/>
      <c r="AJ603" s="552"/>
      <c r="AK603" s="552"/>
      <c r="AL603" s="552">
        <v>20</v>
      </c>
      <c r="AM603" s="552"/>
      <c r="AN603" s="552"/>
      <c r="AO603" s="709" t="s">
        <v>7701</v>
      </c>
      <c r="AP603" s="709"/>
      <c r="AQ603" s="552" t="s">
        <v>1186</v>
      </c>
      <c r="AR603" s="552" t="s">
        <v>2809</v>
      </c>
      <c r="AS603" s="552" t="s">
        <v>6881</v>
      </c>
      <c r="AT603" s="552" t="s">
        <v>726</v>
      </c>
    </row>
    <row r="604" spans="1:46" ht="14.7" customHeight="1">
      <c r="A604" s="710" t="s">
        <v>7702</v>
      </c>
      <c r="B604" s="344" t="s">
        <v>3699</v>
      </c>
      <c r="C604" s="539" t="s">
        <v>7610</v>
      </c>
      <c r="D604" s="709" t="s">
        <v>7703</v>
      </c>
      <c r="E604" s="552" t="s">
        <v>6871</v>
      </c>
      <c r="F604" s="552" t="s">
        <v>726</v>
      </c>
      <c r="G604" s="552" t="s">
        <v>7679</v>
      </c>
      <c r="H604" s="552"/>
      <c r="I604" s="552"/>
      <c r="J604" s="552"/>
      <c r="K604" s="552"/>
      <c r="L604" s="552"/>
      <c r="M604" s="552"/>
      <c r="N604" s="552"/>
      <c r="O604" s="552"/>
      <c r="P604" s="552">
        <v>-6</v>
      </c>
      <c r="Q604" s="552">
        <v>-6</v>
      </c>
      <c r="R604" s="552"/>
      <c r="S604" s="552"/>
      <c r="T604" s="552"/>
      <c r="U604" s="552"/>
      <c r="V604" s="552"/>
      <c r="W604" s="552"/>
      <c r="X604" s="552"/>
      <c r="Y604" s="552"/>
      <c r="Z604" s="552"/>
      <c r="AA604" s="552"/>
      <c r="AB604" s="552"/>
      <c r="AC604" s="552"/>
      <c r="AD604" s="552"/>
      <c r="AE604" s="552"/>
      <c r="AF604" s="552"/>
      <c r="AG604" s="552"/>
      <c r="AH604" s="552"/>
      <c r="AI604" s="552"/>
      <c r="AJ604" s="552"/>
      <c r="AK604" s="552"/>
      <c r="AL604" s="552"/>
      <c r="AM604" s="552"/>
      <c r="AN604" s="552"/>
      <c r="AO604" s="713" t="s">
        <v>7704</v>
      </c>
      <c r="AP604" s="552"/>
      <c r="AQ604" s="552" t="s">
        <v>1186</v>
      </c>
      <c r="AR604" s="552" t="s">
        <v>2809</v>
      </c>
      <c r="AS604" s="552" t="s">
        <v>6881</v>
      </c>
      <c r="AT604" s="552" t="s">
        <v>726</v>
      </c>
    </row>
    <row r="605" spans="1:46" ht="14.7" customHeight="1">
      <c r="A605" s="710" t="s">
        <v>7705</v>
      </c>
      <c r="B605" s="344" t="s">
        <v>3699</v>
      </c>
      <c r="C605" s="539" t="s">
        <v>7610</v>
      </c>
      <c r="D605" s="709" t="s">
        <v>7706</v>
      </c>
      <c r="E605" s="552" t="s">
        <v>6871</v>
      </c>
      <c r="F605" s="552" t="s">
        <v>726</v>
      </c>
      <c r="G605" s="552" t="s">
        <v>7679</v>
      </c>
      <c r="H605" s="552"/>
      <c r="I605" s="552"/>
      <c r="J605" s="552"/>
      <c r="K605" s="552"/>
      <c r="L605" s="552"/>
      <c r="M605" s="552"/>
      <c r="N605" s="552"/>
      <c r="O605" s="552"/>
      <c r="P605" s="552"/>
      <c r="Q605" s="552"/>
      <c r="R605" s="552"/>
      <c r="S605" s="552"/>
      <c r="T605" s="552"/>
      <c r="U605" s="552"/>
      <c r="V605" s="552"/>
      <c r="W605" s="552"/>
      <c r="X605" s="552"/>
      <c r="Y605" s="552"/>
      <c r="Z605" s="552"/>
      <c r="AA605" s="552"/>
      <c r="AB605" s="552"/>
      <c r="AC605" s="552"/>
      <c r="AD605" s="552"/>
      <c r="AE605" s="552"/>
      <c r="AF605" s="552"/>
      <c r="AG605" s="552"/>
      <c r="AH605" s="552"/>
      <c r="AI605" s="552"/>
      <c r="AJ605" s="552"/>
      <c r="AK605" s="552"/>
      <c r="AL605" s="552"/>
      <c r="AM605" s="552"/>
      <c r="AN605" s="552"/>
      <c r="AO605" s="709" t="s">
        <v>7707</v>
      </c>
      <c r="AP605" s="709" t="s">
        <v>7708</v>
      </c>
      <c r="AQ605" s="552" t="s">
        <v>1186</v>
      </c>
      <c r="AR605" s="552" t="s">
        <v>2809</v>
      </c>
      <c r="AS605" s="552" t="s">
        <v>6881</v>
      </c>
      <c r="AT605" s="552" t="s">
        <v>726</v>
      </c>
    </row>
    <row r="606" spans="1:46" ht="14.7" customHeight="1">
      <c r="A606" s="710" t="s">
        <v>6329</v>
      </c>
      <c r="B606" s="344" t="s">
        <v>3699</v>
      </c>
      <c r="C606" s="539" t="s">
        <v>7610</v>
      </c>
      <c r="D606" s="709" t="s">
        <v>7709</v>
      </c>
      <c r="E606" s="552" t="s">
        <v>6925</v>
      </c>
      <c r="F606" s="552" t="s">
        <v>726</v>
      </c>
      <c r="G606" s="552" t="s">
        <v>7679</v>
      </c>
      <c r="H606" s="552"/>
      <c r="I606" s="552"/>
      <c r="J606" s="552"/>
      <c r="K606" s="552"/>
      <c r="L606" s="552"/>
      <c r="M606" s="552"/>
      <c r="N606" s="552"/>
      <c r="O606" s="552"/>
      <c r="P606" s="552"/>
      <c r="Q606" s="552"/>
      <c r="R606" s="552"/>
      <c r="S606" s="552">
        <v>-5</v>
      </c>
      <c r="T606" s="552">
        <v>1</v>
      </c>
      <c r="U606" s="552"/>
      <c r="V606" s="552"/>
      <c r="W606" s="552"/>
      <c r="X606" s="552">
        <v>2</v>
      </c>
      <c r="Y606" s="552"/>
      <c r="Z606" s="552"/>
      <c r="AA606" s="552"/>
      <c r="AB606" s="552"/>
      <c r="AC606" s="552"/>
      <c r="AD606" s="552"/>
      <c r="AE606" s="552"/>
      <c r="AF606" s="552"/>
      <c r="AG606" s="552"/>
      <c r="AH606" s="552"/>
      <c r="AI606" s="552"/>
      <c r="AJ606" s="552"/>
      <c r="AK606" s="552"/>
      <c r="AL606" s="552"/>
      <c r="AM606" s="552"/>
      <c r="AN606" s="552"/>
      <c r="AO606" s="713" t="s">
        <v>7710</v>
      </c>
      <c r="AP606" s="552"/>
      <c r="AQ606" s="552" t="s">
        <v>1186</v>
      </c>
      <c r="AR606" s="552" t="s">
        <v>2809</v>
      </c>
      <c r="AS606" s="552" t="s">
        <v>6881</v>
      </c>
      <c r="AT606" s="552" t="s">
        <v>726</v>
      </c>
    </row>
    <row r="607" spans="1:46" ht="14.7" customHeight="1">
      <c r="A607" s="706" t="s">
        <v>9114</v>
      </c>
      <c r="B607" s="559" t="s">
        <v>3700</v>
      </c>
      <c r="C607" s="539" t="s">
        <v>7610</v>
      </c>
      <c r="D607" s="709" t="s">
        <v>7711</v>
      </c>
      <c r="E607" s="552" t="s">
        <v>6871</v>
      </c>
      <c r="F607" s="552" t="s">
        <v>726</v>
      </c>
      <c r="G607" s="552" t="s">
        <v>7679</v>
      </c>
      <c r="H607" s="552"/>
      <c r="I607" s="552"/>
      <c r="J607" s="552"/>
      <c r="K607" s="552"/>
      <c r="L607" s="552"/>
      <c r="M607" s="552"/>
      <c r="N607" s="552"/>
      <c r="O607" s="552"/>
      <c r="P607" s="552">
        <v>-5</v>
      </c>
      <c r="Q607" s="552">
        <v>-5</v>
      </c>
      <c r="R607" s="552">
        <v>-5</v>
      </c>
      <c r="S607" s="552"/>
      <c r="T607" s="552"/>
      <c r="U607" s="552"/>
      <c r="V607" s="552"/>
      <c r="W607" s="552"/>
      <c r="X607" s="552"/>
      <c r="Y607" s="552">
        <v>5</v>
      </c>
      <c r="Z607" s="552"/>
      <c r="AA607" s="552"/>
      <c r="AB607" s="552"/>
      <c r="AC607" s="552"/>
      <c r="AD607" s="552"/>
      <c r="AE607" s="552"/>
      <c r="AF607" s="552"/>
      <c r="AG607" s="552"/>
      <c r="AH607" s="552"/>
      <c r="AI607" s="552"/>
      <c r="AJ607" s="552"/>
      <c r="AK607" s="552"/>
      <c r="AL607" s="552">
        <v>50</v>
      </c>
      <c r="AM607" s="552"/>
      <c r="AN607" s="552"/>
      <c r="AO607" s="552"/>
      <c r="AP607" s="552"/>
      <c r="AQ607" s="552" t="s">
        <v>1186</v>
      </c>
      <c r="AR607" s="552" t="s">
        <v>2971</v>
      </c>
      <c r="AS607" s="552" t="s">
        <v>6881</v>
      </c>
      <c r="AT607" s="552" t="s">
        <v>726</v>
      </c>
    </row>
    <row r="608" spans="1:46" ht="14.7" customHeight="1">
      <c r="A608" s="706"/>
      <c r="B608" s="559" t="s">
        <v>3700</v>
      </c>
      <c r="C608" s="539" t="s">
        <v>7610</v>
      </c>
      <c r="D608" s="539" t="s">
        <v>2783</v>
      </c>
      <c r="E608" s="539"/>
      <c r="F608" s="539"/>
      <c r="G608" s="539"/>
      <c r="H608" s="552"/>
      <c r="I608" s="552"/>
      <c r="J608" s="552"/>
      <c r="K608" s="552"/>
      <c r="L608" s="552"/>
      <c r="M608" s="552"/>
      <c r="N608" s="552"/>
      <c r="O608" s="552"/>
      <c r="P608" s="552"/>
      <c r="Q608" s="552"/>
      <c r="R608" s="552"/>
      <c r="S608" s="552"/>
      <c r="T608" s="552"/>
      <c r="U608" s="552"/>
      <c r="V608" s="552"/>
      <c r="W608" s="552"/>
      <c r="X608" s="552"/>
      <c r="Y608" s="552"/>
      <c r="Z608" s="552"/>
      <c r="AA608" s="552"/>
      <c r="AB608" s="552"/>
      <c r="AC608" s="552"/>
      <c r="AD608" s="552"/>
      <c r="AE608" s="552"/>
      <c r="AF608" s="552"/>
      <c r="AG608" s="552"/>
      <c r="AH608" s="552"/>
      <c r="AI608" s="552"/>
      <c r="AJ608" s="552"/>
      <c r="AK608" s="552"/>
      <c r="AL608" s="552"/>
      <c r="AM608" s="552"/>
      <c r="AN608" s="552"/>
      <c r="AO608" s="552"/>
      <c r="AP608" s="552"/>
      <c r="AQ608" s="552" t="s">
        <v>1186</v>
      </c>
      <c r="AR608" s="552" t="s">
        <v>2971</v>
      </c>
      <c r="AS608" s="552" t="s">
        <v>6881</v>
      </c>
      <c r="AT608" s="552" t="s">
        <v>726</v>
      </c>
    </row>
    <row r="609" spans="1:46" ht="14.7" customHeight="1">
      <c r="A609" s="706"/>
      <c r="B609" s="711" t="s">
        <v>6055</v>
      </c>
      <c r="C609" s="539" t="s">
        <v>7610</v>
      </c>
      <c r="D609" s="539" t="s">
        <v>2783</v>
      </c>
      <c r="E609" s="552"/>
      <c r="F609" s="552"/>
      <c r="G609" s="552"/>
      <c r="H609" s="552"/>
      <c r="I609" s="552"/>
      <c r="J609" s="552"/>
      <c r="K609" s="552"/>
      <c r="L609" s="552"/>
      <c r="M609" s="552"/>
      <c r="N609" s="552"/>
      <c r="O609" s="552"/>
      <c r="P609" s="552"/>
      <c r="Q609" s="552"/>
      <c r="R609" s="552"/>
      <c r="S609" s="552"/>
      <c r="T609" s="552"/>
      <c r="U609" s="552"/>
      <c r="V609" s="552"/>
      <c r="W609" s="552"/>
      <c r="X609" s="552"/>
      <c r="Y609" s="552"/>
      <c r="Z609" s="552"/>
      <c r="AA609" s="552"/>
      <c r="AB609" s="552"/>
      <c r="AC609" s="552"/>
      <c r="AD609" s="552"/>
      <c r="AE609" s="552"/>
      <c r="AF609" s="552"/>
      <c r="AG609" s="552"/>
      <c r="AH609" s="552"/>
      <c r="AI609" s="552"/>
      <c r="AJ609" s="552"/>
      <c r="AK609" s="552"/>
      <c r="AL609" s="552"/>
      <c r="AM609" s="552"/>
      <c r="AN609" s="552"/>
      <c r="AO609" s="552"/>
      <c r="AP609" s="552"/>
      <c r="AQ609" s="552" t="s">
        <v>1186</v>
      </c>
      <c r="AR609" s="552" t="s">
        <v>6697</v>
      </c>
      <c r="AS609" s="552" t="s">
        <v>6881</v>
      </c>
      <c r="AT609" s="552" t="s">
        <v>726</v>
      </c>
    </row>
    <row r="610" spans="1:46" ht="14.7" customHeight="1">
      <c r="A610" s="706" t="s">
        <v>6330</v>
      </c>
      <c r="B610" s="540" t="s">
        <v>3695</v>
      </c>
      <c r="C610" s="539" t="s">
        <v>7610</v>
      </c>
      <c r="D610" s="709" t="s">
        <v>7712</v>
      </c>
      <c r="E610" s="552" t="s">
        <v>7713</v>
      </c>
      <c r="F610" s="552"/>
      <c r="G610" s="552" t="s">
        <v>7365</v>
      </c>
      <c r="H610" s="552"/>
      <c r="I610" s="552"/>
      <c r="J610" s="552"/>
      <c r="K610" s="552"/>
      <c r="L610" s="552"/>
      <c r="M610" s="552"/>
      <c r="N610" s="552"/>
      <c r="O610" s="552"/>
      <c r="P610" s="552"/>
      <c r="Q610" s="552"/>
      <c r="R610" s="552"/>
      <c r="S610" s="552"/>
      <c r="T610" s="552"/>
      <c r="U610" s="552"/>
      <c r="V610" s="552"/>
      <c r="W610" s="552"/>
      <c r="X610" s="552"/>
      <c r="Y610" s="552"/>
      <c r="Z610" s="552"/>
      <c r="AA610" s="552"/>
      <c r="AB610" s="552"/>
      <c r="AC610" s="552"/>
      <c r="AD610" s="552"/>
      <c r="AE610" s="552"/>
      <c r="AF610" s="552"/>
      <c r="AG610" s="552"/>
      <c r="AH610" s="552"/>
      <c r="AI610" s="552"/>
      <c r="AJ610" s="552"/>
      <c r="AK610" s="552"/>
      <c r="AL610" s="552"/>
      <c r="AM610" s="552"/>
      <c r="AN610" s="552"/>
      <c r="AO610" s="552" t="s">
        <v>7714</v>
      </c>
      <c r="AP610" s="552"/>
      <c r="AQ610" s="552" t="s">
        <v>7715</v>
      </c>
      <c r="AR610" s="552" t="s">
        <v>2802</v>
      </c>
      <c r="AT610" s="552" t="s">
        <v>726</v>
      </c>
    </row>
    <row r="611" spans="1:46" ht="14.7" customHeight="1">
      <c r="A611" s="706"/>
      <c r="B611" s="540" t="s">
        <v>3695</v>
      </c>
      <c r="C611" s="539" t="s">
        <v>7610</v>
      </c>
      <c r="D611" s="539" t="s">
        <v>2783</v>
      </c>
      <c r="E611" s="539"/>
      <c r="F611" s="539"/>
      <c r="G611" s="539"/>
      <c r="H611" s="552"/>
      <c r="I611" s="552"/>
      <c r="J611" s="552"/>
      <c r="K611" s="552"/>
      <c r="L611" s="552"/>
      <c r="M611" s="552"/>
      <c r="N611" s="552"/>
      <c r="O611" s="552"/>
      <c r="P611" s="552"/>
      <c r="Q611" s="552"/>
      <c r="R611" s="552"/>
      <c r="S611" s="552"/>
      <c r="T611" s="552"/>
      <c r="U611" s="552"/>
      <c r="V611" s="552"/>
      <c r="W611" s="552"/>
      <c r="X611" s="552"/>
      <c r="Y611" s="552"/>
      <c r="Z611" s="552"/>
      <c r="AA611" s="552"/>
      <c r="AB611" s="552"/>
      <c r="AC611" s="552"/>
      <c r="AD611" s="552"/>
      <c r="AE611" s="552"/>
      <c r="AF611" s="552"/>
      <c r="AG611" s="552"/>
      <c r="AH611" s="552"/>
      <c r="AI611" s="552"/>
      <c r="AJ611" s="552"/>
      <c r="AK611" s="552"/>
      <c r="AL611" s="552"/>
      <c r="AM611" s="552"/>
      <c r="AN611" s="552"/>
      <c r="AO611" s="552"/>
      <c r="AP611" s="552"/>
      <c r="AQ611" s="552" t="s">
        <v>7715</v>
      </c>
      <c r="AR611" s="552" t="s">
        <v>2802</v>
      </c>
      <c r="AT611" s="552" t="s">
        <v>726</v>
      </c>
    </row>
    <row r="612" spans="1:46" ht="14.7" customHeight="1">
      <c r="A612" s="710" t="s">
        <v>6331</v>
      </c>
      <c r="B612" s="707" t="s">
        <v>3696</v>
      </c>
      <c r="C612" s="539" t="s">
        <v>7610</v>
      </c>
      <c r="D612" s="709" t="s">
        <v>7716</v>
      </c>
      <c r="E612" s="552" t="s">
        <v>7713</v>
      </c>
      <c r="F612" s="552"/>
      <c r="G612" s="552" t="s">
        <v>7365</v>
      </c>
      <c r="H612" s="552"/>
      <c r="I612" s="552"/>
      <c r="J612" s="552"/>
      <c r="K612" s="552"/>
      <c r="L612" s="552"/>
      <c r="M612" s="552"/>
      <c r="N612" s="552"/>
      <c r="O612" s="552"/>
      <c r="P612" s="552"/>
      <c r="Q612" s="552"/>
      <c r="R612" s="552"/>
      <c r="S612" s="552"/>
      <c r="T612" s="552"/>
      <c r="U612" s="552"/>
      <c r="V612" s="552"/>
      <c r="W612" s="552"/>
      <c r="X612" s="552"/>
      <c r="Y612" s="552"/>
      <c r="Z612" s="552"/>
      <c r="AA612" s="552"/>
      <c r="AB612" s="552"/>
      <c r="AC612" s="552"/>
      <c r="AD612" s="552"/>
      <c r="AE612" s="552"/>
      <c r="AF612" s="552"/>
      <c r="AG612" s="552"/>
      <c r="AH612" s="552"/>
      <c r="AI612" s="552"/>
      <c r="AJ612" s="552"/>
      <c r="AK612" s="552"/>
      <c r="AL612" s="552"/>
      <c r="AM612" s="552"/>
      <c r="AN612" s="552"/>
      <c r="AO612" s="713" t="s">
        <v>7717</v>
      </c>
      <c r="AP612" s="552"/>
      <c r="AQ612" s="552" t="s">
        <v>7715</v>
      </c>
      <c r="AR612" s="552" t="s">
        <v>2805</v>
      </c>
      <c r="AT612" s="552" t="s">
        <v>726</v>
      </c>
    </row>
    <row r="613" spans="1:46" ht="14.7" customHeight="1">
      <c r="A613" s="706"/>
      <c r="B613" s="707" t="s">
        <v>3696</v>
      </c>
      <c r="C613" s="539" t="s">
        <v>7610</v>
      </c>
      <c r="D613" s="539" t="s">
        <v>2783</v>
      </c>
      <c r="E613" s="539"/>
      <c r="F613" s="539"/>
      <c r="G613" s="539"/>
      <c r="H613" s="552"/>
      <c r="I613" s="552"/>
      <c r="J613" s="552"/>
      <c r="K613" s="552"/>
      <c r="L613" s="552"/>
      <c r="M613" s="552"/>
      <c r="N613" s="552"/>
      <c r="O613" s="552"/>
      <c r="P613" s="552"/>
      <c r="Q613" s="552"/>
      <c r="R613" s="552"/>
      <c r="S613" s="552"/>
      <c r="T613" s="552"/>
      <c r="U613" s="552"/>
      <c r="V613" s="552"/>
      <c r="W613" s="552"/>
      <c r="X613" s="552"/>
      <c r="Y613" s="552"/>
      <c r="Z613" s="552"/>
      <c r="AA613" s="552"/>
      <c r="AB613" s="552"/>
      <c r="AC613" s="552"/>
      <c r="AD613" s="552"/>
      <c r="AE613" s="552"/>
      <c r="AF613" s="552"/>
      <c r="AG613" s="552"/>
      <c r="AH613" s="552"/>
      <c r="AI613" s="552"/>
      <c r="AJ613" s="552"/>
      <c r="AK613" s="552"/>
      <c r="AL613" s="552"/>
      <c r="AM613" s="552"/>
      <c r="AN613" s="552"/>
      <c r="AO613" s="552"/>
      <c r="AP613" s="552"/>
      <c r="AQ613" s="552" t="s">
        <v>7715</v>
      </c>
      <c r="AR613" s="552" t="s">
        <v>2805</v>
      </c>
      <c r="AT613" s="552" t="s">
        <v>726</v>
      </c>
    </row>
    <row r="614" spans="1:46" ht="14.7" customHeight="1">
      <c r="A614" s="710" t="s">
        <v>6332</v>
      </c>
      <c r="B614" s="556" t="s">
        <v>3697</v>
      </c>
      <c r="C614" s="539" t="s">
        <v>7610</v>
      </c>
      <c r="D614" s="709" t="s">
        <v>7718</v>
      </c>
      <c r="E614" s="552" t="s">
        <v>7713</v>
      </c>
      <c r="F614" s="552"/>
      <c r="G614" s="552" t="s">
        <v>7365</v>
      </c>
      <c r="H614" s="552"/>
      <c r="I614" s="552"/>
      <c r="J614" s="552"/>
      <c r="K614" s="552"/>
      <c r="L614" s="552"/>
      <c r="M614" s="552"/>
      <c r="N614" s="552"/>
      <c r="O614" s="552"/>
      <c r="P614" s="552"/>
      <c r="Q614" s="552"/>
      <c r="R614" s="552"/>
      <c r="S614" s="552"/>
      <c r="T614" s="552"/>
      <c r="U614" s="552"/>
      <c r="V614" s="552"/>
      <c r="W614" s="552"/>
      <c r="X614" s="552"/>
      <c r="Y614" s="552"/>
      <c r="Z614" s="552"/>
      <c r="AA614" s="552"/>
      <c r="AB614" s="552"/>
      <c r="AC614" s="552"/>
      <c r="AD614" s="552"/>
      <c r="AE614" s="552"/>
      <c r="AF614" s="552"/>
      <c r="AG614" s="552"/>
      <c r="AH614" s="552"/>
      <c r="AI614" s="552"/>
      <c r="AJ614" s="552"/>
      <c r="AK614" s="552"/>
      <c r="AL614" s="552"/>
      <c r="AM614" s="552"/>
      <c r="AN614" s="552"/>
      <c r="AO614" s="552" t="s">
        <v>7719</v>
      </c>
      <c r="AP614" s="552"/>
      <c r="AQ614" s="552" t="s">
        <v>7715</v>
      </c>
      <c r="AR614" s="552" t="s">
        <v>2875</v>
      </c>
      <c r="AT614" s="552" t="s">
        <v>726</v>
      </c>
    </row>
    <row r="615" spans="1:46" ht="14.7" customHeight="1">
      <c r="A615" s="710" t="s">
        <v>6333</v>
      </c>
      <c r="B615" s="556" t="s">
        <v>3697</v>
      </c>
      <c r="C615" s="539" t="s">
        <v>7610</v>
      </c>
      <c r="D615" s="709" t="s">
        <v>7720</v>
      </c>
      <c r="E615" s="552" t="s">
        <v>7713</v>
      </c>
      <c r="F615" s="552"/>
      <c r="G615" s="552" t="s">
        <v>7365</v>
      </c>
      <c r="H615" s="552"/>
      <c r="I615" s="552"/>
      <c r="J615" s="552"/>
      <c r="K615" s="552"/>
      <c r="L615" s="552"/>
      <c r="M615" s="552"/>
      <c r="N615" s="552"/>
      <c r="O615" s="552"/>
      <c r="P615" s="552"/>
      <c r="Q615" s="552"/>
      <c r="R615" s="552"/>
      <c r="S615" s="552"/>
      <c r="T615" s="552"/>
      <c r="U615" s="552"/>
      <c r="V615" s="552"/>
      <c r="W615" s="552"/>
      <c r="X615" s="552"/>
      <c r="Y615" s="552"/>
      <c r="Z615" s="552"/>
      <c r="AA615" s="552"/>
      <c r="AB615" s="552"/>
      <c r="AC615" s="552"/>
      <c r="AD615" s="552"/>
      <c r="AE615" s="552"/>
      <c r="AF615" s="552"/>
      <c r="AG615" s="552"/>
      <c r="AH615" s="552"/>
      <c r="AI615" s="552"/>
      <c r="AJ615" s="552"/>
      <c r="AK615" s="552"/>
      <c r="AL615" s="552"/>
      <c r="AM615" s="552"/>
      <c r="AN615" s="552"/>
      <c r="AO615" s="713" t="s">
        <v>7721</v>
      </c>
      <c r="AP615" s="552"/>
      <c r="AQ615" s="552" t="s">
        <v>7715</v>
      </c>
      <c r="AR615" s="552" t="s">
        <v>2875</v>
      </c>
      <c r="AT615" s="552" t="s">
        <v>726</v>
      </c>
    </row>
    <row r="616" spans="1:46" ht="14.7" customHeight="1">
      <c r="A616" s="706"/>
      <c r="B616" s="556" t="s">
        <v>3697</v>
      </c>
      <c r="C616" s="539" t="s">
        <v>7610</v>
      </c>
      <c r="D616" s="539" t="s">
        <v>2783</v>
      </c>
      <c r="E616" s="539"/>
      <c r="F616" s="539"/>
      <c r="G616" s="539"/>
      <c r="H616" s="552"/>
      <c r="I616" s="552"/>
      <c r="J616" s="552"/>
      <c r="K616" s="552"/>
      <c r="L616" s="552"/>
      <c r="M616" s="552"/>
      <c r="N616" s="552"/>
      <c r="O616" s="552"/>
      <c r="P616" s="552"/>
      <c r="Q616" s="552"/>
      <c r="R616" s="552"/>
      <c r="S616" s="552"/>
      <c r="T616" s="552"/>
      <c r="U616" s="552"/>
      <c r="V616" s="552"/>
      <c r="W616" s="552"/>
      <c r="X616" s="552"/>
      <c r="Y616" s="552"/>
      <c r="Z616" s="552"/>
      <c r="AA616" s="552"/>
      <c r="AB616" s="552"/>
      <c r="AC616" s="552"/>
      <c r="AD616" s="552"/>
      <c r="AE616" s="552"/>
      <c r="AF616" s="552"/>
      <c r="AG616" s="552"/>
      <c r="AH616" s="552"/>
      <c r="AI616" s="552"/>
      <c r="AJ616" s="552"/>
      <c r="AK616" s="552"/>
      <c r="AL616" s="552"/>
      <c r="AM616" s="552"/>
      <c r="AN616" s="552"/>
      <c r="AO616" s="552"/>
      <c r="AP616" s="552"/>
      <c r="AQ616" s="552" t="s">
        <v>7715</v>
      </c>
      <c r="AR616" s="552" t="s">
        <v>2875</v>
      </c>
      <c r="AT616" s="552" t="s">
        <v>726</v>
      </c>
    </row>
    <row r="617" spans="1:46" ht="14.7" customHeight="1">
      <c r="A617" s="710" t="s">
        <v>6334</v>
      </c>
      <c r="B617" s="557" t="s">
        <v>3698</v>
      </c>
      <c r="C617" s="539" t="s">
        <v>7610</v>
      </c>
      <c r="D617" s="709" t="s">
        <v>7722</v>
      </c>
      <c r="E617" s="552" t="s">
        <v>7713</v>
      </c>
      <c r="F617" s="552"/>
      <c r="G617" s="552" t="s">
        <v>7365</v>
      </c>
      <c r="H617" s="552"/>
      <c r="I617" s="552"/>
      <c r="J617" s="552"/>
      <c r="K617" s="552"/>
      <c r="L617" s="552"/>
      <c r="M617" s="552"/>
      <c r="N617" s="552"/>
      <c r="O617" s="552"/>
      <c r="P617" s="552"/>
      <c r="Q617" s="552"/>
      <c r="R617" s="552"/>
      <c r="S617" s="552"/>
      <c r="T617" s="552"/>
      <c r="U617" s="552"/>
      <c r="V617" s="552"/>
      <c r="W617" s="552"/>
      <c r="X617" s="552"/>
      <c r="Y617" s="552"/>
      <c r="Z617" s="552"/>
      <c r="AA617" s="552"/>
      <c r="AB617" s="552"/>
      <c r="AC617" s="552"/>
      <c r="AD617" s="552"/>
      <c r="AE617" s="552"/>
      <c r="AF617" s="552"/>
      <c r="AG617" s="552"/>
      <c r="AH617" s="552"/>
      <c r="AI617" s="552"/>
      <c r="AJ617" s="552"/>
      <c r="AK617" s="552"/>
      <c r="AL617" s="552"/>
      <c r="AM617" s="552"/>
      <c r="AN617" s="552"/>
      <c r="AO617" s="713" t="s">
        <v>7723</v>
      </c>
      <c r="AP617" s="552"/>
      <c r="AQ617" s="552" t="s">
        <v>7715</v>
      </c>
      <c r="AR617" s="552" t="s">
        <v>2998</v>
      </c>
      <c r="AT617" s="552" t="s">
        <v>726</v>
      </c>
    </row>
    <row r="618" spans="1:46" ht="14.7" customHeight="1">
      <c r="A618" s="710" t="s">
        <v>6335</v>
      </c>
      <c r="B618" s="557" t="s">
        <v>3698</v>
      </c>
      <c r="C618" s="539" t="s">
        <v>7610</v>
      </c>
      <c r="D618" s="709" t="s">
        <v>7724</v>
      </c>
      <c r="E618" s="552" t="s">
        <v>7713</v>
      </c>
      <c r="F618" s="552"/>
      <c r="G618" s="552" t="s">
        <v>7365</v>
      </c>
      <c r="H618" s="552"/>
      <c r="I618" s="552"/>
      <c r="J618" s="552"/>
      <c r="K618" s="552"/>
      <c r="L618" s="552"/>
      <c r="M618" s="552"/>
      <c r="N618" s="552"/>
      <c r="O618" s="552"/>
      <c r="P618" s="552"/>
      <c r="Q618" s="552"/>
      <c r="R618" s="552"/>
      <c r="S618" s="552"/>
      <c r="T618" s="552"/>
      <c r="U618" s="552"/>
      <c r="V618" s="552"/>
      <c r="W618" s="552"/>
      <c r="X618" s="552"/>
      <c r="Y618" s="552"/>
      <c r="Z618" s="552"/>
      <c r="AA618" s="552"/>
      <c r="AB618" s="552"/>
      <c r="AC618" s="552"/>
      <c r="AD618" s="552"/>
      <c r="AE618" s="552"/>
      <c r="AF618" s="552"/>
      <c r="AG618" s="552"/>
      <c r="AH618" s="552"/>
      <c r="AI618" s="552"/>
      <c r="AJ618" s="552"/>
      <c r="AK618" s="552"/>
      <c r="AL618" s="552"/>
      <c r="AM618" s="552"/>
      <c r="AN618" s="552"/>
      <c r="AO618" s="713" t="s">
        <v>7725</v>
      </c>
      <c r="AP618" s="552"/>
      <c r="AQ618" s="552" t="s">
        <v>7715</v>
      </c>
      <c r="AR618" s="552" t="s">
        <v>2998</v>
      </c>
      <c r="AT618" s="552" t="s">
        <v>726</v>
      </c>
    </row>
    <row r="619" spans="1:46" ht="14.7" customHeight="1">
      <c r="A619" s="706"/>
      <c r="B619" s="557" t="s">
        <v>3698</v>
      </c>
      <c r="C619" s="539" t="s">
        <v>7610</v>
      </c>
      <c r="D619" s="539" t="s">
        <v>2783</v>
      </c>
      <c r="E619" s="539"/>
      <c r="F619" s="539"/>
      <c r="G619" s="539"/>
      <c r="H619" s="552"/>
      <c r="I619" s="552"/>
      <c r="J619" s="552"/>
      <c r="K619" s="552"/>
      <c r="L619" s="552"/>
      <c r="M619" s="552"/>
      <c r="N619" s="552"/>
      <c r="O619" s="552"/>
      <c r="P619" s="552"/>
      <c r="Q619" s="552"/>
      <c r="R619" s="552"/>
      <c r="S619" s="552"/>
      <c r="T619" s="552"/>
      <c r="U619" s="552"/>
      <c r="V619" s="552"/>
      <c r="W619" s="552"/>
      <c r="X619" s="552"/>
      <c r="Y619" s="552"/>
      <c r="Z619" s="552"/>
      <c r="AA619" s="552"/>
      <c r="AB619" s="552"/>
      <c r="AC619" s="552"/>
      <c r="AD619" s="552"/>
      <c r="AE619" s="552"/>
      <c r="AF619" s="552"/>
      <c r="AG619" s="552"/>
      <c r="AH619" s="552"/>
      <c r="AI619" s="552"/>
      <c r="AJ619" s="552"/>
      <c r="AK619" s="552"/>
      <c r="AL619" s="552"/>
      <c r="AM619" s="552"/>
      <c r="AN619" s="552"/>
      <c r="AO619" s="552"/>
      <c r="AP619" s="552"/>
      <c r="AQ619" s="552" t="s">
        <v>7715</v>
      </c>
      <c r="AR619" s="552" t="s">
        <v>2998</v>
      </c>
      <c r="AT619" s="552" t="s">
        <v>726</v>
      </c>
    </row>
    <row r="620" spans="1:46" ht="14.7" customHeight="1">
      <c r="A620" s="706"/>
      <c r="B620" s="557" t="s">
        <v>3698</v>
      </c>
      <c r="C620" s="539" t="s">
        <v>7610</v>
      </c>
      <c r="D620" s="539" t="s">
        <v>2783</v>
      </c>
      <c r="E620" s="539"/>
      <c r="F620" s="539"/>
      <c r="G620" s="539"/>
      <c r="H620" s="552"/>
      <c r="I620" s="552"/>
      <c r="J620" s="552"/>
      <c r="K620" s="552"/>
      <c r="L620" s="552"/>
      <c r="M620" s="552"/>
      <c r="N620" s="552"/>
      <c r="O620" s="552"/>
      <c r="P620" s="552"/>
      <c r="Q620" s="552"/>
      <c r="R620" s="552"/>
      <c r="S620" s="552"/>
      <c r="T620" s="552"/>
      <c r="U620" s="552"/>
      <c r="V620" s="552"/>
      <c r="W620" s="552"/>
      <c r="X620" s="552"/>
      <c r="Y620" s="552"/>
      <c r="Z620" s="552"/>
      <c r="AA620" s="552"/>
      <c r="AB620" s="552"/>
      <c r="AC620" s="552"/>
      <c r="AD620" s="552"/>
      <c r="AE620" s="552"/>
      <c r="AF620" s="552"/>
      <c r="AG620" s="552"/>
      <c r="AH620" s="552"/>
      <c r="AI620" s="552"/>
      <c r="AJ620" s="552"/>
      <c r="AK620" s="552"/>
      <c r="AL620" s="552"/>
      <c r="AM620" s="552"/>
      <c r="AN620" s="552"/>
      <c r="AO620" s="552"/>
      <c r="AP620" s="552"/>
      <c r="AQ620" s="552" t="s">
        <v>7715</v>
      </c>
      <c r="AR620" s="552" t="s">
        <v>2998</v>
      </c>
      <c r="AT620" s="552" t="s">
        <v>726</v>
      </c>
    </row>
    <row r="621" spans="1:46" ht="14.7" customHeight="1">
      <c r="A621" s="710" t="s">
        <v>6336</v>
      </c>
      <c r="B621" s="344" t="s">
        <v>3699</v>
      </c>
      <c r="C621" s="539" t="s">
        <v>7610</v>
      </c>
      <c r="D621" s="709" t="s">
        <v>7726</v>
      </c>
      <c r="E621" s="552" t="s">
        <v>7713</v>
      </c>
      <c r="F621" s="552"/>
      <c r="G621" s="552" t="s">
        <v>7365</v>
      </c>
      <c r="H621" s="552"/>
      <c r="I621" s="552"/>
      <c r="J621" s="552"/>
      <c r="K621" s="552"/>
      <c r="L621" s="552"/>
      <c r="M621" s="552"/>
      <c r="N621" s="552"/>
      <c r="O621" s="552"/>
      <c r="P621" s="552"/>
      <c r="Q621" s="552"/>
      <c r="R621" s="552"/>
      <c r="S621" s="552"/>
      <c r="T621" s="552"/>
      <c r="U621" s="552"/>
      <c r="V621" s="552"/>
      <c r="W621" s="552"/>
      <c r="X621" s="552"/>
      <c r="Y621" s="552"/>
      <c r="Z621" s="552"/>
      <c r="AA621" s="552"/>
      <c r="AB621" s="552"/>
      <c r="AC621" s="552"/>
      <c r="AD621" s="552"/>
      <c r="AE621" s="552"/>
      <c r="AF621" s="552"/>
      <c r="AG621" s="552"/>
      <c r="AH621" s="552"/>
      <c r="AI621" s="552"/>
      <c r="AJ621" s="552"/>
      <c r="AK621" s="552"/>
      <c r="AL621" s="552"/>
      <c r="AM621" s="552"/>
      <c r="AN621" s="552"/>
      <c r="AO621" s="712" t="s">
        <v>7727</v>
      </c>
      <c r="AP621" s="552"/>
      <c r="AQ621" s="552" t="s">
        <v>7715</v>
      </c>
      <c r="AR621" s="552" t="s">
        <v>2809</v>
      </c>
      <c r="AT621" s="552" t="s">
        <v>726</v>
      </c>
    </row>
    <row r="622" spans="1:46" ht="14.7" customHeight="1">
      <c r="A622" s="710" t="s">
        <v>6337</v>
      </c>
      <c r="B622" s="344" t="s">
        <v>3699</v>
      </c>
      <c r="C622" s="539" t="s">
        <v>7610</v>
      </c>
      <c r="D622" s="709" t="s">
        <v>7728</v>
      </c>
      <c r="E622" s="552" t="s">
        <v>7713</v>
      </c>
      <c r="F622" s="552"/>
      <c r="G622" s="552" t="s">
        <v>7365</v>
      </c>
      <c r="H622" s="552"/>
      <c r="I622" s="552"/>
      <c r="J622" s="552"/>
      <c r="K622" s="552"/>
      <c r="L622" s="552"/>
      <c r="M622" s="552"/>
      <c r="N622" s="552"/>
      <c r="O622" s="552"/>
      <c r="P622" s="552"/>
      <c r="Q622" s="552"/>
      <c r="R622" s="552"/>
      <c r="S622" s="552"/>
      <c r="T622" s="552"/>
      <c r="U622" s="552"/>
      <c r="V622" s="552"/>
      <c r="W622" s="552"/>
      <c r="X622" s="552"/>
      <c r="Y622" s="552"/>
      <c r="Z622" s="552"/>
      <c r="AA622" s="552"/>
      <c r="AB622" s="552"/>
      <c r="AC622" s="552"/>
      <c r="AD622" s="552"/>
      <c r="AE622" s="552"/>
      <c r="AF622" s="552"/>
      <c r="AG622" s="552"/>
      <c r="AH622" s="552"/>
      <c r="AI622" s="552"/>
      <c r="AJ622" s="552"/>
      <c r="AK622" s="552"/>
      <c r="AL622" s="552"/>
      <c r="AM622" s="552"/>
      <c r="AN622" s="552"/>
      <c r="AO622" s="713" t="s">
        <v>7729</v>
      </c>
      <c r="AP622" s="552"/>
      <c r="AQ622" s="552" t="s">
        <v>7715</v>
      </c>
      <c r="AR622" s="552" t="s">
        <v>2809</v>
      </c>
      <c r="AT622" s="552" t="s">
        <v>726</v>
      </c>
    </row>
    <row r="623" spans="1:46" ht="14.7" customHeight="1">
      <c r="A623" s="710" t="s">
        <v>6338</v>
      </c>
      <c r="B623" s="344" t="s">
        <v>3699</v>
      </c>
      <c r="C623" s="539" t="s">
        <v>7610</v>
      </c>
      <c r="D623" s="709" t="s">
        <v>7730</v>
      </c>
      <c r="E623" s="552" t="s">
        <v>7713</v>
      </c>
      <c r="F623" s="552"/>
      <c r="G623" s="552" t="s">
        <v>7365</v>
      </c>
      <c r="H623" s="552"/>
      <c r="I623" s="552"/>
      <c r="J623" s="552"/>
      <c r="K623" s="552"/>
      <c r="L623" s="552"/>
      <c r="M623" s="552"/>
      <c r="N623" s="552"/>
      <c r="O623" s="552"/>
      <c r="P623" s="552"/>
      <c r="Q623" s="552"/>
      <c r="R623" s="552"/>
      <c r="S623" s="552"/>
      <c r="T623" s="552"/>
      <c r="U623" s="552"/>
      <c r="V623" s="552"/>
      <c r="W623" s="552"/>
      <c r="X623" s="552"/>
      <c r="Y623" s="552"/>
      <c r="Z623" s="552"/>
      <c r="AA623" s="552"/>
      <c r="AB623" s="552"/>
      <c r="AC623" s="552"/>
      <c r="AD623" s="552"/>
      <c r="AE623" s="552"/>
      <c r="AF623" s="552"/>
      <c r="AG623" s="552"/>
      <c r="AH623" s="552"/>
      <c r="AI623" s="552"/>
      <c r="AJ623" s="552"/>
      <c r="AK623" s="552"/>
      <c r="AL623" s="552"/>
      <c r="AM623" s="552"/>
      <c r="AN623" s="552"/>
      <c r="AO623" s="713" t="s">
        <v>7731</v>
      </c>
      <c r="AP623" s="709" t="s">
        <v>7732</v>
      </c>
      <c r="AQ623" s="552" t="s">
        <v>7715</v>
      </c>
      <c r="AR623" s="552" t="s">
        <v>2809</v>
      </c>
      <c r="AT623" s="552" t="s">
        <v>726</v>
      </c>
    </row>
    <row r="624" spans="1:46" ht="14.7" customHeight="1">
      <c r="A624" s="706"/>
      <c r="B624" s="344" t="s">
        <v>3699</v>
      </c>
      <c r="C624" s="539" t="s">
        <v>7610</v>
      </c>
      <c r="D624" s="539" t="s">
        <v>2783</v>
      </c>
      <c r="E624" s="539"/>
      <c r="F624" s="539"/>
      <c r="G624" s="539"/>
      <c r="H624" s="552"/>
      <c r="I624" s="552"/>
      <c r="J624" s="552"/>
      <c r="K624" s="552"/>
      <c r="L624" s="552"/>
      <c r="M624" s="552"/>
      <c r="N624" s="552"/>
      <c r="O624" s="552"/>
      <c r="P624" s="552"/>
      <c r="Q624" s="552"/>
      <c r="R624" s="552"/>
      <c r="S624" s="552"/>
      <c r="T624" s="552"/>
      <c r="U624" s="552"/>
      <c r="V624" s="552"/>
      <c r="W624" s="552"/>
      <c r="X624" s="552"/>
      <c r="Y624" s="552"/>
      <c r="Z624" s="552"/>
      <c r="AA624" s="552"/>
      <c r="AB624" s="552"/>
      <c r="AC624" s="552"/>
      <c r="AD624" s="552"/>
      <c r="AE624" s="552"/>
      <c r="AF624" s="552"/>
      <c r="AG624" s="552"/>
      <c r="AH624" s="552"/>
      <c r="AI624" s="552"/>
      <c r="AJ624" s="552"/>
      <c r="AK624" s="552"/>
      <c r="AL624" s="552"/>
      <c r="AM624" s="552"/>
      <c r="AN624" s="552"/>
      <c r="AO624" s="552"/>
      <c r="AP624" s="552"/>
      <c r="AQ624" s="552" t="s">
        <v>7715</v>
      </c>
      <c r="AR624" s="552" t="s">
        <v>2809</v>
      </c>
      <c r="AT624" s="552" t="s">
        <v>726</v>
      </c>
    </row>
    <row r="625" spans="1:46" ht="14.7" customHeight="1">
      <c r="A625" s="706"/>
      <c r="B625" s="344" t="s">
        <v>3699</v>
      </c>
      <c r="C625" s="539" t="s">
        <v>7610</v>
      </c>
      <c r="D625" s="539" t="s">
        <v>2783</v>
      </c>
      <c r="E625" s="539"/>
      <c r="F625" s="539"/>
      <c r="G625" s="539"/>
      <c r="H625" s="552"/>
      <c r="I625" s="552"/>
      <c r="J625" s="552"/>
      <c r="K625" s="552"/>
      <c r="L625" s="552"/>
      <c r="M625" s="552"/>
      <c r="N625" s="552"/>
      <c r="O625" s="552"/>
      <c r="P625" s="552"/>
      <c r="Q625" s="552"/>
      <c r="R625" s="552"/>
      <c r="S625" s="552"/>
      <c r="T625" s="552"/>
      <c r="U625" s="552"/>
      <c r="V625" s="552"/>
      <c r="W625" s="552"/>
      <c r="X625" s="552"/>
      <c r="Y625" s="552"/>
      <c r="Z625" s="552"/>
      <c r="AA625" s="552"/>
      <c r="AB625" s="552"/>
      <c r="AC625" s="552"/>
      <c r="AD625" s="552"/>
      <c r="AE625" s="552"/>
      <c r="AF625" s="552"/>
      <c r="AG625" s="552"/>
      <c r="AH625" s="552"/>
      <c r="AI625" s="552"/>
      <c r="AJ625" s="552"/>
      <c r="AK625" s="552"/>
      <c r="AL625" s="552"/>
      <c r="AM625" s="552"/>
      <c r="AN625" s="552"/>
      <c r="AO625" s="552"/>
      <c r="AP625" s="552"/>
      <c r="AQ625" s="552" t="s">
        <v>7715</v>
      </c>
      <c r="AR625" s="552" t="s">
        <v>2809</v>
      </c>
      <c r="AT625" s="552" t="s">
        <v>726</v>
      </c>
    </row>
    <row r="626" spans="1:46" ht="14.7" customHeight="1">
      <c r="A626" s="710" t="s">
        <v>6339</v>
      </c>
      <c r="B626" s="559" t="s">
        <v>3700</v>
      </c>
      <c r="C626" s="539" t="s">
        <v>7610</v>
      </c>
      <c r="D626" s="709" t="s">
        <v>7733</v>
      </c>
      <c r="E626" s="552" t="s">
        <v>7713</v>
      </c>
      <c r="F626" s="552"/>
      <c r="G626" s="552" t="s">
        <v>7365</v>
      </c>
      <c r="H626" s="552"/>
      <c r="I626" s="552"/>
      <c r="J626" s="552"/>
      <c r="K626" s="552"/>
      <c r="L626" s="552"/>
      <c r="M626" s="552"/>
      <c r="N626" s="552"/>
      <c r="O626" s="552"/>
      <c r="P626" s="552"/>
      <c r="Q626" s="552"/>
      <c r="R626" s="552"/>
      <c r="S626" s="552"/>
      <c r="T626" s="552"/>
      <c r="U626" s="552"/>
      <c r="V626" s="552"/>
      <c r="W626" s="552"/>
      <c r="X626" s="552"/>
      <c r="Y626" s="552"/>
      <c r="Z626" s="552"/>
      <c r="AA626" s="552"/>
      <c r="AB626" s="552"/>
      <c r="AC626" s="552"/>
      <c r="AD626" s="552"/>
      <c r="AE626" s="552"/>
      <c r="AF626" s="552"/>
      <c r="AG626" s="552"/>
      <c r="AH626" s="552"/>
      <c r="AI626" s="552"/>
      <c r="AJ626" s="552"/>
      <c r="AK626" s="552"/>
      <c r="AL626" s="552"/>
      <c r="AM626" s="552"/>
      <c r="AN626" s="552"/>
      <c r="AO626" s="709" t="s">
        <v>7734</v>
      </c>
      <c r="AP626" s="709" t="s">
        <v>7735</v>
      </c>
      <c r="AQ626" s="552" t="s">
        <v>7715</v>
      </c>
      <c r="AR626" s="552" t="s">
        <v>2971</v>
      </c>
      <c r="AT626" s="552" t="s">
        <v>726</v>
      </c>
    </row>
    <row r="627" spans="1:46" ht="14.7" customHeight="1">
      <c r="A627" s="706"/>
      <c r="B627" s="559" t="s">
        <v>3700</v>
      </c>
      <c r="C627" s="539" t="s">
        <v>7610</v>
      </c>
      <c r="D627" s="539" t="s">
        <v>2783</v>
      </c>
      <c r="E627" s="539"/>
      <c r="F627" s="539"/>
      <c r="G627" s="539"/>
      <c r="H627" s="552"/>
      <c r="I627" s="552"/>
      <c r="J627" s="552"/>
      <c r="K627" s="552"/>
      <c r="L627" s="552"/>
      <c r="M627" s="552"/>
      <c r="N627" s="552"/>
      <c r="O627" s="552"/>
      <c r="P627" s="552"/>
      <c r="Q627" s="552"/>
      <c r="R627" s="552"/>
      <c r="S627" s="552"/>
      <c r="T627" s="552"/>
      <c r="U627" s="552"/>
      <c r="V627" s="552"/>
      <c r="W627" s="552"/>
      <c r="X627" s="552"/>
      <c r="Y627" s="552"/>
      <c r="Z627" s="552"/>
      <c r="AA627" s="552"/>
      <c r="AB627" s="552"/>
      <c r="AC627" s="552"/>
      <c r="AD627" s="552"/>
      <c r="AE627" s="552"/>
      <c r="AF627" s="552"/>
      <c r="AG627" s="552"/>
      <c r="AH627" s="552"/>
      <c r="AI627" s="552"/>
      <c r="AJ627" s="552"/>
      <c r="AK627" s="552"/>
      <c r="AL627" s="552"/>
      <c r="AM627" s="552"/>
      <c r="AN627" s="552"/>
      <c r="AO627" s="552"/>
      <c r="AP627" s="552"/>
      <c r="AQ627" s="552" t="s">
        <v>7715</v>
      </c>
      <c r="AR627" s="552" t="s">
        <v>2971</v>
      </c>
      <c r="AT627" s="552" t="s">
        <v>726</v>
      </c>
    </row>
    <row r="628" spans="1:46" ht="14.7" customHeight="1">
      <c r="A628" s="706"/>
      <c r="B628" s="711" t="s">
        <v>6055</v>
      </c>
      <c r="C628" s="539" t="s">
        <v>7610</v>
      </c>
      <c r="D628" s="539" t="s">
        <v>2783</v>
      </c>
      <c r="E628" s="552"/>
      <c r="F628" s="552"/>
      <c r="G628" s="552"/>
      <c r="H628" s="552"/>
      <c r="I628" s="552"/>
      <c r="J628" s="552"/>
      <c r="K628" s="552"/>
      <c r="L628" s="552"/>
      <c r="M628" s="552"/>
      <c r="N628" s="552"/>
      <c r="O628" s="552"/>
      <c r="P628" s="552"/>
      <c r="Q628" s="552"/>
      <c r="R628" s="552"/>
      <c r="S628" s="552"/>
      <c r="T628" s="552"/>
      <c r="U628" s="552"/>
      <c r="V628" s="552"/>
      <c r="W628" s="552"/>
      <c r="X628" s="552"/>
      <c r="Y628" s="552"/>
      <c r="Z628" s="552"/>
      <c r="AA628" s="552"/>
      <c r="AB628" s="552"/>
      <c r="AC628" s="552"/>
      <c r="AD628" s="552"/>
      <c r="AE628" s="552"/>
      <c r="AF628" s="552"/>
      <c r="AG628" s="552"/>
      <c r="AH628" s="552"/>
      <c r="AI628" s="552"/>
      <c r="AJ628" s="552"/>
      <c r="AK628" s="552"/>
      <c r="AL628" s="552"/>
      <c r="AM628" s="552"/>
      <c r="AN628" s="552"/>
      <c r="AO628" s="552"/>
      <c r="AP628" s="552"/>
      <c r="AQ628" s="552" t="s">
        <v>7715</v>
      </c>
      <c r="AR628" s="552" t="s">
        <v>6697</v>
      </c>
      <c r="AT628" s="552" t="s">
        <v>726</v>
      </c>
    </row>
    <row r="629" spans="1:46" ht="14.7" customHeight="1">
      <c r="A629" s="706" t="s">
        <v>6340</v>
      </c>
      <c r="B629" s="540" t="s">
        <v>3695</v>
      </c>
      <c r="C629" s="539" t="s">
        <v>7610</v>
      </c>
      <c r="D629" s="709" t="s">
        <v>7736</v>
      </c>
      <c r="E629" s="552" t="s">
        <v>7713</v>
      </c>
      <c r="F629" s="552"/>
      <c r="G629" s="552" t="s">
        <v>7426</v>
      </c>
      <c r="H629" s="552"/>
      <c r="I629" s="552"/>
      <c r="J629" s="552"/>
      <c r="K629" s="552"/>
      <c r="L629" s="552"/>
      <c r="M629" s="552"/>
      <c r="N629" s="552"/>
      <c r="O629" s="552"/>
      <c r="P629" s="552"/>
      <c r="Q629" s="552"/>
      <c r="R629" s="552"/>
      <c r="S629" s="552"/>
      <c r="T629" s="552"/>
      <c r="U629" s="552"/>
      <c r="V629" s="552"/>
      <c r="W629" s="552"/>
      <c r="X629" s="552"/>
      <c r="Y629" s="552"/>
      <c r="Z629" s="552"/>
      <c r="AA629" s="552"/>
      <c r="AB629" s="552"/>
      <c r="AC629" s="552"/>
      <c r="AD629" s="552"/>
      <c r="AE629" s="552"/>
      <c r="AF629" s="552"/>
      <c r="AG629" s="552"/>
      <c r="AH629" s="552"/>
      <c r="AI629" s="552"/>
      <c r="AJ629" s="552"/>
      <c r="AK629" s="552"/>
      <c r="AL629" s="552"/>
      <c r="AM629" s="552"/>
      <c r="AN629" s="552"/>
      <c r="AO629" s="552"/>
      <c r="AP629" s="552"/>
      <c r="AQ629" s="552" t="s">
        <v>7715</v>
      </c>
      <c r="AR629" s="552" t="s">
        <v>2802</v>
      </c>
      <c r="AT629" s="552" t="s">
        <v>726</v>
      </c>
    </row>
    <row r="630" spans="1:46" ht="14.7" customHeight="1">
      <c r="A630" s="706"/>
      <c r="B630" s="540" t="s">
        <v>3695</v>
      </c>
      <c r="C630" s="539" t="s">
        <v>7610</v>
      </c>
      <c r="D630" s="539" t="s">
        <v>2783</v>
      </c>
      <c r="E630" s="539"/>
      <c r="F630" s="539"/>
      <c r="G630" s="539"/>
      <c r="H630" s="552"/>
      <c r="I630" s="552"/>
      <c r="J630" s="552"/>
      <c r="K630" s="552"/>
      <c r="L630" s="552"/>
      <c r="M630" s="552"/>
      <c r="N630" s="552"/>
      <c r="O630" s="552"/>
      <c r="P630" s="552"/>
      <c r="Q630" s="552"/>
      <c r="R630" s="552"/>
      <c r="S630" s="552"/>
      <c r="T630" s="552"/>
      <c r="U630" s="552"/>
      <c r="V630" s="552"/>
      <c r="W630" s="552"/>
      <c r="X630" s="552"/>
      <c r="Y630" s="552"/>
      <c r="Z630" s="552"/>
      <c r="AA630" s="552"/>
      <c r="AB630" s="552"/>
      <c r="AC630" s="552"/>
      <c r="AD630" s="552"/>
      <c r="AE630" s="552"/>
      <c r="AF630" s="552"/>
      <c r="AG630" s="552"/>
      <c r="AH630" s="552"/>
      <c r="AI630" s="552"/>
      <c r="AJ630" s="552"/>
      <c r="AK630" s="552"/>
      <c r="AL630" s="552"/>
      <c r="AM630" s="552"/>
      <c r="AN630" s="552"/>
      <c r="AO630" s="552"/>
      <c r="AP630" s="552"/>
      <c r="AQ630" s="552" t="s">
        <v>7715</v>
      </c>
      <c r="AR630" s="552" t="s">
        <v>2802</v>
      </c>
      <c r="AT630" s="552" t="s">
        <v>726</v>
      </c>
    </row>
    <row r="631" spans="1:46" ht="14.7" customHeight="1">
      <c r="A631" s="710" t="s">
        <v>6341</v>
      </c>
      <c r="B631" s="707" t="s">
        <v>3696</v>
      </c>
      <c r="C631" s="539" t="s">
        <v>7610</v>
      </c>
      <c r="D631" s="709" t="s">
        <v>7737</v>
      </c>
      <c r="E631" s="552" t="s">
        <v>7713</v>
      </c>
      <c r="F631" s="552"/>
      <c r="G631" s="552" t="s">
        <v>7426</v>
      </c>
      <c r="H631" s="552"/>
      <c r="I631" s="552"/>
      <c r="J631" s="552"/>
      <c r="K631" s="552"/>
      <c r="L631" s="552"/>
      <c r="M631" s="552"/>
      <c r="N631" s="552"/>
      <c r="O631" s="552"/>
      <c r="P631" s="552"/>
      <c r="Q631" s="552"/>
      <c r="R631" s="552"/>
      <c r="S631" s="552"/>
      <c r="T631" s="552"/>
      <c r="U631" s="552"/>
      <c r="V631" s="552"/>
      <c r="W631" s="552"/>
      <c r="X631" s="552"/>
      <c r="Y631" s="552"/>
      <c r="Z631" s="552"/>
      <c r="AA631" s="552"/>
      <c r="AB631" s="552"/>
      <c r="AC631" s="552"/>
      <c r="AD631" s="552"/>
      <c r="AE631" s="552"/>
      <c r="AF631" s="552"/>
      <c r="AG631" s="552"/>
      <c r="AH631" s="552"/>
      <c r="AI631" s="552"/>
      <c r="AJ631" s="552"/>
      <c r="AK631" s="552"/>
      <c r="AL631" s="552"/>
      <c r="AM631" s="552"/>
      <c r="AN631" s="552"/>
      <c r="AO631" s="713" t="s">
        <v>7738</v>
      </c>
      <c r="AP631" s="552"/>
      <c r="AQ631" s="552" t="s">
        <v>7715</v>
      </c>
      <c r="AR631" s="552" t="s">
        <v>2805</v>
      </c>
      <c r="AT631" s="552" t="s">
        <v>726</v>
      </c>
    </row>
    <row r="632" spans="1:46" ht="14.7" customHeight="1">
      <c r="A632" s="706"/>
      <c r="B632" s="707" t="s">
        <v>3696</v>
      </c>
      <c r="C632" s="539" t="s">
        <v>7610</v>
      </c>
      <c r="D632" s="539" t="s">
        <v>2783</v>
      </c>
      <c r="E632" s="539"/>
      <c r="F632" s="539"/>
      <c r="G632" s="539"/>
      <c r="H632" s="552"/>
      <c r="I632" s="552"/>
      <c r="J632" s="552"/>
      <c r="K632" s="552"/>
      <c r="L632" s="552"/>
      <c r="M632" s="552"/>
      <c r="N632" s="552"/>
      <c r="O632" s="552"/>
      <c r="P632" s="552"/>
      <c r="Q632" s="552"/>
      <c r="R632" s="552"/>
      <c r="S632" s="552"/>
      <c r="T632" s="552"/>
      <c r="U632" s="552"/>
      <c r="V632" s="552"/>
      <c r="W632" s="552"/>
      <c r="X632" s="552"/>
      <c r="Y632" s="552"/>
      <c r="Z632" s="552"/>
      <c r="AA632" s="552"/>
      <c r="AB632" s="552"/>
      <c r="AC632" s="552"/>
      <c r="AD632" s="552"/>
      <c r="AE632" s="552"/>
      <c r="AF632" s="552"/>
      <c r="AG632" s="552"/>
      <c r="AH632" s="552"/>
      <c r="AI632" s="552"/>
      <c r="AJ632" s="552"/>
      <c r="AK632" s="552"/>
      <c r="AL632" s="552"/>
      <c r="AM632" s="552"/>
      <c r="AN632" s="552"/>
      <c r="AO632" s="552"/>
      <c r="AP632" s="552"/>
      <c r="AQ632" s="552" t="s">
        <v>7715</v>
      </c>
      <c r="AR632" s="552" t="s">
        <v>2805</v>
      </c>
      <c r="AT632" s="552" t="s">
        <v>726</v>
      </c>
    </row>
    <row r="633" spans="1:46" ht="14.7" customHeight="1">
      <c r="A633" s="710" t="s">
        <v>6342</v>
      </c>
      <c r="B633" s="556" t="s">
        <v>3697</v>
      </c>
      <c r="C633" s="539" t="s">
        <v>7610</v>
      </c>
      <c r="D633" s="709" t="s">
        <v>7739</v>
      </c>
      <c r="E633" s="552" t="s">
        <v>7713</v>
      </c>
      <c r="F633" s="552"/>
      <c r="G633" s="552" t="s">
        <v>7426</v>
      </c>
      <c r="H633" s="552"/>
      <c r="I633" s="552"/>
      <c r="J633" s="552"/>
      <c r="K633" s="552"/>
      <c r="L633" s="552"/>
      <c r="M633" s="552"/>
      <c r="N633" s="552"/>
      <c r="O633" s="552"/>
      <c r="P633" s="552"/>
      <c r="Q633" s="552"/>
      <c r="R633" s="552"/>
      <c r="S633" s="552"/>
      <c r="T633" s="552"/>
      <c r="U633" s="552"/>
      <c r="V633" s="552"/>
      <c r="W633" s="552"/>
      <c r="X633" s="552"/>
      <c r="Y633" s="552"/>
      <c r="Z633" s="552"/>
      <c r="AA633" s="552"/>
      <c r="AB633" s="552"/>
      <c r="AC633" s="552"/>
      <c r="AD633" s="552"/>
      <c r="AE633" s="552"/>
      <c r="AF633" s="552"/>
      <c r="AG633" s="552"/>
      <c r="AH633" s="552"/>
      <c r="AI633" s="552"/>
      <c r="AJ633" s="552"/>
      <c r="AK633" s="552"/>
      <c r="AL633" s="552"/>
      <c r="AM633" s="552"/>
      <c r="AN633" s="552"/>
      <c r="AO633" s="713" t="s">
        <v>7740</v>
      </c>
      <c r="AP633" s="552"/>
      <c r="AQ633" s="552" t="s">
        <v>7715</v>
      </c>
      <c r="AR633" s="552" t="s">
        <v>2875</v>
      </c>
      <c r="AT633" s="552" t="s">
        <v>726</v>
      </c>
    </row>
    <row r="634" spans="1:46" ht="14.7" customHeight="1">
      <c r="A634" s="710" t="s">
        <v>6343</v>
      </c>
      <c r="B634" s="556" t="s">
        <v>3697</v>
      </c>
      <c r="C634" s="539" t="s">
        <v>7610</v>
      </c>
      <c r="D634" s="709" t="s">
        <v>7741</v>
      </c>
      <c r="E634" s="552" t="s">
        <v>7713</v>
      </c>
      <c r="F634" s="552"/>
      <c r="G634" s="552" t="s">
        <v>7426</v>
      </c>
      <c r="H634" s="552"/>
      <c r="I634" s="552"/>
      <c r="J634" s="552"/>
      <c r="K634" s="552"/>
      <c r="L634" s="552"/>
      <c r="M634" s="552"/>
      <c r="N634" s="552"/>
      <c r="O634" s="552"/>
      <c r="P634" s="552"/>
      <c r="Q634" s="552"/>
      <c r="R634" s="552"/>
      <c r="S634" s="552"/>
      <c r="T634" s="552"/>
      <c r="U634" s="552"/>
      <c r="V634" s="552"/>
      <c r="W634" s="552"/>
      <c r="X634" s="552"/>
      <c r="Y634" s="552"/>
      <c r="Z634" s="552"/>
      <c r="AA634" s="552"/>
      <c r="AB634" s="552"/>
      <c r="AC634" s="552"/>
      <c r="AD634" s="552"/>
      <c r="AE634" s="552"/>
      <c r="AF634" s="552"/>
      <c r="AG634" s="552"/>
      <c r="AH634" s="552"/>
      <c r="AI634" s="552"/>
      <c r="AJ634" s="552"/>
      <c r="AK634" s="552"/>
      <c r="AL634" s="552"/>
      <c r="AM634" s="552"/>
      <c r="AN634" s="552"/>
      <c r="AO634" s="709" t="s">
        <v>7742</v>
      </c>
      <c r="AP634" s="709"/>
      <c r="AQ634" s="552" t="s">
        <v>7715</v>
      </c>
      <c r="AR634" s="552" t="s">
        <v>2875</v>
      </c>
      <c r="AT634" s="552" t="s">
        <v>726</v>
      </c>
    </row>
    <row r="635" spans="1:46" ht="14.7" customHeight="1">
      <c r="A635" s="706"/>
      <c r="B635" s="556" t="s">
        <v>3697</v>
      </c>
      <c r="C635" s="539" t="s">
        <v>7610</v>
      </c>
      <c r="D635" s="539" t="s">
        <v>2783</v>
      </c>
      <c r="E635" s="539"/>
      <c r="F635" s="539"/>
      <c r="G635" s="539"/>
      <c r="H635" s="552"/>
      <c r="I635" s="552"/>
      <c r="J635" s="552"/>
      <c r="K635" s="552"/>
      <c r="L635" s="552"/>
      <c r="M635" s="552"/>
      <c r="N635" s="552"/>
      <c r="O635" s="552"/>
      <c r="P635" s="552"/>
      <c r="Q635" s="552"/>
      <c r="R635" s="552"/>
      <c r="S635" s="552"/>
      <c r="T635" s="552"/>
      <c r="U635" s="552"/>
      <c r="V635" s="552"/>
      <c r="W635" s="552"/>
      <c r="X635" s="552"/>
      <c r="Y635" s="552"/>
      <c r="Z635" s="552"/>
      <c r="AA635" s="552"/>
      <c r="AB635" s="552"/>
      <c r="AC635" s="552"/>
      <c r="AD635" s="552"/>
      <c r="AE635" s="552"/>
      <c r="AF635" s="552"/>
      <c r="AG635" s="552"/>
      <c r="AH635" s="552"/>
      <c r="AI635" s="552"/>
      <c r="AJ635" s="552"/>
      <c r="AK635" s="552"/>
      <c r="AL635" s="552"/>
      <c r="AM635" s="552"/>
      <c r="AN635" s="552"/>
      <c r="AO635" s="552"/>
      <c r="AP635" s="552"/>
      <c r="AQ635" s="552" t="s">
        <v>7715</v>
      </c>
      <c r="AR635" s="552" t="s">
        <v>2875</v>
      </c>
      <c r="AT635" s="552" t="s">
        <v>726</v>
      </c>
    </row>
    <row r="636" spans="1:46" ht="14.7" customHeight="1">
      <c r="A636" s="706"/>
      <c r="B636" s="557" t="s">
        <v>3698</v>
      </c>
      <c r="C636" s="539" t="s">
        <v>7610</v>
      </c>
      <c r="D636" s="539" t="s">
        <v>2783</v>
      </c>
      <c r="E636" s="539"/>
      <c r="F636" s="539"/>
      <c r="G636" s="539"/>
      <c r="H636" s="552"/>
      <c r="I636" s="552"/>
      <c r="J636" s="552"/>
      <c r="K636" s="552"/>
      <c r="L636" s="552"/>
      <c r="M636" s="552"/>
      <c r="N636" s="552"/>
      <c r="O636" s="552"/>
      <c r="P636" s="552"/>
      <c r="Q636" s="552"/>
      <c r="R636" s="552"/>
      <c r="S636" s="552"/>
      <c r="T636" s="552"/>
      <c r="U636" s="552"/>
      <c r="V636" s="552"/>
      <c r="W636" s="552"/>
      <c r="X636" s="552"/>
      <c r="Y636" s="552"/>
      <c r="Z636" s="552"/>
      <c r="AA636" s="552"/>
      <c r="AB636" s="552"/>
      <c r="AC636" s="552"/>
      <c r="AD636" s="552"/>
      <c r="AE636" s="552"/>
      <c r="AF636" s="552"/>
      <c r="AG636" s="552"/>
      <c r="AH636" s="552"/>
      <c r="AI636" s="552"/>
      <c r="AJ636" s="552"/>
      <c r="AK636" s="552"/>
      <c r="AL636" s="552"/>
      <c r="AM636" s="552"/>
      <c r="AN636" s="552"/>
      <c r="AO636" s="552"/>
      <c r="AP636" s="552"/>
      <c r="AQ636" s="552" t="s">
        <v>7715</v>
      </c>
      <c r="AR636" s="552" t="s">
        <v>2998</v>
      </c>
      <c r="AT636" s="552" t="s">
        <v>726</v>
      </c>
    </row>
    <row r="637" spans="1:46" ht="14.7" customHeight="1">
      <c r="A637" s="710" t="s">
        <v>6344</v>
      </c>
      <c r="B637" s="557" t="s">
        <v>3698</v>
      </c>
      <c r="C637" s="539" t="s">
        <v>7610</v>
      </c>
      <c r="D637" s="709" t="s">
        <v>7743</v>
      </c>
      <c r="E637" s="552" t="s">
        <v>7713</v>
      </c>
      <c r="F637" s="552"/>
      <c r="G637" s="552" t="s">
        <v>7426</v>
      </c>
      <c r="H637" s="552"/>
      <c r="I637" s="552"/>
      <c r="J637" s="552"/>
      <c r="K637" s="552"/>
      <c r="L637" s="552"/>
      <c r="M637" s="552"/>
      <c r="N637" s="552"/>
      <c r="O637" s="552"/>
      <c r="P637" s="552"/>
      <c r="Q637" s="552"/>
      <c r="R637" s="552"/>
      <c r="S637" s="552"/>
      <c r="T637" s="552"/>
      <c r="U637" s="552"/>
      <c r="V637" s="552"/>
      <c r="W637" s="552"/>
      <c r="X637" s="552"/>
      <c r="Y637" s="552"/>
      <c r="Z637" s="552"/>
      <c r="AA637" s="552"/>
      <c r="AB637" s="552"/>
      <c r="AC637" s="552"/>
      <c r="AD637" s="552"/>
      <c r="AE637" s="552"/>
      <c r="AF637" s="552"/>
      <c r="AG637" s="552"/>
      <c r="AH637" s="552"/>
      <c r="AI637" s="552"/>
      <c r="AJ637" s="552"/>
      <c r="AK637" s="552"/>
      <c r="AL637" s="552"/>
      <c r="AM637" s="552"/>
      <c r="AN637" s="552"/>
      <c r="AO637" s="709" t="s">
        <v>7744</v>
      </c>
      <c r="AP637" s="709"/>
      <c r="AQ637" s="552" t="s">
        <v>7715</v>
      </c>
      <c r="AR637" s="552" t="s">
        <v>2998</v>
      </c>
      <c r="AT637" s="552" t="s">
        <v>726</v>
      </c>
    </row>
    <row r="638" spans="1:46" ht="14.7" customHeight="1">
      <c r="A638" s="710" t="s">
        <v>6345</v>
      </c>
      <c r="B638" s="557" t="s">
        <v>3698</v>
      </c>
      <c r="C638" s="539" t="s">
        <v>7610</v>
      </c>
      <c r="D638" s="709" t="s">
        <v>7745</v>
      </c>
      <c r="E638" s="552" t="s">
        <v>7713</v>
      </c>
      <c r="F638" s="552"/>
      <c r="G638" s="552" t="s">
        <v>7426</v>
      </c>
      <c r="H638" s="552"/>
      <c r="I638" s="552"/>
      <c r="J638" s="552"/>
      <c r="K638" s="552"/>
      <c r="L638" s="552"/>
      <c r="M638" s="552"/>
      <c r="N638" s="552"/>
      <c r="O638" s="552"/>
      <c r="P638" s="552"/>
      <c r="Q638" s="552"/>
      <c r="R638" s="552"/>
      <c r="S638" s="552"/>
      <c r="T638" s="552"/>
      <c r="U638" s="552"/>
      <c r="V638" s="552"/>
      <c r="W638" s="552"/>
      <c r="X638" s="552"/>
      <c r="Y638" s="552"/>
      <c r="Z638" s="552"/>
      <c r="AA638" s="552"/>
      <c r="AB638" s="552"/>
      <c r="AC638" s="552"/>
      <c r="AD638" s="552"/>
      <c r="AE638" s="552"/>
      <c r="AF638" s="552"/>
      <c r="AG638" s="552"/>
      <c r="AH638" s="552"/>
      <c r="AI638" s="552"/>
      <c r="AJ638" s="552"/>
      <c r="AK638" s="552"/>
      <c r="AL638" s="552"/>
      <c r="AM638" s="552"/>
      <c r="AN638" s="552"/>
      <c r="AO638" s="709" t="s">
        <v>7746</v>
      </c>
      <c r="AP638" s="709"/>
      <c r="AQ638" s="552" t="s">
        <v>7715</v>
      </c>
      <c r="AR638" s="552" t="s">
        <v>2998</v>
      </c>
      <c r="AT638" s="552" t="s">
        <v>726</v>
      </c>
    </row>
    <row r="639" spans="1:46" ht="14.7" customHeight="1">
      <c r="A639" s="706"/>
      <c r="B639" s="557" t="s">
        <v>3698</v>
      </c>
      <c r="C639" s="539" t="s">
        <v>7610</v>
      </c>
      <c r="D639" s="539" t="s">
        <v>2783</v>
      </c>
      <c r="E639" s="539"/>
      <c r="F639" s="539"/>
      <c r="G639" s="539"/>
      <c r="H639" s="552"/>
      <c r="I639" s="552"/>
      <c r="J639" s="552"/>
      <c r="K639" s="552"/>
      <c r="L639" s="552"/>
      <c r="M639" s="552"/>
      <c r="N639" s="552"/>
      <c r="O639" s="552"/>
      <c r="P639" s="552"/>
      <c r="Q639" s="552"/>
      <c r="R639" s="552"/>
      <c r="S639" s="552"/>
      <c r="T639" s="552"/>
      <c r="U639" s="552"/>
      <c r="V639" s="552"/>
      <c r="W639" s="552"/>
      <c r="X639" s="552"/>
      <c r="Y639" s="552"/>
      <c r="Z639" s="552"/>
      <c r="AA639" s="552"/>
      <c r="AB639" s="552"/>
      <c r="AC639" s="552"/>
      <c r="AD639" s="552"/>
      <c r="AE639" s="552"/>
      <c r="AF639" s="552"/>
      <c r="AG639" s="552"/>
      <c r="AH639" s="552"/>
      <c r="AI639" s="552"/>
      <c r="AJ639" s="552"/>
      <c r="AK639" s="552"/>
      <c r="AL639" s="552"/>
      <c r="AM639" s="552"/>
      <c r="AN639" s="552"/>
      <c r="AO639" s="552"/>
      <c r="AP639" s="552"/>
      <c r="AQ639" s="552" t="s">
        <v>7715</v>
      </c>
      <c r="AR639" s="552" t="s">
        <v>2998</v>
      </c>
      <c r="AT639" s="552" t="s">
        <v>726</v>
      </c>
    </row>
    <row r="640" spans="1:46" ht="14.7" customHeight="1">
      <c r="A640" s="706"/>
      <c r="B640" s="344" t="s">
        <v>3699</v>
      </c>
      <c r="C640" s="539" t="s">
        <v>7610</v>
      </c>
      <c r="D640" s="539" t="s">
        <v>2783</v>
      </c>
      <c r="E640" s="539"/>
      <c r="F640" s="539"/>
      <c r="G640" s="539"/>
      <c r="H640" s="552"/>
      <c r="I640" s="552"/>
      <c r="J640" s="552"/>
      <c r="K640" s="552"/>
      <c r="L640" s="552"/>
      <c r="M640" s="552"/>
      <c r="N640" s="552"/>
      <c r="O640" s="552"/>
      <c r="P640" s="552"/>
      <c r="Q640" s="552"/>
      <c r="R640" s="552"/>
      <c r="S640" s="552"/>
      <c r="T640" s="552"/>
      <c r="U640" s="552"/>
      <c r="V640" s="552"/>
      <c r="W640" s="552"/>
      <c r="X640" s="552"/>
      <c r="Y640" s="552"/>
      <c r="Z640" s="552"/>
      <c r="AA640" s="552"/>
      <c r="AB640" s="552"/>
      <c r="AC640" s="552"/>
      <c r="AD640" s="552"/>
      <c r="AE640" s="552"/>
      <c r="AF640" s="552"/>
      <c r="AG640" s="552"/>
      <c r="AH640" s="552"/>
      <c r="AI640" s="552"/>
      <c r="AJ640" s="552"/>
      <c r="AK640" s="552"/>
      <c r="AL640" s="552"/>
      <c r="AM640" s="552"/>
      <c r="AN640" s="552"/>
      <c r="AO640" s="552"/>
      <c r="AP640" s="552"/>
      <c r="AQ640" s="552" t="s">
        <v>7715</v>
      </c>
      <c r="AR640" s="552" t="s">
        <v>2809</v>
      </c>
      <c r="AT640" s="552" t="s">
        <v>726</v>
      </c>
    </row>
    <row r="641" spans="1:46" ht="14.7" customHeight="1">
      <c r="A641" s="710" t="s">
        <v>6346</v>
      </c>
      <c r="B641" s="344" t="s">
        <v>3699</v>
      </c>
      <c r="C641" s="539" t="s">
        <v>7610</v>
      </c>
      <c r="D641" s="709" t="s">
        <v>7747</v>
      </c>
      <c r="E641" s="552" t="s">
        <v>7713</v>
      </c>
      <c r="F641" s="552"/>
      <c r="G641" s="552" t="s">
        <v>7426</v>
      </c>
      <c r="H641" s="552"/>
      <c r="I641" s="552"/>
      <c r="J641" s="552"/>
      <c r="K641" s="552"/>
      <c r="L641" s="552"/>
      <c r="M641" s="552"/>
      <c r="N641" s="552"/>
      <c r="O641" s="552"/>
      <c r="P641" s="552"/>
      <c r="Q641" s="552"/>
      <c r="R641" s="552"/>
      <c r="S641" s="552"/>
      <c r="T641" s="552"/>
      <c r="U641" s="552"/>
      <c r="V641" s="552"/>
      <c r="W641" s="552"/>
      <c r="X641" s="552"/>
      <c r="Y641" s="552"/>
      <c r="Z641" s="552"/>
      <c r="AA641" s="552"/>
      <c r="AB641" s="552"/>
      <c r="AC641" s="552"/>
      <c r="AD641" s="552"/>
      <c r="AE641" s="552"/>
      <c r="AF641" s="552"/>
      <c r="AG641" s="552"/>
      <c r="AH641" s="552"/>
      <c r="AI641" s="552"/>
      <c r="AJ641" s="552"/>
      <c r="AK641" s="552"/>
      <c r="AL641" s="552"/>
      <c r="AM641" s="552"/>
      <c r="AN641" s="552"/>
      <c r="AO641" s="552" t="s">
        <v>7748</v>
      </c>
      <c r="AP641" s="552"/>
      <c r="AQ641" s="552" t="s">
        <v>7715</v>
      </c>
      <c r="AR641" s="552" t="s">
        <v>2809</v>
      </c>
      <c r="AT641" s="552" t="s">
        <v>726</v>
      </c>
    </row>
    <row r="642" spans="1:46" ht="14.7" customHeight="1">
      <c r="A642" s="710" t="s">
        <v>6347</v>
      </c>
      <c r="B642" s="344" t="s">
        <v>3699</v>
      </c>
      <c r="C642" s="539" t="s">
        <v>7610</v>
      </c>
      <c r="D642" s="709" t="s">
        <v>7749</v>
      </c>
      <c r="E642" s="552" t="s">
        <v>7713</v>
      </c>
      <c r="F642" s="552"/>
      <c r="G642" s="552" t="s">
        <v>7426</v>
      </c>
      <c r="H642" s="552"/>
      <c r="I642" s="552"/>
      <c r="J642" s="552"/>
      <c r="K642" s="552"/>
      <c r="L642" s="552"/>
      <c r="M642" s="552"/>
      <c r="N642" s="552"/>
      <c r="O642" s="552"/>
      <c r="P642" s="552"/>
      <c r="Q642" s="552"/>
      <c r="R642" s="552"/>
      <c r="S642" s="552"/>
      <c r="T642" s="552"/>
      <c r="U642" s="552"/>
      <c r="V642" s="552"/>
      <c r="W642" s="552"/>
      <c r="X642" s="552"/>
      <c r="Y642" s="552"/>
      <c r="Z642" s="552"/>
      <c r="AA642" s="552"/>
      <c r="AB642" s="552"/>
      <c r="AC642" s="552"/>
      <c r="AD642" s="552"/>
      <c r="AE642" s="552"/>
      <c r="AF642" s="552"/>
      <c r="AG642" s="552"/>
      <c r="AH642" s="552"/>
      <c r="AI642" s="552"/>
      <c r="AJ642" s="552"/>
      <c r="AK642" s="552"/>
      <c r="AL642" s="552"/>
      <c r="AM642" s="552"/>
      <c r="AN642" s="552"/>
      <c r="AO642" s="552" t="s">
        <v>7750</v>
      </c>
      <c r="AP642" s="552"/>
      <c r="AQ642" s="552" t="s">
        <v>7715</v>
      </c>
      <c r="AR642" s="552" t="s">
        <v>2809</v>
      </c>
      <c r="AT642" s="552" t="s">
        <v>726</v>
      </c>
    </row>
    <row r="643" spans="1:46" ht="14.7" customHeight="1">
      <c r="A643" s="706"/>
      <c r="B643" s="344" t="s">
        <v>3699</v>
      </c>
      <c r="C643" s="539" t="s">
        <v>7610</v>
      </c>
      <c r="D643" s="539" t="s">
        <v>2783</v>
      </c>
      <c r="E643" s="539"/>
      <c r="F643" s="539"/>
      <c r="G643" s="539"/>
      <c r="H643" s="552"/>
      <c r="I643" s="552"/>
      <c r="J643" s="552"/>
      <c r="K643" s="552"/>
      <c r="L643" s="552"/>
      <c r="M643" s="552"/>
      <c r="N643" s="552"/>
      <c r="O643" s="552"/>
      <c r="P643" s="552"/>
      <c r="Q643" s="552"/>
      <c r="R643" s="552"/>
      <c r="S643" s="552"/>
      <c r="T643" s="552"/>
      <c r="U643" s="552"/>
      <c r="V643" s="552"/>
      <c r="W643" s="552"/>
      <c r="X643" s="552"/>
      <c r="Y643" s="552"/>
      <c r="Z643" s="552"/>
      <c r="AA643" s="552"/>
      <c r="AB643" s="552"/>
      <c r="AC643" s="552"/>
      <c r="AD643" s="552"/>
      <c r="AE643" s="552"/>
      <c r="AF643" s="552"/>
      <c r="AG643" s="552"/>
      <c r="AH643" s="552"/>
      <c r="AI643" s="552"/>
      <c r="AJ643" s="552"/>
      <c r="AK643" s="552"/>
      <c r="AL643" s="552"/>
      <c r="AM643" s="552"/>
      <c r="AN643" s="552"/>
      <c r="AO643" s="552"/>
      <c r="AP643" s="552"/>
      <c r="AQ643" s="552" t="s">
        <v>7715</v>
      </c>
      <c r="AR643" s="552" t="s">
        <v>2809</v>
      </c>
      <c r="AT643" s="552" t="s">
        <v>726</v>
      </c>
    </row>
    <row r="644" spans="1:46" ht="14.7" customHeight="1">
      <c r="A644" s="706"/>
      <c r="B644" s="344" t="s">
        <v>3699</v>
      </c>
      <c r="C644" s="539" t="s">
        <v>7610</v>
      </c>
      <c r="D644" s="539" t="s">
        <v>2783</v>
      </c>
      <c r="E644" s="539"/>
      <c r="F644" s="539"/>
      <c r="G644" s="539"/>
      <c r="H644" s="552"/>
      <c r="I644" s="552"/>
      <c r="J644" s="552"/>
      <c r="K644" s="552"/>
      <c r="L644" s="552"/>
      <c r="M644" s="552"/>
      <c r="N644" s="552"/>
      <c r="O644" s="552"/>
      <c r="P644" s="552"/>
      <c r="Q644" s="552"/>
      <c r="R644" s="552"/>
      <c r="S644" s="552"/>
      <c r="T644" s="552"/>
      <c r="U644" s="552"/>
      <c r="V644" s="552"/>
      <c r="W644" s="552"/>
      <c r="X644" s="552"/>
      <c r="Y644" s="552"/>
      <c r="Z644" s="552"/>
      <c r="AA644" s="552"/>
      <c r="AB644" s="552"/>
      <c r="AC644" s="552"/>
      <c r="AD644" s="552"/>
      <c r="AE644" s="552"/>
      <c r="AF644" s="552"/>
      <c r="AG644" s="552"/>
      <c r="AH644" s="552"/>
      <c r="AI644" s="552"/>
      <c r="AJ644" s="552"/>
      <c r="AK644" s="552"/>
      <c r="AL644" s="552"/>
      <c r="AM644" s="552"/>
      <c r="AN644" s="552"/>
      <c r="AO644" s="552"/>
      <c r="AP644" s="552"/>
      <c r="AQ644" s="552" t="s">
        <v>7715</v>
      </c>
      <c r="AR644" s="552" t="s">
        <v>2809</v>
      </c>
      <c r="AT644" s="552" t="s">
        <v>726</v>
      </c>
    </row>
    <row r="645" spans="1:46" ht="14.7" customHeight="1">
      <c r="A645" s="706"/>
      <c r="B645" s="559" t="s">
        <v>3700</v>
      </c>
      <c r="C645" s="539" t="s">
        <v>7610</v>
      </c>
      <c r="D645" s="539" t="s">
        <v>2783</v>
      </c>
      <c r="E645" s="539"/>
      <c r="F645" s="539"/>
      <c r="G645" s="539"/>
      <c r="H645" s="552"/>
      <c r="I645" s="552"/>
      <c r="J645" s="552"/>
      <c r="K645" s="552"/>
      <c r="L645" s="552"/>
      <c r="M645" s="552"/>
      <c r="N645" s="552"/>
      <c r="O645" s="552"/>
      <c r="P645" s="552"/>
      <c r="Q645" s="552"/>
      <c r="R645" s="552"/>
      <c r="S645" s="552"/>
      <c r="T645" s="552"/>
      <c r="U645" s="552"/>
      <c r="V645" s="552"/>
      <c r="W645" s="552"/>
      <c r="X645" s="552"/>
      <c r="Y645" s="552"/>
      <c r="Z645" s="552"/>
      <c r="AA645" s="552"/>
      <c r="AB645" s="552"/>
      <c r="AC645" s="552"/>
      <c r="AD645" s="552"/>
      <c r="AE645" s="552"/>
      <c r="AF645" s="552"/>
      <c r="AG645" s="552"/>
      <c r="AH645" s="552"/>
      <c r="AI645" s="552"/>
      <c r="AJ645" s="552"/>
      <c r="AK645" s="552"/>
      <c r="AL645" s="552"/>
      <c r="AM645" s="552"/>
      <c r="AN645" s="552"/>
      <c r="AO645" s="552"/>
      <c r="AP645" s="552"/>
      <c r="AQ645" s="552" t="s">
        <v>7715</v>
      </c>
      <c r="AR645" s="552" t="s">
        <v>2971</v>
      </c>
      <c r="AT645" s="552" t="s">
        <v>726</v>
      </c>
    </row>
    <row r="646" spans="1:46" ht="14.7" customHeight="1">
      <c r="A646" s="710" t="s">
        <v>6348</v>
      </c>
      <c r="B646" s="559" t="s">
        <v>3700</v>
      </c>
      <c r="C646" s="539" t="s">
        <v>7610</v>
      </c>
      <c r="D646" s="721" t="s">
        <v>7751</v>
      </c>
      <c r="E646" s="552" t="s">
        <v>7713</v>
      </c>
      <c r="F646" s="722"/>
      <c r="G646" s="552" t="s">
        <v>7426</v>
      </c>
      <c r="H646" s="722"/>
      <c r="I646" s="722"/>
      <c r="J646" s="722"/>
      <c r="K646" s="722"/>
      <c r="L646" s="552"/>
      <c r="M646" s="552"/>
      <c r="N646" s="552"/>
      <c r="O646" s="552"/>
      <c r="P646" s="552"/>
      <c r="Q646" s="552"/>
      <c r="R646" s="552"/>
      <c r="S646" s="552"/>
      <c r="T646" s="552"/>
      <c r="U646" s="552"/>
      <c r="V646" s="552"/>
      <c r="W646" s="552"/>
      <c r="X646" s="552"/>
      <c r="Y646" s="552"/>
      <c r="Z646" s="552"/>
      <c r="AA646" s="552"/>
      <c r="AB646" s="552"/>
      <c r="AC646" s="552"/>
      <c r="AD646" s="552"/>
      <c r="AE646" s="552"/>
      <c r="AF646" s="552"/>
      <c r="AG646" s="552"/>
      <c r="AH646" s="552"/>
      <c r="AI646" s="552"/>
      <c r="AJ646" s="552"/>
      <c r="AK646" s="552"/>
      <c r="AL646" s="552"/>
      <c r="AM646" s="552"/>
      <c r="AN646" s="552"/>
      <c r="AO646" s="552" t="s">
        <v>7752</v>
      </c>
      <c r="AP646" s="552"/>
      <c r="AQ646" s="552" t="s">
        <v>7715</v>
      </c>
      <c r="AR646" s="552" t="s">
        <v>2971</v>
      </c>
      <c r="AT646" s="552" t="s">
        <v>726</v>
      </c>
    </row>
    <row r="647" spans="1:46" ht="14.7" customHeight="1">
      <c r="A647" s="706"/>
      <c r="B647" s="711" t="s">
        <v>6055</v>
      </c>
      <c r="C647" s="539" t="s">
        <v>7610</v>
      </c>
      <c r="D647" s="539" t="s">
        <v>2783</v>
      </c>
      <c r="E647" s="722"/>
      <c r="F647" s="722"/>
      <c r="G647" s="722"/>
      <c r="H647" s="722"/>
      <c r="I647" s="722"/>
      <c r="J647" s="722"/>
      <c r="K647" s="722"/>
      <c r="L647" s="552"/>
      <c r="M647" s="552"/>
      <c r="N647" s="552"/>
      <c r="O647" s="552"/>
      <c r="P647" s="552"/>
      <c r="Q647" s="552"/>
      <c r="R647" s="552"/>
      <c r="S647" s="552"/>
      <c r="T647" s="552"/>
      <c r="U647" s="552"/>
      <c r="V647" s="552"/>
      <c r="W647" s="552"/>
      <c r="X647" s="552"/>
      <c r="Y647" s="552"/>
      <c r="Z647" s="552"/>
      <c r="AA647" s="552"/>
      <c r="AB647" s="552"/>
      <c r="AC647" s="552"/>
      <c r="AD647" s="552"/>
      <c r="AE647" s="552"/>
      <c r="AF647" s="552"/>
      <c r="AG647" s="552"/>
      <c r="AH647" s="552"/>
      <c r="AI647" s="552"/>
      <c r="AJ647" s="552"/>
      <c r="AK647" s="552"/>
      <c r="AL647" s="552"/>
      <c r="AM647" s="552"/>
      <c r="AN647" s="552"/>
      <c r="AO647" s="552"/>
      <c r="AP647" s="552"/>
      <c r="AQ647" s="552" t="s">
        <v>7715</v>
      </c>
      <c r="AR647" s="552" t="s">
        <v>6697</v>
      </c>
      <c r="AT647" s="552" t="s">
        <v>726</v>
      </c>
    </row>
    <row r="648" spans="1:46" ht="14.7" customHeight="1">
      <c r="A648" s="706" t="s">
        <v>6349</v>
      </c>
      <c r="B648" s="540" t="s">
        <v>3695</v>
      </c>
      <c r="C648" s="539" t="s">
        <v>7753</v>
      </c>
      <c r="D648" s="709" t="s">
        <v>7754</v>
      </c>
      <c r="E648" s="552" t="s">
        <v>7755</v>
      </c>
      <c r="F648" s="552"/>
      <c r="G648" s="552" t="s">
        <v>7756</v>
      </c>
      <c r="H648" s="552"/>
      <c r="I648" s="552"/>
      <c r="J648" s="552"/>
      <c r="K648" s="552"/>
      <c r="L648" s="552"/>
      <c r="M648" s="552"/>
      <c r="N648" s="552"/>
      <c r="O648" s="552"/>
      <c r="P648" s="552">
        <v>2</v>
      </c>
      <c r="Q648" s="552"/>
      <c r="R648" s="552"/>
      <c r="S648" s="552"/>
      <c r="T648" s="552"/>
      <c r="U648" s="552"/>
      <c r="V648" s="552"/>
      <c r="W648" s="552"/>
      <c r="X648" s="552">
        <v>1</v>
      </c>
      <c r="Y648" s="552"/>
      <c r="Z648" s="552"/>
      <c r="AA648" s="552"/>
      <c r="AB648" s="552"/>
      <c r="AC648" s="552"/>
      <c r="AD648" s="552"/>
      <c r="AE648" s="552"/>
      <c r="AF648" s="552"/>
      <c r="AG648" s="552"/>
      <c r="AH648" s="552"/>
      <c r="AI648" s="552"/>
      <c r="AJ648" s="552"/>
      <c r="AK648" s="552"/>
      <c r="AL648" s="552"/>
      <c r="AM648" s="552"/>
      <c r="AN648" s="552"/>
      <c r="AO648" s="552"/>
      <c r="AP648" s="552"/>
      <c r="AQ648" s="552" t="s">
        <v>1186</v>
      </c>
      <c r="AR648" s="552" t="s">
        <v>2802</v>
      </c>
      <c r="AT648" s="552" t="s">
        <v>726</v>
      </c>
    </row>
    <row r="649" spans="1:46" ht="14.7" customHeight="1">
      <c r="A649" s="706" t="s">
        <v>6350</v>
      </c>
      <c r="B649" s="540" t="s">
        <v>3695</v>
      </c>
      <c r="C649" s="539" t="s">
        <v>7753</v>
      </c>
      <c r="D649" s="709" t="s">
        <v>7757</v>
      </c>
      <c r="E649" s="552" t="s">
        <v>7758</v>
      </c>
      <c r="F649" s="552"/>
      <c r="G649" s="552" t="s">
        <v>7756</v>
      </c>
      <c r="H649" s="552"/>
      <c r="I649" s="552"/>
      <c r="J649" s="552"/>
      <c r="K649" s="552"/>
      <c r="L649" s="552"/>
      <c r="M649" s="552"/>
      <c r="N649" s="552"/>
      <c r="O649" s="552"/>
      <c r="P649" s="552"/>
      <c r="Q649" s="552"/>
      <c r="R649" s="552"/>
      <c r="S649" s="552"/>
      <c r="T649" s="552"/>
      <c r="U649" s="552"/>
      <c r="V649" s="552"/>
      <c r="W649" s="552"/>
      <c r="X649" s="552">
        <v>2</v>
      </c>
      <c r="Y649" s="552"/>
      <c r="Z649" s="552"/>
      <c r="AA649" s="552"/>
      <c r="AB649" s="552"/>
      <c r="AC649" s="552"/>
      <c r="AD649" s="552"/>
      <c r="AE649" s="552"/>
      <c r="AF649" s="552"/>
      <c r="AG649" s="552"/>
      <c r="AH649" s="552">
        <v>10</v>
      </c>
      <c r="AI649" s="552"/>
      <c r="AJ649" s="552"/>
      <c r="AK649" s="552"/>
      <c r="AL649" s="552"/>
      <c r="AM649" s="552"/>
      <c r="AN649" s="552"/>
      <c r="AO649" s="552"/>
      <c r="AP649" s="552"/>
      <c r="AQ649" s="552" t="s">
        <v>1186</v>
      </c>
      <c r="AR649" s="552" t="s">
        <v>2802</v>
      </c>
      <c r="AT649" s="552" t="s">
        <v>726</v>
      </c>
    </row>
    <row r="650" spans="1:46" ht="14.7" customHeight="1">
      <c r="A650" s="706" t="s">
        <v>6351</v>
      </c>
      <c r="B650" s="707" t="s">
        <v>3696</v>
      </c>
      <c r="C650" s="539" t="s">
        <v>7753</v>
      </c>
      <c r="D650" s="709" t="s">
        <v>7759</v>
      </c>
      <c r="E650" s="552" t="s">
        <v>7758</v>
      </c>
      <c r="F650" s="552"/>
      <c r="G650" s="552" t="s">
        <v>7756</v>
      </c>
      <c r="H650" s="552"/>
      <c r="I650" s="552"/>
      <c r="J650" s="552"/>
      <c r="K650" s="552"/>
      <c r="L650" s="552"/>
      <c r="M650" s="552"/>
      <c r="N650" s="552"/>
      <c r="O650" s="552"/>
      <c r="P650" s="552">
        <v>1</v>
      </c>
      <c r="Q650" s="552"/>
      <c r="R650" s="552"/>
      <c r="S650" s="552"/>
      <c r="T650" s="552"/>
      <c r="U650" s="552"/>
      <c r="V650" s="552"/>
      <c r="W650" s="552"/>
      <c r="X650" s="552">
        <v>2</v>
      </c>
      <c r="Y650" s="552"/>
      <c r="Z650" s="552"/>
      <c r="AA650" s="552"/>
      <c r="AB650" s="552"/>
      <c r="AC650" s="552"/>
      <c r="AD650" s="552"/>
      <c r="AE650" s="552"/>
      <c r="AF650" s="552"/>
      <c r="AG650" s="552"/>
      <c r="AH650" s="552"/>
      <c r="AI650" s="552">
        <v>10</v>
      </c>
      <c r="AJ650" s="552"/>
      <c r="AK650" s="552"/>
      <c r="AL650" s="552"/>
      <c r="AM650" s="552"/>
      <c r="AN650" s="552"/>
      <c r="AO650" s="552"/>
      <c r="AP650" s="552"/>
      <c r="AQ650" s="552" t="s">
        <v>1186</v>
      </c>
      <c r="AR650" s="552" t="s">
        <v>2805</v>
      </c>
      <c r="AT650" s="552" t="s">
        <v>726</v>
      </c>
    </row>
    <row r="651" spans="1:46" ht="14.7" customHeight="1">
      <c r="A651" s="706"/>
      <c r="B651" s="707" t="s">
        <v>3696</v>
      </c>
      <c r="C651" s="539" t="s">
        <v>7753</v>
      </c>
      <c r="D651" s="539" t="s">
        <v>2783</v>
      </c>
      <c r="E651" s="539"/>
      <c r="F651" s="539"/>
      <c r="G651" s="539"/>
      <c r="H651" s="552"/>
      <c r="I651" s="552"/>
      <c r="J651" s="552"/>
      <c r="K651" s="552"/>
      <c r="L651" s="552"/>
      <c r="M651" s="552"/>
      <c r="N651" s="552"/>
      <c r="O651" s="552"/>
      <c r="P651" s="552"/>
      <c r="Q651" s="552"/>
      <c r="R651" s="552"/>
      <c r="S651" s="552"/>
      <c r="T651" s="552"/>
      <c r="U651" s="552"/>
      <c r="V651" s="552"/>
      <c r="W651" s="552"/>
      <c r="X651" s="552"/>
      <c r="Y651" s="552"/>
      <c r="Z651" s="552"/>
      <c r="AA651" s="552"/>
      <c r="AB651" s="552"/>
      <c r="AC651" s="552"/>
      <c r="AD651" s="552"/>
      <c r="AE651" s="552"/>
      <c r="AF651" s="552"/>
      <c r="AG651" s="552"/>
      <c r="AH651" s="552"/>
      <c r="AI651" s="552"/>
      <c r="AJ651" s="552"/>
      <c r="AK651" s="552"/>
      <c r="AL651" s="552"/>
      <c r="AM651" s="552"/>
      <c r="AN651" s="552"/>
      <c r="AO651" s="552"/>
      <c r="AP651" s="552"/>
      <c r="AQ651" s="552" t="s">
        <v>1186</v>
      </c>
      <c r="AR651" s="552" t="s">
        <v>2805</v>
      </c>
      <c r="AT651" s="552" t="s">
        <v>726</v>
      </c>
    </row>
    <row r="652" spans="1:46" ht="14.7" customHeight="1">
      <c r="A652" s="706" t="s">
        <v>6352</v>
      </c>
      <c r="B652" s="556" t="s">
        <v>3697</v>
      </c>
      <c r="C652" s="539" t="s">
        <v>7753</v>
      </c>
      <c r="D652" s="709" t="s">
        <v>7760</v>
      </c>
      <c r="E652" s="552" t="s">
        <v>7758</v>
      </c>
      <c r="F652" s="552"/>
      <c r="G652" s="552" t="s">
        <v>7756</v>
      </c>
      <c r="H652" s="552"/>
      <c r="I652" s="552"/>
      <c r="J652" s="552"/>
      <c r="K652" s="552"/>
      <c r="L652" s="552"/>
      <c r="M652" s="552"/>
      <c r="N652" s="552"/>
      <c r="O652" s="552"/>
      <c r="P652" s="552">
        <v>1</v>
      </c>
      <c r="Q652" s="552"/>
      <c r="R652" s="552"/>
      <c r="S652" s="552"/>
      <c r="T652" s="552"/>
      <c r="U652" s="552"/>
      <c r="V652" s="552"/>
      <c r="W652" s="552"/>
      <c r="X652" s="552">
        <v>3</v>
      </c>
      <c r="Y652" s="552"/>
      <c r="Z652" s="552"/>
      <c r="AA652" s="552"/>
      <c r="AB652" s="552"/>
      <c r="AC652" s="552"/>
      <c r="AD652" s="552"/>
      <c r="AE652" s="552"/>
      <c r="AF652" s="552"/>
      <c r="AG652" s="552"/>
      <c r="AH652" s="552"/>
      <c r="AI652" s="552">
        <v>20</v>
      </c>
      <c r="AJ652" s="552"/>
      <c r="AK652" s="552"/>
      <c r="AL652" s="552"/>
      <c r="AM652" s="552"/>
      <c r="AN652" s="552"/>
      <c r="AO652" s="552"/>
      <c r="AP652" s="552"/>
      <c r="AQ652" s="552" t="s">
        <v>1186</v>
      </c>
      <c r="AR652" s="552" t="s">
        <v>2875</v>
      </c>
      <c r="AT652" s="552" t="s">
        <v>726</v>
      </c>
    </row>
    <row r="653" spans="1:46" ht="14.7" customHeight="1">
      <c r="A653" s="706" t="s">
        <v>6353</v>
      </c>
      <c r="B653" s="556" t="s">
        <v>3697</v>
      </c>
      <c r="C653" s="539" t="s">
        <v>7753</v>
      </c>
      <c r="D653" s="709" t="s">
        <v>7761</v>
      </c>
      <c r="E653" s="552" t="s">
        <v>7755</v>
      </c>
      <c r="F653" s="552"/>
      <c r="G653" s="552" t="s">
        <v>7756</v>
      </c>
      <c r="H653" s="552"/>
      <c r="I653" s="552"/>
      <c r="J653" s="552"/>
      <c r="K653" s="552"/>
      <c r="L653" s="552"/>
      <c r="M653" s="552"/>
      <c r="N653" s="552"/>
      <c r="O653" s="552"/>
      <c r="P653" s="552"/>
      <c r="Q653" s="552"/>
      <c r="R653" s="552"/>
      <c r="S653" s="552"/>
      <c r="T653" s="552"/>
      <c r="U653" s="552"/>
      <c r="V653" s="552"/>
      <c r="W653" s="552"/>
      <c r="X653" s="552">
        <v>1</v>
      </c>
      <c r="Y653" s="552"/>
      <c r="Z653" s="552"/>
      <c r="AA653" s="552"/>
      <c r="AB653" s="552">
        <v>10</v>
      </c>
      <c r="AC653" s="552">
        <v>10</v>
      </c>
      <c r="AD653" s="552">
        <v>10</v>
      </c>
      <c r="AE653" s="552">
        <v>10</v>
      </c>
      <c r="AF653" s="552">
        <v>10</v>
      </c>
      <c r="AG653" s="552">
        <v>10</v>
      </c>
      <c r="AH653" s="552">
        <v>10</v>
      </c>
      <c r="AI653" s="552">
        <v>10</v>
      </c>
      <c r="AJ653" s="552">
        <v>10</v>
      </c>
      <c r="AK653" s="552"/>
      <c r="AL653" s="552"/>
      <c r="AM653" s="552"/>
      <c r="AN653" s="552"/>
      <c r="AO653" s="552"/>
      <c r="AP653" s="552"/>
      <c r="AQ653" s="552" t="s">
        <v>1186</v>
      </c>
      <c r="AR653" s="552" t="s">
        <v>2875</v>
      </c>
      <c r="AT653" s="552" t="s">
        <v>726</v>
      </c>
    </row>
    <row r="654" spans="1:46" ht="14.7" customHeight="1">
      <c r="A654" s="706" t="s">
        <v>6354</v>
      </c>
      <c r="B654" s="556" t="s">
        <v>3697</v>
      </c>
      <c r="C654" s="539" t="s">
        <v>7753</v>
      </c>
      <c r="D654" s="709" t="s">
        <v>7762</v>
      </c>
      <c r="E654" s="552" t="s">
        <v>7755</v>
      </c>
      <c r="F654" s="552"/>
      <c r="G654" s="552" t="s">
        <v>7756</v>
      </c>
      <c r="H654" s="552"/>
      <c r="I654" s="552"/>
      <c r="J654" s="552"/>
      <c r="K654" s="552"/>
      <c r="L654" s="552"/>
      <c r="M654" s="552"/>
      <c r="N654" s="552"/>
      <c r="O654" s="552"/>
      <c r="P654" s="552">
        <v>3</v>
      </c>
      <c r="Q654" s="552"/>
      <c r="R654" s="552"/>
      <c r="S654" s="552"/>
      <c r="T654" s="552"/>
      <c r="U654" s="552"/>
      <c r="V654" s="552"/>
      <c r="W654" s="552"/>
      <c r="X654" s="552">
        <v>2</v>
      </c>
      <c r="Y654" s="552"/>
      <c r="Z654" s="552"/>
      <c r="AA654" s="552"/>
      <c r="AB654" s="552">
        <v>10</v>
      </c>
      <c r="AC654" s="552"/>
      <c r="AD654" s="552"/>
      <c r="AE654" s="552"/>
      <c r="AF654" s="552"/>
      <c r="AG654" s="552"/>
      <c r="AH654" s="552"/>
      <c r="AI654" s="552"/>
      <c r="AJ654" s="552">
        <v>10</v>
      </c>
      <c r="AK654" s="552"/>
      <c r="AL654" s="552"/>
      <c r="AM654" s="552"/>
      <c r="AN654" s="552"/>
      <c r="AO654" s="552"/>
      <c r="AP654" s="552"/>
      <c r="AQ654" s="552" t="s">
        <v>1186</v>
      </c>
      <c r="AR654" s="552" t="s">
        <v>2875</v>
      </c>
      <c r="AT654" s="552" t="s">
        <v>726</v>
      </c>
    </row>
    <row r="655" spans="1:46" ht="14.7" customHeight="1">
      <c r="A655" s="706" t="s">
        <v>6355</v>
      </c>
      <c r="B655" s="557" t="s">
        <v>3698</v>
      </c>
      <c r="C655" s="539" t="s">
        <v>7753</v>
      </c>
      <c r="D655" s="709" t="s">
        <v>7763</v>
      </c>
      <c r="E655" s="552" t="s">
        <v>7758</v>
      </c>
      <c r="F655" s="552"/>
      <c r="G655" s="552" t="s">
        <v>7756</v>
      </c>
      <c r="H655" s="552"/>
      <c r="I655" s="552"/>
      <c r="J655" s="552"/>
      <c r="K655" s="552"/>
      <c r="L655" s="552"/>
      <c r="M655" s="552"/>
      <c r="N655" s="552"/>
      <c r="O655" s="552"/>
      <c r="P655" s="552">
        <v>3</v>
      </c>
      <c r="Q655" s="552"/>
      <c r="R655" s="552"/>
      <c r="S655" s="552"/>
      <c r="T655" s="552"/>
      <c r="U655" s="552"/>
      <c r="V655" s="552"/>
      <c r="W655" s="552"/>
      <c r="X655" s="552">
        <v>3</v>
      </c>
      <c r="Y655" s="552">
        <v>3</v>
      </c>
      <c r="Z655" s="552"/>
      <c r="AA655" s="552"/>
      <c r="AB655" s="552"/>
      <c r="AC655" s="552"/>
      <c r="AD655" s="552"/>
      <c r="AE655" s="552"/>
      <c r="AF655" s="552">
        <v>30</v>
      </c>
      <c r="AG655" s="552"/>
      <c r="AH655" s="552"/>
      <c r="AI655" s="552"/>
      <c r="AJ655" s="552"/>
      <c r="AK655" s="552"/>
      <c r="AL655" s="552"/>
      <c r="AM655" s="552"/>
      <c r="AN655" s="552"/>
      <c r="AO655" s="552"/>
      <c r="AP655" s="552"/>
      <c r="AQ655" s="552" t="s">
        <v>1186</v>
      </c>
      <c r="AR655" s="552" t="s">
        <v>2998</v>
      </c>
      <c r="AT655" s="552" t="s">
        <v>726</v>
      </c>
    </row>
    <row r="656" spans="1:46" ht="14.7" customHeight="1">
      <c r="A656" s="706" t="s">
        <v>9089</v>
      </c>
      <c r="B656" s="557" t="s">
        <v>3698</v>
      </c>
      <c r="C656" s="539" t="s">
        <v>7753</v>
      </c>
      <c r="D656" s="709" t="s">
        <v>7764</v>
      </c>
      <c r="E656" s="552" t="s">
        <v>7755</v>
      </c>
      <c r="F656" s="552"/>
      <c r="G656" s="552" t="s">
        <v>7756</v>
      </c>
      <c r="H656" s="552"/>
      <c r="I656" s="552"/>
      <c r="J656" s="552"/>
      <c r="K656" s="552"/>
      <c r="L656" s="552"/>
      <c r="M656" s="552"/>
      <c r="N656" s="552">
        <v>50</v>
      </c>
      <c r="O656" s="552"/>
      <c r="P656" s="552"/>
      <c r="Q656" s="552"/>
      <c r="R656" s="552"/>
      <c r="S656" s="552"/>
      <c r="T656" s="552"/>
      <c r="U656" s="552"/>
      <c r="V656" s="552"/>
      <c r="W656" s="552"/>
      <c r="X656" s="552"/>
      <c r="Y656" s="552"/>
      <c r="Z656" s="552"/>
      <c r="AA656" s="552"/>
      <c r="AB656" s="552"/>
      <c r="AC656" s="552"/>
      <c r="AD656" s="552"/>
      <c r="AE656" s="552"/>
      <c r="AF656" s="552"/>
      <c r="AG656" s="552"/>
      <c r="AH656" s="552"/>
      <c r="AI656" s="552"/>
      <c r="AJ656" s="552"/>
      <c r="AK656" s="552"/>
      <c r="AL656" s="552">
        <v>20</v>
      </c>
      <c r="AM656" s="552"/>
      <c r="AN656" s="552"/>
      <c r="AO656" s="552"/>
      <c r="AP656" s="552"/>
      <c r="AQ656" s="552" t="s">
        <v>1186</v>
      </c>
      <c r="AR656" s="552" t="s">
        <v>2998</v>
      </c>
      <c r="AT656" s="552" t="s">
        <v>726</v>
      </c>
    </row>
    <row r="657" spans="1:46" ht="14.7" customHeight="1">
      <c r="A657" s="706"/>
      <c r="B657" s="557" t="s">
        <v>3698</v>
      </c>
      <c r="C657" s="539" t="s">
        <v>7753</v>
      </c>
      <c r="D657" s="539" t="s">
        <v>2783</v>
      </c>
      <c r="E657" s="539"/>
      <c r="F657" s="539"/>
      <c r="G657" s="539"/>
      <c r="H657" s="552"/>
      <c r="I657" s="552"/>
      <c r="J657" s="552"/>
      <c r="K657" s="552"/>
      <c r="L657" s="552"/>
      <c r="M657" s="552"/>
      <c r="N657" s="552"/>
      <c r="O657" s="552"/>
      <c r="P657" s="552"/>
      <c r="Q657" s="552"/>
      <c r="R657" s="552"/>
      <c r="S657" s="552"/>
      <c r="T657" s="552"/>
      <c r="U657" s="552"/>
      <c r="V657" s="552"/>
      <c r="W657" s="552"/>
      <c r="X657" s="552"/>
      <c r="Y657" s="552"/>
      <c r="Z657" s="552"/>
      <c r="AA657" s="552"/>
      <c r="AB657" s="552"/>
      <c r="AC657" s="552"/>
      <c r="AD657" s="552"/>
      <c r="AE657" s="552"/>
      <c r="AF657" s="552"/>
      <c r="AG657" s="552"/>
      <c r="AH657" s="552"/>
      <c r="AI657" s="552"/>
      <c r="AJ657" s="552"/>
      <c r="AK657" s="552"/>
      <c r="AL657" s="552"/>
      <c r="AM657" s="552"/>
      <c r="AN657" s="552"/>
      <c r="AO657" s="552"/>
      <c r="AP657" s="552"/>
      <c r="AQ657" s="552" t="s">
        <v>1186</v>
      </c>
      <c r="AR657" s="552" t="s">
        <v>2998</v>
      </c>
      <c r="AT657" s="552" t="s">
        <v>726</v>
      </c>
    </row>
    <row r="658" spans="1:46" ht="14.7" customHeight="1">
      <c r="A658" s="706"/>
      <c r="B658" s="557" t="s">
        <v>3698</v>
      </c>
      <c r="C658" s="539" t="s">
        <v>7753</v>
      </c>
      <c r="D658" s="539" t="s">
        <v>2783</v>
      </c>
      <c r="E658" s="539"/>
      <c r="F658" s="539"/>
      <c r="G658" s="539"/>
      <c r="H658" s="552"/>
      <c r="I658" s="552"/>
      <c r="J658" s="552"/>
      <c r="K658" s="552"/>
      <c r="L658" s="552"/>
      <c r="M658" s="552"/>
      <c r="N658" s="552"/>
      <c r="O658" s="552"/>
      <c r="P658" s="552"/>
      <c r="Q658" s="552"/>
      <c r="R658" s="552"/>
      <c r="S658" s="552"/>
      <c r="T658" s="552"/>
      <c r="U658" s="552"/>
      <c r="V658" s="552"/>
      <c r="W658" s="552"/>
      <c r="X658" s="552"/>
      <c r="Y658" s="552"/>
      <c r="Z658" s="552"/>
      <c r="AA658" s="552"/>
      <c r="AB658" s="552"/>
      <c r="AC658" s="552"/>
      <c r="AD658" s="552"/>
      <c r="AE658" s="552"/>
      <c r="AF658" s="552"/>
      <c r="AG658" s="552"/>
      <c r="AH658" s="552"/>
      <c r="AI658" s="552"/>
      <c r="AJ658" s="552"/>
      <c r="AK658" s="552"/>
      <c r="AL658" s="552"/>
      <c r="AM658" s="552"/>
      <c r="AN658" s="552"/>
      <c r="AO658" s="552"/>
      <c r="AP658" s="552"/>
      <c r="AQ658" s="552" t="s">
        <v>1186</v>
      </c>
      <c r="AR658" s="552" t="s">
        <v>2998</v>
      </c>
      <c r="AT658" s="552" t="s">
        <v>726</v>
      </c>
    </row>
    <row r="659" spans="1:46" ht="14.7" customHeight="1">
      <c r="A659" s="706" t="s">
        <v>6356</v>
      </c>
      <c r="B659" s="344" t="s">
        <v>3699</v>
      </c>
      <c r="C659" s="539" t="s">
        <v>7753</v>
      </c>
      <c r="D659" s="709" t="s">
        <v>7765</v>
      </c>
      <c r="E659" s="552" t="s">
        <v>7755</v>
      </c>
      <c r="F659" s="552"/>
      <c r="G659" s="552" t="s">
        <v>7756</v>
      </c>
      <c r="H659" s="552"/>
      <c r="I659" s="552"/>
      <c r="J659" s="552"/>
      <c r="K659" s="552"/>
      <c r="L659" s="552"/>
      <c r="M659" s="552"/>
      <c r="N659" s="552"/>
      <c r="O659" s="552"/>
      <c r="P659" s="552"/>
      <c r="Q659" s="552"/>
      <c r="R659" s="552"/>
      <c r="S659" s="552"/>
      <c r="T659" s="552"/>
      <c r="U659" s="552"/>
      <c r="V659" s="552"/>
      <c r="W659" s="552"/>
      <c r="X659" s="552">
        <v>5</v>
      </c>
      <c r="Y659" s="552"/>
      <c r="Z659" s="552"/>
      <c r="AA659" s="552"/>
      <c r="AB659" s="552"/>
      <c r="AC659" s="552"/>
      <c r="AD659" s="552"/>
      <c r="AE659" s="552"/>
      <c r="AF659" s="552"/>
      <c r="AG659" s="552"/>
      <c r="AH659" s="552"/>
      <c r="AI659" s="552"/>
      <c r="AJ659" s="552"/>
      <c r="AK659" s="552"/>
      <c r="AL659" s="552"/>
      <c r="AM659" s="552"/>
      <c r="AN659" s="552"/>
      <c r="AO659" s="709" t="s">
        <v>7766</v>
      </c>
      <c r="AP659" s="552"/>
      <c r="AQ659" s="552" t="s">
        <v>1186</v>
      </c>
      <c r="AR659" s="552" t="s">
        <v>2809</v>
      </c>
      <c r="AT659" s="552" t="s">
        <v>726</v>
      </c>
    </row>
    <row r="660" spans="1:46" ht="14.7" customHeight="1">
      <c r="A660" s="710" t="s">
        <v>6357</v>
      </c>
      <c r="B660" s="344" t="s">
        <v>3699</v>
      </c>
      <c r="C660" s="539" t="s">
        <v>7753</v>
      </c>
      <c r="D660" s="709" t="s">
        <v>7767</v>
      </c>
      <c r="E660" s="552" t="s">
        <v>7755</v>
      </c>
      <c r="F660" s="552"/>
      <c r="G660" s="552" t="s">
        <v>7756</v>
      </c>
      <c r="H660" s="552"/>
      <c r="I660" s="552"/>
      <c r="J660" s="552"/>
      <c r="K660" s="552"/>
      <c r="L660" s="552"/>
      <c r="M660" s="552"/>
      <c r="N660" s="552">
        <v>50</v>
      </c>
      <c r="O660" s="552"/>
      <c r="P660" s="552"/>
      <c r="Q660" s="552"/>
      <c r="R660" s="552"/>
      <c r="S660" s="552"/>
      <c r="T660" s="552">
        <v>1</v>
      </c>
      <c r="U660" s="552"/>
      <c r="V660" s="552"/>
      <c r="W660" s="552"/>
      <c r="X660" s="552">
        <v>2</v>
      </c>
      <c r="Y660" s="552">
        <v>3</v>
      </c>
      <c r="Z660" s="552"/>
      <c r="AA660" s="552"/>
      <c r="AB660" s="552"/>
      <c r="AC660" s="552"/>
      <c r="AD660" s="552"/>
      <c r="AE660" s="552"/>
      <c r="AF660" s="552"/>
      <c r="AG660" s="552"/>
      <c r="AH660" s="552"/>
      <c r="AI660" s="552"/>
      <c r="AJ660" s="552"/>
      <c r="AK660" s="552"/>
      <c r="AL660" s="552"/>
      <c r="AM660" s="552"/>
      <c r="AN660" s="552"/>
      <c r="AO660" s="552"/>
      <c r="AP660" s="709" t="s">
        <v>7768</v>
      </c>
      <c r="AQ660" s="552" t="s">
        <v>1186</v>
      </c>
      <c r="AR660" s="552" t="s">
        <v>2809</v>
      </c>
      <c r="AT660" s="552" t="s">
        <v>726</v>
      </c>
    </row>
    <row r="661" spans="1:46" ht="14.7" customHeight="1">
      <c r="A661" s="710" t="s">
        <v>6358</v>
      </c>
      <c r="B661" s="344" t="s">
        <v>3699</v>
      </c>
      <c r="C661" s="539" t="s">
        <v>7753</v>
      </c>
      <c r="D661" s="709" t="s">
        <v>7769</v>
      </c>
      <c r="E661" s="552" t="s">
        <v>7755</v>
      </c>
      <c r="F661" s="552"/>
      <c r="G661" s="552" t="s">
        <v>7756</v>
      </c>
      <c r="H661" s="552"/>
      <c r="I661" s="552"/>
      <c r="J661" s="552"/>
      <c r="K661" s="552"/>
      <c r="L661" s="552"/>
      <c r="M661" s="552"/>
      <c r="N661" s="552"/>
      <c r="O661" s="552"/>
      <c r="P661" s="552"/>
      <c r="Q661" s="552"/>
      <c r="R661" s="552"/>
      <c r="S661" s="552"/>
      <c r="T661" s="552"/>
      <c r="U661" s="552"/>
      <c r="V661" s="552"/>
      <c r="W661" s="552"/>
      <c r="X661" s="552">
        <v>3</v>
      </c>
      <c r="Y661" s="552">
        <v>3</v>
      </c>
      <c r="Z661" s="552"/>
      <c r="AA661" s="552"/>
      <c r="AB661" s="552"/>
      <c r="AC661" s="552">
        <v>30</v>
      </c>
      <c r="AD661" s="552"/>
      <c r="AE661" s="552"/>
      <c r="AF661" s="552"/>
      <c r="AG661" s="552"/>
      <c r="AH661" s="552"/>
      <c r="AI661" s="552"/>
      <c r="AJ661" s="552">
        <v>30</v>
      </c>
      <c r="AK661" s="552"/>
      <c r="AL661" s="552"/>
      <c r="AM661" s="552"/>
      <c r="AN661" s="552"/>
      <c r="AO661" s="552"/>
      <c r="AP661" s="709" t="s">
        <v>7770</v>
      </c>
      <c r="AQ661" s="552" t="s">
        <v>1186</v>
      </c>
      <c r="AR661" s="552" t="s">
        <v>2809</v>
      </c>
      <c r="AT661" s="552" t="s">
        <v>726</v>
      </c>
    </row>
    <row r="662" spans="1:46" ht="14.7" customHeight="1">
      <c r="A662" s="706" t="s">
        <v>6359</v>
      </c>
      <c r="B662" s="344" t="s">
        <v>3699</v>
      </c>
      <c r="C662" s="539" t="s">
        <v>7753</v>
      </c>
      <c r="D662" s="709" t="s">
        <v>7771</v>
      </c>
      <c r="E662" s="552" t="s">
        <v>7755</v>
      </c>
      <c r="F662" s="552"/>
      <c r="G662" s="552" t="s">
        <v>7756</v>
      </c>
      <c r="H662" s="552"/>
      <c r="I662" s="552"/>
      <c r="J662" s="552"/>
      <c r="K662" s="552"/>
      <c r="L662" s="552"/>
      <c r="M662" s="552"/>
      <c r="N662" s="552"/>
      <c r="O662" s="552"/>
      <c r="P662" s="552"/>
      <c r="Q662" s="552"/>
      <c r="R662" s="552"/>
      <c r="S662" s="552"/>
      <c r="T662" s="552"/>
      <c r="U662" s="552"/>
      <c r="V662" s="552"/>
      <c r="W662" s="552"/>
      <c r="X662" s="552"/>
      <c r="Y662" s="552"/>
      <c r="Z662" s="552"/>
      <c r="AA662" s="552"/>
      <c r="AB662" s="552"/>
      <c r="AC662" s="552"/>
      <c r="AD662" s="552"/>
      <c r="AE662" s="552"/>
      <c r="AF662" s="552"/>
      <c r="AG662" s="552"/>
      <c r="AH662" s="552"/>
      <c r="AI662" s="552"/>
      <c r="AJ662" s="552"/>
      <c r="AK662" s="552">
        <v>50</v>
      </c>
      <c r="AL662" s="552"/>
      <c r="AM662" s="552"/>
      <c r="AN662" s="552"/>
      <c r="AO662" s="552"/>
      <c r="AP662" s="552"/>
      <c r="AQ662" s="552" t="s">
        <v>1186</v>
      </c>
      <c r="AR662" s="552" t="s">
        <v>2809</v>
      </c>
      <c r="AT662" s="552" t="s">
        <v>726</v>
      </c>
    </row>
    <row r="663" spans="1:46" ht="14.7" customHeight="1">
      <c r="A663" s="706"/>
      <c r="B663" s="344" t="s">
        <v>3699</v>
      </c>
      <c r="C663" s="539" t="s">
        <v>7753</v>
      </c>
      <c r="D663" s="539" t="s">
        <v>2783</v>
      </c>
      <c r="E663" s="539"/>
      <c r="F663" s="539"/>
      <c r="G663" s="539"/>
      <c r="H663" s="552"/>
      <c r="I663" s="552"/>
      <c r="J663" s="552"/>
      <c r="K663" s="552"/>
      <c r="L663" s="552"/>
      <c r="M663" s="552"/>
      <c r="N663" s="552"/>
      <c r="O663" s="552"/>
      <c r="P663" s="552"/>
      <c r="Q663" s="552"/>
      <c r="R663" s="552"/>
      <c r="S663" s="552"/>
      <c r="T663" s="552"/>
      <c r="U663" s="552"/>
      <c r="V663" s="552"/>
      <c r="W663" s="552"/>
      <c r="X663" s="552"/>
      <c r="Y663" s="552"/>
      <c r="Z663" s="552"/>
      <c r="AA663" s="552"/>
      <c r="AB663" s="552"/>
      <c r="AC663" s="552"/>
      <c r="AD663" s="552"/>
      <c r="AE663" s="552"/>
      <c r="AF663" s="552"/>
      <c r="AG663" s="552"/>
      <c r="AH663" s="552"/>
      <c r="AI663" s="552"/>
      <c r="AJ663" s="552"/>
      <c r="AK663" s="552"/>
      <c r="AL663" s="552"/>
      <c r="AM663" s="552"/>
      <c r="AN663" s="552"/>
      <c r="AO663" s="552"/>
      <c r="AP663" s="552"/>
      <c r="AQ663" s="552" t="s">
        <v>1186</v>
      </c>
      <c r="AR663" s="552" t="s">
        <v>2809</v>
      </c>
      <c r="AT663" s="552" t="s">
        <v>726</v>
      </c>
    </row>
    <row r="664" spans="1:46" ht="14.7" customHeight="1">
      <c r="A664" s="710" t="s">
        <v>6360</v>
      </c>
      <c r="B664" s="559" t="s">
        <v>3700</v>
      </c>
      <c r="C664" s="539" t="s">
        <v>7753</v>
      </c>
      <c r="D664" s="709" t="s">
        <v>7772</v>
      </c>
      <c r="E664" s="552" t="s">
        <v>7758</v>
      </c>
      <c r="F664" s="552"/>
      <c r="G664" s="552" t="s">
        <v>7756</v>
      </c>
      <c r="H664" s="552"/>
      <c r="I664" s="552"/>
      <c r="J664" s="552"/>
      <c r="K664" s="552"/>
      <c r="L664" s="552"/>
      <c r="M664" s="552"/>
      <c r="N664" s="552"/>
      <c r="O664" s="552"/>
      <c r="P664" s="552"/>
      <c r="Q664" s="552"/>
      <c r="R664" s="552"/>
      <c r="S664" s="552"/>
      <c r="T664" s="552"/>
      <c r="U664" s="552"/>
      <c r="V664" s="552"/>
      <c r="W664" s="552"/>
      <c r="X664" s="552">
        <v>5</v>
      </c>
      <c r="Y664" s="552">
        <v>5</v>
      </c>
      <c r="Z664" s="552"/>
      <c r="AA664" s="552"/>
      <c r="AB664" s="552"/>
      <c r="AC664" s="552"/>
      <c r="AD664" s="552"/>
      <c r="AE664" s="552"/>
      <c r="AF664" s="552">
        <v>50</v>
      </c>
      <c r="AG664" s="552"/>
      <c r="AH664" s="552"/>
      <c r="AI664" s="552"/>
      <c r="AJ664" s="552"/>
      <c r="AK664" s="552"/>
      <c r="AL664" s="552"/>
      <c r="AM664" s="552"/>
      <c r="AN664" s="552"/>
      <c r="AO664" s="709" t="s">
        <v>7773</v>
      </c>
      <c r="AP664" s="709" t="s">
        <v>7774</v>
      </c>
      <c r="AQ664" s="552" t="s">
        <v>1186</v>
      </c>
      <c r="AR664" s="552" t="s">
        <v>2971</v>
      </c>
      <c r="AT664" s="552" t="s">
        <v>726</v>
      </c>
    </row>
    <row r="665" spans="1:46" ht="14.7" customHeight="1">
      <c r="A665" s="706"/>
      <c r="B665" s="559" t="s">
        <v>3700</v>
      </c>
      <c r="C665" s="539" t="s">
        <v>7753</v>
      </c>
      <c r="D665" s="539" t="s">
        <v>2783</v>
      </c>
      <c r="E665" s="552"/>
      <c r="F665" s="552"/>
      <c r="G665" s="552"/>
      <c r="H665" s="552"/>
      <c r="I665" s="552"/>
      <c r="J665" s="552"/>
      <c r="K665" s="552"/>
      <c r="L665" s="552"/>
      <c r="M665" s="552"/>
      <c r="N665" s="552"/>
      <c r="O665" s="552"/>
      <c r="P665" s="552"/>
      <c r="Q665" s="552"/>
      <c r="R665" s="552"/>
      <c r="S665" s="552"/>
      <c r="T665" s="552"/>
      <c r="U665" s="552"/>
      <c r="V665" s="552"/>
      <c r="W665" s="552"/>
      <c r="X665" s="552"/>
      <c r="Y665" s="552"/>
      <c r="Z665" s="552"/>
      <c r="AA665" s="552"/>
      <c r="AB665" s="552"/>
      <c r="AC665" s="552"/>
      <c r="AD665" s="552"/>
      <c r="AE665" s="552"/>
      <c r="AF665" s="552"/>
      <c r="AG665" s="552"/>
      <c r="AH665" s="552"/>
      <c r="AI665" s="552"/>
      <c r="AJ665" s="552"/>
      <c r="AK665" s="552"/>
      <c r="AL665" s="552"/>
      <c r="AM665" s="552"/>
      <c r="AN665" s="552"/>
      <c r="AO665" s="552"/>
      <c r="AP665" s="552"/>
      <c r="AQ665" s="552" t="s">
        <v>1186</v>
      </c>
      <c r="AR665" s="552" t="s">
        <v>2971</v>
      </c>
      <c r="AT665" s="552" t="s">
        <v>726</v>
      </c>
    </row>
    <row r="666" spans="1:46" ht="14.7" customHeight="1">
      <c r="A666" s="706"/>
      <c r="B666" s="711" t="s">
        <v>6055</v>
      </c>
      <c r="C666" s="539" t="s">
        <v>7753</v>
      </c>
      <c r="D666" s="539" t="s">
        <v>2783</v>
      </c>
      <c r="E666" s="552"/>
      <c r="F666" s="552"/>
      <c r="G666" s="552"/>
      <c r="H666" s="552"/>
      <c r="I666" s="552"/>
      <c r="J666" s="552"/>
      <c r="K666" s="552"/>
      <c r="L666" s="552"/>
      <c r="M666" s="552"/>
      <c r="N666" s="552"/>
      <c r="O666" s="552"/>
      <c r="P666" s="552"/>
      <c r="Q666" s="552"/>
      <c r="R666" s="552"/>
      <c r="S666" s="552"/>
      <c r="T666" s="552"/>
      <c r="U666" s="552"/>
      <c r="V666" s="552"/>
      <c r="W666" s="552"/>
      <c r="X666" s="552"/>
      <c r="Y666" s="552"/>
      <c r="Z666" s="552"/>
      <c r="AA666" s="552"/>
      <c r="AB666" s="552"/>
      <c r="AC666" s="552"/>
      <c r="AD666" s="552"/>
      <c r="AE666" s="552"/>
      <c r="AF666" s="552"/>
      <c r="AG666" s="552"/>
      <c r="AH666" s="552"/>
      <c r="AI666" s="552"/>
      <c r="AJ666" s="552"/>
      <c r="AK666" s="552"/>
      <c r="AL666" s="552"/>
      <c r="AM666" s="552"/>
      <c r="AN666" s="552"/>
      <c r="AO666" s="552"/>
      <c r="AP666" s="552"/>
      <c r="AQ666" s="552" t="s">
        <v>1186</v>
      </c>
      <c r="AR666" s="552" t="s">
        <v>6697</v>
      </c>
      <c r="AT666" s="552" t="s">
        <v>726</v>
      </c>
    </row>
    <row r="667" spans="1:46" ht="14.7" customHeight="1">
      <c r="A667" s="706" t="s">
        <v>6361</v>
      </c>
      <c r="B667" s="540" t="s">
        <v>3695</v>
      </c>
      <c r="C667" s="539" t="s">
        <v>7753</v>
      </c>
      <c r="D667" s="709" t="s">
        <v>7775</v>
      </c>
      <c r="E667" s="552" t="s">
        <v>7755</v>
      </c>
      <c r="F667" s="552"/>
      <c r="G667" s="552" t="s">
        <v>7776</v>
      </c>
      <c r="H667" s="552"/>
      <c r="I667" s="552"/>
      <c r="J667" s="552"/>
      <c r="K667" s="552"/>
      <c r="L667" s="552"/>
      <c r="M667" s="552"/>
      <c r="N667" s="552"/>
      <c r="O667" s="552"/>
      <c r="P667" s="552"/>
      <c r="Q667" s="552"/>
      <c r="R667" s="552"/>
      <c r="S667" s="552"/>
      <c r="T667" s="552"/>
      <c r="U667" s="552"/>
      <c r="V667" s="552"/>
      <c r="W667" s="552"/>
      <c r="X667" s="552"/>
      <c r="Y667" s="552"/>
      <c r="Z667" s="552"/>
      <c r="AA667" s="552"/>
      <c r="AB667" s="552"/>
      <c r="AC667" s="552"/>
      <c r="AD667" s="552"/>
      <c r="AE667" s="552"/>
      <c r="AF667" s="552"/>
      <c r="AG667" s="552"/>
      <c r="AH667" s="552"/>
      <c r="AI667" s="552"/>
      <c r="AJ667" s="552"/>
      <c r="AK667" s="552"/>
      <c r="AL667" s="552"/>
      <c r="AM667" s="552"/>
      <c r="AN667" s="552"/>
      <c r="AO667" s="709" t="s">
        <v>7777</v>
      </c>
      <c r="AP667" s="552"/>
      <c r="AQ667" s="552" t="s">
        <v>1186</v>
      </c>
      <c r="AR667" s="552" t="s">
        <v>2802</v>
      </c>
      <c r="AT667" s="552" t="s">
        <v>726</v>
      </c>
    </row>
    <row r="668" spans="1:46" ht="14.7" customHeight="1">
      <c r="A668" s="706"/>
      <c r="B668" s="540" t="s">
        <v>3695</v>
      </c>
      <c r="C668" s="539" t="s">
        <v>7753</v>
      </c>
      <c r="D668" s="539" t="s">
        <v>2783</v>
      </c>
      <c r="E668" s="552"/>
      <c r="F668" s="552"/>
      <c r="G668" s="552"/>
      <c r="H668" s="552"/>
      <c r="I668" s="552"/>
      <c r="J668" s="552"/>
      <c r="K668" s="552"/>
      <c r="L668" s="552"/>
      <c r="M668" s="552"/>
      <c r="N668" s="552"/>
      <c r="O668" s="552"/>
      <c r="P668" s="552"/>
      <c r="Q668" s="552"/>
      <c r="R668" s="552"/>
      <c r="S668" s="552"/>
      <c r="T668" s="552"/>
      <c r="U668" s="552"/>
      <c r="V668" s="552"/>
      <c r="W668" s="552"/>
      <c r="X668" s="552"/>
      <c r="Y668" s="552"/>
      <c r="Z668" s="552"/>
      <c r="AA668" s="552"/>
      <c r="AB668" s="552"/>
      <c r="AC668" s="552"/>
      <c r="AD668" s="552"/>
      <c r="AE668" s="552"/>
      <c r="AF668" s="552"/>
      <c r="AG668" s="552"/>
      <c r="AH668" s="552"/>
      <c r="AI668" s="552"/>
      <c r="AJ668" s="552"/>
      <c r="AK668" s="552"/>
      <c r="AL668" s="552"/>
      <c r="AM668" s="552"/>
      <c r="AN668" s="552"/>
      <c r="AO668" s="552"/>
      <c r="AP668" s="552"/>
      <c r="AQ668" s="552" t="s">
        <v>1186</v>
      </c>
      <c r="AR668" s="552" t="s">
        <v>2802</v>
      </c>
      <c r="AT668" s="552" t="s">
        <v>726</v>
      </c>
    </row>
    <row r="669" spans="1:46" ht="14.7" customHeight="1">
      <c r="A669" s="706" t="s">
        <v>6362</v>
      </c>
      <c r="B669" s="707" t="s">
        <v>3696</v>
      </c>
      <c r="C669" s="539" t="s">
        <v>7753</v>
      </c>
      <c r="D669" s="709" t="s">
        <v>7778</v>
      </c>
      <c r="E669" s="552" t="s">
        <v>7755</v>
      </c>
      <c r="F669" s="552"/>
      <c r="G669" s="552" t="s">
        <v>7776</v>
      </c>
      <c r="H669" s="552"/>
      <c r="I669" s="552"/>
      <c r="J669" s="552"/>
      <c r="K669" s="552"/>
      <c r="L669" s="552"/>
      <c r="M669" s="552"/>
      <c r="N669" s="552"/>
      <c r="O669" s="552">
        <v>20</v>
      </c>
      <c r="P669" s="552"/>
      <c r="Q669" s="552"/>
      <c r="R669" s="552">
        <v>1</v>
      </c>
      <c r="S669" s="552"/>
      <c r="T669" s="552"/>
      <c r="U669" s="552"/>
      <c r="V669" s="552"/>
      <c r="W669" s="552"/>
      <c r="X669" s="552"/>
      <c r="Y669" s="552">
        <v>1</v>
      </c>
      <c r="Z669" s="552"/>
      <c r="AA669" s="552"/>
      <c r="AB669" s="552"/>
      <c r="AC669" s="552"/>
      <c r="AD669" s="552"/>
      <c r="AE669" s="552"/>
      <c r="AF669" s="552"/>
      <c r="AG669" s="552"/>
      <c r="AH669" s="552"/>
      <c r="AI669" s="552"/>
      <c r="AJ669" s="552"/>
      <c r="AK669" s="552"/>
      <c r="AL669" s="552"/>
      <c r="AM669" s="552"/>
      <c r="AN669" s="552"/>
      <c r="AO669" s="552"/>
      <c r="AP669" s="552"/>
      <c r="AQ669" s="552" t="s">
        <v>1186</v>
      </c>
      <c r="AR669" s="552" t="s">
        <v>2805</v>
      </c>
      <c r="AT669" s="552" t="s">
        <v>726</v>
      </c>
    </row>
    <row r="670" spans="1:46" ht="14.7" customHeight="1">
      <c r="A670" s="706"/>
      <c r="B670" s="707" t="s">
        <v>3696</v>
      </c>
      <c r="C670" s="539" t="s">
        <v>7753</v>
      </c>
      <c r="D670" s="539" t="s">
        <v>2783</v>
      </c>
      <c r="E670" s="552"/>
      <c r="F670" s="552"/>
      <c r="G670" s="552"/>
      <c r="H670" s="552"/>
      <c r="I670" s="552"/>
      <c r="J670" s="552"/>
      <c r="K670" s="552"/>
      <c r="L670" s="552"/>
      <c r="M670" s="552"/>
      <c r="N670" s="552"/>
      <c r="O670" s="552"/>
      <c r="P670" s="552"/>
      <c r="Q670" s="552"/>
      <c r="R670" s="552"/>
      <c r="S670" s="552"/>
      <c r="T670" s="552"/>
      <c r="U670" s="552"/>
      <c r="V670" s="552"/>
      <c r="W670" s="552"/>
      <c r="X670" s="552"/>
      <c r="Y670" s="552"/>
      <c r="Z670" s="552"/>
      <c r="AA670" s="552"/>
      <c r="AB670" s="552"/>
      <c r="AC670" s="552"/>
      <c r="AD670" s="552"/>
      <c r="AE670" s="552"/>
      <c r="AF670" s="552"/>
      <c r="AG670" s="552"/>
      <c r="AH670" s="552"/>
      <c r="AI670" s="552"/>
      <c r="AJ670" s="552"/>
      <c r="AK670" s="552"/>
      <c r="AL670" s="552"/>
      <c r="AM670" s="552"/>
      <c r="AN670" s="552"/>
      <c r="AO670" s="552"/>
      <c r="AP670" s="552"/>
      <c r="AQ670" s="552" t="s">
        <v>1186</v>
      </c>
      <c r="AR670" s="552" t="s">
        <v>2805</v>
      </c>
      <c r="AT670" s="552" t="s">
        <v>726</v>
      </c>
    </row>
    <row r="671" spans="1:46" ht="14.7" customHeight="1">
      <c r="A671" s="706" t="s">
        <v>7779</v>
      </c>
      <c r="B671" s="556" t="s">
        <v>3697</v>
      </c>
      <c r="C671" s="539" t="s">
        <v>7753</v>
      </c>
      <c r="D671" s="709" t="s">
        <v>7780</v>
      </c>
      <c r="E671" s="552" t="s">
        <v>7755</v>
      </c>
      <c r="F671" s="552"/>
      <c r="G671" s="552" t="s">
        <v>7776</v>
      </c>
      <c r="H671" s="552"/>
      <c r="I671" s="552"/>
      <c r="J671" s="552"/>
      <c r="K671" s="552"/>
      <c r="L671" s="552"/>
      <c r="M671" s="552"/>
      <c r="N671" s="552"/>
      <c r="O671" s="552"/>
      <c r="P671" s="552"/>
      <c r="Q671" s="552"/>
      <c r="R671" s="552"/>
      <c r="S671" s="552"/>
      <c r="T671" s="552"/>
      <c r="U671" s="552"/>
      <c r="V671" s="552"/>
      <c r="W671" s="552"/>
      <c r="X671" s="552">
        <v>1</v>
      </c>
      <c r="Y671" s="552"/>
      <c r="Z671" s="552"/>
      <c r="AA671" s="552"/>
      <c r="AB671" s="552"/>
      <c r="AC671" s="552"/>
      <c r="AD671" s="552"/>
      <c r="AE671" s="552"/>
      <c r="AF671" s="552"/>
      <c r="AG671" s="552"/>
      <c r="AH671" s="552"/>
      <c r="AI671" s="552"/>
      <c r="AJ671" s="552"/>
      <c r="AK671" s="552"/>
      <c r="AL671" s="552"/>
      <c r="AM671" s="552"/>
      <c r="AN671" s="552"/>
      <c r="AO671" s="552"/>
      <c r="AP671" s="709" t="s">
        <v>7781</v>
      </c>
      <c r="AQ671" s="552" t="s">
        <v>1186</v>
      </c>
      <c r="AR671" s="552" t="s">
        <v>2875</v>
      </c>
      <c r="AT671" s="552" t="s">
        <v>726</v>
      </c>
    </row>
    <row r="672" spans="1:46" ht="14.7" customHeight="1">
      <c r="A672" s="706" t="s">
        <v>6363</v>
      </c>
      <c r="B672" s="556" t="s">
        <v>3697</v>
      </c>
      <c r="C672" s="539" t="s">
        <v>7753</v>
      </c>
      <c r="D672" s="709" t="s">
        <v>7782</v>
      </c>
      <c r="E672" s="552" t="s">
        <v>7755</v>
      </c>
      <c r="F672" s="552"/>
      <c r="G672" s="552" t="s">
        <v>7776</v>
      </c>
      <c r="H672" s="552"/>
      <c r="I672" s="552"/>
      <c r="J672" s="552"/>
      <c r="K672" s="552"/>
      <c r="L672" s="552"/>
      <c r="M672" s="552"/>
      <c r="N672" s="552"/>
      <c r="O672" s="552"/>
      <c r="P672" s="552"/>
      <c r="Q672" s="552"/>
      <c r="R672" s="552">
        <v>2</v>
      </c>
      <c r="S672" s="552"/>
      <c r="T672" s="552"/>
      <c r="U672" s="552"/>
      <c r="V672" s="552"/>
      <c r="W672" s="552"/>
      <c r="X672" s="552"/>
      <c r="Y672" s="552">
        <v>4</v>
      </c>
      <c r="Z672" s="552"/>
      <c r="AA672" s="552"/>
      <c r="AB672" s="552"/>
      <c r="AC672" s="552"/>
      <c r="AD672" s="552"/>
      <c r="AE672" s="552"/>
      <c r="AF672" s="552"/>
      <c r="AG672" s="552"/>
      <c r="AH672" s="552"/>
      <c r="AI672" s="552"/>
      <c r="AJ672" s="552"/>
      <c r="AK672" s="552"/>
      <c r="AL672" s="552"/>
      <c r="AM672" s="552"/>
      <c r="AN672" s="552"/>
      <c r="AO672" s="552"/>
      <c r="AP672" s="552"/>
      <c r="AQ672" s="552" t="s">
        <v>1186</v>
      </c>
      <c r="AR672" s="552" t="s">
        <v>2875</v>
      </c>
      <c r="AT672" s="552" t="s">
        <v>726</v>
      </c>
    </row>
    <row r="673" spans="1:46" ht="14.7" customHeight="1">
      <c r="A673" s="706"/>
      <c r="B673" s="556" t="s">
        <v>3697</v>
      </c>
      <c r="C673" s="539" t="s">
        <v>7753</v>
      </c>
      <c r="D673" s="539" t="s">
        <v>2783</v>
      </c>
      <c r="E673" s="552"/>
      <c r="F673" s="552"/>
      <c r="G673" s="552"/>
      <c r="H673" s="552"/>
      <c r="I673" s="552"/>
      <c r="J673" s="552"/>
      <c r="K673" s="552"/>
      <c r="L673" s="552"/>
      <c r="M673" s="552"/>
      <c r="N673" s="552"/>
      <c r="O673" s="552"/>
      <c r="P673" s="552"/>
      <c r="Q673" s="552"/>
      <c r="R673" s="552"/>
      <c r="S673" s="552"/>
      <c r="T673" s="552"/>
      <c r="U673" s="552"/>
      <c r="V673" s="552"/>
      <c r="W673" s="552"/>
      <c r="X673" s="552"/>
      <c r="Y673" s="552"/>
      <c r="Z673" s="552"/>
      <c r="AA673" s="552"/>
      <c r="AB673" s="552"/>
      <c r="AC673" s="552"/>
      <c r="AD673" s="552"/>
      <c r="AE673" s="552"/>
      <c r="AF673" s="552"/>
      <c r="AG673" s="552"/>
      <c r="AH673" s="552"/>
      <c r="AI673" s="552"/>
      <c r="AJ673" s="552"/>
      <c r="AK673" s="552"/>
      <c r="AL673" s="552"/>
      <c r="AM673" s="552"/>
      <c r="AN673" s="552"/>
      <c r="AO673" s="552"/>
      <c r="AP673" s="552"/>
      <c r="AQ673" s="552" t="s">
        <v>1186</v>
      </c>
      <c r="AR673" s="552" t="s">
        <v>2875</v>
      </c>
      <c r="AT673" s="552" t="s">
        <v>726</v>
      </c>
    </row>
    <row r="674" spans="1:46" ht="14.7" customHeight="1">
      <c r="A674" s="710" t="s">
        <v>6364</v>
      </c>
      <c r="B674" s="557" t="s">
        <v>3698</v>
      </c>
      <c r="C674" s="539" t="s">
        <v>7753</v>
      </c>
      <c r="D674" s="709" t="s">
        <v>7783</v>
      </c>
      <c r="E674" s="552" t="s">
        <v>7755</v>
      </c>
      <c r="F674" s="552"/>
      <c r="G674" s="552"/>
      <c r="H674" s="552"/>
      <c r="I674" s="552"/>
      <c r="J674" s="552"/>
      <c r="K674" s="552"/>
      <c r="L674" s="552"/>
      <c r="M674" s="552"/>
      <c r="N674" s="552"/>
      <c r="O674" s="552"/>
      <c r="P674" s="552"/>
      <c r="Q674" s="552"/>
      <c r="R674" s="552"/>
      <c r="S674" s="552">
        <v>1</v>
      </c>
      <c r="T674" s="552"/>
      <c r="U674" s="552"/>
      <c r="V674" s="552"/>
      <c r="W674" s="552"/>
      <c r="X674" s="552"/>
      <c r="Y674" s="552"/>
      <c r="Z674" s="552"/>
      <c r="AA674" s="552"/>
      <c r="AB674" s="552"/>
      <c r="AC674" s="552"/>
      <c r="AD674" s="552"/>
      <c r="AE674" s="552"/>
      <c r="AF674" s="552">
        <v>30</v>
      </c>
      <c r="AG674" s="552"/>
      <c r="AH674" s="552"/>
      <c r="AI674" s="552"/>
      <c r="AJ674" s="552"/>
      <c r="AK674" s="552"/>
      <c r="AL674" s="552"/>
      <c r="AM674" s="552"/>
      <c r="AN674" s="552"/>
      <c r="AO674" s="552" t="s">
        <v>7784</v>
      </c>
      <c r="AP674" s="552"/>
      <c r="AQ674" s="552" t="s">
        <v>1186</v>
      </c>
      <c r="AR674" s="552" t="s">
        <v>2998</v>
      </c>
      <c r="AT674" s="552" t="s">
        <v>726</v>
      </c>
    </row>
    <row r="675" spans="1:46" ht="14.7" customHeight="1">
      <c r="A675" s="710" t="s">
        <v>6365</v>
      </c>
      <c r="B675" s="557" t="s">
        <v>3698</v>
      </c>
      <c r="C675" s="539" t="s">
        <v>7753</v>
      </c>
      <c r="D675" s="709" t="s">
        <v>7785</v>
      </c>
      <c r="E675" s="552" t="s">
        <v>7758</v>
      </c>
      <c r="F675" s="552"/>
      <c r="G675" s="552" t="s">
        <v>7776</v>
      </c>
      <c r="H675" s="552"/>
      <c r="I675" s="552"/>
      <c r="J675" s="552"/>
      <c r="K675" s="552"/>
      <c r="L675" s="552"/>
      <c r="M675" s="552"/>
      <c r="N675" s="552"/>
      <c r="O675" s="552"/>
      <c r="P675" s="552"/>
      <c r="Q675" s="552"/>
      <c r="R675" s="552"/>
      <c r="S675" s="552"/>
      <c r="T675" s="552"/>
      <c r="U675" s="552"/>
      <c r="V675" s="552"/>
      <c r="W675" s="552"/>
      <c r="X675" s="552"/>
      <c r="Y675" s="552"/>
      <c r="Z675" s="552"/>
      <c r="AA675" s="552"/>
      <c r="AB675" s="552"/>
      <c r="AC675" s="552"/>
      <c r="AD675" s="552"/>
      <c r="AE675" s="552"/>
      <c r="AF675" s="552"/>
      <c r="AG675" s="552"/>
      <c r="AH675" s="552"/>
      <c r="AI675" s="552"/>
      <c r="AJ675" s="552"/>
      <c r="AK675" s="552"/>
      <c r="AL675" s="552"/>
      <c r="AM675" s="552"/>
      <c r="AN675" s="552"/>
      <c r="AO675" s="709" t="s">
        <v>7786</v>
      </c>
      <c r="AP675" s="552"/>
      <c r="AQ675" s="552" t="s">
        <v>1186</v>
      </c>
      <c r="AR675" s="552" t="s">
        <v>2998</v>
      </c>
      <c r="AT675" s="552" t="s">
        <v>726</v>
      </c>
    </row>
    <row r="676" spans="1:46" ht="14.7" customHeight="1">
      <c r="A676" s="706" t="s">
        <v>6366</v>
      </c>
      <c r="B676" s="557" t="s">
        <v>3698</v>
      </c>
      <c r="C676" s="539" t="s">
        <v>7753</v>
      </c>
      <c r="D676" s="709" t="s">
        <v>7787</v>
      </c>
      <c r="E676" s="552" t="s">
        <v>7755</v>
      </c>
      <c r="F676" s="552"/>
      <c r="G676" s="552" t="s">
        <v>7776</v>
      </c>
      <c r="H676" s="552"/>
      <c r="I676" s="552"/>
      <c r="J676" s="552"/>
      <c r="K676" s="552"/>
      <c r="L676" s="552"/>
      <c r="M676" s="552"/>
      <c r="N676" s="552"/>
      <c r="O676" s="552"/>
      <c r="P676" s="552"/>
      <c r="Q676" s="552"/>
      <c r="R676" s="552"/>
      <c r="S676" s="552"/>
      <c r="T676" s="552"/>
      <c r="U676" s="552"/>
      <c r="V676" s="552"/>
      <c r="W676" s="552"/>
      <c r="X676" s="552"/>
      <c r="Y676" s="552"/>
      <c r="Z676" s="552"/>
      <c r="AA676" s="552"/>
      <c r="AB676" s="552"/>
      <c r="AC676" s="552"/>
      <c r="AD676" s="552"/>
      <c r="AE676" s="552"/>
      <c r="AF676" s="552"/>
      <c r="AG676" s="552"/>
      <c r="AH676" s="552"/>
      <c r="AI676" s="552"/>
      <c r="AJ676" s="552"/>
      <c r="AK676" s="552"/>
      <c r="AL676" s="552"/>
      <c r="AM676" s="552"/>
      <c r="AN676" s="552"/>
      <c r="AO676" s="709" t="s">
        <v>7788</v>
      </c>
      <c r="AP676" s="552"/>
      <c r="AQ676" s="552" t="s">
        <v>1186</v>
      </c>
      <c r="AR676" s="552" t="s">
        <v>2998</v>
      </c>
      <c r="AT676" s="552" t="s">
        <v>726</v>
      </c>
    </row>
    <row r="677" spans="1:46" ht="14.7" customHeight="1">
      <c r="A677" s="706" t="s">
        <v>6367</v>
      </c>
      <c r="B677" s="557" t="s">
        <v>3698</v>
      </c>
      <c r="C677" s="539" t="s">
        <v>7753</v>
      </c>
      <c r="D677" s="709" t="s">
        <v>7789</v>
      </c>
      <c r="E677" s="552" t="s">
        <v>7755</v>
      </c>
      <c r="F677" s="552"/>
      <c r="G677" s="552" t="s">
        <v>7776</v>
      </c>
      <c r="H677" s="552"/>
      <c r="I677" s="552"/>
      <c r="J677" s="552"/>
      <c r="K677" s="552"/>
      <c r="L677" s="552"/>
      <c r="M677" s="552"/>
      <c r="N677" s="552"/>
      <c r="O677" s="552"/>
      <c r="P677" s="552"/>
      <c r="Q677" s="552"/>
      <c r="R677" s="552"/>
      <c r="S677" s="552"/>
      <c r="T677" s="552"/>
      <c r="U677" s="552"/>
      <c r="V677" s="552"/>
      <c r="W677" s="552"/>
      <c r="X677" s="552"/>
      <c r="Y677" s="552">
        <v>2</v>
      </c>
      <c r="Z677" s="552"/>
      <c r="AA677" s="552"/>
      <c r="AB677" s="552"/>
      <c r="AC677" s="552"/>
      <c r="AD677" s="552"/>
      <c r="AE677" s="552"/>
      <c r="AF677" s="552"/>
      <c r="AG677" s="552"/>
      <c r="AH677" s="552">
        <v>20</v>
      </c>
      <c r="AI677" s="552"/>
      <c r="AJ677" s="552"/>
      <c r="AK677" s="552">
        <v>20</v>
      </c>
      <c r="AL677" s="552"/>
      <c r="AM677" s="552"/>
      <c r="AN677" s="552"/>
      <c r="AO677" s="709"/>
      <c r="AP677" s="552"/>
      <c r="AQ677" s="552" t="s">
        <v>1186</v>
      </c>
      <c r="AR677" s="552" t="s">
        <v>2998</v>
      </c>
      <c r="AT677" s="552" t="s">
        <v>726</v>
      </c>
    </row>
    <row r="678" spans="1:46" ht="14.7" customHeight="1">
      <c r="A678" s="710" t="s">
        <v>6368</v>
      </c>
      <c r="B678" s="344" t="s">
        <v>3699</v>
      </c>
      <c r="C678" s="539" t="s">
        <v>7753</v>
      </c>
      <c r="D678" s="709" t="s">
        <v>7790</v>
      </c>
      <c r="E678" s="552" t="s">
        <v>7755</v>
      </c>
      <c r="F678" s="552"/>
      <c r="G678" s="552" t="s">
        <v>7776</v>
      </c>
      <c r="H678" s="552"/>
      <c r="I678" s="552"/>
      <c r="J678" s="552"/>
      <c r="K678" s="552"/>
      <c r="L678" s="552"/>
      <c r="M678" s="552"/>
      <c r="N678" s="552"/>
      <c r="O678" s="552"/>
      <c r="P678" s="552"/>
      <c r="Q678" s="552"/>
      <c r="R678" s="552"/>
      <c r="S678" s="552"/>
      <c r="T678" s="552"/>
      <c r="U678" s="552"/>
      <c r="V678" s="552"/>
      <c r="W678" s="552"/>
      <c r="X678" s="552"/>
      <c r="Y678" s="552"/>
      <c r="Z678" s="552"/>
      <c r="AA678" s="552"/>
      <c r="AB678" s="552">
        <v>30</v>
      </c>
      <c r="AC678" s="552">
        <v>30</v>
      </c>
      <c r="AD678" s="552"/>
      <c r="AE678" s="552"/>
      <c r="AF678" s="552"/>
      <c r="AG678" s="552"/>
      <c r="AH678" s="552"/>
      <c r="AI678" s="552"/>
      <c r="AJ678" s="552"/>
      <c r="AK678" s="552"/>
      <c r="AL678" s="552"/>
      <c r="AM678" s="552"/>
      <c r="AN678" s="552"/>
      <c r="AO678" s="709" t="s">
        <v>7791</v>
      </c>
      <c r="AP678" s="552"/>
      <c r="AQ678" s="552" t="s">
        <v>1186</v>
      </c>
      <c r="AR678" s="552" t="s">
        <v>2809</v>
      </c>
      <c r="AT678" s="552" t="s">
        <v>726</v>
      </c>
    </row>
    <row r="679" spans="1:46" ht="14.7" customHeight="1">
      <c r="A679" s="710" t="s">
        <v>6369</v>
      </c>
      <c r="B679" s="344" t="s">
        <v>3699</v>
      </c>
      <c r="C679" s="539" t="s">
        <v>7753</v>
      </c>
      <c r="D679" s="709" t="s">
        <v>7792</v>
      </c>
      <c r="E679" s="552" t="s">
        <v>7755</v>
      </c>
      <c r="F679" s="552"/>
      <c r="G679" s="552" t="s">
        <v>7776</v>
      </c>
      <c r="H679" s="552"/>
      <c r="I679" s="552"/>
      <c r="J679" s="552"/>
      <c r="K679" s="552"/>
      <c r="L679" s="552"/>
      <c r="M679" s="552"/>
      <c r="N679" s="552"/>
      <c r="O679" s="552"/>
      <c r="P679" s="552"/>
      <c r="Q679" s="552">
        <v>4</v>
      </c>
      <c r="R679" s="552">
        <v>4</v>
      </c>
      <c r="S679" s="552"/>
      <c r="T679" s="552"/>
      <c r="U679" s="552">
        <v>1</v>
      </c>
      <c r="V679" s="552"/>
      <c r="W679" s="552"/>
      <c r="X679" s="552"/>
      <c r="Y679" s="552"/>
      <c r="Z679" s="552"/>
      <c r="AA679" s="552"/>
      <c r="AB679" s="552"/>
      <c r="AC679" s="552">
        <v>20</v>
      </c>
      <c r="AD679" s="552"/>
      <c r="AE679" s="552"/>
      <c r="AF679" s="552"/>
      <c r="AG679" s="552"/>
      <c r="AH679" s="552"/>
      <c r="AI679" s="552"/>
      <c r="AJ679" s="552"/>
      <c r="AK679" s="552"/>
      <c r="AL679" s="552"/>
      <c r="AM679" s="552"/>
      <c r="AN679" s="552"/>
      <c r="AO679" s="709" t="s">
        <v>7793</v>
      </c>
      <c r="AP679" s="552"/>
      <c r="AQ679" s="552" t="s">
        <v>1186</v>
      </c>
      <c r="AR679" s="552" t="s">
        <v>2809</v>
      </c>
      <c r="AT679" s="552" t="s">
        <v>726</v>
      </c>
    </row>
    <row r="680" spans="1:46" ht="14.7" customHeight="1">
      <c r="A680" s="710" t="s">
        <v>6370</v>
      </c>
      <c r="B680" s="344" t="s">
        <v>3699</v>
      </c>
      <c r="C680" s="539" t="s">
        <v>7753</v>
      </c>
      <c r="D680" s="709" t="s">
        <v>7794</v>
      </c>
      <c r="E680" s="552" t="s">
        <v>7755</v>
      </c>
      <c r="F680" s="552"/>
      <c r="G680" s="552" t="s">
        <v>7776</v>
      </c>
      <c r="H680" s="552"/>
      <c r="I680" s="552"/>
      <c r="J680" s="552"/>
      <c r="K680" s="552"/>
      <c r="L680" s="552"/>
      <c r="M680" s="552"/>
      <c r="N680" s="552"/>
      <c r="O680" s="552">
        <v>75</v>
      </c>
      <c r="P680" s="552"/>
      <c r="Q680" s="552"/>
      <c r="R680" s="552">
        <v>5</v>
      </c>
      <c r="S680" s="552"/>
      <c r="T680" s="552"/>
      <c r="U680" s="552"/>
      <c r="V680" s="552"/>
      <c r="W680" s="552"/>
      <c r="X680" s="552"/>
      <c r="Y680" s="552"/>
      <c r="Z680" s="552"/>
      <c r="AA680" s="552"/>
      <c r="AB680" s="552"/>
      <c r="AC680" s="552">
        <v>30</v>
      </c>
      <c r="AD680" s="552"/>
      <c r="AE680" s="552"/>
      <c r="AF680" s="552"/>
      <c r="AG680" s="552"/>
      <c r="AH680" s="552">
        <v>30</v>
      </c>
      <c r="AI680" s="552"/>
      <c r="AJ680" s="552">
        <v>30</v>
      </c>
      <c r="AK680" s="552"/>
      <c r="AL680" s="552"/>
      <c r="AM680" s="552"/>
      <c r="AN680" s="552"/>
      <c r="AO680" s="709" t="s">
        <v>7795</v>
      </c>
      <c r="AP680" s="552"/>
      <c r="AQ680" s="552" t="s">
        <v>1186</v>
      </c>
      <c r="AR680" s="552" t="s">
        <v>2809</v>
      </c>
      <c r="AT680" s="552" t="s">
        <v>726</v>
      </c>
    </row>
    <row r="681" spans="1:46" ht="14.7" customHeight="1">
      <c r="A681" s="710" t="s">
        <v>7796</v>
      </c>
      <c r="B681" s="344" t="s">
        <v>3699</v>
      </c>
      <c r="C681" s="539" t="s">
        <v>7753</v>
      </c>
      <c r="D681" s="709" t="s">
        <v>7797</v>
      </c>
      <c r="E681" s="552" t="s">
        <v>7755</v>
      </c>
      <c r="F681" s="552"/>
      <c r="G681" s="552" t="s">
        <v>7776</v>
      </c>
      <c r="H681" s="552"/>
      <c r="I681" s="552"/>
      <c r="J681" s="552"/>
      <c r="K681" s="552"/>
      <c r="L681" s="552"/>
      <c r="M681" s="552"/>
      <c r="N681" s="552"/>
      <c r="O681" s="552"/>
      <c r="P681" s="552"/>
      <c r="Q681" s="552"/>
      <c r="R681" s="552"/>
      <c r="S681" s="552"/>
      <c r="T681" s="552"/>
      <c r="U681" s="552"/>
      <c r="V681" s="552"/>
      <c r="W681" s="552"/>
      <c r="X681" s="552"/>
      <c r="Y681" s="552"/>
      <c r="Z681" s="552"/>
      <c r="AA681" s="552"/>
      <c r="AB681" s="552"/>
      <c r="AC681" s="552"/>
      <c r="AD681" s="552"/>
      <c r="AE681" s="552"/>
      <c r="AF681" s="552"/>
      <c r="AG681" s="552"/>
      <c r="AH681" s="552"/>
      <c r="AI681" s="552"/>
      <c r="AJ681" s="552"/>
      <c r="AK681" s="552"/>
      <c r="AL681" s="552"/>
      <c r="AM681" s="552"/>
      <c r="AN681" s="552"/>
      <c r="AO681" s="713" t="s">
        <v>7798</v>
      </c>
      <c r="AP681" s="709" t="s">
        <v>7799</v>
      </c>
      <c r="AQ681" s="552" t="s">
        <v>1186</v>
      </c>
      <c r="AR681" s="552" t="s">
        <v>2809</v>
      </c>
      <c r="AT681" s="552" t="s">
        <v>726</v>
      </c>
    </row>
    <row r="682" spans="1:46" ht="14.7" customHeight="1">
      <c r="A682" s="706"/>
      <c r="B682" s="344" t="s">
        <v>3699</v>
      </c>
      <c r="C682" s="539" t="s">
        <v>7753</v>
      </c>
      <c r="D682" s="539" t="s">
        <v>2783</v>
      </c>
      <c r="E682" s="552"/>
      <c r="F682" s="552"/>
      <c r="G682" s="552"/>
      <c r="H682" s="552"/>
      <c r="I682" s="552"/>
      <c r="J682" s="552"/>
      <c r="K682" s="552"/>
      <c r="L682" s="552"/>
      <c r="M682" s="552"/>
      <c r="N682" s="552"/>
      <c r="O682" s="552"/>
      <c r="P682" s="552"/>
      <c r="Q682" s="552"/>
      <c r="R682" s="552"/>
      <c r="S682" s="552"/>
      <c r="T682" s="552"/>
      <c r="U682" s="552"/>
      <c r="V682" s="552"/>
      <c r="W682" s="552"/>
      <c r="X682" s="552"/>
      <c r="Y682" s="552"/>
      <c r="Z682" s="552"/>
      <c r="AA682" s="552"/>
      <c r="AB682" s="552"/>
      <c r="AC682" s="552"/>
      <c r="AD682" s="552"/>
      <c r="AE682" s="552"/>
      <c r="AF682" s="552"/>
      <c r="AG682" s="552"/>
      <c r="AH682" s="552"/>
      <c r="AI682" s="552"/>
      <c r="AJ682" s="552"/>
      <c r="AK682" s="552"/>
      <c r="AL682" s="552"/>
      <c r="AM682" s="552"/>
      <c r="AN682" s="552"/>
      <c r="AO682" s="552"/>
      <c r="AP682" s="552"/>
      <c r="AQ682" s="552" t="s">
        <v>1186</v>
      </c>
      <c r="AR682" s="552" t="s">
        <v>2809</v>
      </c>
      <c r="AT682" s="552" t="s">
        <v>726</v>
      </c>
    </row>
    <row r="683" spans="1:46" ht="14.7" customHeight="1">
      <c r="A683" s="710" t="s">
        <v>6371</v>
      </c>
      <c r="B683" s="559" t="s">
        <v>3700</v>
      </c>
      <c r="C683" s="539" t="s">
        <v>7753</v>
      </c>
      <c r="D683" s="709" t="s">
        <v>7800</v>
      </c>
      <c r="E683" s="552" t="s">
        <v>7755</v>
      </c>
      <c r="F683" s="552"/>
      <c r="G683" s="552" t="s">
        <v>7776</v>
      </c>
      <c r="H683" s="552"/>
      <c r="I683" s="552"/>
      <c r="J683" s="552"/>
      <c r="K683" s="552"/>
      <c r="L683" s="552"/>
      <c r="M683" s="552"/>
      <c r="N683" s="552"/>
      <c r="O683" s="552"/>
      <c r="P683" s="552"/>
      <c r="Q683" s="552">
        <v>3</v>
      </c>
      <c r="R683" s="552">
        <v>3</v>
      </c>
      <c r="S683" s="552">
        <v>1</v>
      </c>
      <c r="T683" s="552">
        <v>1</v>
      </c>
      <c r="U683" s="552">
        <v>1</v>
      </c>
      <c r="V683" s="552"/>
      <c r="W683" s="552"/>
      <c r="X683" s="552"/>
      <c r="Y683" s="552">
        <v>3</v>
      </c>
      <c r="Z683" s="552"/>
      <c r="AA683" s="552"/>
      <c r="AB683" s="552"/>
      <c r="AC683" s="552"/>
      <c r="AD683" s="552"/>
      <c r="AE683" s="552"/>
      <c r="AF683" s="552"/>
      <c r="AG683" s="552"/>
      <c r="AH683" s="552"/>
      <c r="AI683" s="552"/>
      <c r="AJ683" s="552"/>
      <c r="AK683" s="552"/>
      <c r="AL683" s="552"/>
      <c r="AM683" s="552"/>
      <c r="AN683" s="552"/>
      <c r="AO683" s="709" t="s">
        <v>7801</v>
      </c>
      <c r="AP683" s="552"/>
      <c r="AQ683" s="552" t="s">
        <v>1186</v>
      </c>
      <c r="AR683" s="552" t="s">
        <v>2971</v>
      </c>
      <c r="AT683" s="552" t="s">
        <v>726</v>
      </c>
    </row>
    <row r="684" spans="1:46" ht="14.7" customHeight="1">
      <c r="A684" s="710" t="s">
        <v>6372</v>
      </c>
      <c r="B684" s="559" t="s">
        <v>3700</v>
      </c>
      <c r="C684" s="539" t="s">
        <v>7753</v>
      </c>
      <c r="D684" s="709" t="s">
        <v>7802</v>
      </c>
      <c r="E684" s="552" t="s">
        <v>7755</v>
      </c>
      <c r="F684" s="552"/>
      <c r="G684" s="552" t="s">
        <v>7776</v>
      </c>
      <c r="H684" s="552"/>
      <c r="I684" s="552"/>
      <c r="J684" s="552"/>
      <c r="K684" s="552"/>
      <c r="L684" s="552"/>
      <c r="M684" s="552"/>
      <c r="N684" s="552"/>
      <c r="O684" s="552">
        <v>80</v>
      </c>
      <c r="P684" s="552"/>
      <c r="Q684" s="552"/>
      <c r="R684" s="552">
        <v>8</v>
      </c>
      <c r="S684" s="552"/>
      <c r="T684" s="552"/>
      <c r="U684" s="552"/>
      <c r="V684" s="552"/>
      <c r="W684" s="552"/>
      <c r="X684" s="552"/>
      <c r="Y684" s="552">
        <v>8</v>
      </c>
      <c r="Z684" s="552"/>
      <c r="AA684" s="552"/>
      <c r="AB684" s="552"/>
      <c r="AC684" s="552"/>
      <c r="AD684" s="552"/>
      <c r="AE684" s="552"/>
      <c r="AF684" s="552"/>
      <c r="AG684" s="552"/>
      <c r="AH684" s="552"/>
      <c r="AI684" s="552"/>
      <c r="AJ684" s="552"/>
      <c r="AK684" s="552"/>
      <c r="AL684" s="552"/>
      <c r="AM684" s="552"/>
      <c r="AN684" s="552"/>
      <c r="AO684" s="709" t="s">
        <v>7803</v>
      </c>
      <c r="AP684" s="552"/>
      <c r="AQ684" s="552" t="s">
        <v>1186</v>
      </c>
      <c r="AR684" s="552" t="s">
        <v>2971</v>
      </c>
      <c r="AT684" s="552" t="s">
        <v>726</v>
      </c>
    </row>
    <row r="685" spans="1:46" ht="14.7" customHeight="1">
      <c r="A685" s="710"/>
      <c r="B685" s="711" t="s">
        <v>6055</v>
      </c>
      <c r="C685" s="539" t="s">
        <v>7753</v>
      </c>
      <c r="D685" s="539" t="s">
        <v>2783</v>
      </c>
      <c r="E685" s="539"/>
      <c r="F685" s="539"/>
      <c r="G685" s="539" t="s">
        <v>7776</v>
      </c>
      <c r="H685" s="539"/>
      <c r="I685" s="539"/>
      <c r="J685" s="539"/>
      <c r="K685" s="539"/>
      <c r="L685" s="539"/>
      <c r="M685" s="539"/>
      <c r="N685" s="539"/>
      <c r="O685" s="539"/>
      <c r="P685" s="539"/>
      <c r="Q685" s="539"/>
      <c r="R685" s="539"/>
      <c r="S685" s="539"/>
      <c r="T685" s="552"/>
      <c r="U685" s="552"/>
      <c r="V685" s="552"/>
      <c r="W685" s="552"/>
      <c r="X685" s="552"/>
      <c r="Y685" s="552"/>
      <c r="Z685" s="552"/>
      <c r="AA685" s="552"/>
      <c r="AB685" s="552"/>
      <c r="AC685" s="552"/>
      <c r="AD685" s="552"/>
      <c r="AE685" s="552"/>
      <c r="AF685" s="552"/>
      <c r="AG685" s="552"/>
      <c r="AH685" s="552"/>
      <c r="AI685" s="552"/>
      <c r="AJ685" s="552"/>
      <c r="AK685" s="552"/>
      <c r="AL685" s="552"/>
      <c r="AM685" s="552"/>
      <c r="AN685" s="552"/>
      <c r="AO685" s="713" t="s">
        <v>7804</v>
      </c>
      <c r="AP685" s="552"/>
      <c r="AQ685" s="552" t="s">
        <v>1186</v>
      </c>
      <c r="AR685" s="552" t="s">
        <v>6697</v>
      </c>
      <c r="AT685" s="552" t="s">
        <v>726</v>
      </c>
    </row>
    <row r="686" spans="1:46" ht="14.7" customHeight="1">
      <c r="A686" s="706" t="s">
        <v>6373</v>
      </c>
      <c r="B686" s="540" t="s">
        <v>3695</v>
      </c>
      <c r="C686" s="539" t="s">
        <v>7753</v>
      </c>
      <c r="D686" s="709" t="s">
        <v>7805</v>
      </c>
      <c r="E686" s="552" t="s">
        <v>7755</v>
      </c>
      <c r="F686" s="552"/>
      <c r="G686" s="552" t="s">
        <v>7806</v>
      </c>
      <c r="H686" s="552"/>
      <c r="I686" s="552"/>
      <c r="J686" s="552"/>
      <c r="K686" s="552"/>
      <c r="L686" s="552"/>
      <c r="M686" s="552"/>
      <c r="N686" s="552">
        <v>25</v>
      </c>
      <c r="O686" s="552"/>
      <c r="P686" s="552"/>
      <c r="Q686" s="552"/>
      <c r="R686" s="552"/>
      <c r="S686" s="552"/>
      <c r="T686" s="552"/>
      <c r="U686" s="552"/>
      <c r="V686" s="552"/>
      <c r="W686" s="552"/>
      <c r="X686" s="552"/>
      <c r="Y686" s="552"/>
      <c r="Z686" s="552"/>
      <c r="AA686" s="552"/>
      <c r="AB686" s="552"/>
      <c r="AC686" s="552"/>
      <c r="AD686" s="552"/>
      <c r="AE686" s="552"/>
      <c r="AF686" s="552"/>
      <c r="AG686" s="552"/>
      <c r="AH686" s="552"/>
      <c r="AI686" s="552"/>
      <c r="AJ686" s="552"/>
      <c r="AK686" s="552"/>
      <c r="AL686" s="552"/>
      <c r="AM686" s="552"/>
      <c r="AN686" s="552"/>
      <c r="AO686" s="552"/>
      <c r="AP686" s="552"/>
      <c r="AQ686" s="552" t="s">
        <v>7715</v>
      </c>
      <c r="AR686" s="552" t="s">
        <v>2802</v>
      </c>
      <c r="AT686" s="552" t="s">
        <v>726</v>
      </c>
    </row>
    <row r="687" spans="1:46" ht="14.7" customHeight="1">
      <c r="A687" s="706" t="s">
        <v>6374</v>
      </c>
      <c r="B687" s="540" t="s">
        <v>3695</v>
      </c>
      <c r="C687" s="539" t="s">
        <v>7753</v>
      </c>
      <c r="D687" s="709" t="s">
        <v>7807</v>
      </c>
      <c r="E687" s="552" t="s">
        <v>7758</v>
      </c>
      <c r="F687" s="552"/>
      <c r="G687" s="552" t="s">
        <v>7806</v>
      </c>
      <c r="H687" s="552"/>
      <c r="I687" s="552"/>
      <c r="J687" s="552"/>
      <c r="K687" s="552"/>
      <c r="L687" s="552"/>
      <c r="M687" s="552"/>
      <c r="N687" s="552"/>
      <c r="O687" s="552"/>
      <c r="P687" s="552"/>
      <c r="Q687" s="552">
        <v>2</v>
      </c>
      <c r="R687" s="552"/>
      <c r="S687" s="552"/>
      <c r="T687" s="552"/>
      <c r="U687" s="552"/>
      <c r="V687" s="552"/>
      <c r="W687" s="552"/>
      <c r="X687" s="552">
        <v>1</v>
      </c>
      <c r="Y687" s="552"/>
      <c r="Z687" s="552"/>
      <c r="AA687" s="552"/>
      <c r="AB687" s="552"/>
      <c r="AC687" s="552"/>
      <c r="AD687" s="552"/>
      <c r="AE687" s="552"/>
      <c r="AF687" s="552"/>
      <c r="AG687" s="552"/>
      <c r="AH687" s="552"/>
      <c r="AI687" s="552"/>
      <c r="AJ687" s="552"/>
      <c r="AK687" s="552"/>
      <c r="AL687" s="552"/>
      <c r="AM687" s="552"/>
      <c r="AN687" s="552"/>
      <c r="AO687" s="552"/>
      <c r="AP687" s="552"/>
      <c r="AQ687" s="552" t="s">
        <v>7715</v>
      </c>
      <c r="AR687" s="552" t="s">
        <v>2802</v>
      </c>
      <c r="AT687" s="552" t="s">
        <v>726</v>
      </c>
    </row>
    <row r="688" spans="1:46" ht="14.7" customHeight="1">
      <c r="A688" s="706" t="s">
        <v>6375</v>
      </c>
      <c r="B688" s="707" t="s">
        <v>3696</v>
      </c>
      <c r="C688" s="539" t="s">
        <v>7753</v>
      </c>
      <c r="D688" s="709" t="s">
        <v>7808</v>
      </c>
      <c r="E688" s="552" t="s">
        <v>7755</v>
      </c>
      <c r="F688" s="552"/>
      <c r="G688" s="552" t="s">
        <v>7806</v>
      </c>
      <c r="H688" s="552"/>
      <c r="I688" s="552"/>
      <c r="J688" s="552"/>
      <c r="K688" s="552"/>
      <c r="L688" s="552"/>
      <c r="M688" s="552"/>
      <c r="N688" s="552">
        <v>20</v>
      </c>
      <c r="O688" s="552"/>
      <c r="P688" s="552"/>
      <c r="Q688" s="552">
        <v>1</v>
      </c>
      <c r="R688" s="552"/>
      <c r="S688" s="552"/>
      <c r="T688" s="552"/>
      <c r="U688" s="552"/>
      <c r="V688" s="552"/>
      <c r="W688" s="552"/>
      <c r="X688" s="552">
        <v>1</v>
      </c>
      <c r="Y688" s="552"/>
      <c r="Z688" s="552"/>
      <c r="AA688" s="552"/>
      <c r="AB688" s="552"/>
      <c r="AC688" s="552"/>
      <c r="AD688" s="552"/>
      <c r="AE688" s="552"/>
      <c r="AF688" s="552"/>
      <c r="AG688" s="552"/>
      <c r="AH688" s="552"/>
      <c r="AI688" s="552"/>
      <c r="AJ688" s="552"/>
      <c r="AK688" s="552"/>
      <c r="AL688" s="552"/>
      <c r="AM688" s="552"/>
      <c r="AN688" s="552"/>
      <c r="AO688" s="552"/>
      <c r="AP688" s="552"/>
      <c r="AQ688" s="552" t="s">
        <v>7715</v>
      </c>
      <c r="AR688" s="552" t="s">
        <v>2805</v>
      </c>
      <c r="AT688" s="552" t="s">
        <v>726</v>
      </c>
    </row>
    <row r="689" spans="1:46" ht="14.7" customHeight="1">
      <c r="A689" s="706"/>
      <c r="B689" s="707" t="s">
        <v>3696</v>
      </c>
      <c r="C689" s="539" t="s">
        <v>7753</v>
      </c>
      <c r="D689" s="539" t="s">
        <v>2783</v>
      </c>
      <c r="E689" s="552"/>
      <c r="F689" s="552"/>
      <c r="G689" s="552"/>
      <c r="H689" s="552"/>
      <c r="I689" s="552"/>
      <c r="J689" s="552"/>
      <c r="K689" s="552"/>
      <c r="L689" s="552"/>
      <c r="M689" s="552"/>
      <c r="N689" s="552"/>
      <c r="O689" s="552"/>
      <c r="P689" s="552"/>
      <c r="Q689" s="552"/>
      <c r="R689" s="552"/>
      <c r="S689" s="552"/>
      <c r="T689" s="552"/>
      <c r="U689" s="552"/>
      <c r="V689" s="552"/>
      <c r="W689" s="552"/>
      <c r="X689" s="552"/>
      <c r="Y689" s="552"/>
      <c r="Z689" s="552"/>
      <c r="AA689" s="552"/>
      <c r="AB689" s="552"/>
      <c r="AC689" s="552"/>
      <c r="AD689" s="552"/>
      <c r="AE689" s="552"/>
      <c r="AF689" s="552"/>
      <c r="AG689" s="552"/>
      <c r="AH689" s="552"/>
      <c r="AI689" s="552"/>
      <c r="AJ689" s="552"/>
      <c r="AK689" s="552"/>
      <c r="AL689" s="552"/>
      <c r="AM689" s="552"/>
      <c r="AN689" s="552"/>
      <c r="AO689" s="552"/>
      <c r="AP689" s="552"/>
      <c r="AQ689" s="552" t="s">
        <v>7715</v>
      </c>
      <c r="AR689" s="552" t="s">
        <v>2805</v>
      </c>
      <c r="AT689" s="552" t="s">
        <v>726</v>
      </c>
    </row>
    <row r="690" spans="1:46" ht="14.7" customHeight="1">
      <c r="A690" s="706" t="s">
        <v>7809</v>
      </c>
      <c r="B690" s="556" t="s">
        <v>3697</v>
      </c>
      <c r="C690" s="539" t="s">
        <v>7753</v>
      </c>
      <c r="D690" s="709" t="s">
        <v>7810</v>
      </c>
      <c r="E690" s="552" t="s">
        <v>7758</v>
      </c>
      <c r="F690" s="552"/>
      <c r="G690" s="552" t="s">
        <v>7806</v>
      </c>
      <c r="H690" s="552"/>
      <c r="I690" s="552"/>
      <c r="J690" s="552"/>
      <c r="K690" s="552"/>
      <c r="L690" s="552"/>
      <c r="M690" s="552"/>
      <c r="N690" s="552">
        <v>25</v>
      </c>
      <c r="O690" s="552"/>
      <c r="P690" s="552"/>
      <c r="Q690" s="552"/>
      <c r="R690" s="552"/>
      <c r="S690" s="552"/>
      <c r="T690" s="552"/>
      <c r="U690" s="552"/>
      <c r="V690" s="552"/>
      <c r="W690" s="552"/>
      <c r="X690" s="552"/>
      <c r="Y690" s="552"/>
      <c r="Z690" s="552"/>
      <c r="AA690" s="552"/>
      <c r="AB690" s="552"/>
      <c r="AC690" s="552"/>
      <c r="AD690" s="552">
        <v>20</v>
      </c>
      <c r="AE690" s="552"/>
      <c r="AF690" s="552"/>
      <c r="AG690" s="552"/>
      <c r="AH690" s="552"/>
      <c r="AI690" s="552"/>
      <c r="AJ690" s="552"/>
      <c r="AK690" s="552"/>
      <c r="AL690" s="552"/>
      <c r="AM690" s="552"/>
      <c r="AN690" s="552"/>
      <c r="AO690" s="552"/>
      <c r="AP690" s="709" t="s">
        <v>7811</v>
      </c>
      <c r="AQ690" s="552" t="s">
        <v>7715</v>
      </c>
      <c r="AR690" s="552" t="s">
        <v>2875</v>
      </c>
      <c r="AT690" s="552" t="s">
        <v>726</v>
      </c>
    </row>
    <row r="691" spans="1:46" ht="14.7" customHeight="1">
      <c r="A691" s="706" t="s">
        <v>6376</v>
      </c>
      <c r="B691" s="556" t="s">
        <v>3697</v>
      </c>
      <c r="C691" s="539" t="s">
        <v>7753</v>
      </c>
      <c r="D691" s="709" t="s">
        <v>7812</v>
      </c>
      <c r="E691" s="552" t="s">
        <v>7758</v>
      </c>
      <c r="F691" s="552"/>
      <c r="G691" s="552" t="s">
        <v>7806</v>
      </c>
      <c r="H691" s="552"/>
      <c r="I691" s="552"/>
      <c r="J691" s="552"/>
      <c r="K691" s="552"/>
      <c r="L691" s="552"/>
      <c r="M691" s="552"/>
      <c r="N691" s="552">
        <v>50</v>
      </c>
      <c r="O691" s="552"/>
      <c r="P691" s="552"/>
      <c r="Q691" s="552"/>
      <c r="R691" s="552"/>
      <c r="S691" s="552"/>
      <c r="T691" s="552"/>
      <c r="U691" s="552"/>
      <c r="V691" s="552"/>
      <c r="W691" s="552"/>
      <c r="X691" s="552"/>
      <c r="Y691" s="552"/>
      <c r="Z691" s="552"/>
      <c r="AA691" s="552"/>
      <c r="AB691" s="552"/>
      <c r="AC691" s="552"/>
      <c r="AD691" s="552"/>
      <c r="AE691" s="552"/>
      <c r="AF691" s="552"/>
      <c r="AG691" s="552"/>
      <c r="AH691" s="552"/>
      <c r="AI691" s="552"/>
      <c r="AJ691" s="552"/>
      <c r="AK691" s="552"/>
      <c r="AL691" s="552"/>
      <c r="AM691" s="552"/>
      <c r="AN691" s="552"/>
      <c r="AO691" s="552"/>
      <c r="AP691" s="552"/>
      <c r="AQ691" s="552" t="s">
        <v>7715</v>
      </c>
      <c r="AR691" s="552" t="s">
        <v>2875</v>
      </c>
      <c r="AT691" s="552" t="s">
        <v>726</v>
      </c>
    </row>
    <row r="692" spans="1:46" ht="14.7" customHeight="1">
      <c r="A692" s="706" t="s">
        <v>6377</v>
      </c>
      <c r="B692" s="556" t="s">
        <v>3697</v>
      </c>
      <c r="C692" s="539" t="s">
        <v>7753</v>
      </c>
      <c r="D692" s="709" t="s">
        <v>7813</v>
      </c>
      <c r="E692" s="552" t="s">
        <v>7758</v>
      </c>
      <c r="F692" s="552"/>
      <c r="G692" s="552" t="s">
        <v>7806</v>
      </c>
      <c r="H692" s="552"/>
      <c r="I692" s="552"/>
      <c r="J692" s="552"/>
      <c r="K692" s="552"/>
      <c r="L692" s="552"/>
      <c r="M692" s="552"/>
      <c r="N692" s="552">
        <v>25</v>
      </c>
      <c r="O692" s="552"/>
      <c r="P692" s="552"/>
      <c r="Q692" s="552"/>
      <c r="R692" s="552"/>
      <c r="S692" s="552"/>
      <c r="T692" s="552"/>
      <c r="U692" s="552"/>
      <c r="V692" s="552"/>
      <c r="W692" s="552"/>
      <c r="X692" s="552"/>
      <c r="Y692" s="552"/>
      <c r="Z692" s="552"/>
      <c r="AA692" s="552"/>
      <c r="AB692" s="552"/>
      <c r="AC692" s="552"/>
      <c r="AD692" s="552"/>
      <c r="AE692" s="552"/>
      <c r="AF692" s="552"/>
      <c r="AG692" s="552"/>
      <c r="AH692" s="552"/>
      <c r="AI692" s="552"/>
      <c r="AJ692" s="552"/>
      <c r="AK692" s="552"/>
      <c r="AL692" s="552"/>
      <c r="AM692" s="552"/>
      <c r="AN692" s="552"/>
      <c r="AO692" s="709" t="s">
        <v>7814</v>
      </c>
      <c r="AP692" s="552"/>
      <c r="AQ692" s="552" t="s">
        <v>7715</v>
      </c>
      <c r="AR692" s="552" t="s">
        <v>2875</v>
      </c>
      <c r="AT692" s="552" t="s">
        <v>726</v>
      </c>
    </row>
    <row r="693" spans="1:46" ht="14.7" customHeight="1">
      <c r="A693" s="706" t="s">
        <v>9090</v>
      </c>
      <c r="B693" s="557" t="s">
        <v>3698</v>
      </c>
      <c r="C693" s="539" t="s">
        <v>7753</v>
      </c>
      <c r="D693" s="709" t="s">
        <v>7815</v>
      </c>
      <c r="E693" s="552" t="s">
        <v>7758</v>
      </c>
      <c r="F693" s="552"/>
      <c r="G693" s="552" t="s">
        <v>7806</v>
      </c>
      <c r="H693" s="552"/>
      <c r="I693" s="552"/>
      <c r="J693" s="552"/>
      <c r="K693" s="552"/>
      <c r="L693" s="552"/>
      <c r="M693" s="552"/>
      <c r="N693" s="552"/>
      <c r="O693" s="552">
        <v>50</v>
      </c>
      <c r="P693" s="552"/>
      <c r="Q693" s="552"/>
      <c r="R693" s="552">
        <v>2</v>
      </c>
      <c r="S693" s="552"/>
      <c r="T693" s="552"/>
      <c r="U693" s="552"/>
      <c r="V693" s="552"/>
      <c r="W693" s="552"/>
      <c r="X693" s="552"/>
      <c r="Y693" s="552">
        <v>2</v>
      </c>
      <c r="Z693" s="552"/>
      <c r="AA693" s="552"/>
      <c r="AB693" s="552"/>
      <c r="AC693" s="552"/>
      <c r="AD693" s="552"/>
      <c r="AE693" s="552"/>
      <c r="AF693" s="552"/>
      <c r="AG693" s="552"/>
      <c r="AH693" s="552"/>
      <c r="AI693" s="552"/>
      <c r="AJ693" s="552"/>
      <c r="AK693" s="552"/>
      <c r="AL693" s="552">
        <v>10</v>
      </c>
      <c r="AM693" s="552"/>
      <c r="AN693" s="552"/>
      <c r="AO693" s="552"/>
      <c r="AP693" s="552"/>
      <c r="AQ693" s="552" t="s">
        <v>7715</v>
      </c>
      <c r="AR693" s="552" t="s">
        <v>2998</v>
      </c>
      <c r="AT693" s="552" t="s">
        <v>726</v>
      </c>
    </row>
    <row r="694" spans="1:46" ht="14.7" customHeight="1">
      <c r="A694" s="706" t="s">
        <v>6378</v>
      </c>
      <c r="B694" s="557" t="s">
        <v>3698</v>
      </c>
      <c r="C694" s="539" t="s">
        <v>7753</v>
      </c>
      <c r="D694" s="709" t="s">
        <v>7816</v>
      </c>
      <c r="E694" s="552" t="s">
        <v>7755</v>
      </c>
      <c r="F694" s="552"/>
      <c r="G694" s="552" t="s">
        <v>7806</v>
      </c>
      <c r="H694" s="552"/>
      <c r="I694" s="552"/>
      <c r="J694" s="552"/>
      <c r="K694" s="552"/>
      <c r="L694" s="552"/>
      <c r="M694" s="552"/>
      <c r="N694" s="552">
        <v>70</v>
      </c>
      <c r="O694" s="552"/>
      <c r="P694" s="552"/>
      <c r="Q694" s="552"/>
      <c r="R694" s="552">
        <v>2</v>
      </c>
      <c r="S694" s="552"/>
      <c r="T694" s="552"/>
      <c r="U694" s="552"/>
      <c r="V694" s="552"/>
      <c r="W694" s="552"/>
      <c r="X694" s="552">
        <v>2</v>
      </c>
      <c r="Y694" s="552"/>
      <c r="Z694" s="552"/>
      <c r="AA694" s="552"/>
      <c r="AB694" s="552"/>
      <c r="AC694" s="552"/>
      <c r="AD694" s="552"/>
      <c r="AE694" s="552"/>
      <c r="AF694" s="552"/>
      <c r="AG694" s="552"/>
      <c r="AH694" s="552"/>
      <c r="AI694" s="552"/>
      <c r="AJ694" s="552"/>
      <c r="AK694" s="552"/>
      <c r="AL694" s="552"/>
      <c r="AM694" s="552"/>
      <c r="AN694" s="552"/>
      <c r="AO694" s="552"/>
      <c r="AP694" s="552"/>
      <c r="AQ694" s="552" t="s">
        <v>7715</v>
      </c>
      <c r="AR694" s="552" t="s">
        <v>2998</v>
      </c>
      <c r="AT694" s="552" t="s">
        <v>726</v>
      </c>
    </row>
    <row r="695" spans="1:46" ht="14.7" customHeight="1">
      <c r="A695" s="706"/>
      <c r="B695" s="557" t="s">
        <v>3698</v>
      </c>
      <c r="C695" s="539" t="s">
        <v>7753</v>
      </c>
      <c r="D695" s="539" t="s">
        <v>2783</v>
      </c>
      <c r="E695" s="552"/>
      <c r="F695" s="552"/>
      <c r="G695" s="552"/>
      <c r="H695" s="552"/>
      <c r="I695" s="552"/>
      <c r="J695" s="552"/>
      <c r="K695" s="552"/>
      <c r="L695" s="552"/>
      <c r="M695" s="552"/>
      <c r="N695" s="552"/>
      <c r="O695" s="552"/>
      <c r="P695" s="552"/>
      <c r="Q695" s="552"/>
      <c r="R695" s="552"/>
      <c r="S695" s="552"/>
      <c r="T695" s="552"/>
      <c r="U695" s="552"/>
      <c r="V695" s="552"/>
      <c r="W695" s="552"/>
      <c r="X695" s="552"/>
      <c r="Y695" s="552"/>
      <c r="Z695" s="552"/>
      <c r="AA695" s="552"/>
      <c r="AB695" s="552"/>
      <c r="AC695" s="552"/>
      <c r="AD695" s="552"/>
      <c r="AE695" s="552"/>
      <c r="AF695" s="552"/>
      <c r="AG695" s="552"/>
      <c r="AH695" s="552"/>
      <c r="AI695" s="552"/>
      <c r="AJ695" s="552"/>
      <c r="AK695" s="552"/>
      <c r="AL695" s="552"/>
      <c r="AM695" s="552"/>
      <c r="AN695" s="552"/>
      <c r="AO695" s="552"/>
      <c r="AP695" s="552"/>
      <c r="AQ695" s="552" t="s">
        <v>7715</v>
      </c>
      <c r="AR695" s="552" t="s">
        <v>2998</v>
      </c>
      <c r="AT695" s="552" t="s">
        <v>726</v>
      </c>
    </row>
    <row r="696" spans="1:46" ht="14.7" customHeight="1">
      <c r="A696" s="706"/>
      <c r="B696" s="557" t="s">
        <v>3698</v>
      </c>
      <c r="C696" s="539" t="s">
        <v>7753</v>
      </c>
      <c r="D696" s="539" t="s">
        <v>2783</v>
      </c>
      <c r="E696" s="552"/>
      <c r="F696" s="552"/>
      <c r="G696" s="552"/>
      <c r="H696" s="552"/>
      <c r="I696" s="552"/>
      <c r="J696" s="552"/>
      <c r="K696" s="552"/>
      <c r="L696" s="552"/>
      <c r="M696" s="552"/>
      <c r="N696" s="552"/>
      <c r="O696" s="552"/>
      <c r="P696" s="552"/>
      <c r="Q696" s="552"/>
      <c r="R696" s="552"/>
      <c r="S696" s="552"/>
      <c r="T696" s="552"/>
      <c r="U696" s="552"/>
      <c r="V696" s="552"/>
      <c r="W696" s="552"/>
      <c r="X696" s="552"/>
      <c r="Y696" s="552"/>
      <c r="Z696" s="552"/>
      <c r="AA696" s="552"/>
      <c r="AB696" s="552"/>
      <c r="AC696" s="552"/>
      <c r="AD696" s="552"/>
      <c r="AE696" s="552"/>
      <c r="AF696" s="552"/>
      <c r="AG696" s="552"/>
      <c r="AH696" s="552"/>
      <c r="AI696" s="552"/>
      <c r="AJ696" s="552"/>
      <c r="AK696" s="552"/>
      <c r="AL696" s="552"/>
      <c r="AM696" s="552"/>
      <c r="AN696" s="552"/>
      <c r="AO696" s="552"/>
      <c r="AP696" s="552"/>
      <c r="AQ696" s="552" t="s">
        <v>7715</v>
      </c>
      <c r="AR696" s="552" t="s">
        <v>2998</v>
      </c>
      <c r="AT696" s="552" t="s">
        <v>726</v>
      </c>
    </row>
    <row r="697" spans="1:46" ht="14.7" customHeight="1">
      <c r="A697" s="710" t="s">
        <v>7817</v>
      </c>
      <c r="B697" s="344" t="s">
        <v>3699</v>
      </c>
      <c r="C697" s="539" t="s">
        <v>7753</v>
      </c>
      <c r="D697" s="709" t="s">
        <v>7818</v>
      </c>
      <c r="E697" s="552" t="s">
        <v>7755</v>
      </c>
      <c r="F697" s="552"/>
      <c r="G697" s="552" t="s">
        <v>7806</v>
      </c>
      <c r="H697" s="552"/>
      <c r="I697" s="552"/>
      <c r="J697" s="552"/>
      <c r="K697" s="552"/>
      <c r="L697" s="552"/>
      <c r="M697" s="552"/>
      <c r="N697" s="552">
        <v>75</v>
      </c>
      <c r="O697" s="552"/>
      <c r="P697" s="552"/>
      <c r="Q697" s="552"/>
      <c r="R697" s="552"/>
      <c r="S697" s="552"/>
      <c r="T697" s="552"/>
      <c r="U697" s="552"/>
      <c r="V697" s="552"/>
      <c r="W697" s="552"/>
      <c r="X697" s="552"/>
      <c r="Y697" s="552"/>
      <c r="Z697" s="552"/>
      <c r="AA697" s="552"/>
      <c r="AB697" s="552"/>
      <c r="AC697" s="552"/>
      <c r="AD697" s="552"/>
      <c r="AE697" s="552"/>
      <c r="AF697" s="552"/>
      <c r="AG697" s="552"/>
      <c r="AH697" s="552"/>
      <c r="AI697" s="552"/>
      <c r="AJ697" s="552">
        <v>50</v>
      </c>
      <c r="AK697" s="552"/>
      <c r="AL697" s="552"/>
      <c r="AM697" s="552"/>
      <c r="AN697" s="552"/>
      <c r="AO697" s="709" t="s">
        <v>7819</v>
      </c>
      <c r="AP697" s="552"/>
      <c r="AQ697" s="552" t="s">
        <v>7715</v>
      </c>
      <c r="AR697" s="552" t="s">
        <v>2809</v>
      </c>
      <c r="AT697" s="552" t="s">
        <v>726</v>
      </c>
    </row>
    <row r="698" spans="1:46" ht="14.7" customHeight="1">
      <c r="A698" s="710" t="s">
        <v>6379</v>
      </c>
      <c r="B698" s="344" t="s">
        <v>3699</v>
      </c>
      <c r="C698" s="539" t="s">
        <v>7753</v>
      </c>
      <c r="D698" s="709" t="s">
        <v>7820</v>
      </c>
      <c r="E698" s="552" t="s">
        <v>7755</v>
      </c>
      <c r="F698" s="552"/>
      <c r="G698" s="552" t="s">
        <v>7806</v>
      </c>
      <c r="H698" s="552"/>
      <c r="I698" s="552"/>
      <c r="J698" s="552"/>
      <c r="K698" s="552"/>
      <c r="L698" s="552"/>
      <c r="M698" s="552"/>
      <c r="N698" s="552"/>
      <c r="O698" s="552"/>
      <c r="P698" s="552"/>
      <c r="Q698" s="552">
        <v>6</v>
      </c>
      <c r="R698" s="552"/>
      <c r="S698" s="552"/>
      <c r="T698" s="552"/>
      <c r="U698" s="552"/>
      <c r="V698" s="552"/>
      <c r="W698" s="552"/>
      <c r="X698" s="552"/>
      <c r="Y698" s="552">
        <v>6</v>
      </c>
      <c r="Z698" s="552"/>
      <c r="AA698" s="552"/>
      <c r="AB698" s="552">
        <v>20</v>
      </c>
      <c r="AC698" s="552"/>
      <c r="AD698" s="552"/>
      <c r="AE698" s="552"/>
      <c r="AF698" s="552">
        <v>20</v>
      </c>
      <c r="AG698" s="552"/>
      <c r="AH698" s="552"/>
      <c r="AI698" s="552"/>
      <c r="AJ698" s="552"/>
      <c r="AK698" s="552"/>
      <c r="AL698" s="552"/>
      <c r="AM698" s="552"/>
      <c r="AN698" s="552"/>
      <c r="AO698" s="709" t="s">
        <v>7821</v>
      </c>
      <c r="AP698" s="552"/>
      <c r="AQ698" s="552" t="s">
        <v>7715</v>
      </c>
      <c r="AR698" s="552" t="s">
        <v>2809</v>
      </c>
      <c r="AT698" s="552" t="s">
        <v>726</v>
      </c>
    </row>
    <row r="699" spans="1:46" ht="14.7" customHeight="1">
      <c r="A699" s="706"/>
      <c r="B699" s="344" t="s">
        <v>3699</v>
      </c>
      <c r="C699" s="539" t="s">
        <v>7753</v>
      </c>
      <c r="D699" s="539" t="s">
        <v>2783</v>
      </c>
      <c r="E699" s="552"/>
      <c r="F699" s="552"/>
      <c r="G699" s="552"/>
      <c r="H699" s="552"/>
      <c r="I699" s="552"/>
      <c r="J699" s="552"/>
      <c r="K699" s="552"/>
      <c r="L699" s="552"/>
      <c r="M699" s="552"/>
      <c r="N699" s="552"/>
      <c r="O699" s="552"/>
      <c r="P699" s="552"/>
      <c r="Q699" s="552"/>
      <c r="R699" s="552"/>
      <c r="S699" s="552"/>
      <c r="T699" s="552"/>
      <c r="U699" s="552"/>
      <c r="V699" s="552"/>
      <c r="W699" s="552"/>
      <c r="X699" s="552"/>
      <c r="Y699" s="552"/>
      <c r="Z699" s="552"/>
      <c r="AA699" s="552"/>
      <c r="AB699" s="552"/>
      <c r="AC699" s="552"/>
      <c r="AD699" s="552"/>
      <c r="AE699" s="552"/>
      <c r="AF699" s="552"/>
      <c r="AG699" s="552"/>
      <c r="AH699" s="552"/>
      <c r="AI699" s="552"/>
      <c r="AJ699" s="552"/>
      <c r="AK699" s="552"/>
      <c r="AL699" s="552"/>
      <c r="AM699" s="552"/>
      <c r="AN699" s="552"/>
      <c r="AO699" s="552"/>
      <c r="AP699" s="552"/>
      <c r="AQ699" s="552" t="s">
        <v>7715</v>
      </c>
      <c r="AR699" s="552" t="s">
        <v>2809</v>
      </c>
      <c r="AT699" s="552" t="s">
        <v>726</v>
      </c>
    </row>
    <row r="700" spans="1:46" ht="14.7" customHeight="1">
      <c r="A700" s="706"/>
      <c r="B700" s="344" t="s">
        <v>3699</v>
      </c>
      <c r="C700" s="539" t="s">
        <v>7753</v>
      </c>
      <c r="D700" s="539" t="s">
        <v>2783</v>
      </c>
      <c r="E700" s="552"/>
      <c r="F700" s="552"/>
      <c r="G700" s="552"/>
      <c r="H700" s="552"/>
      <c r="I700" s="552"/>
      <c r="J700" s="552"/>
      <c r="K700" s="552"/>
      <c r="L700" s="552"/>
      <c r="M700" s="552"/>
      <c r="N700" s="552"/>
      <c r="O700" s="552"/>
      <c r="P700" s="552"/>
      <c r="Q700" s="552"/>
      <c r="R700" s="552"/>
      <c r="S700" s="552"/>
      <c r="T700" s="552"/>
      <c r="U700" s="552"/>
      <c r="V700" s="552"/>
      <c r="W700" s="552"/>
      <c r="X700" s="552"/>
      <c r="Y700" s="552"/>
      <c r="Z700" s="552"/>
      <c r="AA700" s="552"/>
      <c r="AB700" s="552"/>
      <c r="AC700" s="552"/>
      <c r="AD700" s="552"/>
      <c r="AE700" s="552"/>
      <c r="AF700" s="552"/>
      <c r="AG700" s="552"/>
      <c r="AH700" s="552"/>
      <c r="AI700" s="552"/>
      <c r="AJ700" s="552"/>
      <c r="AK700" s="552"/>
      <c r="AL700" s="552"/>
      <c r="AM700" s="552"/>
      <c r="AN700" s="552"/>
      <c r="AO700" s="552"/>
      <c r="AP700" s="552"/>
      <c r="AQ700" s="552" t="s">
        <v>7715</v>
      </c>
      <c r="AR700" s="552" t="s">
        <v>2809</v>
      </c>
      <c r="AT700" s="552" t="s">
        <v>726</v>
      </c>
    </row>
    <row r="701" spans="1:46" ht="14.7" customHeight="1">
      <c r="A701" s="706"/>
      <c r="B701" s="344" t="s">
        <v>3699</v>
      </c>
      <c r="C701" s="539" t="s">
        <v>7753</v>
      </c>
      <c r="D701" s="539" t="s">
        <v>2783</v>
      </c>
      <c r="E701" s="552"/>
      <c r="F701" s="552"/>
      <c r="G701" s="552"/>
      <c r="H701" s="552"/>
      <c r="I701" s="552"/>
      <c r="J701" s="552"/>
      <c r="K701" s="552"/>
      <c r="L701" s="552"/>
      <c r="M701" s="552"/>
      <c r="N701" s="552"/>
      <c r="O701" s="552"/>
      <c r="P701" s="552"/>
      <c r="Q701" s="552"/>
      <c r="R701" s="552"/>
      <c r="S701" s="552"/>
      <c r="T701" s="552"/>
      <c r="U701" s="552"/>
      <c r="V701" s="552"/>
      <c r="W701" s="552"/>
      <c r="X701" s="552"/>
      <c r="Y701" s="552"/>
      <c r="Z701" s="552"/>
      <c r="AA701" s="552"/>
      <c r="AB701" s="552"/>
      <c r="AC701" s="552"/>
      <c r="AD701" s="552"/>
      <c r="AE701" s="552"/>
      <c r="AF701" s="552"/>
      <c r="AG701" s="552"/>
      <c r="AH701" s="552"/>
      <c r="AI701" s="552"/>
      <c r="AJ701" s="552"/>
      <c r="AK701" s="552"/>
      <c r="AL701" s="552"/>
      <c r="AM701" s="552"/>
      <c r="AN701" s="552"/>
      <c r="AO701" s="552"/>
      <c r="AP701" s="552"/>
      <c r="AQ701" s="552" t="s">
        <v>7715</v>
      </c>
      <c r="AR701" s="552" t="s">
        <v>2809</v>
      </c>
      <c r="AT701" s="552" t="s">
        <v>726</v>
      </c>
    </row>
    <row r="702" spans="1:46" ht="14.7" customHeight="1">
      <c r="A702" s="710" t="s">
        <v>6380</v>
      </c>
      <c r="B702" s="559" t="s">
        <v>3700</v>
      </c>
      <c r="C702" s="539" t="s">
        <v>7753</v>
      </c>
      <c r="D702" s="709" t="s">
        <v>7822</v>
      </c>
      <c r="E702" s="552" t="s">
        <v>7758</v>
      </c>
      <c r="F702" s="552"/>
      <c r="G702" s="552" t="s">
        <v>7806</v>
      </c>
      <c r="H702" s="552"/>
      <c r="I702" s="552"/>
      <c r="J702" s="552"/>
      <c r="K702" s="552"/>
      <c r="L702" s="552"/>
      <c r="M702" s="552"/>
      <c r="N702" s="552"/>
      <c r="O702" s="552">
        <v>75</v>
      </c>
      <c r="P702" s="552"/>
      <c r="Q702" s="552">
        <v>4</v>
      </c>
      <c r="R702" s="552"/>
      <c r="S702" s="552"/>
      <c r="T702" s="552"/>
      <c r="U702" s="552"/>
      <c r="V702" s="552"/>
      <c r="W702" s="552"/>
      <c r="X702" s="552"/>
      <c r="Y702" s="552"/>
      <c r="Z702" s="552"/>
      <c r="AA702" s="552"/>
      <c r="AB702" s="552"/>
      <c r="AC702" s="552"/>
      <c r="AD702" s="552"/>
      <c r="AE702" s="552"/>
      <c r="AF702" s="552"/>
      <c r="AG702" s="552"/>
      <c r="AH702" s="552"/>
      <c r="AI702" s="552"/>
      <c r="AJ702" s="552"/>
      <c r="AK702" s="552"/>
      <c r="AL702" s="552"/>
      <c r="AM702" s="552"/>
      <c r="AN702" s="552"/>
      <c r="AO702" s="713" t="s">
        <v>7823</v>
      </c>
      <c r="AP702" s="552"/>
      <c r="AQ702" s="552" t="s">
        <v>7715</v>
      </c>
      <c r="AR702" s="552" t="s">
        <v>2971</v>
      </c>
      <c r="AT702" s="552" t="s">
        <v>726</v>
      </c>
    </row>
    <row r="703" spans="1:46" ht="14.7" customHeight="1">
      <c r="A703" s="706"/>
      <c r="B703" s="559" t="s">
        <v>3700</v>
      </c>
      <c r="C703" s="539" t="s">
        <v>7753</v>
      </c>
      <c r="D703" s="539" t="s">
        <v>2783</v>
      </c>
      <c r="E703" s="552"/>
      <c r="F703" s="552"/>
      <c r="G703" s="552"/>
      <c r="H703" s="552"/>
      <c r="I703" s="552"/>
      <c r="J703" s="552"/>
      <c r="K703" s="552"/>
      <c r="L703" s="552"/>
      <c r="M703" s="552"/>
      <c r="N703" s="552"/>
      <c r="O703" s="552"/>
      <c r="P703" s="552"/>
      <c r="Q703" s="552"/>
      <c r="R703" s="552"/>
      <c r="S703" s="552"/>
      <c r="T703" s="552"/>
      <c r="U703" s="552"/>
      <c r="V703" s="552"/>
      <c r="W703" s="552"/>
      <c r="X703" s="552"/>
      <c r="Y703" s="552"/>
      <c r="Z703" s="552"/>
      <c r="AA703" s="552"/>
      <c r="AB703" s="552"/>
      <c r="AC703" s="552"/>
      <c r="AD703" s="552"/>
      <c r="AE703" s="552"/>
      <c r="AF703" s="552"/>
      <c r="AG703" s="552"/>
      <c r="AH703" s="552"/>
      <c r="AI703" s="552"/>
      <c r="AJ703" s="552"/>
      <c r="AK703" s="552"/>
      <c r="AL703" s="552"/>
      <c r="AM703" s="552"/>
      <c r="AN703" s="552"/>
      <c r="AO703" s="552"/>
      <c r="AP703" s="552"/>
      <c r="AQ703" s="552" t="s">
        <v>7715</v>
      </c>
      <c r="AR703" s="552" t="s">
        <v>2971</v>
      </c>
      <c r="AT703" s="552" t="s">
        <v>726</v>
      </c>
    </row>
    <row r="704" spans="1:46" ht="14.7" customHeight="1">
      <c r="A704" s="706"/>
      <c r="B704" s="711" t="s">
        <v>6055</v>
      </c>
      <c r="C704" s="539" t="s">
        <v>7753</v>
      </c>
      <c r="D704" s="539" t="s">
        <v>2783</v>
      </c>
      <c r="E704" s="552"/>
      <c r="F704" s="552"/>
      <c r="G704" s="552"/>
      <c r="H704" s="552"/>
      <c r="I704" s="552"/>
      <c r="J704" s="552"/>
      <c r="K704" s="552"/>
      <c r="L704" s="552"/>
      <c r="M704" s="552"/>
      <c r="N704" s="552"/>
      <c r="O704" s="552"/>
      <c r="P704" s="552"/>
      <c r="Q704" s="552"/>
      <c r="R704" s="552"/>
      <c r="S704" s="552"/>
      <c r="T704" s="552"/>
      <c r="U704" s="552"/>
      <c r="V704" s="552"/>
      <c r="W704" s="552"/>
      <c r="X704" s="552"/>
      <c r="Y704" s="552"/>
      <c r="Z704" s="552"/>
      <c r="AA704" s="552"/>
      <c r="AB704" s="552"/>
      <c r="AC704" s="552"/>
      <c r="AD704" s="552"/>
      <c r="AE704" s="552"/>
      <c r="AF704" s="552"/>
      <c r="AG704" s="552"/>
      <c r="AH704" s="552"/>
      <c r="AI704" s="552"/>
      <c r="AJ704" s="552"/>
      <c r="AK704" s="552"/>
      <c r="AL704" s="552"/>
      <c r="AM704" s="552"/>
      <c r="AN704" s="552"/>
      <c r="AO704" s="552"/>
      <c r="AP704" s="552"/>
      <c r="AQ704" s="552" t="s">
        <v>7715</v>
      </c>
      <c r="AR704" s="552" t="s">
        <v>6697</v>
      </c>
      <c r="AT704" s="552" t="s">
        <v>726</v>
      </c>
    </row>
    <row r="705" spans="1:46" ht="14.7" customHeight="1">
      <c r="A705" s="706" t="s">
        <v>6381</v>
      </c>
      <c r="B705" s="540" t="s">
        <v>3695</v>
      </c>
      <c r="C705" s="539" t="s">
        <v>7753</v>
      </c>
      <c r="D705" s="709" t="s">
        <v>7824</v>
      </c>
      <c r="E705" s="552" t="s">
        <v>7755</v>
      </c>
      <c r="F705" s="552"/>
      <c r="G705" s="552" t="s">
        <v>7825</v>
      </c>
      <c r="H705" s="552"/>
      <c r="I705" s="552"/>
      <c r="J705" s="552"/>
      <c r="K705" s="552"/>
      <c r="L705" s="552"/>
      <c r="M705" s="552"/>
      <c r="N705" s="552"/>
      <c r="O705" s="552"/>
      <c r="P705" s="552"/>
      <c r="Q705" s="552"/>
      <c r="R705" s="552">
        <v>2</v>
      </c>
      <c r="S705" s="552"/>
      <c r="T705" s="552"/>
      <c r="U705" s="552"/>
      <c r="V705" s="552"/>
      <c r="W705" s="552"/>
      <c r="X705" s="552"/>
      <c r="Y705" s="552">
        <v>1</v>
      </c>
      <c r="Z705" s="552"/>
      <c r="AA705" s="552"/>
      <c r="AB705" s="552"/>
      <c r="AC705" s="552"/>
      <c r="AD705" s="552"/>
      <c r="AE705" s="552"/>
      <c r="AF705" s="552"/>
      <c r="AG705" s="552"/>
      <c r="AH705" s="552"/>
      <c r="AI705" s="552"/>
      <c r="AJ705" s="552"/>
      <c r="AK705" s="552"/>
      <c r="AL705" s="552"/>
      <c r="AM705" s="552"/>
      <c r="AN705" s="552"/>
      <c r="AO705" s="552"/>
      <c r="AP705" s="552"/>
      <c r="AQ705" s="552" t="s">
        <v>7715</v>
      </c>
      <c r="AR705" s="552" t="s">
        <v>2802</v>
      </c>
      <c r="AS705" s="552" t="s">
        <v>7484</v>
      </c>
      <c r="AT705" s="552" t="s">
        <v>726</v>
      </c>
    </row>
    <row r="706" spans="1:46" ht="14.7" customHeight="1">
      <c r="A706" s="706" t="s">
        <v>6382</v>
      </c>
      <c r="B706" s="540" t="s">
        <v>3695</v>
      </c>
      <c r="C706" s="539" t="s">
        <v>7753</v>
      </c>
      <c r="D706" s="709" t="s">
        <v>7826</v>
      </c>
      <c r="E706" s="552" t="s">
        <v>7755</v>
      </c>
      <c r="F706" s="552"/>
      <c r="G706" s="552" t="s">
        <v>7825</v>
      </c>
      <c r="H706" s="552"/>
      <c r="I706" s="552"/>
      <c r="J706" s="552"/>
      <c r="K706" s="552"/>
      <c r="L706" s="552"/>
      <c r="M706" s="552"/>
      <c r="N706" s="552"/>
      <c r="O706" s="552"/>
      <c r="P706" s="552"/>
      <c r="Q706" s="552"/>
      <c r="R706" s="552">
        <v>2</v>
      </c>
      <c r="S706" s="552"/>
      <c r="T706" s="552"/>
      <c r="U706" s="552"/>
      <c r="V706" s="552"/>
      <c r="W706" s="552"/>
      <c r="X706" s="552"/>
      <c r="Y706" s="552"/>
      <c r="Z706" s="552"/>
      <c r="AA706" s="552"/>
      <c r="AB706" s="552"/>
      <c r="AC706" s="552"/>
      <c r="AD706" s="552"/>
      <c r="AE706" s="552">
        <v>20</v>
      </c>
      <c r="AF706" s="552"/>
      <c r="AG706" s="552"/>
      <c r="AH706" s="552"/>
      <c r="AI706" s="552"/>
      <c r="AJ706" s="552"/>
      <c r="AK706" s="552"/>
      <c r="AL706" s="552"/>
      <c r="AM706" s="552"/>
      <c r="AN706" s="552"/>
      <c r="AO706" s="552"/>
      <c r="AP706" s="552"/>
      <c r="AQ706" s="552" t="s">
        <v>7715</v>
      </c>
      <c r="AR706" s="552" t="s">
        <v>2802</v>
      </c>
      <c r="AS706" s="552" t="s">
        <v>7484</v>
      </c>
      <c r="AT706" s="552" t="s">
        <v>726</v>
      </c>
    </row>
    <row r="707" spans="1:46" ht="14.7" customHeight="1">
      <c r="A707" s="706" t="s">
        <v>6383</v>
      </c>
      <c r="B707" s="707" t="s">
        <v>3696</v>
      </c>
      <c r="C707" s="539" t="s">
        <v>7753</v>
      </c>
      <c r="D707" s="709" t="s">
        <v>7827</v>
      </c>
      <c r="E707" s="552" t="s">
        <v>7755</v>
      </c>
      <c r="F707" s="552"/>
      <c r="G707" s="552" t="s">
        <v>7825</v>
      </c>
      <c r="H707" s="552"/>
      <c r="I707" s="552"/>
      <c r="J707" s="552"/>
      <c r="K707" s="552"/>
      <c r="L707" s="552"/>
      <c r="M707" s="552"/>
      <c r="N707" s="552"/>
      <c r="O707" s="552"/>
      <c r="P707" s="552"/>
      <c r="Q707" s="552"/>
      <c r="R707" s="552">
        <v>1</v>
      </c>
      <c r="S707" s="552"/>
      <c r="T707" s="552"/>
      <c r="U707" s="552"/>
      <c r="V707" s="552"/>
      <c r="W707" s="552"/>
      <c r="X707" s="552"/>
      <c r="Y707" s="552">
        <v>3</v>
      </c>
      <c r="Z707" s="552"/>
      <c r="AA707" s="552"/>
      <c r="AB707" s="552"/>
      <c r="AC707" s="552"/>
      <c r="AD707" s="552"/>
      <c r="AE707" s="552"/>
      <c r="AF707" s="552"/>
      <c r="AG707" s="552"/>
      <c r="AH707" s="552"/>
      <c r="AI707" s="552"/>
      <c r="AJ707" s="552"/>
      <c r="AK707" s="552"/>
      <c r="AL707" s="552"/>
      <c r="AM707" s="552"/>
      <c r="AN707" s="552"/>
      <c r="AO707" s="552"/>
      <c r="AP707" s="552"/>
      <c r="AQ707" s="552" t="s">
        <v>7715</v>
      </c>
      <c r="AR707" s="552" t="s">
        <v>2805</v>
      </c>
      <c r="AS707" s="552" t="s">
        <v>7484</v>
      </c>
      <c r="AT707" s="552" t="s">
        <v>726</v>
      </c>
    </row>
    <row r="708" spans="1:46" ht="14.7" customHeight="1">
      <c r="A708" s="706"/>
      <c r="B708" s="707" t="s">
        <v>3696</v>
      </c>
      <c r="C708" s="539" t="s">
        <v>7753</v>
      </c>
      <c r="D708" s="539" t="s">
        <v>2783</v>
      </c>
      <c r="E708" s="552"/>
      <c r="F708" s="552"/>
      <c r="G708" s="552"/>
      <c r="H708" s="552"/>
      <c r="I708" s="552"/>
      <c r="J708" s="552"/>
      <c r="K708" s="552"/>
      <c r="L708" s="552"/>
      <c r="M708" s="552"/>
      <c r="N708" s="552"/>
      <c r="O708" s="552"/>
      <c r="P708" s="552"/>
      <c r="Q708" s="552"/>
      <c r="R708" s="552"/>
      <c r="S708" s="552"/>
      <c r="T708" s="552"/>
      <c r="U708" s="552"/>
      <c r="V708" s="552"/>
      <c r="W708" s="552"/>
      <c r="X708" s="552"/>
      <c r="Y708" s="552"/>
      <c r="Z708" s="552"/>
      <c r="AA708" s="552"/>
      <c r="AB708" s="552"/>
      <c r="AC708" s="552"/>
      <c r="AD708" s="552"/>
      <c r="AE708" s="552"/>
      <c r="AF708" s="552"/>
      <c r="AG708" s="552"/>
      <c r="AH708" s="552"/>
      <c r="AI708" s="552"/>
      <c r="AJ708" s="552"/>
      <c r="AK708" s="552"/>
      <c r="AL708" s="552"/>
      <c r="AM708" s="552"/>
      <c r="AN708" s="552"/>
      <c r="AO708" s="552"/>
      <c r="AP708" s="552"/>
      <c r="AQ708" s="552" t="s">
        <v>7715</v>
      </c>
      <c r="AR708" s="552" t="s">
        <v>2805</v>
      </c>
      <c r="AS708" s="552" t="s">
        <v>7484</v>
      </c>
      <c r="AT708" s="552" t="s">
        <v>726</v>
      </c>
    </row>
    <row r="709" spans="1:46" ht="14.7" customHeight="1">
      <c r="A709" s="706" t="s">
        <v>6384</v>
      </c>
      <c r="B709" s="556" t="s">
        <v>3697</v>
      </c>
      <c r="C709" s="539" t="s">
        <v>7753</v>
      </c>
      <c r="D709" s="709" t="s">
        <v>7828</v>
      </c>
      <c r="E709" s="552" t="s">
        <v>7758</v>
      </c>
      <c r="F709" s="552"/>
      <c r="G709" s="552" t="s">
        <v>7825</v>
      </c>
      <c r="H709" s="552"/>
      <c r="I709" s="552"/>
      <c r="J709" s="552"/>
      <c r="K709" s="552"/>
      <c r="L709" s="552"/>
      <c r="M709" s="552"/>
      <c r="N709" s="552"/>
      <c r="O709" s="552"/>
      <c r="P709" s="552"/>
      <c r="Q709" s="552"/>
      <c r="R709" s="552"/>
      <c r="S709" s="552"/>
      <c r="T709" s="552"/>
      <c r="U709" s="552"/>
      <c r="V709" s="552"/>
      <c r="W709" s="552"/>
      <c r="X709" s="552"/>
      <c r="Y709" s="552"/>
      <c r="Z709" s="552"/>
      <c r="AA709" s="552"/>
      <c r="AB709" s="552">
        <v>50</v>
      </c>
      <c r="AC709" s="552"/>
      <c r="AD709" s="552"/>
      <c r="AE709" s="552"/>
      <c r="AF709" s="552"/>
      <c r="AG709" s="552"/>
      <c r="AH709" s="552"/>
      <c r="AI709" s="552"/>
      <c r="AJ709" s="552"/>
      <c r="AK709" s="552"/>
      <c r="AL709" s="552"/>
      <c r="AM709" s="552"/>
      <c r="AN709" s="552"/>
      <c r="AO709" s="709" t="s">
        <v>7829</v>
      </c>
      <c r="AP709" s="552"/>
      <c r="AQ709" s="552" t="s">
        <v>7715</v>
      </c>
      <c r="AR709" s="552" t="s">
        <v>2875</v>
      </c>
      <c r="AS709" s="552" t="s">
        <v>7484</v>
      </c>
      <c r="AT709" s="552" t="s">
        <v>726</v>
      </c>
    </row>
    <row r="710" spans="1:46" ht="14.7" customHeight="1">
      <c r="A710" s="706" t="s">
        <v>6385</v>
      </c>
      <c r="B710" s="556" t="s">
        <v>3697</v>
      </c>
      <c r="C710" s="539" t="s">
        <v>7753</v>
      </c>
      <c r="D710" s="709" t="s">
        <v>7830</v>
      </c>
      <c r="E710" s="552" t="s">
        <v>7755</v>
      </c>
      <c r="F710" s="552"/>
      <c r="G710" s="552" t="s">
        <v>7825</v>
      </c>
      <c r="H710" s="552"/>
      <c r="I710" s="552"/>
      <c r="J710" s="552"/>
      <c r="K710" s="552"/>
      <c r="L710" s="552"/>
      <c r="M710" s="552"/>
      <c r="N710" s="552"/>
      <c r="O710" s="552"/>
      <c r="P710" s="552"/>
      <c r="Q710" s="552"/>
      <c r="R710" s="552"/>
      <c r="S710" s="552"/>
      <c r="T710" s="552"/>
      <c r="U710" s="552"/>
      <c r="V710" s="552"/>
      <c r="W710" s="552"/>
      <c r="X710" s="552"/>
      <c r="Y710" s="552"/>
      <c r="Z710" s="552"/>
      <c r="AA710" s="552"/>
      <c r="AB710" s="552"/>
      <c r="AC710" s="552"/>
      <c r="AD710" s="552"/>
      <c r="AE710" s="552"/>
      <c r="AF710" s="552"/>
      <c r="AG710" s="552"/>
      <c r="AH710" s="552"/>
      <c r="AI710" s="552"/>
      <c r="AJ710" s="552"/>
      <c r="AK710" s="552"/>
      <c r="AL710" s="552"/>
      <c r="AM710" s="552"/>
      <c r="AN710" s="552"/>
      <c r="AO710" s="709" t="s">
        <v>7831</v>
      </c>
      <c r="AP710" s="552"/>
      <c r="AQ710" s="552" t="s">
        <v>7715</v>
      </c>
      <c r="AR710" s="552" t="s">
        <v>2875</v>
      </c>
      <c r="AS710" s="552" t="s">
        <v>7484</v>
      </c>
      <c r="AT710" s="552" t="s">
        <v>726</v>
      </c>
    </row>
    <row r="711" spans="1:46" ht="14.7" customHeight="1">
      <c r="A711" s="706"/>
      <c r="B711" s="556" t="s">
        <v>3697</v>
      </c>
      <c r="C711" s="539" t="s">
        <v>7753</v>
      </c>
      <c r="D711" s="539" t="s">
        <v>2783</v>
      </c>
      <c r="E711" s="552"/>
      <c r="F711" s="552"/>
      <c r="G711" s="552"/>
      <c r="H711" s="552"/>
      <c r="I711" s="552"/>
      <c r="J711" s="552"/>
      <c r="K711" s="552"/>
      <c r="L711" s="552"/>
      <c r="M711" s="552"/>
      <c r="N711" s="552"/>
      <c r="O711" s="552"/>
      <c r="P711" s="552"/>
      <c r="Q711" s="552"/>
      <c r="R711" s="552"/>
      <c r="S711" s="552"/>
      <c r="T711" s="552"/>
      <c r="U711" s="552"/>
      <c r="V711" s="552"/>
      <c r="W711" s="552"/>
      <c r="X711" s="552"/>
      <c r="Y711" s="552"/>
      <c r="Z711" s="552"/>
      <c r="AA711" s="552"/>
      <c r="AB711" s="552"/>
      <c r="AC711" s="552"/>
      <c r="AD711" s="552"/>
      <c r="AE711" s="552"/>
      <c r="AF711" s="552"/>
      <c r="AG711" s="552"/>
      <c r="AH711" s="552"/>
      <c r="AI711" s="552"/>
      <c r="AJ711" s="552"/>
      <c r="AK711" s="552"/>
      <c r="AL711" s="552"/>
      <c r="AM711" s="552"/>
      <c r="AN711" s="552"/>
      <c r="AO711" s="552"/>
      <c r="AP711" s="552"/>
      <c r="AQ711" s="552" t="s">
        <v>7715</v>
      </c>
      <c r="AR711" s="552" t="s">
        <v>2875</v>
      </c>
      <c r="AS711" s="552" t="s">
        <v>7484</v>
      </c>
      <c r="AT711" s="552" t="s">
        <v>726</v>
      </c>
    </row>
    <row r="712" spans="1:46" ht="14.7" customHeight="1">
      <c r="A712" s="706" t="s">
        <v>6386</v>
      </c>
      <c r="B712" s="557" t="s">
        <v>3698</v>
      </c>
      <c r="C712" s="539" t="s">
        <v>7753</v>
      </c>
      <c r="D712" s="709" t="s">
        <v>7832</v>
      </c>
      <c r="E712" s="552" t="s">
        <v>7758</v>
      </c>
      <c r="F712" s="552"/>
      <c r="G712" s="552" t="s">
        <v>7825</v>
      </c>
      <c r="H712" s="552"/>
      <c r="I712" s="552"/>
      <c r="J712" s="552"/>
      <c r="K712" s="552"/>
      <c r="L712" s="552"/>
      <c r="M712" s="552"/>
      <c r="N712" s="552"/>
      <c r="O712" s="552"/>
      <c r="P712" s="552"/>
      <c r="Q712" s="552"/>
      <c r="R712" s="552">
        <v>4</v>
      </c>
      <c r="S712" s="552"/>
      <c r="T712" s="552"/>
      <c r="U712" s="552"/>
      <c r="V712" s="552"/>
      <c r="W712" s="552"/>
      <c r="X712" s="552">
        <v>2</v>
      </c>
      <c r="Y712" s="552">
        <v>2</v>
      </c>
      <c r="Z712" s="552"/>
      <c r="AA712" s="552"/>
      <c r="AB712" s="552"/>
      <c r="AC712" s="552"/>
      <c r="AD712" s="552"/>
      <c r="AE712" s="552"/>
      <c r="AF712" s="552">
        <v>50</v>
      </c>
      <c r="AG712" s="552"/>
      <c r="AH712" s="552"/>
      <c r="AI712" s="552"/>
      <c r="AJ712" s="552"/>
      <c r="AK712" s="552"/>
      <c r="AL712" s="552"/>
      <c r="AM712" s="552"/>
      <c r="AN712" s="552"/>
      <c r="AO712" s="552"/>
      <c r="AP712" s="552"/>
      <c r="AQ712" s="552" t="s">
        <v>7715</v>
      </c>
      <c r="AR712" s="552" t="s">
        <v>2998</v>
      </c>
      <c r="AS712" s="552" t="s">
        <v>7484</v>
      </c>
      <c r="AT712" s="552" t="s">
        <v>726</v>
      </c>
    </row>
    <row r="713" spans="1:46" ht="14.7" customHeight="1">
      <c r="A713" s="710" t="s">
        <v>6387</v>
      </c>
      <c r="B713" s="557" t="s">
        <v>3698</v>
      </c>
      <c r="C713" s="539" t="s">
        <v>7753</v>
      </c>
      <c r="D713" s="709" t="s">
        <v>7833</v>
      </c>
      <c r="E713" s="552" t="s">
        <v>7755</v>
      </c>
      <c r="F713" s="552"/>
      <c r="G713" s="552" t="s">
        <v>7825</v>
      </c>
      <c r="H713" s="552"/>
      <c r="I713" s="552"/>
      <c r="J713" s="552"/>
      <c r="K713" s="552"/>
      <c r="L713" s="552"/>
      <c r="M713" s="552"/>
      <c r="N713" s="552"/>
      <c r="O713" s="552">
        <v>25</v>
      </c>
      <c r="P713" s="552"/>
      <c r="Q713" s="552"/>
      <c r="R713" s="552">
        <v>3</v>
      </c>
      <c r="S713" s="552"/>
      <c r="T713" s="552"/>
      <c r="U713" s="552"/>
      <c r="V713" s="552"/>
      <c r="W713" s="552"/>
      <c r="X713" s="552"/>
      <c r="Y713" s="552">
        <v>3</v>
      </c>
      <c r="Z713" s="552"/>
      <c r="AA713" s="552"/>
      <c r="AB713" s="552"/>
      <c r="AC713" s="552"/>
      <c r="AD713" s="552">
        <v>30</v>
      </c>
      <c r="AE713" s="552"/>
      <c r="AF713" s="552"/>
      <c r="AG713" s="552"/>
      <c r="AH713" s="552"/>
      <c r="AI713" s="552"/>
      <c r="AJ713" s="552"/>
      <c r="AK713" s="552"/>
      <c r="AL713" s="552"/>
      <c r="AM713" s="552"/>
      <c r="AN713" s="552"/>
      <c r="AO713" s="552"/>
      <c r="AP713" s="709" t="s">
        <v>7834</v>
      </c>
      <c r="AQ713" s="552" t="s">
        <v>7715</v>
      </c>
      <c r="AR713" s="552" t="s">
        <v>2998</v>
      </c>
      <c r="AS713" s="552" t="s">
        <v>7484</v>
      </c>
      <c r="AT713" s="552" t="s">
        <v>726</v>
      </c>
    </row>
    <row r="714" spans="1:46" ht="14.7" customHeight="1">
      <c r="A714" s="706"/>
      <c r="B714" s="557" t="s">
        <v>3698</v>
      </c>
      <c r="C714" s="539" t="s">
        <v>7753</v>
      </c>
      <c r="D714" s="539" t="s">
        <v>2783</v>
      </c>
      <c r="E714" s="552"/>
      <c r="F714" s="552"/>
      <c r="G714" s="552"/>
      <c r="H714" s="552"/>
      <c r="I714" s="552"/>
      <c r="J714" s="552"/>
      <c r="K714" s="552"/>
      <c r="L714" s="552"/>
      <c r="M714" s="552"/>
      <c r="N714" s="552"/>
      <c r="O714" s="552"/>
      <c r="P714" s="552"/>
      <c r="Q714" s="552"/>
      <c r="R714" s="552"/>
      <c r="S714" s="552"/>
      <c r="T714" s="552"/>
      <c r="U714" s="552"/>
      <c r="V714" s="552"/>
      <c r="W714" s="552"/>
      <c r="X714" s="552"/>
      <c r="Y714" s="552"/>
      <c r="Z714" s="552"/>
      <c r="AA714" s="552"/>
      <c r="AB714" s="552"/>
      <c r="AC714" s="552"/>
      <c r="AD714" s="552"/>
      <c r="AE714" s="552"/>
      <c r="AF714" s="552"/>
      <c r="AG714" s="552"/>
      <c r="AH714" s="552"/>
      <c r="AI714" s="552"/>
      <c r="AJ714" s="552"/>
      <c r="AK714" s="552"/>
      <c r="AL714" s="552"/>
      <c r="AM714" s="552"/>
      <c r="AN714" s="552"/>
      <c r="AO714" s="552"/>
      <c r="AP714" s="552"/>
      <c r="AQ714" s="552" t="s">
        <v>7715</v>
      </c>
      <c r="AR714" s="552" t="s">
        <v>2998</v>
      </c>
      <c r="AS714" s="552" t="s">
        <v>7484</v>
      </c>
      <c r="AT714" s="552" t="s">
        <v>726</v>
      </c>
    </row>
    <row r="715" spans="1:46" ht="14.7" customHeight="1">
      <c r="A715" s="706"/>
      <c r="B715" s="557" t="s">
        <v>3698</v>
      </c>
      <c r="C715" s="539" t="s">
        <v>7753</v>
      </c>
      <c r="D715" s="539" t="s">
        <v>2783</v>
      </c>
      <c r="E715" s="552"/>
      <c r="F715" s="552"/>
      <c r="G715" s="552"/>
      <c r="H715" s="552"/>
      <c r="I715" s="552"/>
      <c r="J715" s="552"/>
      <c r="K715" s="552"/>
      <c r="L715" s="552"/>
      <c r="M715" s="552"/>
      <c r="N715" s="552"/>
      <c r="O715" s="552"/>
      <c r="P715" s="552"/>
      <c r="Q715" s="552"/>
      <c r="R715" s="552"/>
      <c r="S715" s="552"/>
      <c r="T715" s="552"/>
      <c r="U715" s="552"/>
      <c r="V715" s="552"/>
      <c r="W715" s="552"/>
      <c r="X715" s="552"/>
      <c r="Y715" s="552"/>
      <c r="Z715" s="552"/>
      <c r="AA715" s="552"/>
      <c r="AB715" s="552"/>
      <c r="AC715" s="552"/>
      <c r="AD715" s="552"/>
      <c r="AE715" s="552"/>
      <c r="AF715" s="552"/>
      <c r="AG715" s="552"/>
      <c r="AH715" s="552"/>
      <c r="AI715" s="552"/>
      <c r="AJ715" s="552"/>
      <c r="AK715" s="552"/>
      <c r="AL715" s="552"/>
      <c r="AM715" s="552"/>
      <c r="AN715" s="552"/>
      <c r="AO715" s="552"/>
      <c r="AP715" s="552"/>
      <c r="AQ715" s="552" t="s">
        <v>7715</v>
      </c>
      <c r="AR715" s="552" t="s">
        <v>2998</v>
      </c>
      <c r="AS715" s="552" t="s">
        <v>7484</v>
      </c>
      <c r="AT715" s="552" t="s">
        <v>726</v>
      </c>
    </row>
    <row r="716" spans="1:46" ht="14.7" customHeight="1">
      <c r="A716" s="710" t="s">
        <v>7835</v>
      </c>
      <c r="B716" s="344" t="s">
        <v>3699</v>
      </c>
      <c r="C716" s="539" t="s">
        <v>7753</v>
      </c>
      <c r="D716" s="709" t="s">
        <v>7836</v>
      </c>
      <c r="E716" s="552" t="s">
        <v>7758</v>
      </c>
      <c r="F716" s="552"/>
      <c r="G716" s="552" t="s">
        <v>7825</v>
      </c>
      <c r="H716" s="552"/>
      <c r="I716" s="552"/>
      <c r="J716" s="552"/>
      <c r="K716" s="552"/>
      <c r="L716" s="552"/>
      <c r="M716" s="552"/>
      <c r="N716" s="552"/>
      <c r="O716" s="552">
        <v>50</v>
      </c>
      <c r="P716" s="552"/>
      <c r="Q716" s="552">
        <v>2</v>
      </c>
      <c r="R716" s="552">
        <v>2</v>
      </c>
      <c r="S716" s="552"/>
      <c r="T716" s="552"/>
      <c r="U716" s="552"/>
      <c r="V716" s="552"/>
      <c r="W716" s="552"/>
      <c r="X716" s="552"/>
      <c r="Y716" s="552">
        <v>2</v>
      </c>
      <c r="Z716" s="552"/>
      <c r="AA716" s="552"/>
      <c r="AB716" s="552"/>
      <c r="AC716" s="552"/>
      <c r="AD716" s="552"/>
      <c r="AE716" s="552"/>
      <c r="AF716" s="552"/>
      <c r="AG716" s="552"/>
      <c r="AH716" s="552"/>
      <c r="AI716" s="552"/>
      <c r="AJ716" s="552"/>
      <c r="AK716" s="552"/>
      <c r="AL716" s="552"/>
      <c r="AM716" s="552"/>
      <c r="AN716" s="552"/>
      <c r="AO716" s="552"/>
      <c r="AP716" s="709" t="s">
        <v>7837</v>
      </c>
      <c r="AQ716" s="552" t="s">
        <v>7715</v>
      </c>
      <c r="AR716" s="552" t="s">
        <v>2809</v>
      </c>
      <c r="AS716" s="552" t="s">
        <v>7484</v>
      </c>
      <c r="AT716" s="552" t="s">
        <v>726</v>
      </c>
    </row>
    <row r="717" spans="1:46" ht="14.7" customHeight="1">
      <c r="A717" s="710" t="s">
        <v>6388</v>
      </c>
      <c r="B717" s="344" t="s">
        <v>3699</v>
      </c>
      <c r="C717" s="539" t="s">
        <v>7753</v>
      </c>
      <c r="D717" s="709" t="s">
        <v>7838</v>
      </c>
      <c r="E717" s="552" t="s">
        <v>7755</v>
      </c>
      <c r="F717" s="552"/>
      <c r="G717" s="552" t="s">
        <v>7825</v>
      </c>
      <c r="H717" s="552"/>
      <c r="I717" s="552"/>
      <c r="J717" s="552"/>
      <c r="K717" s="552"/>
      <c r="L717" s="552"/>
      <c r="M717" s="552"/>
      <c r="N717" s="552"/>
      <c r="O717" s="552">
        <v>50</v>
      </c>
      <c r="P717" s="552"/>
      <c r="Q717" s="552"/>
      <c r="R717" s="552">
        <v>5</v>
      </c>
      <c r="S717" s="552"/>
      <c r="T717" s="552"/>
      <c r="U717" s="552">
        <v>1</v>
      </c>
      <c r="V717" s="552"/>
      <c r="W717" s="552"/>
      <c r="X717" s="552"/>
      <c r="Y717" s="552"/>
      <c r="Z717" s="552"/>
      <c r="AA717" s="552"/>
      <c r="AB717" s="552"/>
      <c r="AC717" s="552"/>
      <c r="AD717" s="552"/>
      <c r="AE717" s="552"/>
      <c r="AF717" s="552"/>
      <c r="AG717" s="552"/>
      <c r="AH717" s="552"/>
      <c r="AI717" s="552"/>
      <c r="AJ717" s="552"/>
      <c r="AK717" s="552"/>
      <c r="AL717" s="552"/>
      <c r="AM717" s="552"/>
      <c r="AN717" s="552"/>
      <c r="AO717" s="709" t="s">
        <v>7839</v>
      </c>
      <c r="AP717" s="552"/>
      <c r="AQ717" s="552" t="s">
        <v>7715</v>
      </c>
      <c r="AR717" s="552" t="s">
        <v>2809</v>
      </c>
      <c r="AS717" s="552" t="s">
        <v>7484</v>
      </c>
      <c r="AT717" s="552" t="s">
        <v>726</v>
      </c>
    </row>
    <row r="718" spans="1:46" ht="14.7" customHeight="1">
      <c r="A718" s="710" t="s">
        <v>6389</v>
      </c>
      <c r="B718" s="344" t="s">
        <v>3699</v>
      </c>
      <c r="C718" s="539" t="s">
        <v>7753</v>
      </c>
      <c r="D718" s="709" t="s">
        <v>7840</v>
      </c>
      <c r="E718" s="552" t="s">
        <v>7755</v>
      </c>
      <c r="F718" s="552"/>
      <c r="G718" s="552" t="s">
        <v>7825</v>
      </c>
      <c r="H718" s="552"/>
      <c r="I718" s="552"/>
      <c r="J718" s="552"/>
      <c r="K718" s="552"/>
      <c r="L718" s="552"/>
      <c r="M718" s="552"/>
      <c r="N718" s="552"/>
      <c r="O718" s="552"/>
      <c r="P718" s="552"/>
      <c r="Q718" s="552">
        <v>4</v>
      </c>
      <c r="R718" s="552"/>
      <c r="S718" s="552"/>
      <c r="T718" s="552"/>
      <c r="U718" s="552"/>
      <c r="V718" s="552"/>
      <c r="W718" s="552"/>
      <c r="X718" s="552">
        <v>4</v>
      </c>
      <c r="Y718" s="552"/>
      <c r="Z718" s="552"/>
      <c r="AA718" s="552"/>
      <c r="AB718" s="552"/>
      <c r="AC718" s="552"/>
      <c r="AD718" s="552"/>
      <c r="AE718" s="552"/>
      <c r="AF718" s="552">
        <v>40</v>
      </c>
      <c r="AG718" s="552"/>
      <c r="AH718" s="552"/>
      <c r="AI718" s="552"/>
      <c r="AJ718" s="552"/>
      <c r="AK718" s="552"/>
      <c r="AL718" s="552"/>
      <c r="AM718" s="552"/>
      <c r="AN718" s="552"/>
      <c r="AO718" s="552"/>
      <c r="AP718" s="713" t="s">
        <v>7841</v>
      </c>
      <c r="AQ718" s="552" t="s">
        <v>7715</v>
      </c>
      <c r="AR718" s="552" t="s">
        <v>2809</v>
      </c>
      <c r="AS718" s="552" t="s">
        <v>7484</v>
      </c>
      <c r="AT718" s="552" t="s">
        <v>726</v>
      </c>
    </row>
    <row r="719" spans="1:46" ht="14.7" customHeight="1">
      <c r="A719" s="710" t="s">
        <v>6390</v>
      </c>
      <c r="B719" s="344" t="s">
        <v>3699</v>
      </c>
      <c r="C719" s="539" t="s">
        <v>7753</v>
      </c>
      <c r="D719" s="709" t="s">
        <v>7842</v>
      </c>
      <c r="E719" s="552" t="s">
        <v>7755</v>
      </c>
      <c r="F719" s="552"/>
      <c r="G719" s="552" t="s">
        <v>7825</v>
      </c>
      <c r="H719" s="552"/>
      <c r="I719" s="552"/>
      <c r="J719" s="552"/>
      <c r="K719" s="552"/>
      <c r="L719" s="552"/>
      <c r="M719" s="552"/>
      <c r="N719" s="552"/>
      <c r="O719" s="552">
        <v>75</v>
      </c>
      <c r="P719" s="552"/>
      <c r="Q719" s="552"/>
      <c r="R719" s="552">
        <v>3</v>
      </c>
      <c r="S719" s="552"/>
      <c r="T719" s="552"/>
      <c r="U719" s="552"/>
      <c r="V719" s="552"/>
      <c r="W719" s="552"/>
      <c r="X719" s="552"/>
      <c r="Y719" s="552"/>
      <c r="Z719" s="552"/>
      <c r="AA719" s="552"/>
      <c r="AB719" s="552"/>
      <c r="AC719" s="552"/>
      <c r="AD719" s="552"/>
      <c r="AE719" s="552"/>
      <c r="AF719" s="552"/>
      <c r="AG719" s="552"/>
      <c r="AH719" s="552"/>
      <c r="AI719" s="552"/>
      <c r="AJ719" s="552"/>
      <c r="AK719" s="552"/>
      <c r="AL719" s="552"/>
      <c r="AM719" s="552"/>
      <c r="AN719" s="552"/>
      <c r="AO719" s="713" t="s">
        <v>7843</v>
      </c>
      <c r="AP719" s="552"/>
      <c r="AQ719" s="552" t="s">
        <v>7715</v>
      </c>
      <c r="AR719" s="552" t="s">
        <v>2809</v>
      </c>
      <c r="AS719" s="552" t="s">
        <v>7484</v>
      </c>
      <c r="AT719" s="552" t="s">
        <v>726</v>
      </c>
    </row>
    <row r="720" spans="1:46" ht="14.7" customHeight="1">
      <c r="A720" s="706"/>
      <c r="B720" s="344" t="s">
        <v>3699</v>
      </c>
      <c r="C720" s="539" t="s">
        <v>7753</v>
      </c>
      <c r="D720" s="539" t="s">
        <v>2783</v>
      </c>
      <c r="E720" s="552"/>
      <c r="F720" s="552"/>
      <c r="G720" s="552"/>
      <c r="H720" s="552"/>
      <c r="I720" s="552"/>
      <c r="J720" s="552"/>
      <c r="K720" s="552"/>
      <c r="L720" s="552"/>
      <c r="M720" s="552"/>
      <c r="N720" s="552"/>
      <c r="O720" s="552"/>
      <c r="P720" s="552"/>
      <c r="Q720" s="552"/>
      <c r="R720" s="552"/>
      <c r="S720" s="552"/>
      <c r="T720" s="552"/>
      <c r="U720" s="552"/>
      <c r="V720" s="552"/>
      <c r="W720" s="552"/>
      <c r="X720" s="552"/>
      <c r="Y720" s="552"/>
      <c r="Z720" s="552"/>
      <c r="AA720" s="552"/>
      <c r="AB720" s="552"/>
      <c r="AC720" s="552"/>
      <c r="AD720" s="552"/>
      <c r="AE720" s="552"/>
      <c r="AF720" s="552"/>
      <c r="AG720" s="552"/>
      <c r="AH720" s="552"/>
      <c r="AI720" s="552"/>
      <c r="AJ720" s="552"/>
      <c r="AK720" s="552"/>
      <c r="AL720" s="552"/>
      <c r="AM720" s="552"/>
      <c r="AN720" s="552"/>
      <c r="AO720" s="552"/>
      <c r="AP720" s="552"/>
      <c r="AQ720" s="552" t="s">
        <v>7715</v>
      </c>
      <c r="AR720" s="552" t="s">
        <v>2809</v>
      </c>
      <c r="AS720" s="552" t="s">
        <v>7484</v>
      </c>
      <c r="AT720" s="552" t="s">
        <v>726</v>
      </c>
    </row>
    <row r="721" spans="1:46" ht="14.7" customHeight="1">
      <c r="A721" s="710" t="s">
        <v>7844</v>
      </c>
      <c r="B721" s="559" t="s">
        <v>3700</v>
      </c>
      <c r="C721" s="539" t="s">
        <v>7753</v>
      </c>
      <c r="D721" s="709" t="s">
        <v>7845</v>
      </c>
      <c r="E721" s="552" t="s">
        <v>7755</v>
      </c>
      <c r="F721" s="552"/>
      <c r="G721" s="552" t="s">
        <v>7825</v>
      </c>
      <c r="H721" s="552"/>
      <c r="I721" s="552"/>
      <c r="J721" s="552"/>
      <c r="K721" s="552"/>
      <c r="L721" s="552"/>
      <c r="M721" s="552"/>
      <c r="N721" s="552"/>
      <c r="O721" s="552">
        <v>100</v>
      </c>
      <c r="P721" s="552"/>
      <c r="Q721" s="552"/>
      <c r="R721" s="552"/>
      <c r="S721" s="552"/>
      <c r="T721" s="552"/>
      <c r="U721" s="552"/>
      <c r="V721" s="552"/>
      <c r="W721" s="552"/>
      <c r="X721" s="552"/>
      <c r="Y721" s="552">
        <v>5</v>
      </c>
      <c r="Z721" s="552"/>
      <c r="AA721" s="552"/>
      <c r="AB721" s="552"/>
      <c r="AC721" s="552"/>
      <c r="AD721" s="552"/>
      <c r="AE721" s="552"/>
      <c r="AF721" s="552"/>
      <c r="AG721" s="552"/>
      <c r="AH721" s="552"/>
      <c r="AI721" s="552"/>
      <c r="AJ721" s="552"/>
      <c r="AK721" s="552"/>
      <c r="AL721" s="552"/>
      <c r="AM721" s="552"/>
      <c r="AN721" s="552"/>
      <c r="AO721" s="552"/>
      <c r="AP721" s="709" t="s">
        <v>7846</v>
      </c>
      <c r="AQ721" s="552" t="s">
        <v>7715</v>
      </c>
      <c r="AR721" s="552" t="s">
        <v>2971</v>
      </c>
      <c r="AS721" s="552" t="s">
        <v>7484</v>
      </c>
      <c r="AT721" s="552" t="s">
        <v>726</v>
      </c>
    </row>
    <row r="722" spans="1:46" ht="14.7" customHeight="1">
      <c r="A722" s="706"/>
      <c r="B722" s="559" t="s">
        <v>3700</v>
      </c>
      <c r="C722" s="539" t="s">
        <v>7753</v>
      </c>
      <c r="D722" s="709"/>
      <c r="E722" s="552"/>
      <c r="F722" s="552"/>
      <c r="G722" s="552"/>
      <c r="H722" s="552"/>
      <c r="I722" s="552"/>
      <c r="J722" s="552"/>
      <c r="K722" s="552"/>
      <c r="L722" s="552"/>
      <c r="M722" s="552"/>
      <c r="N722" s="552"/>
      <c r="O722" s="552"/>
      <c r="P722" s="552"/>
      <c r="Q722" s="552"/>
      <c r="R722" s="552"/>
      <c r="S722" s="552"/>
      <c r="T722" s="552"/>
      <c r="U722" s="552"/>
      <c r="V722" s="552"/>
      <c r="W722" s="552"/>
      <c r="X722" s="552"/>
      <c r="Y722" s="552"/>
      <c r="Z722" s="552"/>
      <c r="AA722" s="552"/>
      <c r="AB722" s="552"/>
      <c r="AC722" s="552"/>
      <c r="AD722" s="552"/>
      <c r="AE722" s="552"/>
      <c r="AF722" s="552"/>
      <c r="AG722" s="552"/>
      <c r="AH722" s="552"/>
      <c r="AI722" s="552"/>
      <c r="AJ722" s="552"/>
      <c r="AK722" s="552"/>
      <c r="AL722" s="552"/>
      <c r="AM722" s="552"/>
      <c r="AN722" s="552"/>
      <c r="AO722" s="552"/>
      <c r="AP722" s="552"/>
      <c r="AQ722" s="552" t="s">
        <v>7715</v>
      </c>
      <c r="AR722" s="552" t="s">
        <v>2971</v>
      </c>
      <c r="AS722" s="552" t="s">
        <v>7484</v>
      </c>
      <c r="AT722" s="552" t="s">
        <v>726</v>
      </c>
    </row>
    <row r="723" spans="1:46" ht="14.7" customHeight="1">
      <c r="A723" s="706"/>
      <c r="B723" s="711" t="s">
        <v>6055</v>
      </c>
      <c r="C723" s="539" t="s">
        <v>7753</v>
      </c>
      <c r="D723" s="709"/>
      <c r="E723" s="552"/>
      <c r="F723" s="552"/>
      <c r="G723" s="552"/>
      <c r="H723" s="552"/>
      <c r="I723" s="552"/>
      <c r="J723" s="552"/>
      <c r="K723" s="552"/>
      <c r="L723" s="552"/>
      <c r="M723" s="552"/>
      <c r="N723" s="552"/>
      <c r="O723" s="552"/>
      <c r="P723" s="552"/>
      <c r="Q723" s="552"/>
      <c r="R723" s="552"/>
      <c r="S723" s="552"/>
      <c r="T723" s="552"/>
      <c r="U723" s="552"/>
      <c r="V723" s="552"/>
      <c r="W723" s="552"/>
      <c r="X723" s="552"/>
      <c r="Y723" s="552"/>
      <c r="Z723" s="552"/>
      <c r="AA723" s="552"/>
      <c r="AB723" s="552"/>
      <c r="AC723" s="552"/>
      <c r="AD723" s="552"/>
      <c r="AE723" s="552"/>
      <c r="AF723" s="552"/>
      <c r="AG723" s="552"/>
      <c r="AH723" s="552"/>
      <c r="AI723" s="552"/>
      <c r="AJ723" s="552"/>
      <c r="AK723" s="552"/>
      <c r="AL723" s="552"/>
      <c r="AM723" s="552"/>
      <c r="AN723" s="552"/>
      <c r="AO723" s="552"/>
      <c r="AP723" s="552"/>
      <c r="AQ723" s="552" t="s">
        <v>1186</v>
      </c>
      <c r="AR723" s="552" t="s">
        <v>6697</v>
      </c>
      <c r="AS723" s="552" t="s">
        <v>7484</v>
      </c>
      <c r="AT723" s="552" t="s">
        <v>726</v>
      </c>
    </row>
    <row r="724" spans="1:46" ht="14.7" customHeight="1">
      <c r="A724" s="706" t="s">
        <v>6391</v>
      </c>
      <c r="B724" s="540" t="s">
        <v>3695</v>
      </c>
      <c r="C724" s="539" t="s">
        <v>7753</v>
      </c>
      <c r="D724" s="709" t="s">
        <v>7847</v>
      </c>
      <c r="E724" s="552" t="s">
        <v>7848</v>
      </c>
      <c r="F724" s="552"/>
      <c r="G724" s="552" t="s">
        <v>7849</v>
      </c>
      <c r="H724" s="552"/>
      <c r="I724" s="552"/>
      <c r="J724" s="552"/>
      <c r="K724" s="552"/>
      <c r="L724" s="552"/>
      <c r="M724" s="552"/>
      <c r="N724" s="552"/>
      <c r="O724" s="552"/>
      <c r="P724" s="552">
        <v>1</v>
      </c>
      <c r="Q724" s="552"/>
      <c r="R724" s="552"/>
      <c r="S724" s="552"/>
      <c r="T724" s="552"/>
      <c r="U724" s="552"/>
      <c r="V724" s="552"/>
      <c r="W724" s="552"/>
      <c r="X724" s="552">
        <v>2</v>
      </c>
      <c r="Y724" s="552"/>
      <c r="Z724" s="552"/>
      <c r="AA724" s="552"/>
      <c r="AB724" s="552"/>
      <c r="AC724" s="552"/>
      <c r="AD724" s="552"/>
      <c r="AE724" s="552"/>
      <c r="AF724" s="552"/>
      <c r="AG724" s="552"/>
      <c r="AH724" s="552"/>
      <c r="AI724" s="552"/>
      <c r="AJ724" s="552"/>
      <c r="AK724" s="552"/>
      <c r="AL724" s="552"/>
      <c r="AM724" s="552"/>
      <c r="AN724" s="552"/>
      <c r="AO724" s="552"/>
      <c r="AP724" s="552"/>
      <c r="AQ724" s="552" t="s">
        <v>1186</v>
      </c>
      <c r="AR724" s="552" t="s">
        <v>2802</v>
      </c>
      <c r="AS724" s="552" t="s">
        <v>6881</v>
      </c>
      <c r="AT724" s="552" t="s">
        <v>726</v>
      </c>
    </row>
    <row r="725" spans="1:46" ht="14.7" customHeight="1">
      <c r="A725" s="706"/>
      <c r="B725" s="540" t="s">
        <v>3695</v>
      </c>
      <c r="C725" s="539" t="s">
        <v>7753</v>
      </c>
      <c r="D725" s="709"/>
      <c r="E725" s="552"/>
      <c r="F725" s="552"/>
      <c r="G725" s="552"/>
      <c r="H725" s="552"/>
      <c r="I725" s="552"/>
      <c r="J725" s="552"/>
      <c r="K725" s="552"/>
      <c r="L725" s="552"/>
      <c r="M725" s="552"/>
      <c r="N725" s="552"/>
      <c r="O725" s="552"/>
      <c r="P725" s="552"/>
      <c r="Q725" s="552"/>
      <c r="R725" s="552"/>
      <c r="S725" s="552"/>
      <c r="T725" s="552"/>
      <c r="U725" s="552"/>
      <c r="V725" s="552"/>
      <c r="W725" s="552"/>
      <c r="X725" s="552"/>
      <c r="Y725" s="552"/>
      <c r="Z725" s="552"/>
      <c r="AA725" s="552"/>
      <c r="AB725" s="552"/>
      <c r="AC725" s="552"/>
      <c r="AD725" s="552"/>
      <c r="AE725" s="552"/>
      <c r="AF725" s="552"/>
      <c r="AG725" s="552"/>
      <c r="AH725" s="552"/>
      <c r="AI725" s="552"/>
      <c r="AJ725" s="552"/>
      <c r="AK725" s="552"/>
      <c r="AL725" s="552"/>
      <c r="AM725" s="552"/>
      <c r="AN725" s="552"/>
      <c r="AO725" s="552"/>
      <c r="AP725" s="552"/>
      <c r="AQ725" s="552" t="s">
        <v>1186</v>
      </c>
      <c r="AR725" s="552" t="s">
        <v>2802</v>
      </c>
      <c r="AS725" s="552" t="s">
        <v>6881</v>
      </c>
      <c r="AT725" s="552" t="s">
        <v>726</v>
      </c>
    </row>
    <row r="726" spans="1:46" ht="14.7" customHeight="1">
      <c r="A726" s="706" t="s">
        <v>6392</v>
      </c>
      <c r="B726" s="707" t="s">
        <v>3696</v>
      </c>
      <c r="C726" s="539" t="s">
        <v>7753</v>
      </c>
      <c r="D726" s="709" t="s">
        <v>7850</v>
      </c>
      <c r="E726" s="552" t="s">
        <v>7848</v>
      </c>
      <c r="F726" s="552"/>
      <c r="G726" s="552" t="s">
        <v>7849</v>
      </c>
      <c r="H726" s="552"/>
      <c r="I726" s="552"/>
      <c r="J726" s="552"/>
      <c r="K726" s="552"/>
      <c r="L726" s="552"/>
      <c r="M726" s="552"/>
      <c r="N726" s="552"/>
      <c r="O726" s="552"/>
      <c r="P726" s="552">
        <v>1</v>
      </c>
      <c r="Q726" s="552"/>
      <c r="R726" s="552"/>
      <c r="S726" s="552"/>
      <c r="T726" s="552"/>
      <c r="U726" s="552"/>
      <c r="V726" s="552"/>
      <c r="W726" s="552"/>
      <c r="X726" s="552">
        <v>2</v>
      </c>
      <c r="Y726" s="552"/>
      <c r="Z726" s="552"/>
      <c r="AA726" s="552"/>
      <c r="AB726" s="552"/>
      <c r="AC726" s="552"/>
      <c r="AD726" s="552"/>
      <c r="AE726" s="552"/>
      <c r="AF726" s="552"/>
      <c r="AG726" s="552"/>
      <c r="AH726" s="552"/>
      <c r="AI726" s="552">
        <v>10</v>
      </c>
      <c r="AJ726" s="552"/>
      <c r="AK726" s="552"/>
      <c r="AL726" s="552"/>
      <c r="AM726" s="552"/>
      <c r="AN726" s="552"/>
      <c r="AO726" s="552"/>
      <c r="AP726" s="552"/>
      <c r="AQ726" s="552" t="s">
        <v>1186</v>
      </c>
      <c r="AR726" s="552" t="s">
        <v>2805</v>
      </c>
      <c r="AS726" s="552" t="s">
        <v>6881</v>
      </c>
      <c r="AT726" s="552" t="s">
        <v>726</v>
      </c>
    </row>
    <row r="727" spans="1:46" ht="14.7" customHeight="1">
      <c r="A727" s="706"/>
      <c r="B727" s="707" t="s">
        <v>3696</v>
      </c>
      <c r="C727" s="539" t="s">
        <v>7753</v>
      </c>
      <c r="D727" s="709"/>
      <c r="E727" s="552"/>
      <c r="F727" s="552"/>
      <c r="G727" s="552"/>
      <c r="H727" s="552"/>
      <c r="I727" s="552"/>
      <c r="J727" s="552"/>
      <c r="K727" s="552"/>
      <c r="L727" s="552"/>
      <c r="M727" s="552"/>
      <c r="N727" s="552"/>
      <c r="O727" s="552"/>
      <c r="P727" s="552"/>
      <c r="Q727" s="552"/>
      <c r="R727" s="552"/>
      <c r="S727" s="552"/>
      <c r="T727" s="552"/>
      <c r="U727" s="552"/>
      <c r="V727" s="552"/>
      <c r="W727" s="552"/>
      <c r="X727" s="552"/>
      <c r="Y727" s="552"/>
      <c r="Z727" s="552"/>
      <c r="AA727" s="552"/>
      <c r="AB727" s="552"/>
      <c r="AC727" s="552"/>
      <c r="AD727" s="552"/>
      <c r="AE727" s="552"/>
      <c r="AF727" s="552"/>
      <c r="AG727" s="552"/>
      <c r="AH727" s="552"/>
      <c r="AI727" s="552"/>
      <c r="AJ727" s="552"/>
      <c r="AK727" s="552"/>
      <c r="AL727" s="552"/>
      <c r="AM727" s="552"/>
      <c r="AN727" s="552"/>
      <c r="AO727" s="552"/>
      <c r="AP727" s="552"/>
      <c r="AQ727" s="552" t="s">
        <v>1186</v>
      </c>
      <c r="AR727" s="552" t="s">
        <v>2805</v>
      </c>
      <c r="AS727" s="552" t="s">
        <v>6881</v>
      </c>
      <c r="AT727" s="552" t="s">
        <v>726</v>
      </c>
    </row>
    <row r="728" spans="1:46" ht="14.7" customHeight="1">
      <c r="A728" s="706" t="s">
        <v>6393</v>
      </c>
      <c r="B728" s="556" t="s">
        <v>3697</v>
      </c>
      <c r="C728" s="539" t="s">
        <v>7753</v>
      </c>
      <c r="D728" s="709" t="s">
        <v>7851</v>
      </c>
      <c r="E728" s="552" t="s">
        <v>7848</v>
      </c>
      <c r="F728" s="552"/>
      <c r="G728" s="552" t="s">
        <v>7849</v>
      </c>
      <c r="H728" s="552"/>
      <c r="I728" s="552"/>
      <c r="J728" s="552"/>
      <c r="K728" s="552"/>
      <c r="L728" s="552"/>
      <c r="M728" s="552"/>
      <c r="N728" s="552"/>
      <c r="O728" s="552"/>
      <c r="P728" s="552">
        <v>2</v>
      </c>
      <c r="Q728" s="552"/>
      <c r="R728" s="552"/>
      <c r="S728" s="552"/>
      <c r="T728" s="552"/>
      <c r="U728" s="552"/>
      <c r="V728" s="552"/>
      <c r="W728" s="552"/>
      <c r="X728" s="552">
        <v>3</v>
      </c>
      <c r="Y728" s="552">
        <v>1</v>
      </c>
      <c r="Z728" s="552"/>
      <c r="AA728" s="552"/>
      <c r="AB728" s="552"/>
      <c r="AC728" s="552"/>
      <c r="AD728" s="552"/>
      <c r="AE728" s="552"/>
      <c r="AF728" s="552"/>
      <c r="AG728" s="552"/>
      <c r="AH728" s="552"/>
      <c r="AI728" s="552"/>
      <c r="AJ728" s="552"/>
      <c r="AK728" s="552"/>
      <c r="AL728" s="552"/>
      <c r="AM728" s="552"/>
      <c r="AN728" s="552"/>
      <c r="AO728" s="552"/>
      <c r="AP728" s="552"/>
      <c r="AQ728" s="552" t="s">
        <v>1186</v>
      </c>
      <c r="AR728" s="552" t="s">
        <v>2875</v>
      </c>
      <c r="AS728" s="552" t="s">
        <v>6881</v>
      </c>
      <c r="AT728" s="552" t="s">
        <v>726</v>
      </c>
    </row>
    <row r="729" spans="1:46" ht="14.7" customHeight="1">
      <c r="A729" s="706" t="s">
        <v>6394</v>
      </c>
      <c r="B729" s="556" t="s">
        <v>3697</v>
      </c>
      <c r="C729" s="539" t="s">
        <v>7753</v>
      </c>
      <c r="D729" s="709" t="s">
        <v>7852</v>
      </c>
      <c r="E729" s="552" t="s">
        <v>7848</v>
      </c>
      <c r="F729" s="552"/>
      <c r="G729" s="552" t="s">
        <v>7849</v>
      </c>
      <c r="H729" s="552"/>
      <c r="I729" s="552"/>
      <c r="J729" s="552"/>
      <c r="K729" s="552"/>
      <c r="L729" s="552"/>
      <c r="M729" s="552"/>
      <c r="N729" s="552"/>
      <c r="O729" s="552"/>
      <c r="P729" s="552">
        <v>1</v>
      </c>
      <c r="Q729" s="552"/>
      <c r="R729" s="552"/>
      <c r="S729" s="552">
        <v>-1</v>
      </c>
      <c r="T729" s="552">
        <v>2</v>
      </c>
      <c r="U729" s="552"/>
      <c r="V729" s="552"/>
      <c r="W729" s="552"/>
      <c r="X729" s="552"/>
      <c r="Y729" s="552"/>
      <c r="Z729" s="552"/>
      <c r="AA729" s="552"/>
      <c r="AB729" s="552"/>
      <c r="AC729" s="552"/>
      <c r="AD729" s="552"/>
      <c r="AE729" s="552"/>
      <c r="AF729" s="552"/>
      <c r="AG729" s="552"/>
      <c r="AH729" s="552"/>
      <c r="AI729" s="552"/>
      <c r="AJ729" s="552"/>
      <c r="AK729" s="552"/>
      <c r="AL729" s="552"/>
      <c r="AM729" s="552"/>
      <c r="AN729" s="552"/>
      <c r="AO729" s="552"/>
      <c r="AP729" s="552"/>
      <c r="AQ729" s="552" t="s">
        <v>1186</v>
      </c>
      <c r="AR729" s="552" t="s">
        <v>2875</v>
      </c>
      <c r="AS729" s="552" t="s">
        <v>6881</v>
      </c>
      <c r="AT729" s="552" t="s">
        <v>726</v>
      </c>
    </row>
    <row r="730" spans="1:46" ht="14.7" customHeight="1">
      <c r="A730" s="706"/>
      <c r="B730" s="556" t="s">
        <v>3697</v>
      </c>
      <c r="C730" s="539" t="s">
        <v>7753</v>
      </c>
      <c r="D730" s="709"/>
      <c r="E730" s="552"/>
      <c r="F730" s="552"/>
      <c r="G730" s="552"/>
      <c r="H730" s="552"/>
      <c r="I730" s="552"/>
      <c r="J730" s="552"/>
      <c r="K730" s="552"/>
      <c r="L730" s="552"/>
      <c r="M730" s="552"/>
      <c r="N730" s="552"/>
      <c r="O730" s="552"/>
      <c r="P730" s="552"/>
      <c r="Q730" s="552"/>
      <c r="R730" s="552"/>
      <c r="S730" s="552"/>
      <c r="T730" s="552"/>
      <c r="U730" s="552"/>
      <c r="V730" s="552"/>
      <c r="W730" s="552"/>
      <c r="X730" s="552"/>
      <c r="Y730" s="552"/>
      <c r="Z730" s="552"/>
      <c r="AA730" s="552"/>
      <c r="AB730" s="552"/>
      <c r="AC730" s="552"/>
      <c r="AD730" s="552"/>
      <c r="AE730" s="552"/>
      <c r="AF730" s="552"/>
      <c r="AG730" s="552"/>
      <c r="AH730" s="552"/>
      <c r="AI730" s="552"/>
      <c r="AJ730" s="552"/>
      <c r="AK730" s="552"/>
      <c r="AL730" s="552"/>
      <c r="AM730" s="552"/>
      <c r="AN730" s="552"/>
      <c r="AO730" s="552"/>
      <c r="AP730" s="552"/>
      <c r="AQ730" s="552" t="s">
        <v>1186</v>
      </c>
      <c r="AR730" s="552" t="s">
        <v>2875</v>
      </c>
      <c r="AS730" s="552" t="s">
        <v>6881</v>
      </c>
      <c r="AT730" s="552" t="s">
        <v>726</v>
      </c>
    </row>
    <row r="731" spans="1:46" ht="14.7" customHeight="1">
      <c r="A731" s="706" t="s">
        <v>6395</v>
      </c>
      <c r="B731" s="557" t="s">
        <v>3698</v>
      </c>
      <c r="C731" s="539" t="s">
        <v>7753</v>
      </c>
      <c r="D731" s="709" t="s">
        <v>7853</v>
      </c>
      <c r="E731" s="552" t="s">
        <v>7848</v>
      </c>
      <c r="F731" s="552"/>
      <c r="G731" s="552" t="s">
        <v>7849</v>
      </c>
      <c r="H731" s="552"/>
      <c r="I731" s="552"/>
      <c r="J731" s="552"/>
      <c r="K731" s="552"/>
      <c r="L731" s="552"/>
      <c r="M731" s="552"/>
      <c r="N731" s="552"/>
      <c r="O731" s="552"/>
      <c r="P731" s="552"/>
      <c r="Q731" s="552"/>
      <c r="R731" s="552"/>
      <c r="S731" s="552"/>
      <c r="T731" s="552"/>
      <c r="U731" s="552"/>
      <c r="V731" s="552"/>
      <c r="W731" s="552"/>
      <c r="X731" s="552">
        <v>5</v>
      </c>
      <c r="Y731" s="552"/>
      <c r="Z731" s="552"/>
      <c r="AA731" s="552"/>
      <c r="AB731" s="552"/>
      <c r="AC731" s="552"/>
      <c r="AD731" s="552"/>
      <c r="AE731" s="552">
        <v>20</v>
      </c>
      <c r="AF731" s="552"/>
      <c r="AG731" s="552"/>
      <c r="AH731" s="552">
        <v>20</v>
      </c>
      <c r="AI731" s="552"/>
      <c r="AJ731" s="552"/>
      <c r="AK731" s="552"/>
      <c r="AL731" s="552"/>
      <c r="AM731" s="552"/>
      <c r="AN731" s="552"/>
      <c r="AO731" s="552"/>
      <c r="AP731" s="717" t="s">
        <v>7854</v>
      </c>
      <c r="AQ731" s="552" t="s">
        <v>1186</v>
      </c>
      <c r="AR731" s="552" t="s">
        <v>2998</v>
      </c>
      <c r="AS731" s="552" t="s">
        <v>6881</v>
      </c>
      <c r="AT731" s="552" t="s">
        <v>726</v>
      </c>
    </row>
    <row r="732" spans="1:46" ht="14.7" customHeight="1">
      <c r="A732" s="706" t="s">
        <v>6396</v>
      </c>
      <c r="B732" s="557" t="s">
        <v>3698</v>
      </c>
      <c r="C732" s="539" t="s">
        <v>7753</v>
      </c>
      <c r="D732" s="709" t="s">
        <v>7855</v>
      </c>
      <c r="E732" s="552" t="s">
        <v>7848</v>
      </c>
      <c r="F732" s="552"/>
      <c r="G732" s="552" t="s">
        <v>7849</v>
      </c>
      <c r="H732" s="552"/>
      <c r="I732" s="552"/>
      <c r="J732" s="552"/>
      <c r="K732" s="552"/>
      <c r="L732" s="552"/>
      <c r="M732" s="552"/>
      <c r="N732" s="552"/>
      <c r="O732" s="552"/>
      <c r="P732" s="552"/>
      <c r="Q732" s="552"/>
      <c r="R732" s="552"/>
      <c r="S732" s="552"/>
      <c r="T732" s="552"/>
      <c r="U732" s="552"/>
      <c r="V732" s="552"/>
      <c r="W732" s="552"/>
      <c r="X732" s="552">
        <v>2</v>
      </c>
      <c r="Y732" s="552"/>
      <c r="Z732" s="552"/>
      <c r="AA732" s="552"/>
      <c r="AB732" s="552">
        <v>20</v>
      </c>
      <c r="AC732" s="552">
        <v>20</v>
      </c>
      <c r="AD732" s="552">
        <v>20</v>
      </c>
      <c r="AE732" s="552">
        <v>20</v>
      </c>
      <c r="AF732" s="552">
        <v>20</v>
      </c>
      <c r="AG732" s="552">
        <v>20</v>
      </c>
      <c r="AH732" s="552">
        <v>20</v>
      </c>
      <c r="AI732" s="552">
        <v>20</v>
      </c>
      <c r="AJ732" s="552">
        <v>20</v>
      </c>
      <c r="AK732" s="552"/>
      <c r="AL732" s="552"/>
      <c r="AM732" s="552"/>
      <c r="AN732" s="552"/>
      <c r="AO732" s="552"/>
      <c r="AP732" s="552"/>
      <c r="AQ732" s="552" t="s">
        <v>1186</v>
      </c>
      <c r="AR732" s="552" t="s">
        <v>2998</v>
      </c>
      <c r="AS732" s="552" t="s">
        <v>6881</v>
      </c>
      <c r="AT732" s="552" t="s">
        <v>726</v>
      </c>
    </row>
    <row r="733" spans="1:46" ht="14.7" customHeight="1">
      <c r="A733" s="706"/>
      <c r="B733" s="557" t="s">
        <v>3698</v>
      </c>
      <c r="C733" s="539" t="s">
        <v>7753</v>
      </c>
      <c r="D733" s="709"/>
      <c r="E733" s="552"/>
      <c r="F733" s="552"/>
      <c r="G733" s="552"/>
      <c r="H733" s="552"/>
      <c r="I733" s="552"/>
      <c r="J733" s="552"/>
      <c r="K733" s="552"/>
      <c r="L733" s="552"/>
      <c r="M733" s="552"/>
      <c r="N733" s="552"/>
      <c r="O733" s="552"/>
      <c r="P733" s="552"/>
      <c r="Q733" s="552"/>
      <c r="R733" s="552"/>
      <c r="S733" s="552"/>
      <c r="T733" s="552"/>
      <c r="U733" s="552"/>
      <c r="V733" s="552"/>
      <c r="W733" s="552"/>
      <c r="X733" s="552"/>
      <c r="Y733" s="552"/>
      <c r="Z733" s="552"/>
      <c r="AA733" s="552"/>
      <c r="AB733" s="552"/>
      <c r="AC733" s="552"/>
      <c r="AD733" s="552"/>
      <c r="AE733" s="552"/>
      <c r="AF733" s="552"/>
      <c r="AG733" s="552"/>
      <c r="AH733" s="552"/>
      <c r="AI733" s="552"/>
      <c r="AJ733" s="552"/>
      <c r="AK733" s="552"/>
      <c r="AL733" s="552"/>
      <c r="AM733" s="552"/>
      <c r="AN733" s="552"/>
      <c r="AO733" s="552"/>
      <c r="AP733" s="552"/>
      <c r="AQ733" s="552" t="s">
        <v>1186</v>
      </c>
      <c r="AR733" s="552" t="s">
        <v>2998</v>
      </c>
      <c r="AS733" s="552" t="s">
        <v>6881</v>
      </c>
      <c r="AT733" s="552" t="s">
        <v>726</v>
      </c>
    </row>
    <row r="734" spans="1:46" ht="14.7" customHeight="1">
      <c r="A734" s="706"/>
      <c r="B734" s="557" t="s">
        <v>3698</v>
      </c>
      <c r="C734" s="539" t="s">
        <v>7753</v>
      </c>
      <c r="D734" s="709"/>
      <c r="E734" s="552"/>
      <c r="F734" s="552"/>
      <c r="G734" s="552"/>
      <c r="H734" s="552"/>
      <c r="I734" s="552"/>
      <c r="J734" s="552"/>
      <c r="K734" s="552"/>
      <c r="L734" s="552"/>
      <c r="M734" s="552"/>
      <c r="N734" s="552"/>
      <c r="O734" s="552"/>
      <c r="P734" s="552"/>
      <c r="Q734" s="552"/>
      <c r="R734" s="552"/>
      <c r="S734" s="552"/>
      <c r="T734" s="552"/>
      <c r="U734" s="552"/>
      <c r="V734" s="552"/>
      <c r="W734" s="552"/>
      <c r="X734" s="552"/>
      <c r="Y734" s="552"/>
      <c r="Z734" s="552"/>
      <c r="AA734" s="552"/>
      <c r="AB734" s="552"/>
      <c r="AC734" s="552"/>
      <c r="AD734" s="552"/>
      <c r="AE734" s="552"/>
      <c r="AF734" s="552"/>
      <c r="AG734" s="552"/>
      <c r="AH734" s="552"/>
      <c r="AI734" s="552"/>
      <c r="AJ734" s="552"/>
      <c r="AK734" s="552"/>
      <c r="AL734" s="552"/>
      <c r="AM734" s="552"/>
      <c r="AN734" s="552"/>
      <c r="AO734" s="552"/>
      <c r="AP734" s="552"/>
      <c r="AQ734" s="552" t="s">
        <v>1186</v>
      </c>
      <c r="AR734" s="552" t="s">
        <v>2998</v>
      </c>
      <c r="AS734" s="552" t="s">
        <v>6881</v>
      </c>
      <c r="AT734" s="552" t="s">
        <v>726</v>
      </c>
    </row>
    <row r="735" spans="1:46" ht="14.7" customHeight="1">
      <c r="A735" s="706"/>
      <c r="B735" s="344" t="s">
        <v>3699</v>
      </c>
      <c r="C735" s="539" t="s">
        <v>7753</v>
      </c>
      <c r="D735" s="709"/>
      <c r="E735" s="552"/>
      <c r="F735" s="552"/>
      <c r="G735" s="552"/>
      <c r="H735" s="552"/>
      <c r="I735" s="552"/>
      <c r="J735" s="552"/>
      <c r="K735" s="552"/>
      <c r="L735" s="552"/>
      <c r="M735" s="552"/>
      <c r="N735" s="552"/>
      <c r="O735" s="552"/>
      <c r="P735" s="552"/>
      <c r="Q735" s="552"/>
      <c r="R735" s="552"/>
      <c r="S735" s="552"/>
      <c r="T735" s="552"/>
      <c r="U735" s="552"/>
      <c r="V735" s="552"/>
      <c r="W735" s="552"/>
      <c r="X735" s="552"/>
      <c r="Y735" s="552"/>
      <c r="Z735" s="552"/>
      <c r="AA735" s="552"/>
      <c r="AB735" s="552"/>
      <c r="AC735" s="552"/>
      <c r="AD735" s="552"/>
      <c r="AE735" s="552"/>
      <c r="AF735" s="552"/>
      <c r="AG735" s="552"/>
      <c r="AH735" s="552"/>
      <c r="AI735" s="552"/>
      <c r="AJ735" s="552"/>
      <c r="AK735" s="552"/>
      <c r="AL735" s="552"/>
      <c r="AM735" s="552"/>
      <c r="AN735" s="552"/>
      <c r="AO735" s="552"/>
      <c r="AP735" s="552"/>
      <c r="AQ735" s="552" t="s">
        <v>1186</v>
      </c>
      <c r="AR735" s="552" t="s">
        <v>2809</v>
      </c>
      <c r="AS735" s="552" t="s">
        <v>6881</v>
      </c>
      <c r="AT735" s="552" t="s">
        <v>726</v>
      </c>
    </row>
    <row r="736" spans="1:46" ht="14.7" customHeight="1">
      <c r="A736" s="706" t="s">
        <v>6397</v>
      </c>
      <c r="B736" s="344" t="s">
        <v>3699</v>
      </c>
      <c r="C736" s="539" t="s">
        <v>7753</v>
      </c>
      <c r="D736" s="709" t="s">
        <v>7856</v>
      </c>
      <c r="E736" s="552" t="s">
        <v>7848</v>
      </c>
      <c r="F736" s="552"/>
      <c r="G736" s="552" t="s">
        <v>7849</v>
      </c>
      <c r="H736" s="552"/>
      <c r="I736" s="552"/>
      <c r="J736" s="552"/>
      <c r="K736" s="552"/>
      <c r="L736" s="552"/>
      <c r="M736" s="552"/>
      <c r="N736" s="552">
        <v>25</v>
      </c>
      <c r="O736" s="552"/>
      <c r="P736" s="552"/>
      <c r="Q736" s="552"/>
      <c r="R736" s="552"/>
      <c r="S736" s="552"/>
      <c r="T736" s="552"/>
      <c r="U736" s="552"/>
      <c r="V736" s="552"/>
      <c r="W736" s="552"/>
      <c r="X736" s="552"/>
      <c r="Y736" s="552"/>
      <c r="Z736" s="552"/>
      <c r="AA736" s="552"/>
      <c r="AB736" s="552"/>
      <c r="AC736" s="552"/>
      <c r="AD736" s="552"/>
      <c r="AE736" s="552"/>
      <c r="AF736" s="552"/>
      <c r="AG736" s="552"/>
      <c r="AH736" s="552"/>
      <c r="AI736" s="552"/>
      <c r="AJ736" s="552"/>
      <c r="AK736" s="552">
        <v>30</v>
      </c>
      <c r="AL736" s="552"/>
      <c r="AM736" s="552"/>
      <c r="AN736" s="552"/>
      <c r="AO736" s="717" t="s">
        <v>7857</v>
      </c>
      <c r="AP736" s="552"/>
      <c r="AQ736" s="552" t="s">
        <v>1186</v>
      </c>
      <c r="AR736" s="552" t="s">
        <v>2809</v>
      </c>
      <c r="AS736" s="552" t="s">
        <v>6881</v>
      </c>
      <c r="AT736" s="552" t="s">
        <v>726</v>
      </c>
    </row>
    <row r="737" spans="1:46" ht="14.7" customHeight="1">
      <c r="A737" s="706" t="s">
        <v>6398</v>
      </c>
      <c r="B737" s="344" t="s">
        <v>3699</v>
      </c>
      <c r="C737" s="539" t="s">
        <v>7753</v>
      </c>
      <c r="D737" s="709" t="s">
        <v>7858</v>
      </c>
      <c r="E737" s="552" t="s">
        <v>7848</v>
      </c>
      <c r="F737" s="552"/>
      <c r="G737" s="552" t="s">
        <v>7849</v>
      </c>
      <c r="H737" s="552"/>
      <c r="I737" s="552"/>
      <c r="J737" s="552"/>
      <c r="K737" s="552"/>
      <c r="L737" s="552"/>
      <c r="M737" s="552"/>
      <c r="N737" s="552">
        <v>50</v>
      </c>
      <c r="O737" s="552"/>
      <c r="P737" s="552"/>
      <c r="Q737" s="552"/>
      <c r="R737" s="552"/>
      <c r="S737" s="552"/>
      <c r="T737" s="552"/>
      <c r="U737" s="552"/>
      <c r="V737" s="552"/>
      <c r="W737" s="552"/>
      <c r="X737" s="552">
        <v>4</v>
      </c>
      <c r="Y737" s="552">
        <v>4</v>
      </c>
      <c r="Z737" s="552"/>
      <c r="AA737" s="552"/>
      <c r="AB737" s="552"/>
      <c r="AC737" s="552"/>
      <c r="AD737" s="552"/>
      <c r="AE737" s="552"/>
      <c r="AF737" s="552"/>
      <c r="AG737" s="552"/>
      <c r="AH737" s="552"/>
      <c r="AI737" s="552"/>
      <c r="AJ737" s="552"/>
      <c r="AK737" s="552"/>
      <c r="AL737" s="552"/>
      <c r="AM737" s="552"/>
      <c r="AN737" s="552"/>
      <c r="AO737" s="717" t="s">
        <v>7859</v>
      </c>
      <c r="AP737" s="552"/>
      <c r="AQ737" s="552" t="s">
        <v>1186</v>
      </c>
      <c r="AR737" s="552" t="s">
        <v>2809</v>
      </c>
      <c r="AS737" s="552" t="s">
        <v>6881</v>
      </c>
      <c r="AT737" s="552" t="s">
        <v>726</v>
      </c>
    </row>
    <row r="738" spans="1:46" ht="14.7" customHeight="1">
      <c r="A738" s="706" t="s">
        <v>6399</v>
      </c>
      <c r="B738" s="344" t="s">
        <v>3699</v>
      </c>
      <c r="C738" s="539" t="s">
        <v>7753</v>
      </c>
      <c r="D738" s="709" t="s">
        <v>7860</v>
      </c>
      <c r="E738" s="552" t="s">
        <v>7848</v>
      </c>
      <c r="F738" s="552"/>
      <c r="G738" s="552" t="s">
        <v>7849</v>
      </c>
      <c r="H738" s="552"/>
      <c r="I738" s="552"/>
      <c r="J738" s="552"/>
      <c r="K738" s="552"/>
      <c r="L738" s="552"/>
      <c r="M738" s="552"/>
      <c r="N738" s="552"/>
      <c r="O738" s="552"/>
      <c r="P738" s="552"/>
      <c r="Q738" s="552"/>
      <c r="R738" s="552"/>
      <c r="S738" s="552"/>
      <c r="T738" s="552"/>
      <c r="U738" s="552"/>
      <c r="V738" s="552"/>
      <c r="W738" s="552"/>
      <c r="X738" s="552"/>
      <c r="Y738" s="552">
        <v>9</v>
      </c>
      <c r="Z738" s="552"/>
      <c r="AA738" s="552"/>
      <c r="AB738" s="552"/>
      <c r="AC738" s="552"/>
      <c r="AD738" s="552"/>
      <c r="AE738" s="552"/>
      <c r="AF738" s="552"/>
      <c r="AG738" s="552"/>
      <c r="AH738" s="552"/>
      <c r="AI738" s="552"/>
      <c r="AJ738" s="552"/>
      <c r="AK738" s="552"/>
      <c r="AL738" s="552"/>
      <c r="AM738" s="552"/>
      <c r="AN738" s="552"/>
      <c r="AO738" s="717" t="s">
        <v>7861</v>
      </c>
      <c r="AP738" s="552"/>
      <c r="AQ738" s="552" t="s">
        <v>1186</v>
      </c>
      <c r="AR738" s="552" t="s">
        <v>2809</v>
      </c>
      <c r="AS738" s="552" t="s">
        <v>6881</v>
      </c>
      <c r="AT738" s="552" t="s">
        <v>726</v>
      </c>
    </row>
    <row r="739" spans="1:46" ht="14.7" customHeight="1">
      <c r="A739" s="706"/>
      <c r="B739" s="344" t="s">
        <v>3699</v>
      </c>
      <c r="C739" s="539" t="s">
        <v>7753</v>
      </c>
      <c r="D739" s="709"/>
      <c r="E739" s="552"/>
      <c r="F739" s="552"/>
      <c r="G739" s="552"/>
      <c r="H739" s="552"/>
      <c r="I739" s="552"/>
      <c r="J739" s="552"/>
      <c r="K739" s="552"/>
      <c r="L739" s="552"/>
      <c r="M739" s="552"/>
      <c r="N739" s="552"/>
      <c r="O739" s="552"/>
      <c r="P739" s="552"/>
      <c r="Q739" s="552"/>
      <c r="R739" s="552"/>
      <c r="S739" s="552"/>
      <c r="T739" s="552"/>
      <c r="U739" s="552"/>
      <c r="V739" s="552"/>
      <c r="W739" s="552"/>
      <c r="X739" s="552"/>
      <c r="Y739" s="552"/>
      <c r="Z739" s="552"/>
      <c r="AA739" s="552"/>
      <c r="AB739" s="552"/>
      <c r="AC739" s="552"/>
      <c r="AD739" s="552"/>
      <c r="AE739" s="552"/>
      <c r="AF739" s="552"/>
      <c r="AG739" s="552"/>
      <c r="AH739" s="552"/>
      <c r="AI739" s="552"/>
      <c r="AJ739" s="552"/>
      <c r="AK739" s="552"/>
      <c r="AL739" s="552"/>
      <c r="AM739" s="552"/>
      <c r="AN739" s="552"/>
      <c r="AO739" s="552"/>
      <c r="AP739" s="552"/>
      <c r="AQ739" s="552" t="s">
        <v>1186</v>
      </c>
      <c r="AR739" s="552" t="s">
        <v>2809</v>
      </c>
      <c r="AS739" s="552" t="s">
        <v>6881</v>
      </c>
      <c r="AT739" s="552" t="s">
        <v>726</v>
      </c>
    </row>
    <row r="740" spans="1:46" ht="14.7" customHeight="1">
      <c r="A740" s="706" t="s">
        <v>9115</v>
      </c>
      <c r="B740" s="559" t="s">
        <v>3700</v>
      </c>
      <c r="C740" s="539" t="s">
        <v>7753</v>
      </c>
      <c r="D740" s="709" t="s">
        <v>7862</v>
      </c>
      <c r="E740" s="552" t="s">
        <v>7863</v>
      </c>
      <c r="F740" s="552"/>
      <c r="G740" s="552" t="s">
        <v>7849</v>
      </c>
      <c r="H740" s="552"/>
      <c r="I740" s="552"/>
      <c r="J740" s="552"/>
      <c r="K740" s="552"/>
      <c r="L740" s="552"/>
      <c r="M740" s="552"/>
      <c r="N740" s="552">
        <v>20</v>
      </c>
      <c r="O740" s="552"/>
      <c r="P740" s="552"/>
      <c r="Q740" s="552"/>
      <c r="R740" s="552"/>
      <c r="S740" s="552"/>
      <c r="T740" s="552"/>
      <c r="U740" s="552"/>
      <c r="V740" s="552"/>
      <c r="W740" s="552"/>
      <c r="X740" s="552">
        <v>6</v>
      </c>
      <c r="Y740" s="552">
        <v>6</v>
      </c>
      <c r="Z740" s="552"/>
      <c r="AA740" s="552"/>
      <c r="AB740" s="552"/>
      <c r="AC740" s="552"/>
      <c r="AD740" s="552"/>
      <c r="AE740" s="552"/>
      <c r="AF740" s="552"/>
      <c r="AG740" s="552"/>
      <c r="AH740" s="552">
        <v>50</v>
      </c>
      <c r="AI740" s="552"/>
      <c r="AJ740" s="552"/>
      <c r="AK740" s="552"/>
      <c r="AL740" s="552">
        <v>20</v>
      </c>
      <c r="AM740" s="552"/>
      <c r="AN740" s="552"/>
      <c r="AO740" s="552"/>
      <c r="AP740" s="717" t="s">
        <v>7864</v>
      </c>
      <c r="AQ740" s="552" t="s">
        <v>1186</v>
      </c>
      <c r="AR740" s="552" t="s">
        <v>2971</v>
      </c>
      <c r="AS740" s="552" t="s">
        <v>6881</v>
      </c>
      <c r="AT740" s="552" t="s">
        <v>726</v>
      </c>
    </row>
    <row r="741" spans="1:46" ht="14.7" customHeight="1">
      <c r="A741" s="706" t="s">
        <v>6400</v>
      </c>
      <c r="B741" s="559" t="s">
        <v>3700</v>
      </c>
      <c r="C741" s="539" t="s">
        <v>7753</v>
      </c>
      <c r="D741" s="709" t="s">
        <v>7865</v>
      </c>
      <c r="E741" s="552" t="s">
        <v>7848</v>
      </c>
      <c r="F741" s="552"/>
      <c r="G741" s="552" t="s">
        <v>7849</v>
      </c>
      <c r="H741" s="552"/>
      <c r="I741" s="552"/>
      <c r="J741" s="552"/>
      <c r="K741" s="552"/>
      <c r="L741" s="552"/>
      <c r="M741" s="552"/>
      <c r="N741" s="552">
        <v>75</v>
      </c>
      <c r="O741" s="552">
        <v>25</v>
      </c>
      <c r="P741" s="552"/>
      <c r="Q741" s="552"/>
      <c r="R741" s="552"/>
      <c r="S741" s="552"/>
      <c r="T741" s="552"/>
      <c r="U741" s="552"/>
      <c r="V741" s="552"/>
      <c r="W741" s="552"/>
      <c r="X741" s="552">
        <v>3</v>
      </c>
      <c r="Y741" s="552">
        <v>5</v>
      </c>
      <c r="Z741" s="552"/>
      <c r="AA741" s="552"/>
      <c r="AB741" s="552"/>
      <c r="AC741" s="552"/>
      <c r="AD741" s="552"/>
      <c r="AE741" s="552"/>
      <c r="AF741" s="552"/>
      <c r="AG741" s="552"/>
      <c r="AH741" s="552"/>
      <c r="AI741" s="552"/>
      <c r="AJ741" s="552"/>
      <c r="AK741" s="552"/>
      <c r="AL741" s="552"/>
      <c r="AM741" s="552"/>
      <c r="AN741" s="552"/>
      <c r="AO741" s="717" t="s">
        <v>7866</v>
      </c>
      <c r="AP741" s="552"/>
      <c r="AQ741" s="552" t="s">
        <v>1186</v>
      </c>
      <c r="AR741" s="552" t="s">
        <v>2971</v>
      </c>
      <c r="AS741" s="552" t="s">
        <v>6881</v>
      </c>
      <c r="AT741" s="552" t="s">
        <v>726</v>
      </c>
    </row>
    <row r="742" spans="1:46" ht="14.7" customHeight="1">
      <c r="A742" s="706"/>
      <c r="B742" s="711" t="s">
        <v>6055</v>
      </c>
      <c r="C742" s="539" t="s">
        <v>7753</v>
      </c>
      <c r="D742" s="709"/>
      <c r="E742" s="552"/>
      <c r="F742" s="552"/>
      <c r="G742" s="552"/>
      <c r="H742" s="552"/>
      <c r="I742" s="552"/>
      <c r="J742" s="552"/>
      <c r="K742" s="552"/>
      <c r="L742" s="552"/>
      <c r="M742" s="552"/>
      <c r="N742" s="552"/>
      <c r="O742" s="552"/>
      <c r="P742" s="552"/>
      <c r="Q742" s="552"/>
      <c r="R742" s="552"/>
      <c r="S742" s="552"/>
      <c r="T742" s="552"/>
      <c r="U742" s="552"/>
      <c r="V742" s="552"/>
      <c r="W742" s="552"/>
      <c r="X742" s="552"/>
      <c r="Y742" s="552"/>
      <c r="Z742" s="552"/>
      <c r="AA742" s="552"/>
      <c r="AB742" s="552"/>
      <c r="AC742" s="552"/>
      <c r="AD742" s="552"/>
      <c r="AE742" s="552"/>
      <c r="AF742" s="552"/>
      <c r="AG742" s="552"/>
      <c r="AH742" s="552"/>
      <c r="AI742" s="552"/>
      <c r="AJ742" s="552"/>
      <c r="AK742" s="552"/>
      <c r="AL742" s="552"/>
      <c r="AM742" s="552"/>
      <c r="AN742" s="552"/>
      <c r="AO742" s="552"/>
      <c r="AP742" s="552"/>
      <c r="AQ742" s="552" t="s">
        <v>1186</v>
      </c>
      <c r="AR742" s="552" t="s">
        <v>6697</v>
      </c>
      <c r="AS742" s="552" t="s">
        <v>6881</v>
      </c>
      <c r="AT742" s="552" t="s">
        <v>726</v>
      </c>
    </row>
    <row r="743" spans="1:46" ht="14.7" customHeight="1">
      <c r="A743" s="706" t="s">
        <v>6401</v>
      </c>
      <c r="B743" s="540" t="s">
        <v>3695</v>
      </c>
      <c r="C743" s="539" t="s">
        <v>7753</v>
      </c>
      <c r="D743" s="709" t="s">
        <v>7867</v>
      </c>
      <c r="E743" s="552" t="s">
        <v>7848</v>
      </c>
      <c r="F743" s="552"/>
      <c r="G743" s="552" t="s">
        <v>7868</v>
      </c>
      <c r="H743" s="552"/>
      <c r="I743" s="552"/>
      <c r="J743" s="552"/>
      <c r="K743" s="552"/>
      <c r="L743" s="552"/>
      <c r="M743" s="552"/>
      <c r="N743" s="552">
        <v>5</v>
      </c>
      <c r="O743" s="552"/>
      <c r="P743" s="552"/>
      <c r="Q743" s="552"/>
      <c r="R743" s="552"/>
      <c r="S743" s="552"/>
      <c r="T743" s="552"/>
      <c r="U743" s="552"/>
      <c r="V743" s="552"/>
      <c r="W743" s="552"/>
      <c r="X743" s="552">
        <v>2</v>
      </c>
      <c r="Y743" s="552"/>
      <c r="Z743" s="552"/>
      <c r="AA743" s="552"/>
      <c r="AB743" s="552"/>
      <c r="AC743" s="552"/>
      <c r="AD743" s="552"/>
      <c r="AE743" s="552"/>
      <c r="AF743" s="552"/>
      <c r="AG743" s="552"/>
      <c r="AH743" s="552"/>
      <c r="AI743" s="552"/>
      <c r="AJ743" s="552"/>
      <c r="AK743" s="552"/>
      <c r="AL743" s="552"/>
      <c r="AM743" s="552"/>
      <c r="AN743" s="552"/>
      <c r="AO743" s="552"/>
      <c r="AP743" s="552"/>
      <c r="AQ743" s="552" t="s">
        <v>1186</v>
      </c>
      <c r="AR743" s="552" t="s">
        <v>2802</v>
      </c>
      <c r="AS743" s="552" t="s">
        <v>6881</v>
      </c>
      <c r="AT743" s="552" t="s">
        <v>726</v>
      </c>
    </row>
    <row r="744" spans="1:46" ht="14.7" customHeight="1">
      <c r="A744" s="706"/>
      <c r="B744" s="540" t="s">
        <v>3695</v>
      </c>
      <c r="C744" s="539" t="s">
        <v>7753</v>
      </c>
      <c r="D744" s="709"/>
      <c r="E744" s="552"/>
      <c r="F744" s="552"/>
      <c r="G744" s="552"/>
      <c r="H744" s="552"/>
      <c r="I744" s="552"/>
      <c r="J744" s="552"/>
      <c r="K744" s="552"/>
      <c r="L744" s="552"/>
      <c r="M744" s="552"/>
      <c r="N744" s="552"/>
      <c r="O744" s="552"/>
      <c r="P744" s="552"/>
      <c r="Q744" s="552"/>
      <c r="R744" s="552"/>
      <c r="S744" s="552"/>
      <c r="T744" s="552"/>
      <c r="U744" s="552"/>
      <c r="V744" s="552"/>
      <c r="W744" s="552"/>
      <c r="X744" s="552"/>
      <c r="Y744" s="552"/>
      <c r="Z744" s="552"/>
      <c r="AA744" s="552"/>
      <c r="AB744" s="552"/>
      <c r="AC744" s="552"/>
      <c r="AD744" s="552"/>
      <c r="AE744" s="552"/>
      <c r="AF744" s="552"/>
      <c r="AG744" s="552"/>
      <c r="AH744" s="552"/>
      <c r="AI744" s="552"/>
      <c r="AJ744" s="552"/>
      <c r="AK744" s="552"/>
      <c r="AL744" s="552"/>
      <c r="AM744" s="552"/>
      <c r="AN744" s="552"/>
      <c r="AO744" s="552"/>
      <c r="AP744" s="552"/>
      <c r="AQ744" s="552" t="s">
        <v>1186</v>
      </c>
      <c r="AR744" s="552" t="s">
        <v>2802</v>
      </c>
      <c r="AS744" s="552" t="s">
        <v>6881</v>
      </c>
      <c r="AT744" s="552" t="s">
        <v>726</v>
      </c>
    </row>
    <row r="745" spans="1:46" ht="14.7" customHeight="1">
      <c r="A745" s="706" t="s">
        <v>6402</v>
      </c>
      <c r="B745" s="707" t="s">
        <v>3696</v>
      </c>
      <c r="C745" s="539" t="s">
        <v>7753</v>
      </c>
      <c r="D745" s="709" t="s">
        <v>7869</v>
      </c>
      <c r="E745" s="552" t="s">
        <v>7848</v>
      </c>
      <c r="F745" s="552"/>
      <c r="G745" s="552" t="s">
        <v>7868</v>
      </c>
      <c r="H745" s="552"/>
      <c r="I745" s="552"/>
      <c r="J745" s="552"/>
      <c r="K745" s="552"/>
      <c r="L745" s="552"/>
      <c r="M745" s="552"/>
      <c r="N745" s="552"/>
      <c r="O745" s="552"/>
      <c r="P745" s="552"/>
      <c r="Q745" s="552"/>
      <c r="R745" s="552"/>
      <c r="S745" s="552"/>
      <c r="T745" s="552"/>
      <c r="U745" s="552"/>
      <c r="V745" s="552"/>
      <c r="W745" s="552"/>
      <c r="X745" s="552">
        <v>3</v>
      </c>
      <c r="Y745" s="552">
        <v>1</v>
      </c>
      <c r="Z745" s="552"/>
      <c r="AA745" s="552"/>
      <c r="AB745" s="552"/>
      <c r="AC745" s="552"/>
      <c r="AD745" s="552"/>
      <c r="AE745" s="552"/>
      <c r="AF745" s="552"/>
      <c r="AG745" s="552"/>
      <c r="AH745" s="552"/>
      <c r="AI745" s="552"/>
      <c r="AJ745" s="552"/>
      <c r="AK745" s="552"/>
      <c r="AL745" s="552"/>
      <c r="AM745" s="552"/>
      <c r="AN745" s="552"/>
      <c r="AO745" s="552"/>
      <c r="AP745" s="552"/>
      <c r="AQ745" s="552" t="s">
        <v>1186</v>
      </c>
      <c r="AR745" s="552" t="s">
        <v>2805</v>
      </c>
      <c r="AS745" s="552" t="s">
        <v>6881</v>
      </c>
      <c r="AT745" s="552" t="s">
        <v>726</v>
      </c>
    </row>
    <row r="746" spans="1:46" ht="14.7" customHeight="1">
      <c r="A746" s="706"/>
      <c r="B746" s="707" t="s">
        <v>3696</v>
      </c>
      <c r="C746" s="539" t="s">
        <v>7753</v>
      </c>
      <c r="D746" s="709"/>
      <c r="E746" s="552"/>
      <c r="F746" s="552"/>
      <c r="G746" s="552"/>
      <c r="H746" s="552"/>
      <c r="I746" s="552"/>
      <c r="J746" s="552"/>
      <c r="K746" s="552"/>
      <c r="L746" s="552"/>
      <c r="M746" s="552"/>
      <c r="N746" s="552"/>
      <c r="O746" s="552"/>
      <c r="P746" s="552"/>
      <c r="Q746" s="552"/>
      <c r="R746" s="552"/>
      <c r="S746" s="552"/>
      <c r="T746" s="552"/>
      <c r="U746" s="552"/>
      <c r="V746" s="552"/>
      <c r="W746" s="552"/>
      <c r="X746" s="552"/>
      <c r="Y746" s="552"/>
      <c r="Z746" s="552"/>
      <c r="AA746" s="552"/>
      <c r="AB746" s="552"/>
      <c r="AC746" s="552"/>
      <c r="AD746" s="552"/>
      <c r="AE746" s="552"/>
      <c r="AF746" s="552"/>
      <c r="AG746" s="552"/>
      <c r="AH746" s="552"/>
      <c r="AI746" s="552"/>
      <c r="AJ746" s="552"/>
      <c r="AK746" s="552"/>
      <c r="AL746" s="552"/>
      <c r="AM746" s="552"/>
      <c r="AN746" s="552"/>
      <c r="AO746" s="552"/>
      <c r="AP746" s="552"/>
      <c r="AQ746" s="552" t="s">
        <v>1186</v>
      </c>
      <c r="AR746" s="552" t="s">
        <v>2805</v>
      </c>
      <c r="AS746" s="552" t="s">
        <v>6881</v>
      </c>
      <c r="AT746" s="552" t="s">
        <v>726</v>
      </c>
    </row>
    <row r="747" spans="1:46" ht="14.7" customHeight="1">
      <c r="A747" s="706" t="s">
        <v>6403</v>
      </c>
      <c r="B747" s="556" t="s">
        <v>3697</v>
      </c>
      <c r="C747" s="539" t="s">
        <v>7753</v>
      </c>
      <c r="D747" s="709" t="s">
        <v>7870</v>
      </c>
      <c r="E747" s="552" t="s">
        <v>7848</v>
      </c>
      <c r="F747" s="552"/>
      <c r="G747" s="552" t="s">
        <v>7868</v>
      </c>
      <c r="H747" s="552"/>
      <c r="I747" s="552"/>
      <c r="J747" s="552"/>
      <c r="K747" s="552"/>
      <c r="L747" s="552"/>
      <c r="M747" s="552"/>
      <c r="N747" s="552"/>
      <c r="O747" s="552"/>
      <c r="P747" s="552"/>
      <c r="Q747" s="552"/>
      <c r="R747" s="552"/>
      <c r="S747" s="552">
        <v>-1</v>
      </c>
      <c r="T747" s="552"/>
      <c r="U747" s="552"/>
      <c r="V747" s="552"/>
      <c r="W747" s="552"/>
      <c r="X747" s="552">
        <v>3</v>
      </c>
      <c r="Y747" s="552">
        <v>3</v>
      </c>
      <c r="Z747" s="552"/>
      <c r="AA747" s="552"/>
      <c r="AB747" s="552"/>
      <c r="AC747" s="552"/>
      <c r="AD747" s="552"/>
      <c r="AE747" s="552"/>
      <c r="AF747" s="552"/>
      <c r="AG747" s="552"/>
      <c r="AH747" s="552"/>
      <c r="AI747" s="552"/>
      <c r="AJ747" s="552">
        <v>20</v>
      </c>
      <c r="AK747" s="552"/>
      <c r="AL747" s="552"/>
      <c r="AM747" s="552"/>
      <c r="AN747" s="552"/>
      <c r="AO747" s="552"/>
      <c r="AP747" s="552"/>
      <c r="AQ747" s="552" t="s">
        <v>1186</v>
      </c>
      <c r="AR747" s="552" t="s">
        <v>2875</v>
      </c>
      <c r="AS747" s="552" t="s">
        <v>6881</v>
      </c>
      <c r="AT747" s="552" t="s">
        <v>726</v>
      </c>
    </row>
    <row r="748" spans="1:46" ht="14.7" customHeight="1">
      <c r="A748" s="706" t="s">
        <v>6404</v>
      </c>
      <c r="B748" s="556" t="s">
        <v>3697</v>
      </c>
      <c r="C748" s="539" t="s">
        <v>7753</v>
      </c>
      <c r="D748" s="709" t="s">
        <v>7871</v>
      </c>
      <c r="E748" s="552" t="s">
        <v>7848</v>
      </c>
      <c r="F748" s="552"/>
      <c r="G748" s="552" t="s">
        <v>7868</v>
      </c>
      <c r="H748" s="552"/>
      <c r="I748" s="552"/>
      <c r="J748" s="552"/>
      <c r="K748" s="552"/>
      <c r="L748" s="552"/>
      <c r="M748" s="552"/>
      <c r="N748" s="552"/>
      <c r="O748" s="552"/>
      <c r="P748" s="552"/>
      <c r="Q748" s="552"/>
      <c r="R748" s="552"/>
      <c r="S748" s="552"/>
      <c r="T748" s="552"/>
      <c r="U748" s="552"/>
      <c r="V748" s="552"/>
      <c r="W748" s="552"/>
      <c r="X748" s="552">
        <v>1</v>
      </c>
      <c r="Y748" s="552">
        <v>1</v>
      </c>
      <c r="Z748" s="552"/>
      <c r="AA748" s="552"/>
      <c r="AB748" s="552"/>
      <c r="AC748" s="552"/>
      <c r="AD748" s="552"/>
      <c r="AE748" s="552"/>
      <c r="AF748" s="552"/>
      <c r="AG748" s="552"/>
      <c r="AH748" s="552"/>
      <c r="AI748" s="552"/>
      <c r="AJ748" s="552"/>
      <c r="AK748" s="552">
        <v>20</v>
      </c>
      <c r="AL748" s="552"/>
      <c r="AM748" s="552"/>
      <c r="AN748" s="552"/>
      <c r="AO748" s="552"/>
      <c r="AP748" s="552"/>
      <c r="AQ748" s="552" t="s">
        <v>1186</v>
      </c>
      <c r="AR748" s="552" t="s">
        <v>2875</v>
      </c>
      <c r="AS748" s="552" t="s">
        <v>6881</v>
      </c>
      <c r="AT748" s="552" t="s">
        <v>726</v>
      </c>
    </row>
    <row r="749" spans="1:46" ht="14.7" customHeight="1">
      <c r="A749" s="706"/>
      <c r="B749" s="556" t="s">
        <v>3697</v>
      </c>
      <c r="C749" s="539" t="s">
        <v>7753</v>
      </c>
      <c r="D749" s="709"/>
      <c r="E749" s="552"/>
      <c r="F749" s="552"/>
      <c r="G749" s="552"/>
      <c r="H749" s="552"/>
      <c r="I749" s="552"/>
      <c r="J749" s="552"/>
      <c r="K749" s="552"/>
      <c r="L749" s="552"/>
      <c r="M749" s="552"/>
      <c r="N749" s="552"/>
      <c r="O749" s="552"/>
      <c r="P749" s="552"/>
      <c r="Q749" s="552"/>
      <c r="R749" s="552"/>
      <c r="S749" s="552"/>
      <c r="T749" s="552"/>
      <c r="U749" s="552"/>
      <c r="V749" s="552"/>
      <c r="W749" s="552"/>
      <c r="X749" s="552"/>
      <c r="Y749" s="552"/>
      <c r="Z749" s="552"/>
      <c r="AA749" s="552"/>
      <c r="AB749" s="552"/>
      <c r="AC749" s="552"/>
      <c r="AD749" s="552"/>
      <c r="AE749" s="552"/>
      <c r="AF749" s="552"/>
      <c r="AG749" s="552"/>
      <c r="AH749" s="552"/>
      <c r="AI749" s="552"/>
      <c r="AJ749" s="552"/>
      <c r="AK749" s="552"/>
      <c r="AL749" s="552"/>
      <c r="AM749" s="552"/>
      <c r="AN749" s="552"/>
      <c r="AO749" s="552"/>
      <c r="AP749" s="552"/>
      <c r="AQ749" s="552" t="s">
        <v>1186</v>
      </c>
      <c r="AR749" s="552" t="s">
        <v>2875</v>
      </c>
      <c r="AS749" s="552" t="s">
        <v>6881</v>
      </c>
      <c r="AT749" s="552" t="s">
        <v>726</v>
      </c>
    </row>
    <row r="750" spans="1:46" ht="14.7" customHeight="1">
      <c r="A750" s="706"/>
      <c r="B750" s="557" t="s">
        <v>3698</v>
      </c>
      <c r="C750" s="539" t="s">
        <v>7753</v>
      </c>
      <c r="D750" s="709"/>
      <c r="E750" s="552"/>
      <c r="F750" s="552"/>
      <c r="G750" s="552"/>
      <c r="H750" s="552"/>
      <c r="I750" s="552"/>
      <c r="J750" s="552"/>
      <c r="K750" s="552"/>
      <c r="L750" s="552"/>
      <c r="M750" s="552"/>
      <c r="N750" s="552"/>
      <c r="O750" s="552"/>
      <c r="P750" s="552"/>
      <c r="Q750" s="552"/>
      <c r="R750" s="552"/>
      <c r="S750" s="552"/>
      <c r="T750" s="552"/>
      <c r="U750" s="552"/>
      <c r="V750" s="552"/>
      <c r="W750" s="552"/>
      <c r="X750" s="552"/>
      <c r="Y750" s="552"/>
      <c r="Z750" s="552"/>
      <c r="AA750" s="552"/>
      <c r="AB750" s="552"/>
      <c r="AC750" s="552"/>
      <c r="AD750" s="552"/>
      <c r="AE750" s="552"/>
      <c r="AF750" s="552"/>
      <c r="AG750" s="552"/>
      <c r="AH750" s="552"/>
      <c r="AI750" s="552"/>
      <c r="AJ750" s="552"/>
      <c r="AK750" s="552"/>
      <c r="AL750" s="552"/>
      <c r="AM750" s="552"/>
      <c r="AN750" s="552"/>
      <c r="AO750" s="552"/>
      <c r="AP750" s="552"/>
      <c r="AQ750" s="552" t="s">
        <v>1186</v>
      </c>
      <c r="AR750" s="552" t="s">
        <v>2998</v>
      </c>
      <c r="AS750" s="552" t="s">
        <v>6881</v>
      </c>
      <c r="AT750" s="552" t="s">
        <v>726</v>
      </c>
    </row>
    <row r="751" spans="1:46" ht="14.7" customHeight="1">
      <c r="A751" s="706"/>
      <c r="B751" s="557" t="s">
        <v>3698</v>
      </c>
      <c r="C751" s="539" t="s">
        <v>7753</v>
      </c>
      <c r="D751" s="709"/>
      <c r="E751" s="552"/>
      <c r="F751" s="552"/>
      <c r="G751" s="552"/>
      <c r="H751" s="552"/>
      <c r="I751" s="552"/>
      <c r="J751" s="552"/>
      <c r="K751" s="552"/>
      <c r="L751" s="552"/>
      <c r="M751" s="552"/>
      <c r="N751" s="552"/>
      <c r="O751" s="552"/>
      <c r="P751" s="552"/>
      <c r="Q751" s="552"/>
      <c r="R751" s="552"/>
      <c r="S751" s="552"/>
      <c r="T751" s="552"/>
      <c r="U751" s="552"/>
      <c r="V751" s="552"/>
      <c r="W751" s="552"/>
      <c r="X751" s="552"/>
      <c r="Y751" s="552"/>
      <c r="Z751" s="552"/>
      <c r="AA751" s="552"/>
      <c r="AB751" s="552"/>
      <c r="AC751" s="552"/>
      <c r="AD751" s="552"/>
      <c r="AE751" s="552"/>
      <c r="AF751" s="552"/>
      <c r="AG751" s="552"/>
      <c r="AH751" s="552"/>
      <c r="AI751" s="552"/>
      <c r="AJ751" s="552"/>
      <c r="AK751" s="552"/>
      <c r="AL751" s="552"/>
      <c r="AM751" s="552"/>
      <c r="AN751" s="552"/>
      <c r="AO751" s="552"/>
      <c r="AP751" s="552"/>
      <c r="AQ751" s="552" t="s">
        <v>1186</v>
      </c>
      <c r="AR751" s="552" t="s">
        <v>2998</v>
      </c>
      <c r="AS751" s="552" t="s">
        <v>6881</v>
      </c>
      <c r="AT751" s="552" t="s">
        <v>726</v>
      </c>
    </row>
    <row r="752" spans="1:46" ht="14.7" customHeight="1">
      <c r="A752" s="706" t="s">
        <v>6405</v>
      </c>
      <c r="B752" s="557" t="s">
        <v>3698</v>
      </c>
      <c r="C752" s="539" t="s">
        <v>7753</v>
      </c>
      <c r="D752" s="709" t="s">
        <v>7872</v>
      </c>
      <c r="E752" s="552" t="s">
        <v>7848</v>
      </c>
      <c r="F752" s="552"/>
      <c r="G752" s="552" t="s">
        <v>7868</v>
      </c>
      <c r="H752" s="552"/>
      <c r="I752" s="552"/>
      <c r="J752" s="552"/>
      <c r="K752" s="552"/>
      <c r="L752" s="552"/>
      <c r="M752" s="552"/>
      <c r="N752" s="552">
        <v>40</v>
      </c>
      <c r="O752" s="552"/>
      <c r="P752" s="552"/>
      <c r="Q752" s="552"/>
      <c r="R752" s="552"/>
      <c r="S752" s="552">
        <v>-1</v>
      </c>
      <c r="T752" s="552"/>
      <c r="U752" s="552"/>
      <c r="V752" s="552"/>
      <c r="W752" s="552"/>
      <c r="X752" s="552">
        <v>8</v>
      </c>
      <c r="Y752" s="552"/>
      <c r="Z752" s="552"/>
      <c r="AA752" s="552"/>
      <c r="AB752" s="552"/>
      <c r="AC752" s="552"/>
      <c r="AD752" s="552"/>
      <c r="AE752" s="552"/>
      <c r="AF752" s="552"/>
      <c r="AG752" s="552"/>
      <c r="AH752" s="552"/>
      <c r="AI752" s="552"/>
      <c r="AJ752" s="552"/>
      <c r="AK752" s="552"/>
      <c r="AL752" s="552"/>
      <c r="AM752" s="552"/>
      <c r="AN752" s="552"/>
      <c r="AO752" s="552"/>
      <c r="AP752" s="552"/>
      <c r="AQ752" s="552" t="s">
        <v>1186</v>
      </c>
      <c r="AR752" s="552" t="s">
        <v>2998</v>
      </c>
      <c r="AS752" s="552" t="s">
        <v>6881</v>
      </c>
      <c r="AT752" s="552" t="s">
        <v>726</v>
      </c>
    </row>
    <row r="753" spans="1:46" ht="14.7" customHeight="1">
      <c r="A753" s="706" t="s">
        <v>9092</v>
      </c>
      <c r="B753" s="557" t="s">
        <v>3698</v>
      </c>
      <c r="C753" s="539" t="s">
        <v>7753</v>
      </c>
      <c r="D753" s="709" t="s">
        <v>7873</v>
      </c>
      <c r="E753" s="552" t="s">
        <v>7848</v>
      </c>
      <c r="F753" s="552"/>
      <c r="G753" s="552" t="s">
        <v>7868</v>
      </c>
      <c r="H753" s="552"/>
      <c r="I753" s="552"/>
      <c r="J753" s="552"/>
      <c r="K753" s="552"/>
      <c r="L753" s="552"/>
      <c r="M753" s="552"/>
      <c r="N753" s="552"/>
      <c r="O753" s="552"/>
      <c r="P753" s="552"/>
      <c r="Q753" s="552"/>
      <c r="R753" s="552"/>
      <c r="S753" s="552"/>
      <c r="T753" s="552"/>
      <c r="U753" s="552"/>
      <c r="V753" s="552"/>
      <c r="W753" s="552"/>
      <c r="X753" s="552">
        <v>2</v>
      </c>
      <c r="Y753" s="552"/>
      <c r="Z753" s="552"/>
      <c r="AA753" s="552"/>
      <c r="AB753" s="552"/>
      <c r="AC753" s="552"/>
      <c r="AD753" s="552"/>
      <c r="AE753" s="552"/>
      <c r="AF753" s="552"/>
      <c r="AG753" s="552"/>
      <c r="AH753" s="552"/>
      <c r="AI753" s="552"/>
      <c r="AJ753" s="552"/>
      <c r="AK753" s="552"/>
      <c r="AL753" s="552">
        <v>20</v>
      </c>
      <c r="AM753" s="552"/>
      <c r="AN753" s="552"/>
      <c r="AO753" s="717" t="s">
        <v>9116</v>
      </c>
      <c r="AP753" s="552"/>
      <c r="AQ753" s="552" t="s">
        <v>1186</v>
      </c>
      <c r="AR753" s="552" t="s">
        <v>2998</v>
      </c>
      <c r="AS753" s="552" t="s">
        <v>6881</v>
      </c>
      <c r="AT753" s="552" t="s">
        <v>726</v>
      </c>
    </row>
    <row r="754" spans="1:46" ht="14.7" customHeight="1">
      <c r="A754" s="706" t="s">
        <v>7874</v>
      </c>
      <c r="B754" s="344" t="s">
        <v>3699</v>
      </c>
      <c r="C754" s="539" t="s">
        <v>7753</v>
      </c>
      <c r="D754" s="709" t="s">
        <v>7875</v>
      </c>
      <c r="E754" s="552" t="s">
        <v>7848</v>
      </c>
      <c r="F754" s="552"/>
      <c r="G754" s="552" t="s">
        <v>7868</v>
      </c>
      <c r="H754" s="552"/>
      <c r="I754" s="552"/>
      <c r="J754" s="552"/>
      <c r="K754" s="552"/>
      <c r="L754" s="552"/>
      <c r="M754" s="552"/>
      <c r="N754" s="552"/>
      <c r="O754" s="552"/>
      <c r="P754" s="552"/>
      <c r="Q754" s="552"/>
      <c r="R754" s="552"/>
      <c r="S754" s="552">
        <v>-2</v>
      </c>
      <c r="T754" s="552"/>
      <c r="U754" s="552"/>
      <c r="V754" s="552"/>
      <c r="W754" s="552"/>
      <c r="X754" s="552">
        <v>10</v>
      </c>
      <c r="Y754" s="552">
        <v>2</v>
      </c>
      <c r="Z754" s="552"/>
      <c r="AA754" s="552"/>
      <c r="AB754" s="552">
        <v>10</v>
      </c>
      <c r="AC754" s="552">
        <v>10</v>
      </c>
      <c r="AD754" s="552">
        <v>10</v>
      </c>
      <c r="AE754" s="552">
        <v>10</v>
      </c>
      <c r="AF754" s="552">
        <v>10</v>
      </c>
      <c r="AG754" s="552">
        <v>10</v>
      </c>
      <c r="AH754" s="552">
        <v>10</v>
      </c>
      <c r="AI754" s="552">
        <v>10</v>
      </c>
      <c r="AJ754" s="552"/>
      <c r="AK754" s="552"/>
      <c r="AL754" s="552"/>
      <c r="AM754" s="552"/>
      <c r="AN754" s="552"/>
      <c r="AO754" s="717" t="s">
        <v>7876</v>
      </c>
      <c r="AP754" s="552"/>
      <c r="AQ754" s="552" t="s">
        <v>1186</v>
      </c>
      <c r="AR754" s="552" t="s">
        <v>2809</v>
      </c>
      <c r="AS754" s="552" t="s">
        <v>6881</v>
      </c>
      <c r="AT754" s="552" t="s">
        <v>726</v>
      </c>
    </row>
    <row r="755" spans="1:46" ht="14.7" customHeight="1">
      <c r="A755" s="706" t="s">
        <v>9093</v>
      </c>
      <c r="B755" s="344" t="s">
        <v>3699</v>
      </c>
      <c r="C755" s="539" t="s">
        <v>7753</v>
      </c>
      <c r="D755" s="709" t="s">
        <v>7877</v>
      </c>
      <c r="E755" s="552" t="s">
        <v>7848</v>
      </c>
      <c r="F755" s="552"/>
      <c r="G755" s="552" t="s">
        <v>7868</v>
      </c>
      <c r="H755" s="552"/>
      <c r="I755" s="552"/>
      <c r="J755" s="552"/>
      <c r="K755" s="552"/>
      <c r="L755" s="552"/>
      <c r="M755" s="552"/>
      <c r="N755" s="552"/>
      <c r="O755" s="552"/>
      <c r="P755" s="552"/>
      <c r="Q755" s="552"/>
      <c r="R755" s="552"/>
      <c r="S755" s="552"/>
      <c r="T755" s="552"/>
      <c r="U755" s="552">
        <v>1</v>
      </c>
      <c r="V755" s="552"/>
      <c r="W755" s="552"/>
      <c r="X755" s="552"/>
      <c r="Y755" s="552"/>
      <c r="Z755" s="552"/>
      <c r="AA755" s="552"/>
      <c r="AB755" s="552"/>
      <c r="AC755" s="552"/>
      <c r="AD755" s="552"/>
      <c r="AE755" s="552"/>
      <c r="AF755" s="552"/>
      <c r="AG755" s="552"/>
      <c r="AH755" s="552"/>
      <c r="AI755" s="552"/>
      <c r="AJ755" s="552"/>
      <c r="AK755" s="552">
        <v>10</v>
      </c>
      <c r="AL755" s="552">
        <v>10</v>
      </c>
      <c r="AM755" s="552"/>
      <c r="AN755" s="552"/>
      <c r="AO755" s="717" t="s">
        <v>7878</v>
      </c>
      <c r="AP755" s="717" t="s">
        <v>7879</v>
      </c>
      <c r="AQ755" s="552" t="s">
        <v>1186</v>
      </c>
      <c r="AR755" s="552" t="s">
        <v>2809</v>
      </c>
      <c r="AS755" s="552" t="s">
        <v>6881</v>
      </c>
      <c r="AT755" s="552" t="s">
        <v>726</v>
      </c>
    </row>
    <row r="756" spans="1:46" ht="14.7" customHeight="1">
      <c r="A756" s="706"/>
      <c r="B756" s="344" t="s">
        <v>3699</v>
      </c>
      <c r="C756" s="539" t="s">
        <v>7753</v>
      </c>
      <c r="D756" s="709"/>
      <c r="E756" s="552"/>
      <c r="F756" s="552"/>
      <c r="G756" s="552"/>
      <c r="H756" s="552"/>
      <c r="I756" s="552"/>
      <c r="J756" s="552"/>
      <c r="K756" s="552"/>
      <c r="L756" s="552"/>
      <c r="M756" s="552"/>
      <c r="N756" s="552"/>
      <c r="O756" s="552"/>
      <c r="P756" s="552"/>
      <c r="Q756" s="552"/>
      <c r="R756" s="552"/>
      <c r="S756" s="552"/>
      <c r="T756" s="552"/>
      <c r="U756" s="552"/>
      <c r="V756" s="552"/>
      <c r="W756" s="552"/>
      <c r="X756" s="552"/>
      <c r="Y756" s="552"/>
      <c r="Z756" s="552"/>
      <c r="AA756" s="552"/>
      <c r="AB756" s="552"/>
      <c r="AC756" s="552"/>
      <c r="AD756" s="552"/>
      <c r="AE756" s="552"/>
      <c r="AF756" s="552"/>
      <c r="AG756" s="552"/>
      <c r="AH756" s="552"/>
      <c r="AI756" s="552"/>
      <c r="AJ756" s="552"/>
      <c r="AK756" s="552"/>
      <c r="AL756" s="552"/>
      <c r="AM756" s="552"/>
      <c r="AN756" s="552"/>
      <c r="AO756" s="552"/>
      <c r="AP756" s="552"/>
      <c r="AQ756" s="552" t="s">
        <v>1186</v>
      </c>
      <c r="AR756" s="552" t="s">
        <v>2809</v>
      </c>
      <c r="AS756" s="552" t="s">
        <v>6881</v>
      </c>
      <c r="AT756" s="552" t="s">
        <v>726</v>
      </c>
    </row>
    <row r="757" spans="1:46" ht="14.7" customHeight="1">
      <c r="A757" s="706"/>
      <c r="B757" s="344" t="s">
        <v>3699</v>
      </c>
      <c r="C757" s="539" t="s">
        <v>7753</v>
      </c>
      <c r="D757" s="709"/>
      <c r="E757" s="552"/>
      <c r="F757" s="552"/>
      <c r="G757" s="552"/>
      <c r="H757" s="552"/>
      <c r="I757" s="552"/>
      <c r="J757" s="552"/>
      <c r="K757" s="552"/>
      <c r="L757" s="552"/>
      <c r="M757" s="552"/>
      <c r="N757" s="552"/>
      <c r="O757" s="552"/>
      <c r="P757" s="552"/>
      <c r="Q757" s="552"/>
      <c r="R757" s="552"/>
      <c r="S757" s="552"/>
      <c r="T757" s="552"/>
      <c r="U757" s="552"/>
      <c r="V757" s="552"/>
      <c r="W757" s="552"/>
      <c r="X757" s="552"/>
      <c r="Y757" s="552"/>
      <c r="Z757" s="552"/>
      <c r="AA757" s="552"/>
      <c r="AB757" s="552"/>
      <c r="AC757" s="552"/>
      <c r="AD757" s="552"/>
      <c r="AE757" s="552"/>
      <c r="AF757" s="552"/>
      <c r="AG757" s="552"/>
      <c r="AH757" s="552"/>
      <c r="AI757" s="552"/>
      <c r="AJ757" s="552"/>
      <c r="AK757" s="552"/>
      <c r="AL757" s="552"/>
      <c r="AM757" s="552"/>
      <c r="AN757" s="552"/>
      <c r="AO757" s="552"/>
      <c r="AP757" s="552"/>
      <c r="AQ757" s="552" t="s">
        <v>1186</v>
      </c>
      <c r="AR757" s="552" t="s">
        <v>2809</v>
      </c>
      <c r="AS757" s="552" t="s">
        <v>6881</v>
      </c>
      <c r="AT757" s="552" t="s">
        <v>726</v>
      </c>
    </row>
    <row r="758" spans="1:46" ht="14.7" customHeight="1">
      <c r="A758" s="706"/>
      <c r="B758" s="344" t="s">
        <v>3699</v>
      </c>
      <c r="C758" s="539" t="s">
        <v>7753</v>
      </c>
      <c r="D758" s="709"/>
      <c r="E758" s="552"/>
      <c r="F758" s="552"/>
      <c r="G758" s="552"/>
      <c r="H758" s="552"/>
      <c r="I758" s="552"/>
      <c r="J758" s="552"/>
      <c r="K758" s="552"/>
      <c r="L758" s="552"/>
      <c r="M758" s="552"/>
      <c r="N758" s="552"/>
      <c r="O758" s="552"/>
      <c r="P758" s="552"/>
      <c r="Q758" s="552"/>
      <c r="R758" s="552"/>
      <c r="S758" s="552"/>
      <c r="T758" s="552"/>
      <c r="U758" s="552"/>
      <c r="V758" s="552"/>
      <c r="W758" s="552"/>
      <c r="X758" s="552"/>
      <c r="Y758" s="552"/>
      <c r="Z758" s="552"/>
      <c r="AA758" s="552"/>
      <c r="AB758" s="552"/>
      <c r="AC758" s="552"/>
      <c r="AD758" s="552"/>
      <c r="AE758" s="552"/>
      <c r="AF758" s="552"/>
      <c r="AG758" s="552"/>
      <c r="AH758" s="552"/>
      <c r="AI758" s="552"/>
      <c r="AJ758" s="552"/>
      <c r="AK758" s="552"/>
      <c r="AL758" s="552"/>
      <c r="AM758" s="552"/>
      <c r="AN758" s="552"/>
      <c r="AO758" s="552"/>
      <c r="AP758" s="552"/>
      <c r="AQ758" s="552" t="s">
        <v>1186</v>
      </c>
      <c r="AR758" s="552" t="s">
        <v>2809</v>
      </c>
      <c r="AS758" s="552" t="s">
        <v>6881</v>
      </c>
      <c r="AT758" s="552" t="s">
        <v>726</v>
      </c>
    </row>
    <row r="759" spans="1:46" ht="14.7" customHeight="1">
      <c r="A759" s="706" t="s">
        <v>7880</v>
      </c>
      <c r="B759" s="559" t="s">
        <v>3700</v>
      </c>
      <c r="C759" s="539" t="s">
        <v>7753</v>
      </c>
      <c r="D759" s="709" t="s">
        <v>7881</v>
      </c>
      <c r="E759" s="552" t="s">
        <v>7848</v>
      </c>
      <c r="F759" s="552"/>
      <c r="G759" s="552" t="s">
        <v>7868</v>
      </c>
      <c r="H759" s="552"/>
      <c r="I759" s="552"/>
      <c r="J759" s="552"/>
      <c r="K759" s="552"/>
      <c r="L759" s="552"/>
      <c r="M759" s="552"/>
      <c r="N759" s="552"/>
      <c r="O759" s="552"/>
      <c r="P759" s="552"/>
      <c r="Q759" s="552"/>
      <c r="R759" s="552"/>
      <c r="S759" s="552"/>
      <c r="T759" s="552"/>
      <c r="U759" s="552"/>
      <c r="V759" s="552"/>
      <c r="W759" s="552"/>
      <c r="X759" s="552">
        <v>5</v>
      </c>
      <c r="Y759" s="552">
        <v>5</v>
      </c>
      <c r="Z759" s="552"/>
      <c r="AA759" s="552"/>
      <c r="AB759" s="552">
        <v>20</v>
      </c>
      <c r="AC759" s="552"/>
      <c r="AD759" s="552"/>
      <c r="AE759" s="552"/>
      <c r="AF759" s="552"/>
      <c r="AG759" s="552"/>
      <c r="AH759" s="552"/>
      <c r="AI759" s="552"/>
      <c r="AJ759" s="552"/>
      <c r="AK759" s="552"/>
      <c r="AL759" s="552"/>
      <c r="AM759" s="552"/>
      <c r="AN759" s="552"/>
      <c r="AO759" s="717" t="s">
        <v>7882</v>
      </c>
      <c r="AP759" s="717" t="s">
        <v>7883</v>
      </c>
      <c r="AQ759" s="552" t="s">
        <v>1186</v>
      </c>
      <c r="AR759" s="552" t="s">
        <v>2971</v>
      </c>
      <c r="AS759" s="552" t="s">
        <v>6881</v>
      </c>
      <c r="AT759" s="552" t="s">
        <v>726</v>
      </c>
    </row>
    <row r="760" spans="1:46" ht="14.7" customHeight="1">
      <c r="A760" s="706" t="s">
        <v>6406</v>
      </c>
      <c r="B760" s="559" t="s">
        <v>3700</v>
      </c>
      <c r="C760" s="539" t="s">
        <v>7753</v>
      </c>
      <c r="D760" s="709" t="s">
        <v>7884</v>
      </c>
      <c r="E760" s="552" t="s">
        <v>7848</v>
      </c>
      <c r="F760" s="552"/>
      <c r="G760" s="552" t="s">
        <v>7868</v>
      </c>
      <c r="H760" s="552"/>
      <c r="I760" s="552"/>
      <c r="J760" s="552"/>
      <c r="K760" s="552"/>
      <c r="L760" s="552"/>
      <c r="M760" s="552"/>
      <c r="N760" s="552"/>
      <c r="O760" s="552"/>
      <c r="P760" s="552"/>
      <c r="Q760" s="552"/>
      <c r="R760" s="552"/>
      <c r="S760" s="552"/>
      <c r="T760" s="552"/>
      <c r="U760" s="552"/>
      <c r="V760" s="552"/>
      <c r="W760" s="552"/>
      <c r="X760" s="552"/>
      <c r="Y760" s="552"/>
      <c r="Z760" s="552"/>
      <c r="AA760" s="552"/>
      <c r="AB760" s="552"/>
      <c r="AC760" s="552">
        <v>20</v>
      </c>
      <c r="AD760" s="552"/>
      <c r="AE760" s="552"/>
      <c r="AF760" s="552"/>
      <c r="AG760" s="552"/>
      <c r="AH760" s="552"/>
      <c r="AI760" s="552">
        <v>20</v>
      </c>
      <c r="AJ760" s="552">
        <v>20</v>
      </c>
      <c r="AK760" s="552">
        <v>20</v>
      </c>
      <c r="AL760" s="552"/>
      <c r="AM760" s="552"/>
      <c r="AN760" s="552"/>
      <c r="AO760" s="552"/>
      <c r="AP760" s="717" t="s">
        <v>7885</v>
      </c>
      <c r="AQ760" s="552" t="s">
        <v>1186</v>
      </c>
      <c r="AR760" s="552" t="s">
        <v>2971</v>
      </c>
      <c r="AS760" s="552" t="s">
        <v>6881</v>
      </c>
      <c r="AT760" s="552" t="s">
        <v>726</v>
      </c>
    </row>
    <row r="761" spans="1:46" ht="14.7" customHeight="1">
      <c r="A761" s="706"/>
      <c r="B761" s="711" t="s">
        <v>6055</v>
      </c>
      <c r="C761" s="539" t="s">
        <v>7753</v>
      </c>
      <c r="D761" s="709"/>
      <c r="E761" s="552"/>
      <c r="F761" s="552"/>
      <c r="G761" s="552"/>
      <c r="H761" s="552"/>
      <c r="I761" s="552"/>
      <c r="J761" s="552"/>
      <c r="K761" s="552"/>
      <c r="L761" s="552"/>
      <c r="M761" s="552"/>
      <c r="N761" s="552"/>
      <c r="O761" s="552"/>
      <c r="P761" s="552"/>
      <c r="Q761" s="552"/>
      <c r="R761" s="552"/>
      <c r="S761" s="552"/>
      <c r="T761" s="552"/>
      <c r="U761" s="552"/>
      <c r="V761" s="552"/>
      <c r="W761" s="552"/>
      <c r="X761" s="552"/>
      <c r="Y761" s="552"/>
      <c r="Z761" s="552"/>
      <c r="AA761" s="552"/>
      <c r="AB761" s="552"/>
      <c r="AC761" s="552"/>
      <c r="AD761" s="552"/>
      <c r="AE761" s="552"/>
      <c r="AF761" s="552"/>
      <c r="AG761" s="552"/>
      <c r="AH761" s="552"/>
      <c r="AI761" s="552"/>
      <c r="AJ761" s="552"/>
      <c r="AK761" s="552"/>
      <c r="AL761" s="552"/>
      <c r="AM761" s="552"/>
      <c r="AN761" s="552"/>
      <c r="AO761" s="552"/>
      <c r="AP761" s="552"/>
      <c r="AQ761" s="552" t="s">
        <v>1186</v>
      </c>
      <c r="AR761" s="552" t="s">
        <v>6697</v>
      </c>
      <c r="AS761" s="552" t="s">
        <v>6881</v>
      </c>
      <c r="AT761" s="552" t="s">
        <v>726</v>
      </c>
    </row>
    <row r="762" spans="1:46" ht="14.7" customHeight="1">
      <c r="A762" s="706" t="s">
        <v>6407</v>
      </c>
      <c r="B762" s="540" t="s">
        <v>3695</v>
      </c>
      <c r="C762" s="539" t="s">
        <v>7753</v>
      </c>
      <c r="D762" s="709" t="s">
        <v>7886</v>
      </c>
      <c r="E762" s="552" t="s">
        <v>7848</v>
      </c>
      <c r="F762" s="552"/>
      <c r="G762" s="552" t="s">
        <v>7887</v>
      </c>
      <c r="H762" s="552"/>
      <c r="I762" s="552"/>
      <c r="J762" s="552"/>
      <c r="K762" s="552"/>
      <c r="L762" s="552"/>
      <c r="M762" s="552"/>
      <c r="N762" s="552"/>
      <c r="O762" s="552"/>
      <c r="P762" s="552"/>
      <c r="Q762" s="552"/>
      <c r="R762" s="552"/>
      <c r="S762" s="552"/>
      <c r="T762" s="552"/>
      <c r="U762" s="552"/>
      <c r="V762" s="552"/>
      <c r="W762" s="552"/>
      <c r="X762" s="552"/>
      <c r="Y762" s="552"/>
      <c r="Z762" s="552"/>
      <c r="AA762" s="552"/>
      <c r="AB762" s="552"/>
      <c r="AC762" s="552"/>
      <c r="AD762" s="552"/>
      <c r="AE762" s="552"/>
      <c r="AF762" s="552"/>
      <c r="AG762" s="552"/>
      <c r="AH762" s="552"/>
      <c r="AI762" s="552"/>
      <c r="AJ762" s="552"/>
      <c r="AK762" s="552"/>
      <c r="AL762" s="552"/>
      <c r="AM762" s="552"/>
      <c r="AN762" s="552"/>
      <c r="AO762" s="717" t="s">
        <v>7888</v>
      </c>
      <c r="AP762" s="552"/>
      <c r="AQ762" s="552" t="s">
        <v>7715</v>
      </c>
      <c r="AR762" s="552" t="s">
        <v>2802</v>
      </c>
      <c r="AS762" s="552" t="s">
        <v>6967</v>
      </c>
      <c r="AT762" s="552" t="s">
        <v>726</v>
      </c>
    </row>
    <row r="763" spans="1:46" ht="14.7" customHeight="1">
      <c r="A763" s="706"/>
      <c r="B763" s="540" t="s">
        <v>3695</v>
      </c>
      <c r="C763" s="539" t="s">
        <v>7753</v>
      </c>
      <c r="D763" s="709"/>
      <c r="E763" s="552"/>
      <c r="F763" s="552"/>
      <c r="G763" s="552"/>
      <c r="H763" s="552"/>
      <c r="I763" s="552"/>
      <c r="J763" s="552"/>
      <c r="K763" s="552"/>
      <c r="L763" s="552"/>
      <c r="M763" s="552"/>
      <c r="N763" s="552"/>
      <c r="O763" s="552"/>
      <c r="P763" s="552"/>
      <c r="Q763" s="552"/>
      <c r="R763" s="552"/>
      <c r="S763" s="552"/>
      <c r="T763" s="552"/>
      <c r="U763" s="552"/>
      <c r="V763" s="552"/>
      <c r="W763" s="552"/>
      <c r="X763" s="552"/>
      <c r="Y763" s="552"/>
      <c r="Z763" s="552"/>
      <c r="AA763" s="552"/>
      <c r="AB763" s="552"/>
      <c r="AC763" s="552"/>
      <c r="AD763" s="552"/>
      <c r="AE763" s="552"/>
      <c r="AF763" s="552"/>
      <c r="AG763" s="552"/>
      <c r="AH763" s="552"/>
      <c r="AI763" s="552"/>
      <c r="AJ763" s="552"/>
      <c r="AK763" s="552"/>
      <c r="AL763" s="552"/>
      <c r="AM763" s="552"/>
      <c r="AN763" s="552"/>
      <c r="AO763" s="552"/>
      <c r="AP763" s="552"/>
      <c r="AQ763" s="552" t="s">
        <v>7715</v>
      </c>
      <c r="AR763" s="552" t="s">
        <v>2802</v>
      </c>
      <c r="AS763" s="552" t="s">
        <v>6967</v>
      </c>
      <c r="AT763" s="552" t="s">
        <v>726</v>
      </c>
    </row>
    <row r="764" spans="1:46" ht="14.7" customHeight="1">
      <c r="A764" s="706" t="s">
        <v>6408</v>
      </c>
      <c r="B764" s="707" t="s">
        <v>3696</v>
      </c>
      <c r="C764" s="539" t="s">
        <v>7753</v>
      </c>
      <c r="D764" s="709" t="s">
        <v>7889</v>
      </c>
      <c r="E764" s="552" t="s">
        <v>7848</v>
      </c>
      <c r="F764" s="552"/>
      <c r="G764" s="552" t="s">
        <v>7887</v>
      </c>
      <c r="H764" s="552"/>
      <c r="I764" s="552"/>
      <c r="J764" s="552"/>
      <c r="K764" s="552"/>
      <c r="L764" s="552"/>
      <c r="M764" s="552"/>
      <c r="N764" s="552"/>
      <c r="O764" s="552"/>
      <c r="P764" s="552"/>
      <c r="Q764" s="552"/>
      <c r="R764" s="552"/>
      <c r="S764" s="552">
        <v>1</v>
      </c>
      <c r="T764" s="552"/>
      <c r="U764" s="552"/>
      <c r="V764" s="552"/>
      <c r="W764" s="552"/>
      <c r="X764" s="552"/>
      <c r="Y764" s="552"/>
      <c r="Z764" s="552"/>
      <c r="AA764" s="552"/>
      <c r="AB764" s="552"/>
      <c r="AC764" s="552"/>
      <c r="AD764" s="552"/>
      <c r="AE764" s="552"/>
      <c r="AF764" s="552"/>
      <c r="AG764" s="552"/>
      <c r="AH764" s="552"/>
      <c r="AI764" s="552"/>
      <c r="AJ764" s="552"/>
      <c r="AK764" s="552"/>
      <c r="AL764" s="552"/>
      <c r="AM764" s="552"/>
      <c r="AN764" s="552"/>
      <c r="AO764" s="552"/>
      <c r="AP764" s="552"/>
      <c r="AQ764" s="552" t="s">
        <v>7715</v>
      </c>
      <c r="AR764" s="552" t="s">
        <v>2805</v>
      </c>
      <c r="AS764" s="552" t="s">
        <v>6967</v>
      </c>
      <c r="AT764" s="552" t="s">
        <v>726</v>
      </c>
    </row>
    <row r="765" spans="1:46" ht="14.7" customHeight="1">
      <c r="A765" s="706"/>
      <c r="B765" s="707" t="s">
        <v>3696</v>
      </c>
      <c r="C765" s="539" t="s">
        <v>7753</v>
      </c>
      <c r="D765" s="709"/>
      <c r="E765" s="552"/>
      <c r="F765" s="552"/>
      <c r="G765" s="552"/>
      <c r="H765" s="552"/>
      <c r="I765" s="552"/>
      <c r="J765" s="552"/>
      <c r="K765" s="552"/>
      <c r="L765" s="552"/>
      <c r="M765" s="552"/>
      <c r="N765" s="552"/>
      <c r="O765" s="552"/>
      <c r="P765" s="552"/>
      <c r="Q765" s="552"/>
      <c r="R765" s="552"/>
      <c r="S765" s="552"/>
      <c r="T765" s="552"/>
      <c r="U765" s="552"/>
      <c r="V765" s="552"/>
      <c r="W765" s="552"/>
      <c r="X765" s="552"/>
      <c r="Y765" s="552"/>
      <c r="Z765" s="552"/>
      <c r="AA765" s="552"/>
      <c r="AB765" s="552"/>
      <c r="AC765" s="552"/>
      <c r="AD765" s="552"/>
      <c r="AE765" s="552"/>
      <c r="AF765" s="552"/>
      <c r="AG765" s="552"/>
      <c r="AH765" s="552"/>
      <c r="AI765" s="552"/>
      <c r="AJ765" s="552"/>
      <c r="AK765" s="552"/>
      <c r="AL765" s="552"/>
      <c r="AM765" s="552"/>
      <c r="AN765" s="552"/>
      <c r="AO765" s="552"/>
      <c r="AP765" s="552"/>
      <c r="AQ765" s="552" t="s">
        <v>7715</v>
      </c>
      <c r="AR765" s="552" t="s">
        <v>2805</v>
      </c>
      <c r="AS765" s="552" t="s">
        <v>6967</v>
      </c>
      <c r="AT765" s="552" t="s">
        <v>726</v>
      </c>
    </row>
    <row r="766" spans="1:46" ht="14.7" customHeight="1">
      <c r="A766" s="706" t="s">
        <v>6409</v>
      </c>
      <c r="B766" s="556" t="s">
        <v>3697</v>
      </c>
      <c r="C766" s="539" t="s">
        <v>7753</v>
      </c>
      <c r="D766" s="709" t="s">
        <v>7890</v>
      </c>
      <c r="E766" s="552" t="s">
        <v>7848</v>
      </c>
      <c r="F766" s="552"/>
      <c r="G766" s="552" t="s">
        <v>7887</v>
      </c>
      <c r="H766" s="552"/>
      <c r="I766" s="552"/>
      <c r="J766" s="552"/>
      <c r="K766" s="552"/>
      <c r="L766" s="552"/>
      <c r="M766" s="552"/>
      <c r="N766" s="552"/>
      <c r="O766" s="552"/>
      <c r="P766" s="552"/>
      <c r="Q766" s="552">
        <v>2</v>
      </c>
      <c r="R766" s="552"/>
      <c r="S766" s="552"/>
      <c r="T766" s="552"/>
      <c r="U766" s="552"/>
      <c r="V766" s="552"/>
      <c r="W766" s="552"/>
      <c r="X766" s="552"/>
      <c r="Y766" s="552"/>
      <c r="Z766" s="552"/>
      <c r="AA766" s="552"/>
      <c r="AB766" s="552"/>
      <c r="AC766" s="552"/>
      <c r="AD766" s="552"/>
      <c r="AE766" s="552"/>
      <c r="AF766" s="552"/>
      <c r="AG766" s="552"/>
      <c r="AH766" s="552"/>
      <c r="AI766" s="552"/>
      <c r="AJ766" s="552"/>
      <c r="AK766" s="552"/>
      <c r="AL766" s="552"/>
      <c r="AM766" s="552"/>
      <c r="AN766" s="552"/>
      <c r="AO766" s="717" t="s">
        <v>7891</v>
      </c>
      <c r="AP766" s="552"/>
      <c r="AQ766" s="552" t="s">
        <v>7715</v>
      </c>
      <c r="AR766" s="552" t="s">
        <v>2875</v>
      </c>
      <c r="AS766" s="552" t="s">
        <v>6967</v>
      </c>
      <c r="AT766" s="552" t="s">
        <v>726</v>
      </c>
    </row>
    <row r="767" spans="1:46" ht="14.7" customHeight="1">
      <c r="A767" s="706"/>
      <c r="B767" s="556" t="s">
        <v>3697</v>
      </c>
      <c r="C767" s="539" t="s">
        <v>7753</v>
      </c>
      <c r="D767" s="709"/>
      <c r="E767" s="552"/>
      <c r="F767" s="552"/>
      <c r="G767" s="552"/>
      <c r="H767" s="552"/>
      <c r="I767" s="552"/>
      <c r="J767" s="552"/>
      <c r="K767" s="552"/>
      <c r="L767" s="552"/>
      <c r="M767" s="552"/>
      <c r="N767" s="552"/>
      <c r="O767" s="552"/>
      <c r="P767" s="552"/>
      <c r="Q767" s="552"/>
      <c r="R767" s="552"/>
      <c r="S767" s="552"/>
      <c r="T767" s="552"/>
      <c r="U767" s="552"/>
      <c r="V767" s="552"/>
      <c r="W767" s="552"/>
      <c r="X767" s="552"/>
      <c r="Y767" s="552"/>
      <c r="Z767" s="552"/>
      <c r="AA767" s="552"/>
      <c r="AB767" s="552"/>
      <c r="AC767" s="552"/>
      <c r="AD767" s="552"/>
      <c r="AE767" s="552"/>
      <c r="AF767" s="552"/>
      <c r="AG767" s="552"/>
      <c r="AH767" s="552"/>
      <c r="AI767" s="552"/>
      <c r="AJ767" s="552"/>
      <c r="AK767" s="552"/>
      <c r="AL767" s="552"/>
      <c r="AM767" s="552"/>
      <c r="AN767" s="552"/>
      <c r="AO767" s="552"/>
      <c r="AP767" s="552"/>
      <c r="AQ767" s="552" t="s">
        <v>7715</v>
      </c>
      <c r="AR767" s="552" t="s">
        <v>2875</v>
      </c>
      <c r="AS767" s="552" t="s">
        <v>6967</v>
      </c>
      <c r="AT767" s="552" t="s">
        <v>726</v>
      </c>
    </row>
    <row r="768" spans="1:46" ht="14.7" customHeight="1">
      <c r="A768" s="706"/>
      <c r="B768" s="556" t="s">
        <v>3697</v>
      </c>
      <c r="C768" s="539" t="s">
        <v>7753</v>
      </c>
      <c r="D768" s="709"/>
      <c r="E768" s="552"/>
      <c r="F768" s="552"/>
      <c r="G768" s="552"/>
      <c r="H768" s="552"/>
      <c r="I768" s="552"/>
      <c r="J768" s="552"/>
      <c r="K768" s="552"/>
      <c r="L768" s="552"/>
      <c r="M768" s="552"/>
      <c r="N768" s="552"/>
      <c r="O768" s="552"/>
      <c r="P768" s="552"/>
      <c r="Q768" s="552"/>
      <c r="R768" s="552"/>
      <c r="S768" s="552"/>
      <c r="T768" s="552"/>
      <c r="U768" s="552"/>
      <c r="V768" s="552"/>
      <c r="W768" s="552"/>
      <c r="X768" s="552"/>
      <c r="Y768" s="552"/>
      <c r="Z768" s="552"/>
      <c r="AA768" s="552"/>
      <c r="AB768" s="552"/>
      <c r="AC768" s="552"/>
      <c r="AD768" s="552"/>
      <c r="AE768" s="552"/>
      <c r="AF768" s="552"/>
      <c r="AG768" s="552"/>
      <c r="AH768" s="552"/>
      <c r="AI768" s="552"/>
      <c r="AJ768" s="552"/>
      <c r="AK768" s="552"/>
      <c r="AL768" s="552"/>
      <c r="AM768" s="552"/>
      <c r="AN768" s="552"/>
      <c r="AO768" s="552"/>
      <c r="AP768" s="552"/>
      <c r="AQ768" s="552" t="s">
        <v>7715</v>
      </c>
      <c r="AR768" s="552" t="s">
        <v>2875</v>
      </c>
      <c r="AS768" s="552" t="s">
        <v>6967</v>
      </c>
      <c r="AT768" s="552" t="s">
        <v>726</v>
      </c>
    </row>
    <row r="769" spans="1:46" ht="14.7" customHeight="1">
      <c r="A769" s="706" t="s">
        <v>6410</v>
      </c>
      <c r="B769" s="557" t="s">
        <v>3698</v>
      </c>
      <c r="C769" s="539" t="s">
        <v>7753</v>
      </c>
      <c r="D769" s="709" t="s">
        <v>7892</v>
      </c>
      <c r="E769" s="552" t="s">
        <v>7848</v>
      </c>
      <c r="F769" s="552"/>
      <c r="G769" s="552" t="s">
        <v>7887</v>
      </c>
      <c r="H769" s="552"/>
      <c r="I769" s="552"/>
      <c r="J769" s="552"/>
      <c r="K769" s="552"/>
      <c r="L769" s="552"/>
      <c r="M769" s="552"/>
      <c r="N769" s="552">
        <v>20</v>
      </c>
      <c r="O769" s="552">
        <v>20</v>
      </c>
      <c r="P769" s="552"/>
      <c r="Q769" s="552"/>
      <c r="R769" s="552"/>
      <c r="S769" s="552"/>
      <c r="T769" s="552"/>
      <c r="U769" s="552"/>
      <c r="V769" s="552"/>
      <c r="W769" s="552"/>
      <c r="X769" s="552">
        <v>2</v>
      </c>
      <c r="Y769" s="552">
        <v>2</v>
      </c>
      <c r="Z769" s="552"/>
      <c r="AA769" s="552"/>
      <c r="AB769" s="552"/>
      <c r="AC769" s="552"/>
      <c r="AD769" s="552"/>
      <c r="AE769" s="552"/>
      <c r="AF769" s="552"/>
      <c r="AG769" s="552"/>
      <c r="AH769" s="552"/>
      <c r="AI769" s="552"/>
      <c r="AJ769" s="552"/>
      <c r="AK769" s="552"/>
      <c r="AL769" s="552"/>
      <c r="AM769" s="552"/>
      <c r="AN769" s="552"/>
      <c r="AO769" s="552" t="s">
        <v>7893</v>
      </c>
      <c r="AP769" s="552"/>
      <c r="AQ769" s="552" t="s">
        <v>7715</v>
      </c>
      <c r="AR769" s="552" t="s">
        <v>2998</v>
      </c>
      <c r="AS769" s="552" t="s">
        <v>6967</v>
      </c>
      <c r="AT769" s="552" t="s">
        <v>726</v>
      </c>
    </row>
    <row r="770" spans="1:46" ht="14.7" customHeight="1">
      <c r="A770" s="706" t="s">
        <v>6411</v>
      </c>
      <c r="B770" s="557" t="s">
        <v>3698</v>
      </c>
      <c r="C770" s="539" t="s">
        <v>7753</v>
      </c>
      <c r="D770" s="709" t="s">
        <v>7894</v>
      </c>
      <c r="E770" s="552" t="s">
        <v>7848</v>
      </c>
      <c r="F770" s="552"/>
      <c r="G770" s="552" t="s">
        <v>7887</v>
      </c>
      <c r="H770" s="552"/>
      <c r="I770" s="552"/>
      <c r="J770" s="552"/>
      <c r="K770" s="552"/>
      <c r="L770" s="552"/>
      <c r="M770" s="552"/>
      <c r="N770" s="552"/>
      <c r="O770" s="552"/>
      <c r="P770" s="552"/>
      <c r="Q770" s="552"/>
      <c r="R770" s="552"/>
      <c r="S770" s="552"/>
      <c r="T770" s="552"/>
      <c r="U770" s="552"/>
      <c r="V770" s="552"/>
      <c r="W770" s="552"/>
      <c r="X770" s="552"/>
      <c r="Y770" s="552"/>
      <c r="Z770" s="552"/>
      <c r="AA770" s="552"/>
      <c r="AB770" s="552"/>
      <c r="AC770" s="552"/>
      <c r="AD770" s="552"/>
      <c r="AE770" s="552"/>
      <c r="AF770" s="552"/>
      <c r="AG770" s="552"/>
      <c r="AH770" s="552"/>
      <c r="AI770" s="552"/>
      <c r="AJ770" s="552"/>
      <c r="AK770" s="552"/>
      <c r="AL770" s="552"/>
      <c r="AM770" s="552"/>
      <c r="AN770" s="552"/>
      <c r="AO770" s="717" t="s">
        <v>7895</v>
      </c>
      <c r="AP770" s="552"/>
      <c r="AQ770" s="552" t="s">
        <v>7715</v>
      </c>
      <c r="AR770" s="552" t="s">
        <v>2998</v>
      </c>
      <c r="AS770" s="552" t="s">
        <v>6967</v>
      </c>
      <c r="AT770" s="552" t="s">
        <v>726</v>
      </c>
    </row>
    <row r="771" spans="1:46" ht="14.7" customHeight="1">
      <c r="A771" s="706"/>
      <c r="B771" s="557" t="s">
        <v>3698</v>
      </c>
      <c r="C771" s="539" t="s">
        <v>7753</v>
      </c>
      <c r="D771" s="709"/>
      <c r="E771" s="552"/>
      <c r="F771" s="552"/>
      <c r="G771" s="552"/>
      <c r="H771" s="552"/>
      <c r="I771" s="552"/>
      <c r="J771" s="552"/>
      <c r="K771" s="552"/>
      <c r="L771" s="552"/>
      <c r="M771" s="552"/>
      <c r="N771" s="552"/>
      <c r="O771" s="552"/>
      <c r="P771" s="552"/>
      <c r="Q771" s="552"/>
      <c r="R771" s="552"/>
      <c r="S771" s="552"/>
      <c r="T771" s="552"/>
      <c r="U771" s="552"/>
      <c r="V771" s="552"/>
      <c r="W771" s="552"/>
      <c r="X771" s="552"/>
      <c r="Y771" s="552"/>
      <c r="Z771" s="552"/>
      <c r="AA771" s="552"/>
      <c r="AB771" s="552"/>
      <c r="AC771" s="552"/>
      <c r="AD771" s="552"/>
      <c r="AE771" s="552"/>
      <c r="AF771" s="552"/>
      <c r="AG771" s="552"/>
      <c r="AH771" s="552"/>
      <c r="AI771" s="552"/>
      <c r="AJ771" s="552"/>
      <c r="AK771" s="552"/>
      <c r="AL771" s="552"/>
      <c r="AM771" s="552"/>
      <c r="AN771" s="552"/>
      <c r="AO771" s="552"/>
      <c r="AP771" s="552"/>
      <c r="AQ771" s="552" t="s">
        <v>7715</v>
      </c>
      <c r="AR771" s="552" t="s">
        <v>2998</v>
      </c>
      <c r="AS771" s="552" t="s">
        <v>6967</v>
      </c>
      <c r="AT771" s="552" t="s">
        <v>726</v>
      </c>
    </row>
    <row r="772" spans="1:46" ht="14.7" customHeight="1">
      <c r="A772" s="706"/>
      <c r="B772" s="557" t="s">
        <v>3698</v>
      </c>
      <c r="C772" s="539" t="s">
        <v>7753</v>
      </c>
      <c r="D772" s="709"/>
      <c r="E772" s="552"/>
      <c r="F772" s="552"/>
      <c r="G772" s="552"/>
      <c r="H772" s="552"/>
      <c r="I772" s="552"/>
      <c r="J772" s="552"/>
      <c r="K772" s="552"/>
      <c r="L772" s="552"/>
      <c r="M772" s="552"/>
      <c r="N772" s="552"/>
      <c r="O772" s="552"/>
      <c r="P772" s="552"/>
      <c r="Q772" s="552"/>
      <c r="R772" s="552"/>
      <c r="S772" s="552"/>
      <c r="T772" s="552"/>
      <c r="U772" s="552"/>
      <c r="V772" s="552"/>
      <c r="W772" s="552"/>
      <c r="X772" s="552"/>
      <c r="Y772" s="552"/>
      <c r="Z772" s="552"/>
      <c r="AA772" s="552"/>
      <c r="AB772" s="552"/>
      <c r="AC772" s="552"/>
      <c r="AD772" s="552"/>
      <c r="AE772" s="552"/>
      <c r="AF772" s="552"/>
      <c r="AG772" s="552"/>
      <c r="AH772" s="552"/>
      <c r="AI772" s="552"/>
      <c r="AJ772" s="552"/>
      <c r="AK772" s="552"/>
      <c r="AL772" s="552"/>
      <c r="AM772" s="552"/>
      <c r="AN772" s="552"/>
      <c r="AO772" s="552"/>
      <c r="AP772" s="552"/>
      <c r="AQ772" s="552" t="s">
        <v>7715</v>
      </c>
      <c r="AR772" s="552" t="s">
        <v>2998</v>
      </c>
      <c r="AS772" s="552" t="s">
        <v>6967</v>
      </c>
      <c r="AT772" s="552" t="s">
        <v>726</v>
      </c>
    </row>
    <row r="773" spans="1:46" ht="14.7" customHeight="1">
      <c r="A773" s="706"/>
      <c r="B773" s="344" t="s">
        <v>3699</v>
      </c>
      <c r="C773" s="539" t="s">
        <v>7753</v>
      </c>
      <c r="D773" s="709"/>
      <c r="E773" s="552"/>
      <c r="F773" s="552"/>
      <c r="G773" s="552"/>
      <c r="H773" s="552"/>
      <c r="I773" s="552"/>
      <c r="J773" s="552"/>
      <c r="K773" s="552"/>
      <c r="L773" s="552"/>
      <c r="M773" s="552"/>
      <c r="N773" s="552"/>
      <c r="O773" s="552"/>
      <c r="P773" s="552"/>
      <c r="Q773" s="552"/>
      <c r="R773" s="552"/>
      <c r="S773" s="552"/>
      <c r="T773" s="552"/>
      <c r="U773" s="552"/>
      <c r="V773" s="552"/>
      <c r="W773" s="552"/>
      <c r="X773" s="552"/>
      <c r="Y773" s="552"/>
      <c r="Z773" s="552"/>
      <c r="AA773" s="552"/>
      <c r="AB773" s="552"/>
      <c r="AC773" s="552"/>
      <c r="AD773" s="552"/>
      <c r="AE773" s="552"/>
      <c r="AF773" s="552"/>
      <c r="AG773" s="552"/>
      <c r="AH773" s="552"/>
      <c r="AI773" s="552"/>
      <c r="AJ773" s="552"/>
      <c r="AK773" s="552"/>
      <c r="AL773" s="552"/>
      <c r="AM773" s="552"/>
      <c r="AN773" s="552"/>
      <c r="AO773" s="552"/>
      <c r="AP773" s="552"/>
      <c r="AQ773" s="552" t="s">
        <v>7715</v>
      </c>
      <c r="AR773" s="552" t="s">
        <v>2809</v>
      </c>
      <c r="AS773" s="552" t="s">
        <v>6967</v>
      </c>
      <c r="AT773" s="552" t="s">
        <v>726</v>
      </c>
    </row>
    <row r="774" spans="1:46" ht="14.7" customHeight="1">
      <c r="A774" s="706" t="s">
        <v>6412</v>
      </c>
      <c r="B774" s="344" t="s">
        <v>3699</v>
      </c>
      <c r="C774" s="539" t="s">
        <v>7753</v>
      </c>
      <c r="D774" s="709" t="s">
        <v>7896</v>
      </c>
      <c r="E774" s="552" t="s">
        <v>7848</v>
      </c>
      <c r="F774" s="552"/>
      <c r="G774" s="552" t="s">
        <v>7887</v>
      </c>
      <c r="H774" s="552"/>
      <c r="I774" s="552"/>
      <c r="J774" s="552"/>
      <c r="K774" s="552"/>
      <c r="L774" s="552"/>
      <c r="M774" s="552"/>
      <c r="N774" s="552"/>
      <c r="O774" s="552"/>
      <c r="P774" s="552"/>
      <c r="Q774" s="552"/>
      <c r="R774" s="552"/>
      <c r="S774" s="552">
        <v>5</v>
      </c>
      <c r="T774" s="552"/>
      <c r="U774" s="552"/>
      <c r="V774" s="552"/>
      <c r="W774" s="552"/>
      <c r="X774" s="552"/>
      <c r="Y774" s="552"/>
      <c r="Z774" s="552"/>
      <c r="AA774" s="552"/>
      <c r="AB774" s="552"/>
      <c r="AC774" s="552"/>
      <c r="AD774" s="552"/>
      <c r="AE774" s="552"/>
      <c r="AF774" s="552"/>
      <c r="AG774" s="552"/>
      <c r="AH774" s="552"/>
      <c r="AI774" s="552"/>
      <c r="AJ774" s="552"/>
      <c r="AK774" s="552"/>
      <c r="AL774" s="552"/>
      <c r="AM774" s="552"/>
      <c r="AN774" s="552"/>
      <c r="AO774" s="717" t="s">
        <v>7897</v>
      </c>
      <c r="AP774" s="552"/>
      <c r="AQ774" s="552" t="s">
        <v>7715</v>
      </c>
      <c r="AR774" s="552" t="s">
        <v>2809</v>
      </c>
      <c r="AS774" s="552" t="s">
        <v>6967</v>
      </c>
      <c r="AT774" s="552" t="s">
        <v>726</v>
      </c>
    </row>
    <row r="775" spans="1:46" ht="14.7" customHeight="1">
      <c r="A775" s="706" t="s">
        <v>6413</v>
      </c>
      <c r="B775" s="344" t="s">
        <v>3699</v>
      </c>
      <c r="C775" s="539" t="s">
        <v>7753</v>
      </c>
      <c r="D775" s="539" t="s">
        <v>7898</v>
      </c>
      <c r="E775" s="539" t="s">
        <v>7848</v>
      </c>
      <c r="F775" s="539"/>
      <c r="G775" s="539" t="s">
        <v>7887</v>
      </c>
      <c r="H775" s="539"/>
      <c r="I775" s="552"/>
      <c r="J775" s="552"/>
      <c r="K775" s="552"/>
      <c r="L775" s="552"/>
      <c r="M775" s="552"/>
      <c r="N775" s="552"/>
      <c r="O775" s="552"/>
      <c r="P775" s="552"/>
      <c r="Q775" s="552"/>
      <c r="R775" s="552"/>
      <c r="S775" s="552"/>
      <c r="T775" s="552"/>
      <c r="U775" s="552"/>
      <c r="V775" s="552"/>
      <c r="W775" s="552"/>
      <c r="X775" s="552"/>
      <c r="Y775" s="552"/>
      <c r="Z775" s="552"/>
      <c r="AA775" s="552"/>
      <c r="AB775" s="552"/>
      <c r="AC775" s="552"/>
      <c r="AD775" s="552"/>
      <c r="AE775" s="552"/>
      <c r="AF775" s="552"/>
      <c r="AG775" s="552"/>
      <c r="AH775" s="552"/>
      <c r="AI775" s="552"/>
      <c r="AJ775" s="552"/>
      <c r="AK775" s="552"/>
      <c r="AL775" s="552"/>
      <c r="AM775" s="552"/>
      <c r="AN775" s="552"/>
      <c r="AO775" s="717" t="s">
        <v>7899</v>
      </c>
      <c r="AP775" s="552"/>
      <c r="AQ775" s="552" t="s">
        <v>7715</v>
      </c>
      <c r="AR775" s="552" t="s">
        <v>2809</v>
      </c>
      <c r="AS775" s="552" t="s">
        <v>6967</v>
      </c>
      <c r="AT775" s="552" t="s">
        <v>726</v>
      </c>
    </row>
    <row r="776" spans="1:46" ht="14.7" customHeight="1">
      <c r="A776" s="706"/>
      <c r="B776" s="344" t="s">
        <v>3699</v>
      </c>
      <c r="C776" s="539" t="s">
        <v>7753</v>
      </c>
      <c r="D776" s="709"/>
      <c r="E776" s="552"/>
      <c r="F776" s="552"/>
      <c r="G776" s="552"/>
      <c r="H776" s="552"/>
      <c r="I776" s="552"/>
      <c r="J776" s="552"/>
      <c r="K776" s="552"/>
      <c r="L776" s="552"/>
      <c r="M776" s="552"/>
      <c r="N776" s="552"/>
      <c r="O776" s="552"/>
      <c r="P776" s="552"/>
      <c r="Q776" s="552"/>
      <c r="R776" s="552"/>
      <c r="S776" s="552"/>
      <c r="T776" s="552"/>
      <c r="U776" s="552"/>
      <c r="V776" s="552"/>
      <c r="W776" s="552"/>
      <c r="X776" s="552"/>
      <c r="Y776" s="552"/>
      <c r="Z776" s="552"/>
      <c r="AA776" s="552"/>
      <c r="AB776" s="552"/>
      <c r="AC776" s="552"/>
      <c r="AD776" s="552"/>
      <c r="AE776" s="552"/>
      <c r="AF776" s="552"/>
      <c r="AG776" s="552"/>
      <c r="AH776" s="552"/>
      <c r="AI776" s="552"/>
      <c r="AJ776" s="552"/>
      <c r="AK776" s="552"/>
      <c r="AL776" s="552"/>
      <c r="AM776" s="552"/>
      <c r="AN776" s="552"/>
      <c r="AO776" s="552"/>
      <c r="AP776" s="552"/>
      <c r="AQ776" s="552" t="s">
        <v>7715</v>
      </c>
      <c r="AR776" s="552" t="s">
        <v>2809</v>
      </c>
      <c r="AS776" s="552" t="s">
        <v>6967</v>
      </c>
      <c r="AT776" s="552" t="s">
        <v>726</v>
      </c>
    </row>
    <row r="777" spans="1:46" ht="14.7" customHeight="1">
      <c r="A777" s="706" t="s">
        <v>6414</v>
      </c>
      <c r="B777" s="344" t="s">
        <v>3699</v>
      </c>
      <c r="C777" s="539" t="s">
        <v>7753</v>
      </c>
      <c r="D777" s="709" t="s">
        <v>7900</v>
      </c>
      <c r="E777" s="552" t="s">
        <v>7848</v>
      </c>
      <c r="F777" s="552"/>
      <c r="G777" s="552" t="s">
        <v>7887</v>
      </c>
      <c r="H777" s="552"/>
      <c r="I777" s="552"/>
      <c r="J777" s="552"/>
      <c r="K777" s="552"/>
      <c r="L777" s="552"/>
      <c r="M777" s="552"/>
      <c r="N777" s="552"/>
      <c r="O777" s="552"/>
      <c r="P777" s="552"/>
      <c r="Q777" s="552">
        <v>4</v>
      </c>
      <c r="R777" s="552"/>
      <c r="S777" s="552">
        <v>1</v>
      </c>
      <c r="T777" s="552"/>
      <c r="U777" s="552"/>
      <c r="V777" s="552"/>
      <c r="W777" s="552"/>
      <c r="X777" s="552"/>
      <c r="Y777" s="552"/>
      <c r="Z777" s="552"/>
      <c r="AA777" s="552"/>
      <c r="AB777" s="552"/>
      <c r="AC777" s="552"/>
      <c r="AD777" s="552"/>
      <c r="AE777" s="552"/>
      <c r="AF777" s="552"/>
      <c r="AG777" s="552"/>
      <c r="AH777" s="552"/>
      <c r="AI777" s="552"/>
      <c r="AJ777" s="552"/>
      <c r="AK777" s="552"/>
      <c r="AL777" s="552"/>
      <c r="AM777" s="552"/>
      <c r="AN777" s="552"/>
      <c r="AO777" s="552"/>
      <c r="AP777" s="717" t="s">
        <v>7901</v>
      </c>
      <c r="AQ777" s="552" t="s">
        <v>7715</v>
      </c>
      <c r="AR777" s="552" t="s">
        <v>2809</v>
      </c>
      <c r="AS777" s="552" t="s">
        <v>6967</v>
      </c>
      <c r="AT777" s="552" t="s">
        <v>726</v>
      </c>
    </row>
    <row r="778" spans="1:46" ht="14.7" customHeight="1">
      <c r="A778" s="706" t="s">
        <v>6415</v>
      </c>
      <c r="B778" s="559" t="s">
        <v>3700</v>
      </c>
      <c r="C778" s="539" t="s">
        <v>7753</v>
      </c>
      <c r="D778" s="709" t="s">
        <v>7902</v>
      </c>
      <c r="E778" s="552" t="s">
        <v>7863</v>
      </c>
      <c r="F778" s="552"/>
      <c r="G778" s="552" t="s">
        <v>7887</v>
      </c>
      <c r="H778" s="552"/>
      <c r="I778" s="552"/>
      <c r="J778" s="552"/>
      <c r="K778" s="552"/>
      <c r="L778" s="552"/>
      <c r="M778" s="552"/>
      <c r="N778" s="552"/>
      <c r="O778" s="552">
        <v>300</v>
      </c>
      <c r="P778" s="552"/>
      <c r="Q778" s="552"/>
      <c r="R778" s="552">
        <v>10</v>
      </c>
      <c r="S778" s="552"/>
      <c r="T778" s="552"/>
      <c r="U778" s="552"/>
      <c r="V778" s="552"/>
      <c r="W778" s="552"/>
      <c r="X778" s="552"/>
      <c r="Y778" s="552">
        <v>10</v>
      </c>
      <c r="Z778" s="552"/>
      <c r="AA778" s="552"/>
      <c r="AB778" s="552"/>
      <c r="AC778" s="552"/>
      <c r="AD778" s="552"/>
      <c r="AE778" s="552"/>
      <c r="AF778" s="552"/>
      <c r="AG778" s="552"/>
      <c r="AH778" s="552"/>
      <c r="AI778" s="552"/>
      <c r="AJ778" s="552"/>
      <c r="AK778" s="552"/>
      <c r="AL778" s="552"/>
      <c r="AM778" s="552"/>
      <c r="AN778" s="552"/>
      <c r="AO778" s="717" t="s">
        <v>7903</v>
      </c>
      <c r="AP778" s="552"/>
      <c r="AQ778" s="552" t="s">
        <v>7715</v>
      </c>
      <c r="AR778" s="552" t="s">
        <v>2971</v>
      </c>
      <c r="AS778" s="552" t="s">
        <v>7484</v>
      </c>
      <c r="AT778" s="552" t="s">
        <v>726</v>
      </c>
    </row>
    <row r="779" spans="1:46" ht="14.7" customHeight="1">
      <c r="A779" s="706" t="s">
        <v>7904</v>
      </c>
      <c r="B779" s="559" t="s">
        <v>3700</v>
      </c>
      <c r="C779" s="539" t="s">
        <v>7753</v>
      </c>
      <c r="D779" s="709" t="s">
        <v>7905</v>
      </c>
      <c r="E779" s="552" t="s">
        <v>7848</v>
      </c>
      <c r="F779" s="552"/>
      <c r="G779" s="552" t="s">
        <v>7887</v>
      </c>
      <c r="H779" s="552"/>
      <c r="I779" s="552"/>
      <c r="J779" s="552"/>
      <c r="K779" s="552"/>
      <c r="L779" s="552"/>
      <c r="M779" s="552"/>
      <c r="N779" s="552"/>
      <c r="O779" s="552"/>
      <c r="P779" s="552"/>
      <c r="Q779" s="552">
        <v>10</v>
      </c>
      <c r="R779" s="552"/>
      <c r="S779" s="552">
        <v>2</v>
      </c>
      <c r="T779" s="552"/>
      <c r="U779" s="552"/>
      <c r="V779" s="552"/>
      <c r="W779" s="552"/>
      <c r="X779" s="552"/>
      <c r="Y779" s="552"/>
      <c r="Z779" s="552"/>
      <c r="AA779" s="552"/>
      <c r="AB779" s="552"/>
      <c r="AC779" s="552"/>
      <c r="AD779" s="552"/>
      <c r="AE779" s="552"/>
      <c r="AF779" s="552"/>
      <c r="AG779" s="552"/>
      <c r="AH779" s="552"/>
      <c r="AI779" s="552"/>
      <c r="AJ779" s="552"/>
      <c r="AK779" s="552"/>
      <c r="AL779" s="552"/>
      <c r="AM779" s="552"/>
      <c r="AN779" s="552"/>
      <c r="AO779" s="552"/>
      <c r="AP779" s="717" t="s">
        <v>7906</v>
      </c>
      <c r="AQ779" s="552" t="s">
        <v>7715</v>
      </c>
      <c r="AR779" s="552" t="s">
        <v>2971</v>
      </c>
      <c r="AS779" s="552" t="s">
        <v>6967</v>
      </c>
      <c r="AT779" s="552" t="s">
        <v>726</v>
      </c>
    </row>
    <row r="780" spans="1:46" ht="14.7" customHeight="1">
      <c r="A780" s="706"/>
      <c r="B780" s="711" t="s">
        <v>6055</v>
      </c>
      <c r="C780" s="539" t="s">
        <v>7753</v>
      </c>
      <c r="D780" s="709"/>
      <c r="E780" s="552"/>
      <c r="F780" s="552"/>
      <c r="G780" s="552"/>
      <c r="H780" s="552"/>
      <c r="I780" s="552"/>
      <c r="J780" s="552"/>
      <c r="K780" s="552"/>
      <c r="L780" s="552"/>
      <c r="M780" s="552"/>
      <c r="N780" s="552"/>
      <c r="O780" s="552"/>
      <c r="P780" s="552"/>
      <c r="Q780" s="552"/>
      <c r="R780" s="552"/>
      <c r="S780" s="552"/>
      <c r="T780" s="552"/>
      <c r="U780" s="552"/>
      <c r="V780" s="552"/>
      <c r="W780" s="552"/>
      <c r="X780" s="552"/>
      <c r="Y780" s="552"/>
      <c r="Z780" s="552"/>
      <c r="AA780" s="552"/>
      <c r="AB780" s="552"/>
      <c r="AC780" s="552"/>
      <c r="AD780" s="552"/>
      <c r="AE780" s="552"/>
      <c r="AF780" s="552"/>
      <c r="AG780" s="552"/>
      <c r="AH780" s="552"/>
      <c r="AI780" s="552"/>
      <c r="AJ780" s="552"/>
      <c r="AK780" s="552"/>
      <c r="AL780" s="552"/>
      <c r="AM780" s="552"/>
      <c r="AN780" s="552"/>
      <c r="AO780" s="552"/>
      <c r="AP780" s="552"/>
      <c r="AQ780" s="552" t="s">
        <v>7715</v>
      </c>
      <c r="AR780" s="552" t="s">
        <v>6697</v>
      </c>
      <c r="AS780" s="552" t="s">
        <v>6967</v>
      </c>
      <c r="AT780" s="552" t="s">
        <v>726</v>
      </c>
    </row>
    <row r="781" spans="1:46" ht="14.7" customHeight="1">
      <c r="A781" s="706" t="s">
        <v>6416</v>
      </c>
      <c r="B781" s="540" t="s">
        <v>3695</v>
      </c>
      <c r="C781" s="539" t="s">
        <v>7753</v>
      </c>
      <c r="D781" s="709" t="s">
        <v>7907</v>
      </c>
      <c r="E781" s="552" t="s">
        <v>7848</v>
      </c>
      <c r="F781" s="552"/>
      <c r="G781" s="552" t="s">
        <v>7908</v>
      </c>
      <c r="H781" s="552"/>
      <c r="I781" s="552"/>
      <c r="J781" s="552"/>
      <c r="K781" s="552"/>
      <c r="L781" s="552"/>
      <c r="M781" s="552"/>
      <c r="N781" s="552">
        <v>10</v>
      </c>
      <c r="O781" s="552"/>
      <c r="P781" s="552"/>
      <c r="Q781" s="552"/>
      <c r="R781" s="552">
        <v>2</v>
      </c>
      <c r="S781" s="552"/>
      <c r="T781" s="552"/>
      <c r="U781" s="552"/>
      <c r="V781" s="552"/>
      <c r="W781" s="552"/>
      <c r="X781" s="552"/>
      <c r="Y781" s="552"/>
      <c r="Z781" s="552"/>
      <c r="AA781" s="552"/>
      <c r="AB781" s="552"/>
      <c r="AC781" s="552"/>
      <c r="AD781" s="552"/>
      <c r="AE781" s="552"/>
      <c r="AF781" s="552"/>
      <c r="AG781" s="552"/>
      <c r="AH781" s="552"/>
      <c r="AI781" s="552"/>
      <c r="AJ781" s="552"/>
      <c r="AK781" s="552"/>
      <c r="AL781" s="552"/>
      <c r="AM781" s="552"/>
      <c r="AN781" s="552"/>
      <c r="AO781" s="552"/>
      <c r="AP781" s="552"/>
      <c r="AQ781" s="552" t="s">
        <v>7715</v>
      </c>
      <c r="AR781" s="552" t="s">
        <v>2802</v>
      </c>
      <c r="AS781" s="552" t="s">
        <v>7484</v>
      </c>
      <c r="AT781" s="552" t="s">
        <v>726</v>
      </c>
    </row>
    <row r="782" spans="1:46" ht="14.7" customHeight="1">
      <c r="A782" s="706"/>
      <c r="B782" s="540" t="s">
        <v>3695</v>
      </c>
      <c r="C782" s="539" t="s">
        <v>7753</v>
      </c>
      <c r="D782" s="709"/>
      <c r="E782" s="552"/>
      <c r="F782" s="552"/>
      <c r="G782" s="552"/>
      <c r="H782" s="552"/>
      <c r="I782" s="552"/>
      <c r="J782" s="552"/>
      <c r="K782" s="552"/>
      <c r="L782" s="552"/>
      <c r="M782" s="552"/>
      <c r="N782" s="552"/>
      <c r="O782" s="552"/>
      <c r="P782" s="552"/>
      <c r="Q782" s="552"/>
      <c r="R782" s="552"/>
      <c r="S782" s="552"/>
      <c r="T782" s="552"/>
      <c r="U782" s="552"/>
      <c r="V782" s="552"/>
      <c r="W782" s="552"/>
      <c r="X782" s="552"/>
      <c r="Y782" s="552"/>
      <c r="Z782" s="552"/>
      <c r="AA782" s="552"/>
      <c r="AB782" s="552"/>
      <c r="AC782" s="552"/>
      <c r="AD782" s="552"/>
      <c r="AE782" s="552"/>
      <c r="AF782" s="552"/>
      <c r="AG782" s="552"/>
      <c r="AH782" s="552"/>
      <c r="AI782" s="552"/>
      <c r="AJ782" s="552"/>
      <c r="AK782" s="552"/>
      <c r="AL782" s="552"/>
      <c r="AM782" s="552"/>
      <c r="AN782" s="552"/>
      <c r="AO782" s="552"/>
      <c r="AP782" s="552"/>
      <c r="AQ782" s="552" t="s">
        <v>7715</v>
      </c>
      <c r="AR782" s="552" t="s">
        <v>2802</v>
      </c>
      <c r="AS782" s="552" t="s">
        <v>7484</v>
      </c>
      <c r="AT782" s="552" t="s">
        <v>726</v>
      </c>
    </row>
    <row r="783" spans="1:46" ht="14.7" customHeight="1">
      <c r="A783" s="706" t="s">
        <v>6417</v>
      </c>
      <c r="B783" s="707" t="s">
        <v>3696</v>
      </c>
      <c r="C783" s="539" t="s">
        <v>7753</v>
      </c>
      <c r="D783" s="709" t="s">
        <v>7909</v>
      </c>
      <c r="E783" s="552" t="s">
        <v>7848</v>
      </c>
      <c r="F783" s="552"/>
      <c r="G783" s="552" t="s">
        <v>7908</v>
      </c>
      <c r="H783" s="552"/>
      <c r="I783" s="552"/>
      <c r="J783" s="552"/>
      <c r="K783" s="552"/>
      <c r="L783" s="552"/>
      <c r="M783" s="552"/>
      <c r="N783" s="552">
        <v>20</v>
      </c>
      <c r="O783" s="552"/>
      <c r="P783" s="552"/>
      <c r="Q783" s="552"/>
      <c r="R783" s="552">
        <v>3</v>
      </c>
      <c r="S783" s="552"/>
      <c r="T783" s="552"/>
      <c r="U783" s="552"/>
      <c r="V783" s="552"/>
      <c r="W783" s="552"/>
      <c r="X783" s="552"/>
      <c r="Y783" s="552"/>
      <c r="Z783" s="552"/>
      <c r="AA783" s="552"/>
      <c r="AB783" s="552"/>
      <c r="AC783" s="552"/>
      <c r="AD783" s="552"/>
      <c r="AE783" s="552"/>
      <c r="AF783" s="552"/>
      <c r="AG783" s="552"/>
      <c r="AH783" s="552"/>
      <c r="AI783" s="552"/>
      <c r="AJ783" s="552"/>
      <c r="AK783" s="552"/>
      <c r="AL783" s="552"/>
      <c r="AM783" s="552"/>
      <c r="AN783" s="552"/>
      <c r="AO783" s="552"/>
      <c r="AP783" s="552"/>
      <c r="AQ783" s="552" t="s">
        <v>7715</v>
      </c>
      <c r="AR783" s="552" t="s">
        <v>2805</v>
      </c>
      <c r="AS783" s="552" t="s">
        <v>7484</v>
      </c>
      <c r="AT783" s="552" t="s">
        <v>726</v>
      </c>
    </row>
    <row r="784" spans="1:46" ht="14.7" customHeight="1">
      <c r="A784" s="706"/>
      <c r="B784" s="707" t="s">
        <v>3696</v>
      </c>
      <c r="C784" s="539" t="s">
        <v>7753</v>
      </c>
      <c r="D784" s="709"/>
      <c r="E784" s="552"/>
      <c r="F784" s="552"/>
      <c r="G784" s="552"/>
      <c r="H784" s="552"/>
      <c r="I784" s="552"/>
      <c r="J784" s="552"/>
      <c r="K784" s="552"/>
      <c r="L784" s="552"/>
      <c r="M784" s="552"/>
      <c r="N784" s="552"/>
      <c r="O784" s="552"/>
      <c r="P784" s="552"/>
      <c r="Q784" s="552"/>
      <c r="R784" s="552"/>
      <c r="S784" s="552"/>
      <c r="T784" s="552"/>
      <c r="U784" s="552"/>
      <c r="V784" s="552"/>
      <c r="W784" s="552"/>
      <c r="X784" s="552"/>
      <c r="Y784" s="552"/>
      <c r="Z784" s="552"/>
      <c r="AA784" s="552"/>
      <c r="AB784" s="552"/>
      <c r="AC784" s="552"/>
      <c r="AD784" s="552"/>
      <c r="AE784" s="552"/>
      <c r="AF784" s="552"/>
      <c r="AG784" s="552"/>
      <c r="AH784" s="552"/>
      <c r="AI784" s="552"/>
      <c r="AJ784" s="552"/>
      <c r="AK784" s="552"/>
      <c r="AL784" s="552"/>
      <c r="AM784" s="552"/>
      <c r="AN784" s="552"/>
      <c r="AO784" s="552"/>
      <c r="AP784" s="552"/>
      <c r="AQ784" s="552" t="s">
        <v>7715</v>
      </c>
      <c r="AR784" s="552" t="s">
        <v>2805</v>
      </c>
      <c r="AS784" s="552" t="s">
        <v>7484</v>
      </c>
      <c r="AT784" s="552" t="s">
        <v>726</v>
      </c>
    </row>
    <row r="785" spans="1:46" ht="14.7" customHeight="1">
      <c r="A785" s="706" t="s">
        <v>6418</v>
      </c>
      <c r="B785" s="556" t="s">
        <v>3697</v>
      </c>
      <c r="C785" s="539" t="s">
        <v>7753</v>
      </c>
      <c r="D785" s="709" t="s">
        <v>7910</v>
      </c>
      <c r="E785" s="552" t="s">
        <v>7863</v>
      </c>
      <c r="F785" s="552"/>
      <c r="G785" s="552" t="s">
        <v>7908</v>
      </c>
      <c r="H785" s="552"/>
      <c r="I785" s="552"/>
      <c r="J785" s="552"/>
      <c r="K785" s="552"/>
      <c r="L785" s="552"/>
      <c r="M785" s="552"/>
      <c r="N785" s="552">
        <v>50</v>
      </c>
      <c r="O785" s="552"/>
      <c r="P785" s="552"/>
      <c r="Q785" s="552"/>
      <c r="R785" s="552"/>
      <c r="S785" s="552"/>
      <c r="T785" s="552"/>
      <c r="U785" s="552"/>
      <c r="V785" s="552"/>
      <c r="W785" s="552"/>
      <c r="X785" s="552"/>
      <c r="Y785" s="552"/>
      <c r="Z785" s="552"/>
      <c r="AA785" s="552"/>
      <c r="AB785" s="552"/>
      <c r="AC785" s="552"/>
      <c r="AD785" s="552"/>
      <c r="AE785" s="552"/>
      <c r="AF785" s="552"/>
      <c r="AG785" s="552"/>
      <c r="AH785" s="552"/>
      <c r="AI785" s="552"/>
      <c r="AJ785" s="552"/>
      <c r="AK785" s="552"/>
      <c r="AL785" s="552"/>
      <c r="AM785" s="552"/>
      <c r="AN785" s="552"/>
      <c r="AO785" s="552"/>
      <c r="AP785" s="552"/>
      <c r="AQ785" s="552" t="s">
        <v>7715</v>
      </c>
      <c r="AR785" s="552" t="s">
        <v>2875</v>
      </c>
      <c r="AS785" s="552" t="s">
        <v>7484</v>
      </c>
      <c r="AT785" s="552" t="s">
        <v>726</v>
      </c>
    </row>
    <row r="786" spans="1:46" ht="14.7" customHeight="1">
      <c r="A786" s="706" t="s">
        <v>6419</v>
      </c>
      <c r="B786" s="556" t="s">
        <v>3697</v>
      </c>
      <c r="C786" s="539" t="s">
        <v>7753</v>
      </c>
      <c r="D786" s="709" t="s">
        <v>7911</v>
      </c>
      <c r="E786" s="552" t="s">
        <v>7863</v>
      </c>
      <c r="F786" s="552"/>
      <c r="G786" s="552" t="s">
        <v>7908</v>
      </c>
      <c r="H786" s="552"/>
      <c r="I786" s="552"/>
      <c r="J786" s="552"/>
      <c r="K786" s="552"/>
      <c r="L786" s="552"/>
      <c r="M786" s="552"/>
      <c r="N786" s="552"/>
      <c r="O786" s="552"/>
      <c r="P786" s="552"/>
      <c r="Q786" s="552"/>
      <c r="R786" s="552"/>
      <c r="S786" s="552"/>
      <c r="T786" s="552"/>
      <c r="U786" s="552"/>
      <c r="V786" s="552"/>
      <c r="W786" s="552"/>
      <c r="X786" s="552"/>
      <c r="Y786" s="552"/>
      <c r="Z786" s="552"/>
      <c r="AA786" s="552"/>
      <c r="AB786" s="552"/>
      <c r="AC786" s="552"/>
      <c r="AD786" s="552"/>
      <c r="AE786" s="552"/>
      <c r="AF786" s="552"/>
      <c r="AG786" s="552"/>
      <c r="AH786" s="552"/>
      <c r="AI786" s="552"/>
      <c r="AJ786" s="552"/>
      <c r="AK786" s="552"/>
      <c r="AL786" s="552"/>
      <c r="AM786" s="552"/>
      <c r="AN786" s="552"/>
      <c r="AO786" s="717" t="s">
        <v>7912</v>
      </c>
      <c r="AP786" s="552"/>
      <c r="AQ786" s="552" t="s">
        <v>7715</v>
      </c>
      <c r="AR786" s="552" t="s">
        <v>2875</v>
      </c>
      <c r="AS786" s="552" t="s">
        <v>7484</v>
      </c>
      <c r="AT786" s="552" t="s">
        <v>726</v>
      </c>
    </row>
    <row r="787" spans="1:46" ht="14.7" customHeight="1">
      <c r="A787" s="706"/>
      <c r="B787" s="556" t="s">
        <v>3697</v>
      </c>
      <c r="C787" s="539" t="s">
        <v>7753</v>
      </c>
      <c r="D787" s="709"/>
      <c r="E787" s="552"/>
      <c r="F787" s="552"/>
      <c r="G787" s="552"/>
      <c r="H787" s="552"/>
      <c r="I787" s="552"/>
      <c r="J787" s="552"/>
      <c r="K787" s="552"/>
      <c r="L787" s="552"/>
      <c r="M787" s="552"/>
      <c r="N787" s="552"/>
      <c r="O787" s="552"/>
      <c r="P787" s="552"/>
      <c r="Q787" s="552"/>
      <c r="R787" s="552"/>
      <c r="S787" s="552"/>
      <c r="T787" s="552"/>
      <c r="U787" s="552"/>
      <c r="V787" s="552"/>
      <c r="W787" s="552"/>
      <c r="X787" s="552"/>
      <c r="Y787" s="552"/>
      <c r="Z787" s="552"/>
      <c r="AA787" s="552"/>
      <c r="AB787" s="552"/>
      <c r="AC787" s="552"/>
      <c r="AD787" s="552"/>
      <c r="AE787" s="552"/>
      <c r="AF787" s="552"/>
      <c r="AG787" s="552"/>
      <c r="AH787" s="552"/>
      <c r="AI787" s="552"/>
      <c r="AJ787" s="552"/>
      <c r="AK787" s="552"/>
      <c r="AL787" s="552"/>
      <c r="AM787" s="552"/>
      <c r="AN787" s="552"/>
      <c r="AO787" s="552"/>
      <c r="AP787" s="552"/>
      <c r="AQ787" s="552" t="s">
        <v>7715</v>
      </c>
      <c r="AR787" s="552" t="s">
        <v>2875</v>
      </c>
      <c r="AS787" s="552" t="s">
        <v>7484</v>
      </c>
      <c r="AT787" s="552" t="s">
        <v>726</v>
      </c>
    </row>
    <row r="788" spans="1:46" ht="14.7" customHeight="1">
      <c r="A788" s="706"/>
      <c r="B788" s="557" t="s">
        <v>3698</v>
      </c>
      <c r="C788" s="539" t="s">
        <v>7753</v>
      </c>
      <c r="D788" s="709"/>
      <c r="E788" s="552"/>
      <c r="F788" s="552"/>
      <c r="G788" s="552"/>
      <c r="H788" s="552"/>
      <c r="I788" s="552"/>
      <c r="J788" s="552"/>
      <c r="K788" s="552"/>
      <c r="L788" s="552"/>
      <c r="M788" s="552"/>
      <c r="N788" s="552"/>
      <c r="O788" s="552"/>
      <c r="P788" s="552"/>
      <c r="Q788" s="552"/>
      <c r="R788" s="552"/>
      <c r="S788" s="552"/>
      <c r="T788" s="552"/>
      <c r="U788" s="552"/>
      <c r="V788" s="552"/>
      <c r="W788" s="552"/>
      <c r="X788" s="552"/>
      <c r="Y788" s="552"/>
      <c r="Z788" s="552"/>
      <c r="AA788" s="552"/>
      <c r="AB788" s="552"/>
      <c r="AC788" s="552"/>
      <c r="AD788" s="552"/>
      <c r="AE788" s="552"/>
      <c r="AF788" s="552"/>
      <c r="AG788" s="552"/>
      <c r="AH788" s="552"/>
      <c r="AI788" s="552"/>
      <c r="AJ788" s="552"/>
      <c r="AK788" s="552"/>
      <c r="AL788" s="552"/>
      <c r="AM788" s="552"/>
      <c r="AN788" s="552"/>
      <c r="AO788" s="552"/>
      <c r="AP788" s="552"/>
      <c r="AQ788" s="552" t="s">
        <v>7715</v>
      </c>
      <c r="AR788" s="552" t="s">
        <v>2998</v>
      </c>
      <c r="AS788" s="552" t="s">
        <v>7484</v>
      </c>
      <c r="AT788" s="552" t="s">
        <v>726</v>
      </c>
    </row>
    <row r="789" spans="1:46" ht="14.7" customHeight="1">
      <c r="A789" s="706" t="s">
        <v>6420</v>
      </c>
      <c r="B789" s="557" t="s">
        <v>3698</v>
      </c>
      <c r="C789" s="539" t="s">
        <v>7753</v>
      </c>
      <c r="D789" s="709" t="s">
        <v>7913</v>
      </c>
      <c r="E789" s="552" t="s">
        <v>7848</v>
      </c>
      <c r="F789" s="552"/>
      <c r="G789" s="552" t="s">
        <v>7908</v>
      </c>
      <c r="H789" s="552"/>
      <c r="I789" s="552"/>
      <c r="J789" s="552"/>
      <c r="K789" s="552"/>
      <c r="L789" s="552"/>
      <c r="M789" s="552"/>
      <c r="N789" s="552"/>
      <c r="O789" s="552">
        <v>20</v>
      </c>
      <c r="P789" s="552"/>
      <c r="Q789" s="552"/>
      <c r="R789" s="552"/>
      <c r="S789" s="552"/>
      <c r="T789" s="552"/>
      <c r="U789" s="552">
        <v>2</v>
      </c>
      <c r="V789" s="552"/>
      <c r="W789" s="552"/>
      <c r="X789" s="552"/>
      <c r="Y789" s="552"/>
      <c r="Z789" s="552"/>
      <c r="AA789" s="552"/>
      <c r="AB789" s="552"/>
      <c r="AC789" s="552"/>
      <c r="AD789" s="552"/>
      <c r="AE789" s="552"/>
      <c r="AF789" s="552"/>
      <c r="AG789" s="552"/>
      <c r="AH789" s="552"/>
      <c r="AI789" s="552"/>
      <c r="AJ789" s="552"/>
      <c r="AK789" s="552"/>
      <c r="AL789" s="552"/>
      <c r="AM789" s="552"/>
      <c r="AN789" s="552"/>
      <c r="AO789" s="552"/>
      <c r="AP789" s="552"/>
      <c r="AQ789" s="552" t="s">
        <v>7715</v>
      </c>
      <c r="AR789" s="552" t="s">
        <v>2998</v>
      </c>
      <c r="AS789" s="552" t="s">
        <v>7484</v>
      </c>
      <c r="AT789" s="552" t="s">
        <v>726</v>
      </c>
    </row>
    <row r="790" spans="1:46" ht="14.7" customHeight="1">
      <c r="A790" s="706"/>
      <c r="B790" s="557" t="s">
        <v>3698</v>
      </c>
      <c r="C790" s="539" t="s">
        <v>7753</v>
      </c>
      <c r="D790" s="709"/>
      <c r="E790" s="552"/>
      <c r="F790" s="552"/>
      <c r="G790" s="552"/>
      <c r="H790" s="552"/>
      <c r="I790" s="552"/>
      <c r="J790" s="552"/>
      <c r="K790" s="552"/>
      <c r="L790" s="552"/>
      <c r="M790" s="552"/>
      <c r="N790" s="552"/>
      <c r="O790" s="552"/>
      <c r="P790" s="552"/>
      <c r="Q790" s="552"/>
      <c r="R790" s="552"/>
      <c r="S790" s="552"/>
      <c r="T790" s="552"/>
      <c r="U790" s="552"/>
      <c r="V790" s="552"/>
      <c r="W790" s="552"/>
      <c r="X790" s="552"/>
      <c r="Y790" s="552"/>
      <c r="Z790" s="552"/>
      <c r="AA790" s="552"/>
      <c r="AB790" s="552"/>
      <c r="AC790" s="552"/>
      <c r="AD790" s="552"/>
      <c r="AE790" s="552"/>
      <c r="AF790" s="552"/>
      <c r="AG790" s="552"/>
      <c r="AH790" s="552"/>
      <c r="AI790" s="552"/>
      <c r="AJ790" s="552"/>
      <c r="AK790" s="552"/>
      <c r="AL790" s="552"/>
      <c r="AM790" s="552"/>
      <c r="AN790" s="552"/>
      <c r="AO790" s="552"/>
      <c r="AP790" s="552"/>
      <c r="AQ790" s="552" t="s">
        <v>7715</v>
      </c>
      <c r="AR790" s="552" t="s">
        <v>2998</v>
      </c>
      <c r="AS790" s="552" t="s">
        <v>7484</v>
      </c>
      <c r="AT790" s="552" t="s">
        <v>726</v>
      </c>
    </row>
    <row r="791" spans="1:46" ht="14.7" customHeight="1">
      <c r="A791" s="706" t="s">
        <v>6421</v>
      </c>
      <c r="B791" s="557" t="s">
        <v>3698</v>
      </c>
      <c r="C791" s="539" t="s">
        <v>7753</v>
      </c>
      <c r="D791" s="709" t="s">
        <v>7914</v>
      </c>
      <c r="E791" s="552" t="s">
        <v>7848</v>
      </c>
      <c r="F791" s="552"/>
      <c r="G791" s="552" t="s">
        <v>7908</v>
      </c>
      <c r="H791" s="552"/>
      <c r="I791" s="552"/>
      <c r="J791" s="552"/>
      <c r="K791" s="552"/>
      <c r="L791" s="552"/>
      <c r="M791" s="552"/>
      <c r="N791" s="552"/>
      <c r="O791" s="552"/>
      <c r="P791" s="552"/>
      <c r="Q791" s="552"/>
      <c r="R791" s="552">
        <v>4</v>
      </c>
      <c r="S791" s="552"/>
      <c r="T791" s="552"/>
      <c r="U791" s="552"/>
      <c r="V791" s="552"/>
      <c r="W791" s="552"/>
      <c r="X791" s="552"/>
      <c r="Y791" s="552">
        <v>3</v>
      </c>
      <c r="Z791" s="552"/>
      <c r="AA791" s="552"/>
      <c r="AB791" s="552"/>
      <c r="AC791" s="552"/>
      <c r="AD791" s="552"/>
      <c r="AE791" s="552">
        <v>20</v>
      </c>
      <c r="AF791" s="552"/>
      <c r="AG791" s="552"/>
      <c r="AH791" s="552"/>
      <c r="AI791" s="552"/>
      <c r="AJ791" s="552"/>
      <c r="AK791" s="552"/>
      <c r="AL791" s="552"/>
      <c r="AM791" s="552"/>
      <c r="AN791" s="552"/>
      <c r="AO791" s="717" t="s">
        <v>7915</v>
      </c>
      <c r="AP791" s="552"/>
      <c r="AQ791" s="552" t="s">
        <v>7715</v>
      </c>
      <c r="AR791" s="552" t="s">
        <v>2998</v>
      </c>
      <c r="AS791" s="552" t="s">
        <v>7484</v>
      </c>
      <c r="AT791" s="552" t="s">
        <v>726</v>
      </c>
    </row>
    <row r="792" spans="1:46" ht="14.7" customHeight="1">
      <c r="A792" s="706" t="s">
        <v>9094</v>
      </c>
      <c r="B792" s="344" t="s">
        <v>3699</v>
      </c>
      <c r="C792" s="539" t="s">
        <v>7753</v>
      </c>
      <c r="D792" s="709" t="s">
        <v>7916</v>
      </c>
      <c r="E792" s="552" t="s">
        <v>7848</v>
      </c>
      <c r="F792" s="552"/>
      <c r="G792" s="552" t="s">
        <v>7908</v>
      </c>
      <c r="H792" s="552"/>
      <c r="I792" s="552"/>
      <c r="J792" s="552"/>
      <c r="K792" s="552"/>
      <c r="L792" s="552"/>
      <c r="M792" s="552"/>
      <c r="N792" s="552"/>
      <c r="O792" s="552"/>
      <c r="P792" s="552"/>
      <c r="Q792" s="552"/>
      <c r="R792" s="552"/>
      <c r="S792" s="552"/>
      <c r="T792" s="552"/>
      <c r="U792" s="552"/>
      <c r="V792" s="552"/>
      <c r="W792" s="552"/>
      <c r="X792" s="552"/>
      <c r="Y792" s="552"/>
      <c r="Z792" s="552"/>
      <c r="AA792" s="552"/>
      <c r="AB792" s="552"/>
      <c r="AC792" s="552"/>
      <c r="AD792" s="552"/>
      <c r="AE792" s="552"/>
      <c r="AF792" s="552"/>
      <c r="AG792" s="552"/>
      <c r="AH792" s="552"/>
      <c r="AI792" s="552"/>
      <c r="AJ792" s="552"/>
      <c r="AK792" s="552"/>
      <c r="AL792" s="552">
        <v>30</v>
      </c>
      <c r="AM792" s="552"/>
      <c r="AN792" s="552"/>
      <c r="AO792" s="552" t="s">
        <v>7917</v>
      </c>
      <c r="AP792" s="552"/>
      <c r="AQ792" s="552" t="s">
        <v>7715</v>
      </c>
      <c r="AR792" s="552" t="s">
        <v>2809</v>
      </c>
      <c r="AS792" s="552" t="s">
        <v>7484</v>
      </c>
      <c r="AT792" s="552" t="s">
        <v>726</v>
      </c>
    </row>
    <row r="793" spans="1:46" ht="14.7" customHeight="1">
      <c r="A793" s="706"/>
      <c r="B793" s="344" t="s">
        <v>3699</v>
      </c>
      <c r="C793" s="539" t="s">
        <v>7753</v>
      </c>
      <c r="D793" s="709"/>
      <c r="E793" s="552"/>
      <c r="F793" s="552"/>
      <c r="G793" s="552"/>
      <c r="H793" s="552"/>
      <c r="I793" s="552"/>
      <c r="J793" s="552"/>
      <c r="K793" s="552"/>
      <c r="L793" s="552"/>
      <c r="M793" s="552"/>
      <c r="N793" s="552"/>
      <c r="O793" s="552"/>
      <c r="P793" s="552"/>
      <c r="Q793" s="552"/>
      <c r="R793" s="552"/>
      <c r="S793" s="552"/>
      <c r="T793" s="552"/>
      <c r="U793" s="552"/>
      <c r="V793" s="552"/>
      <c r="W793" s="552"/>
      <c r="X793" s="552"/>
      <c r="Y793" s="552"/>
      <c r="Z793" s="552"/>
      <c r="AA793" s="552"/>
      <c r="AB793" s="552"/>
      <c r="AC793" s="552"/>
      <c r="AD793" s="552"/>
      <c r="AE793" s="552"/>
      <c r="AF793" s="552"/>
      <c r="AG793" s="552"/>
      <c r="AH793" s="552"/>
      <c r="AI793" s="552"/>
      <c r="AJ793" s="552"/>
      <c r="AK793" s="552"/>
      <c r="AL793" s="552"/>
      <c r="AM793" s="552"/>
      <c r="AN793" s="552"/>
      <c r="AO793" s="552"/>
      <c r="AP793" s="552"/>
      <c r="AQ793" s="552" t="s">
        <v>7715</v>
      </c>
      <c r="AR793" s="552" t="s">
        <v>2809</v>
      </c>
      <c r="AS793" s="552" t="s">
        <v>7484</v>
      </c>
      <c r="AT793" s="552" t="s">
        <v>726</v>
      </c>
    </row>
    <row r="794" spans="1:46" ht="14.7" customHeight="1">
      <c r="A794" s="706"/>
      <c r="B794" s="344" t="s">
        <v>3699</v>
      </c>
      <c r="C794" s="539" t="s">
        <v>7753</v>
      </c>
      <c r="D794" s="709"/>
      <c r="E794" s="552"/>
      <c r="F794" s="552"/>
      <c r="G794" s="552"/>
      <c r="H794" s="552"/>
      <c r="I794" s="552"/>
      <c r="J794" s="552"/>
      <c r="K794" s="552"/>
      <c r="L794" s="552"/>
      <c r="M794" s="552"/>
      <c r="N794" s="552"/>
      <c r="O794" s="552"/>
      <c r="P794" s="552"/>
      <c r="Q794" s="552"/>
      <c r="R794" s="552"/>
      <c r="S794" s="552"/>
      <c r="T794" s="552"/>
      <c r="U794" s="552"/>
      <c r="V794" s="552"/>
      <c r="W794" s="552"/>
      <c r="X794" s="552"/>
      <c r="Y794" s="552"/>
      <c r="Z794" s="552"/>
      <c r="AA794" s="552"/>
      <c r="AB794" s="552"/>
      <c r="AC794" s="552"/>
      <c r="AD794" s="552"/>
      <c r="AE794" s="552"/>
      <c r="AF794" s="552"/>
      <c r="AG794" s="552"/>
      <c r="AH794" s="552"/>
      <c r="AI794" s="552"/>
      <c r="AJ794" s="552"/>
      <c r="AK794" s="552"/>
      <c r="AL794" s="552"/>
      <c r="AM794" s="552"/>
      <c r="AN794" s="552"/>
      <c r="AO794" s="552"/>
      <c r="AP794" s="552"/>
      <c r="AQ794" s="552" t="s">
        <v>7715</v>
      </c>
      <c r="AR794" s="552" t="s">
        <v>2809</v>
      </c>
      <c r="AS794" s="552" t="s">
        <v>7484</v>
      </c>
      <c r="AT794" s="552" t="s">
        <v>726</v>
      </c>
    </row>
    <row r="795" spans="1:46" ht="14.7" customHeight="1">
      <c r="A795" s="706"/>
      <c r="B795" s="344" t="s">
        <v>3699</v>
      </c>
      <c r="C795" s="539" t="s">
        <v>7753</v>
      </c>
      <c r="D795" s="709"/>
      <c r="E795" s="552"/>
      <c r="F795" s="552"/>
      <c r="G795" s="552"/>
      <c r="H795" s="552"/>
      <c r="I795" s="552"/>
      <c r="J795" s="552"/>
      <c r="K795" s="552"/>
      <c r="L795" s="552"/>
      <c r="M795" s="552"/>
      <c r="N795" s="552"/>
      <c r="O795" s="552"/>
      <c r="P795" s="552"/>
      <c r="Q795" s="552"/>
      <c r="R795" s="552"/>
      <c r="S795" s="552"/>
      <c r="T795" s="552"/>
      <c r="U795" s="552"/>
      <c r="V795" s="552"/>
      <c r="W795" s="552"/>
      <c r="X795" s="552"/>
      <c r="Y795" s="552"/>
      <c r="Z795" s="552"/>
      <c r="AA795" s="552"/>
      <c r="AB795" s="552"/>
      <c r="AC795" s="552"/>
      <c r="AD795" s="552"/>
      <c r="AE795" s="552"/>
      <c r="AF795" s="552"/>
      <c r="AG795" s="552"/>
      <c r="AH795" s="552"/>
      <c r="AI795" s="552"/>
      <c r="AJ795" s="552"/>
      <c r="AK795" s="552"/>
      <c r="AL795" s="552"/>
      <c r="AM795" s="552"/>
      <c r="AN795" s="552"/>
      <c r="AO795" s="552"/>
      <c r="AP795" s="552"/>
      <c r="AQ795" s="552" t="s">
        <v>7715</v>
      </c>
      <c r="AR795" s="552" t="s">
        <v>2809</v>
      </c>
      <c r="AS795" s="552" t="s">
        <v>7484</v>
      </c>
      <c r="AT795" s="552" t="s">
        <v>726</v>
      </c>
    </row>
    <row r="796" spans="1:46" ht="14.7" customHeight="1">
      <c r="A796" s="706" t="s">
        <v>6422</v>
      </c>
      <c r="B796" s="344" t="s">
        <v>3699</v>
      </c>
      <c r="C796" s="539" t="s">
        <v>7753</v>
      </c>
      <c r="D796" s="709" t="s">
        <v>7918</v>
      </c>
      <c r="E796" s="552" t="s">
        <v>7848</v>
      </c>
      <c r="F796" s="552"/>
      <c r="G796" s="552" t="s">
        <v>7908</v>
      </c>
      <c r="H796" s="552"/>
      <c r="I796" s="552"/>
      <c r="J796" s="552"/>
      <c r="K796" s="552"/>
      <c r="L796" s="552"/>
      <c r="M796" s="552"/>
      <c r="N796" s="552"/>
      <c r="O796" s="552"/>
      <c r="P796" s="552"/>
      <c r="Q796" s="552"/>
      <c r="R796" s="552"/>
      <c r="S796" s="552"/>
      <c r="T796" s="552"/>
      <c r="U796" s="552"/>
      <c r="V796" s="552"/>
      <c r="W796" s="552"/>
      <c r="X796" s="552"/>
      <c r="Y796" s="552"/>
      <c r="Z796" s="552"/>
      <c r="AA796" s="552"/>
      <c r="AB796" s="552"/>
      <c r="AC796" s="552"/>
      <c r="AD796" s="552"/>
      <c r="AE796" s="552"/>
      <c r="AF796" s="552"/>
      <c r="AG796" s="552"/>
      <c r="AH796" s="552"/>
      <c r="AI796" s="552"/>
      <c r="AJ796" s="552"/>
      <c r="AK796" s="552"/>
      <c r="AL796" s="552"/>
      <c r="AM796" s="552"/>
      <c r="AN796" s="552"/>
      <c r="AO796" s="717" t="s">
        <v>7919</v>
      </c>
      <c r="AP796" s="552"/>
      <c r="AQ796" s="552" t="s">
        <v>7715</v>
      </c>
      <c r="AR796" s="552" t="s">
        <v>2809</v>
      </c>
      <c r="AS796" s="552" t="s">
        <v>7484</v>
      </c>
      <c r="AT796" s="552" t="s">
        <v>726</v>
      </c>
    </row>
    <row r="797" spans="1:46" ht="14.7" customHeight="1">
      <c r="A797" s="706" t="s">
        <v>6423</v>
      </c>
      <c r="B797" s="559" t="s">
        <v>3700</v>
      </c>
      <c r="C797" s="539" t="s">
        <v>7753</v>
      </c>
      <c r="D797" s="709" t="s">
        <v>7920</v>
      </c>
      <c r="E797" s="552" t="s">
        <v>7848</v>
      </c>
      <c r="F797" s="552"/>
      <c r="G797" s="552" t="s">
        <v>7908</v>
      </c>
      <c r="H797" s="552"/>
      <c r="I797" s="552"/>
      <c r="J797" s="552"/>
      <c r="K797" s="552"/>
      <c r="L797" s="552"/>
      <c r="M797" s="552"/>
      <c r="N797" s="552">
        <v>50</v>
      </c>
      <c r="O797" s="552"/>
      <c r="P797" s="552"/>
      <c r="Q797" s="552"/>
      <c r="R797" s="552">
        <v>8</v>
      </c>
      <c r="S797" s="552"/>
      <c r="T797" s="552"/>
      <c r="U797" s="552"/>
      <c r="V797" s="552"/>
      <c r="W797" s="552"/>
      <c r="X797" s="552"/>
      <c r="Y797" s="552"/>
      <c r="Z797" s="552"/>
      <c r="AA797" s="552"/>
      <c r="AB797" s="552"/>
      <c r="AC797" s="552"/>
      <c r="AD797" s="552">
        <v>40</v>
      </c>
      <c r="AE797" s="552"/>
      <c r="AF797" s="552"/>
      <c r="AG797" s="552"/>
      <c r="AH797" s="552"/>
      <c r="AI797" s="552"/>
      <c r="AJ797" s="552"/>
      <c r="AK797" s="552"/>
      <c r="AL797" s="552"/>
      <c r="AM797" s="552"/>
      <c r="AN797" s="552"/>
      <c r="AO797" s="717" t="s">
        <v>7921</v>
      </c>
      <c r="AP797" s="552"/>
      <c r="AQ797" s="552" t="s">
        <v>7715</v>
      </c>
      <c r="AR797" s="552" t="s">
        <v>2971</v>
      </c>
      <c r="AS797" s="552" t="s">
        <v>7484</v>
      </c>
      <c r="AT797" s="552" t="s">
        <v>726</v>
      </c>
    </row>
    <row r="798" spans="1:46" ht="14.7" customHeight="1">
      <c r="A798" s="706"/>
      <c r="B798" s="559" t="s">
        <v>3700</v>
      </c>
      <c r="C798" s="539" t="s">
        <v>7753</v>
      </c>
      <c r="D798" s="709"/>
      <c r="E798" s="552"/>
      <c r="F798" s="552"/>
      <c r="G798" s="552"/>
      <c r="H798" s="552"/>
      <c r="I798" s="552"/>
      <c r="J798" s="552"/>
      <c r="K798" s="552"/>
      <c r="L798" s="552"/>
      <c r="M798" s="552"/>
      <c r="N798" s="552"/>
      <c r="O798" s="552"/>
      <c r="P798" s="552"/>
      <c r="Q798" s="552"/>
      <c r="R798" s="552"/>
      <c r="S798" s="552"/>
      <c r="T798" s="552"/>
      <c r="U798" s="552"/>
      <c r="V798" s="552"/>
      <c r="W798" s="552"/>
      <c r="X798" s="552"/>
      <c r="Y798" s="552"/>
      <c r="Z798" s="552"/>
      <c r="AA798" s="552"/>
      <c r="AB798" s="552"/>
      <c r="AC798" s="552"/>
      <c r="AD798" s="552"/>
      <c r="AE798" s="552"/>
      <c r="AF798" s="552"/>
      <c r="AG798" s="552"/>
      <c r="AH798" s="552"/>
      <c r="AI798" s="552"/>
      <c r="AJ798" s="552"/>
      <c r="AK798" s="552"/>
      <c r="AL798" s="552"/>
      <c r="AM798" s="552"/>
      <c r="AN798" s="552"/>
      <c r="AO798" s="552"/>
      <c r="AP798" s="552"/>
      <c r="AQ798" s="552" t="s">
        <v>7715</v>
      </c>
      <c r="AR798" s="552" t="s">
        <v>2971</v>
      </c>
      <c r="AS798" s="552" t="s">
        <v>7484</v>
      </c>
      <c r="AT798" s="552" t="s">
        <v>726</v>
      </c>
    </row>
    <row r="799" spans="1:46" ht="14.7" customHeight="1">
      <c r="A799" s="706"/>
      <c r="B799" s="711" t="s">
        <v>6055</v>
      </c>
      <c r="C799" s="539" t="s">
        <v>7753</v>
      </c>
      <c r="D799" s="709"/>
      <c r="E799" s="552"/>
      <c r="F799" s="552"/>
      <c r="G799" s="552"/>
      <c r="H799" s="552"/>
      <c r="I799" s="552"/>
      <c r="J799" s="552"/>
      <c r="K799" s="552"/>
      <c r="L799" s="552"/>
      <c r="M799" s="552"/>
      <c r="N799" s="552"/>
      <c r="O799" s="552"/>
      <c r="P799" s="552"/>
      <c r="Q799" s="552"/>
      <c r="R799" s="552"/>
      <c r="S799" s="552"/>
      <c r="T799" s="552"/>
      <c r="U799" s="552"/>
      <c r="V799" s="552"/>
      <c r="W799" s="552"/>
      <c r="X799" s="552"/>
      <c r="Y799" s="552"/>
      <c r="Z799" s="552"/>
      <c r="AA799" s="552"/>
      <c r="AB799" s="552"/>
      <c r="AC799" s="552"/>
      <c r="AD799" s="552"/>
      <c r="AE799" s="552"/>
      <c r="AF799" s="552"/>
      <c r="AG799" s="552"/>
      <c r="AH799" s="552"/>
      <c r="AI799" s="552"/>
      <c r="AJ799" s="552"/>
      <c r="AK799" s="552"/>
      <c r="AL799" s="552"/>
      <c r="AM799" s="552"/>
      <c r="AN799" s="552"/>
      <c r="AO799" s="552"/>
      <c r="AP799" s="552"/>
      <c r="AQ799" s="552" t="s">
        <v>7715</v>
      </c>
      <c r="AR799" s="552" t="s">
        <v>6697</v>
      </c>
      <c r="AS799" s="552" t="s">
        <v>7484</v>
      </c>
      <c r="AT799" s="552" t="s">
        <v>726</v>
      </c>
    </row>
    <row r="800" spans="1:46" ht="14.7" customHeight="1">
      <c r="A800" s="706" t="s">
        <v>6424</v>
      </c>
      <c r="B800" s="540" t="s">
        <v>3695</v>
      </c>
      <c r="C800" s="539" t="s">
        <v>7753</v>
      </c>
      <c r="D800" s="709" t="s">
        <v>7922</v>
      </c>
      <c r="E800" s="552" t="s">
        <v>7923</v>
      </c>
      <c r="F800" s="552"/>
      <c r="G800" s="552" t="s">
        <v>7924</v>
      </c>
      <c r="H800" s="552"/>
      <c r="I800" s="552"/>
      <c r="J800" s="552"/>
      <c r="K800" s="552"/>
      <c r="L800" s="552"/>
      <c r="M800" s="552"/>
      <c r="N800" s="552"/>
      <c r="O800" s="552"/>
      <c r="P800" s="552"/>
      <c r="Q800" s="552"/>
      <c r="R800" s="552"/>
      <c r="S800" s="552"/>
      <c r="T800" s="552"/>
      <c r="U800" s="552"/>
      <c r="V800" s="552"/>
      <c r="W800" s="552"/>
      <c r="X800" s="552">
        <v>2</v>
      </c>
      <c r="Y800" s="552"/>
      <c r="Z800" s="552"/>
      <c r="AA800" s="552"/>
      <c r="AB800" s="552"/>
      <c r="AC800" s="552"/>
      <c r="AD800" s="552"/>
      <c r="AE800" s="552"/>
      <c r="AF800" s="552"/>
      <c r="AG800" s="552"/>
      <c r="AH800" s="552"/>
      <c r="AI800" s="552">
        <v>10</v>
      </c>
      <c r="AJ800" s="552"/>
      <c r="AK800" s="552"/>
      <c r="AL800" s="552"/>
      <c r="AM800" s="552"/>
      <c r="AN800" s="552"/>
      <c r="AO800" s="552"/>
      <c r="AP800" s="552"/>
      <c r="AQ800" s="552" t="s">
        <v>1186</v>
      </c>
      <c r="AR800" s="552" t="s">
        <v>2802</v>
      </c>
      <c r="AS800" s="552" t="s">
        <v>6881</v>
      </c>
      <c r="AT800" s="552" t="s">
        <v>726</v>
      </c>
    </row>
    <row r="801" spans="1:46" ht="14.7" customHeight="1">
      <c r="A801" s="706"/>
      <c r="B801" s="540" t="s">
        <v>3695</v>
      </c>
      <c r="C801" s="539" t="s">
        <v>7753</v>
      </c>
      <c r="D801" s="709"/>
      <c r="E801" s="552"/>
      <c r="F801" s="552"/>
      <c r="G801" s="552"/>
      <c r="H801" s="552"/>
      <c r="I801" s="552"/>
      <c r="J801" s="552"/>
      <c r="K801" s="552"/>
      <c r="L801" s="552"/>
      <c r="M801" s="552"/>
      <c r="N801" s="552"/>
      <c r="O801" s="552"/>
      <c r="P801" s="552"/>
      <c r="Q801" s="552"/>
      <c r="R801" s="552"/>
      <c r="S801" s="552"/>
      <c r="T801" s="552"/>
      <c r="U801" s="552"/>
      <c r="V801" s="552"/>
      <c r="W801" s="552"/>
      <c r="X801" s="552"/>
      <c r="Y801" s="552"/>
      <c r="Z801" s="552"/>
      <c r="AA801" s="552"/>
      <c r="AB801" s="552"/>
      <c r="AC801" s="552"/>
      <c r="AD801" s="552"/>
      <c r="AE801" s="552"/>
      <c r="AF801" s="552"/>
      <c r="AG801" s="552"/>
      <c r="AH801" s="552"/>
      <c r="AI801" s="552"/>
      <c r="AJ801" s="552"/>
      <c r="AK801" s="552"/>
      <c r="AL801" s="552"/>
      <c r="AM801" s="552"/>
      <c r="AN801" s="552"/>
      <c r="AO801" s="552"/>
      <c r="AP801" s="552"/>
      <c r="AQ801" s="552" t="s">
        <v>1186</v>
      </c>
      <c r="AR801" s="552" t="s">
        <v>2802</v>
      </c>
      <c r="AS801" s="552" t="s">
        <v>6881</v>
      </c>
      <c r="AT801" s="552" t="s">
        <v>726</v>
      </c>
    </row>
    <row r="802" spans="1:46" ht="14.7" customHeight="1">
      <c r="A802" s="706" t="s">
        <v>6425</v>
      </c>
      <c r="B802" s="707" t="s">
        <v>3696</v>
      </c>
      <c r="C802" s="539" t="s">
        <v>7753</v>
      </c>
      <c r="D802" s="709" t="s">
        <v>7925</v>
      </c>
      <c r="E802" s="552" t="s">
        <v>7926</v>
      </c>
      <c r="F802" s="552"/>
      <c r="G802" s="552" t="s">
        <v>7924</v>
      </c>
      <c r="H802" s="552"/>
      <c r="I802" s="552"/>
      <c r="J802" s="552"/>
      <c r="K802" s="552"/>
      <c r="L802" s="552"/>
      <c r="M802" s="552"/>
      <c r="N802" s="552"/>
      <c r="O802" s="552"/>
      <c r="P802" s="552"/>
      <c r="Q802" s="552"/>
      <c r="R802" s="552"/>
      <c r="S802" s="552"/>
      <c r="T802" s="552"/>
      <c r="U802" s="552"/>
      <c r="V802" s="552"/>
      <c r="W802" s="552"/>
      <c r="X802" s="552">
        <v>3</v>
      </c>
      <c r="Y802" s="552"/>
      <c r="Z802" s="552"/>
      <c r="AA802" s="552"/>
      <c r="AB802" s="552"/>
      <c r="AC802" s="552"/>
      <c r="AD802" s="552"/>
      <c r="AE802" s="552"/>
      <c r="AF802" s="552"/>
      <c r="AG802" s="552"/>
      <c r="AH802" s="552"/>
      <c r="AI802" s="552">
        <v>20</v>
      </c>
      <c r="AJ802" s="552"/>
      <c r="AK802" s="552"/>
      <c r="AL802" s="552"/>
      <c r="AM802" s="552"/>
      <c r="AN802" s="552"/>
      <c r="AO802" s="552"/>
      <c r="AP802" s="552"/>
      <c r="AQ802" s="552" t="s">
        <v>1186</v>
      </c>
      <c r="AR802" s="552" t="s">
        <v>2805</v>
      </c>
      <c r="AS802" s="552" t="s">
        <v>6881</v>
      </c>
      <c r="AT802" s="552" t="s">
        <v>726</v>
      </c>
    </row>
    <row r="803" spans="1:46" ht="14.7" customHeight="1">
      <c r="A803" s="706"/>
      <c r="B803" s="707" t="s">
        <v>3696</v>
      </c>
      <c r="C803" s="539" t="s">
        <v>7753</v>
      </c>
      <c r="D803" s="709"/>
      <c r="E803" s="552"/>
      <c r="F803" s="552"/>
      <c r="G803" s="552"/>
      <c r="H803" s="552"/>
      <c r="I803" s="552"/>
      <c r="J803" s="552"/>
      <c r="K803" s="552"/>
      <c r="L803" s="552"/>
      <c r="M803" s="552"/>
      <c r="N803" s="552"/>
      <c r="O803" s="552"/>
      <c r="P803" s="552"/>
      <c r="Q803" s="552"/>
      <c r="R803" s="552"/>
      <c r="S803" s="552"/>
      <c r="T803" s="552"/>
      <c r="U803" s="552"/>
      <c r="V803" s="552"/>
      <c r="W803" s="552"/>
      <c r="X803" s="552"/>
      <c r="Y803" s="552"/>
      <c r="Z803" s="552"/>
      <c r="AA803" s="552"/>
      <c r="AB803" s="552"/>
      <c r="AC803" s="552"/>
      <c r="AD803" s="552"/>
      <c r="AE803" s="552"/>
      <c r="AF803" s="552"/>
      <c r="AG803" s="552"/>
      <c r="AH803" s="552"/>
      <c r="AI803" s="552"/>
      <c r="AJ803" s="552"/>
      <c r="AK803" s="552"/>
      <c r="AL803" s="552"/>
      <c r="AM803" s="552"/>
      <c r="AN803" s="552"/>
      <c r="AO803" s="552"/>
      <c r="AP803" s="552"/>
      <c r="AQ803" s="552" t="s">
        <v>1186</v>
      </c>
      <c r="AR803" s="552" t="s">
        <v>2805</v>
      </c>
      <c r="AS803" s="552" t="s">
        <v>6881</v>
      </c>
      <c r="AT803" s="552" t="s">
        <v>726</v>
      </c>
    </row>
    <row r="804" spans="1:46" ht="14.7" customHeight="1">
      <c r="A804" s="706" t="s">
        <v>6426</v>
      </c>
      <c r="B804" s="556" t="s">
        <v>3697</v>
      </c>
      <c r="C804" s="539" t="s">
        <v>7753</v>
      </c>
      <c r="D804" s="709" t="s">
        <v>7927</v>
      </c>
      <c r="E804" s="552" t="s">
        <v>7923</v>
      </c>
      <c r="F804" s="552"/>
      <c r="G804" s="552" t="s">
        <v>7924</v>
      </c>
      <c r="H804" s="552"/>
      <c r="I804" s="552"/>
      <c r="J804" s="552"/>
      <c r="K804" s="552"/>
      <c r="L804" s="552"/>
      <c r="M804" s="552"/>
      <c r="N804" s="552"/>
      <c r="O804" s="552"/>
      <c r="P804" s="552"/>
      <c r="Q804" s="552"/>
      <c r="R804" s="552"/>
      <c r="S804" s="552"/>
      <c r="T804" s="552"/>
      <c r="U804" s="552"/>
      <c r="V804" s="552"/>
      <c r="W804" s="552"/>
      <c r="X804" s="552">
        <v>1</v>
      </c>
      <c r="Y804" s="552"/>
      <c r="Z804" s="552"/>
      <c r="AA804" s="552"/>
      <c r="AB804" s="552">
        <v>10</v>
      </c>
      <c r="AC804" s="552">
        <v>10</v>
      </c>
      <c r="AD804" s="552">
        <v>10</v>
      </c>
      <c r="AE804" s="552">
        <v>10</v>
      </c>
      <c r="AF804" s="552">
        <v>10</v>
      </c>
      <c r="AG804" s="552">
        <v>10</v>
      </c>
      <c r="AH804" s="552">
        <v>10</v>
      </c>
      <c r="AI804" s="552">
        <v>10</v>
      </c>
      <c r="AJ804" s="552">
        <v>10</v>
      </c>
      <c r="AK804" s="552"/>
      <c r="AL804" s="552"/>
      <c r="AM804" s="552"/>
      <c r="AN804" s="552"/>
      <c r="AO804" s="552"/>
      <c r="AP804" s="552"/>
      <c r="AQ804" s="552" t="s">
        <v>1186</v>
      </c>
      <c r="AR804" s="552" t="s">
        <v>2875</v>
      </c>
      <c r="AS804" s="552" t="s">
        <v>6881</v>
      </c>
      <c r="AT804" s="552" t="s">
        <v>726</v>
      </c>
    </row>
    <row r="805" spans="1:46" ht="14.7" customHeight="1">
      <c r="A805" s="706" t="s">
        <v>6427</v>
      </c>
      <c r="B805" s="556" t="s">
        <v>3697</v>
      </c>
      <c r="C805" s="539" t="s">
        <v>7753</v>
      </c>
      <c r="D805" s="709" t="s">
        <v>7928</v>
      </c>
      <c r="E805" s="552" t="s">
        <v>7926</v>
      </c>
      <c r="F805" s="552"/>
      <c r="G805" s="552" t="s">
        <v>7924</v>
      </c>
      <c r="H805" s="552"/>
      <c r="I805" s="552"/>
      <c r="J805" s="552"/>
      <c r="K805" s="552"/>
      <c r="L805" s="552"/>
      <c r="M805" s="552"/>
      <c r="N805" s="552"/>
      <c r="O805" s="552"/>
      <c r="P805" s="552"/>
      <c r="Q805" s="552"/>
      <c r="R805" s="552"/>
      <c r="S805" s="552"/>
      <c r="T805" s="552"/>
      <c r="U805" s="552"/>
      <c r="V805" s="552"/>
      <c r="W805" s="552"/>
      <c r="X805" s="552">
        <v>2</v>
      </c>
      <c r="Y805" s="552">
        <v>2</v>
      </c>
      <c r="Z805" s="552"/>
      <c r="AA805" s="552"/>
      <c r="AB805" s="552"/>
      <c r="AC805" s="552"/>
      <c r="AD805" s="552"/>
      <c r="AE805" s="552"/>
      <c r="AF805" s="552"/>
      <c r="AG805" s="552"/>
      <c r="AH805" s="552"/>
      <c r="AI805" s="552">
        <v>30</v>
      </c>
      <c r="AJ805" s="552"/>
      <c r="AK805" s="552"/>
      <c r="AL805" s="552"/>
      <c r="AM805" s="552"/>
      <c r="AN805" s="552"/>
      <c r="AO805" s="552"/>
      <c r="AP805" s="552"/>
      <c r="AQ805" s="552" t="s">
        <v>1186</v>
      </c>
      <c r="AR805" s="552" t="s">
        <v>2875</v>
      </c>
      <c r="AS805" s="552" t="s">
        <v>6881</v>
      </c>
      <c r="AT805" s="552" t="s">
        <v>726</v>
      </c>
    </row>
    <row r="806" spans="1:46" ht="14.7" customHeight="1">
      <c r="A806" s="706"/>
      <c r="B806" s="556" t="s">
        <v>3697</v>
      </c>
      <c r="C806" s="539" t="s">
        <v>7753</v>
      </c>
      <c r="D806" s="709"/>
      <c r="E806" s="552"/>
      <c r="F806" s="552"/>
      <c r="G806" s="552"/>
      <c r="H806" s="552"/>
      <c r="I806" s="552"/>
      <c r="J806" s="552"/>
      <c r="K806" s="552"/>
      <c r="L806" s="552"/>
      <c r="M806" s="552"/>
      <c r="N806" s="552"/>
      <c r="O806" s="552"/>
      <c r="P806" s="552"/>
      <c r="Q806" s="552"/>
      <c r="R806" s="552"/>
      <c r="S806" s="552"/>
      <c r="T806" s="552"/>
      <c r="U806" s="552"/>
      <c r="V806" s="552"/>
      <c r="W806" s="552"/>
      <c r="X806" s="552"/>
      <c r="Y806" s="552"/>
      <c r="Z806" s="552"/>
      <c r="AA806" s="552"/>
      <c r="AB806" s="552"/>
      <c r="AC806" s="552"/>
      <c r="AD806" s="552"/>
      <c r="AE806" s="552"/>
      <c r="AF806" s="552"/>
      <c r="AG806" s="552"/>
      <c r="AH806" s="552"/>
      <c r="AI806" s="552"/>
      <c r="AJ806" s="552"/>
      <c r="AK806" s="552"/>
      <c r="AL806" s="552"/>
      <c r="AM806" s="552"/>
      <c r="AN806" s="552"/>
      <c r="AO806" s="552"/>
      <c r="AP806" s="552"/>
      <c r="AQ806" s="552" t="s">
        <v>1186</v>
      </c>
      <c r="AR806" s="552" t="s">
        <v>2875</v>
      </c>
      <c r="AS806" s="552" t="s">
        <v>6881</v>
      </c>
      <c r="AT806" s="552" t="s">
        <v>726</v>
      </c>
    </row>
    <row r="807" spans="1:46" ht="14.7" customHeight="1">
      <c r="A807" s="706" t="s">
        <v>6428</v>
      </c>
      <c r="B807" s="557" t="s">
        <v>3698</v>
      </c>
      <c r="C807" s="539" t="s">
        <v>7753</v>
      </c>
      <c r="D807" s="709" t="s">
        <v>7929</v>
      </c>
      <c r="E807" s="552" t="s">
        <v>7926</v>
      </c>
      <c r="F807" s="552"/>
      <c r="G807" s="552" t="s">
        <v>7924</v>
      </c>
      <c r="H807" s="552"/>
      <c r="I807" s="552"/>
      <c r="J807" s="552"/>
      <c r="K807" s="552"/>
      <c r="L807" s="552"/>
      <c r="M807" s="552"/>
      <c r="N807" s="552">
        <v>40</v>
      </c>
      <c r="O807" s="552"/>
      <c r="P807" s="552"/>
      <c r="Q807" s="552"/>
      <c r="R807" s="552"/>
      <c r="S807" s="552"/>
      <c r="T807" s="552"/>
      <c r="U807" s="552"/>
      <c r="V807" s="552"/>
      <c r="W807" s="552"/>
      <c r="X807" s="552">
        <v>2</v>
      </c>
      <c r="Y807" s="552"/>
      <c r="Z807" s="552"/>
      <c r="AA807" s="552"/>
      <c r="AB807" s="552"/>
      <c r="AC807" s="552"/>
      <c r="AD807" s="552"/>
      <c r="AE807" s="552"/>
      <c r="AF807" s="552"/>
      <c r="AG807" s="552"/>
      <c r="AH807" s="552"/>
      <c r="AI807" s="552"/>
      <c r="AJ807" s="552"/>
      <c r="AK807" s="552"/>
      <c r="AL807" s="552"/>
      <c r="AM807" s="552"/>
      <c r="AN807" s="552"/>
      <c r="AO807" s="717" t="s">
        <v>7930</v>
      </c>
      <c r="AP807" s="552"/>
      <c r="AQ807" s="552" t="s">
        <v>1186</v>
      </c>
      <c r="AR807" s="552" t="s">
        <v>2998</v>
      </c>
      <c r="AS807" s="552" t="s">
        <v>6881</v>
      </c>
      <c r="AT807" s="552" t="s">
        <v>726</v>
      </c>
    </row>
    <row r="808" spans="1:46" ht="14.7" customHeight="1">
      <c r="A808" s="706" t="s">
        <v>6429</v>
      </c>
      <c r="B808" s="557" t="s">
        <v>3698</v>
      </c>
      <c r="C808" s="539" t="s">
        <v>7753</v>
      </c>
      <c r="D808" s="709" t="s">
        <v>7931</v>
      </c>
      <c r="E808" s="552" t="s">
        <v>7926</v>
      </c>
      <c r="F808" s="552"/>
      <c r="G808" s="552" t="s">
        <v>7924</v>
      </c>
      <c r="H808" s="552"/>
      <c r="I808" s="552"/>
      <c r="J808" s="552"/>
      <c r="K808" s="552"/>
      <c r="L808" s="552"/>
      <c r="M808" s="552"/>
      <c r="N808" s="552"/>
      <c r="O808" s="552"/>
      <c r="P808" s="552"/>
      <c r="Q808" s="552"/>
      <c r="R808" s="552"/>
      <c r="S808" s="552"/>
      <c r="T808" s="552"/>
      <c r="U808" s="552"/>
      <c r="V808" s="552"/>
      <c r="W808" s="552"/>
      <c r="X808" s="552">
        <v>2</v>
      </c>
      <c r="Y808" s="552">
        <v>2</v>
      </c>
      <c r="Z808" s="552"/>
      <c r="AA808" s="552"/>
      <c r="AB808" s="552"/>
      <c r="AC808" s="552"/>
      <c r="AD808" s="552"/>
      <c r="AE808" s="552"/>
      <c r="AF808" s="552"/>
      <c r="AG808" s="552"/>
      <c r="AH808" s="552"/>
      <c r="AI808" s="552"/>
      <c r="AJ808" s="552"/>
      <c r="AK808" s="552"/>
      <c r="AL808" s="552"/>
      <c r="AM808" s="552"/>
      <c r="AN808" s="552"/>
      <c r="AO808" s="717" t="s">
        <v>7932</v>
      </c>
      <c r="AP808" s="552"/>
      <c r="AQ808" s="552" t="s">
        <v>1186</v>
      </c>
      <c r="AR808" s="552" t="s">
        <v>2998</v>
      </c>
      <c r="AS808" s="552" t="s">
        <v>6881</v>
      </c>
      <c r="AT808" s="552" t="s">
        <v>726</v>
      </c>
    </row>
    <row r="809" spans="1:46" ht="14.7" customHeight="1">
      <c r="A809" s="706"/>
      <c r="B809" s="557" t="s">
        <v>3698</v>
      </c>
      <c r="C809" s="539" t="s">
        <v>7753</v>
      </c>
      <c r="D809" s="709"/>
      <c r="E809" s="552"/>
      <c r="F809" s="552"/>
      <c r="G809" s="552"/>
      <c r="H809" s="552"/>
      <c r="I809" s="552"/>
      <c r="J809" s="552"/>
      <c r="K809" s="552"/>
      <c r="L809" s="552"/>
      <c r="M809" s="552"/>
      <c r="N809" s="552"/>
      <c r="O809" s="552"/>
      <c r="P809" s="552"/>
      <c r="Q809" s="552"/>
      <c r="R809" s="552"/>
      <c r="S809" s="552"/>
      <c r="T809" s="552"/>
      <c r="U809" s="552"/>
      <c r="V809" s="552"/>
      <c r="W809" s="552"/>
      <c r="X809" s="552"/>
      <c r="Y809" s="552"/>
      <c r="Z809" s="552"/>
      <c r="AA809" s="552"/>
      <c r="AB809" s="552"/>
      <c r="AC809" s="552"/>
      <c r="AD809" s="552"/>
      <c r="AE809" s="552"/>
      <c r="AF809" s="552"/>
      <c r="AG809" s="552"/>
      <c r="AH809" s="552"/>
      <c r="AI809" s="552"/>
      <c r="AJ809" s="552"/>
      <c r="AK809" s="552"/>
      <c r="AL809" s="552"/>
      <c r="AM809" s="552"/>
      <c r="AN809" s="552"/>
      <c r="AO809" s="552"/>
      <c r="AP809" s="552"/>
      <c r="AQ809" s="552" t="s">
        <v>1186</v>
      </c>
      <c r="AR809" s="552" t="s">
        <v>2998</v>
      </c>
      <c r="AS809" s="552" t="s">
        <v>6881</v>
      </c>
      <c r="AT809" s="552" t="s">
        <v>726</v>
      </c>
    </row>
    <row r="810" spans="1:46" ht="14.7" customHeight="1">
      <c r="A810" s="706"/>
      <c r="B810" s="557" t="s">
        <v>3698</v>
      </c>
      <c r="C810" s="539" t="s">
        <v>7753</v>
      </c>
      <c r="D810" s="709"/>
      <c r="E810" s="552"/>
      <c r="F810" s="552"/>
      <c r="G810" s="552"/>
      <c r="H810" s="552"/>
      <c r="I810" s="552"/>
      <c r="J810" s="552"/>
      <c r="K810" s="552"/>
      <c r="L810" s="552"/>
      <c r="M810" s="552"/>
      <c r="N810" s="552"/>
      <c r="O810" s="552"/>
      <c r="P810" s="552"/>
      <c r="Q810" s="552"/>
      <c r="R810" s="552"/>
      <c r="S810" s="552"/>
      <c r="T810" s="552"/>
      <c r="U810" s="552"/>
      <c r="V810" s="552"/>
      <c r="W810" s="552"/>
      <c r="X810" s="552"/>
      <c r="Y810" s="552"/>
      <c r="Z810" s="552"/>
      <c r="AA810" s="552"/>
      <c r="AB810" s="552"/>
      <c r="AC810" s="552"/>
      <c r="AD810" s="552"/>
      <c r="AE810" s="552"/>
      <c r="AF810" s="552"/>
      <c r="AG810" s="552"/>
      <c r="AH810" s="552"/>
      <c r="AI810" s="552"/>
      <c r="AJ810" s="552"/>
      <c r="AK810" s="552"/>
      <c r="AL810" s="552"/>
      <c r="AM810" s="552"/>
      <c r="AN810" s="552"/>
      <c r="AO810" s="552"/>
      <c r="AP810" s="552"/>
      <c r="AQ810" s="552" t="s">
        <v>1186</v>
      </c>
      <c r="AR810" s="552" t="s">
        <v>2998</v>
      </c>
      <c r="AS810" s="552" t="s">
        <v>6881</v>
      </c>
      <c r="AT810" s="552" t="s">
        <v>726</v>
      </c>
    </row>
    <row r="811" spans="1:46" ht="14.7" customHeight="1">
      <c r="A811" s="706" t="s">
        <v>6430</v>
      </c>
      <c r="B811" s="344" t="s">
        <v>3699</v>
      </c>
      <c r="C811" s="539" t="s">
        <v>7753</v>
      </c>
      <c r="D811" s="709" t="s">
        <v>7933</v>
      </c>
      <c r="E811" s="552" t="s">
        <v>7926</v>
      </c>
      <c r="F811" s="552"/>
      <c r="G811" s="552" t="s">
        <v>7924</v>
      </c>
      <c r="H811" s="552"/>
      <c r="I811" s="552"/>
      <c r="J811" s="552"/>
      <c r="K811" s="552"/>
      <c r="L811" s="552"/>
      <c r="M811" s="552"/>
      <c r="N811" s="552">
        <v>70</v>
      </c>
      <c r="O811" s="552"/>
      <c r="P811" s="552"/>
      <c r="Q811" s="552"/>
      <c r="R811" s="552"/>
      <c r="S811" s="552"/>
      <c r="T811" s="552"/>
      <c r="U811" s="552"/>
      <c r="V811" s="552"/>
      <c r="W811" s="552"/>
      <c r="X811" s="552">
        <v>7</v>
      </c>
      <c r="Y811" s="552"/>
      <c r="Z811" s="552"/>
      <c r="AA811" s="552"/>
      <c r="AB811" s="552"/>
      <c r="AC811" s="552"/>
      <c r="AD811" s="552"/>
      <c r="AE811" s="552"/>
      <c r="AF811" s="552"/>
      <c r="AG811" s="552"/>
      <c r="AH811" s="552"/>
      <c r="AI811" s="552"/>
      <c r="AJ811" s="552"/>
      <c r="AK811" s="552"/>
      <c r="AL811" s="552"/>
      <c r="AM811" s="552"/>
      <c r="AN811" s="552"/>
      <c r="AO811" s="552"/>
      <c r="AP811" s="717" t="s">
        <v>7934</v>
      </c>
      <c r="AQ811" s="552" t="s">
        <v>1186</v>
      </c>
      <c r="AR811" s="552" t="s">
        <v>2809</v>
      </c>
      <c r="AS811" s="552" t="s">
        <v>6881</v>
      </c>
      <c r="AT811" s="552" t="s">
        <v>726</v>
      </c>
    </row>
    <row r="812" spans="1:46" ht="14.7" customHeight="1">
      <c r="A812" s="706" t="s">
        <v>9095</v>
      </c>
      <c r="B812" s="344" t="s">
        <v>3699</v>
      </c>
      <c r="C812" s="539" t="s">
        <v>7753</v>
      </c>
      <c r="D812" s="709" t="s">
        <v>7935</v>
      </c>
      <c r="E812" s="552" t="s">
        <v>7923</v>
      </c>
      <c r="F812" s="552"/>
      <c r="G812" s="552" t="s">
        <v>7924</v>
      </c>
      <c r="H812" s="552"/>
      <c r="I812" s="552"/>
      <c r="J812" s="552"/>
      <c r="K812" s="552"/>
      <c r="L812" s="552"/>
      <c r="M812" s="552"/>
      <c r="N812" s="552"/>
      <c r="O812" s="552">
        <v>30</v>
      </c>
      <c r="P812" s="552"/>
      <c r="Q812" s="552"/>
      <c r="R812" s="552"/>
      <c r="S812" s="552"/>
      <c r="T812" s="552"/>
      <c r="U812" s="552"/>
      <c r="V812" s="552"/>
      <c r="W812" s="552"/>
      <c r="X812" s="552">
        <v>3</v>
      </c>
      <c r="Y812" s="552">
        <v>3</v>
      </c>
      <c r="Z812" s="552"/>
      <c r="AA812" s="552"/>
      <c r="AB812" s="552"/>
      <c r="AC812" s="552"/>
      <c r="AD812" s="552"/>
      <c r="AE812" s="552"/>
      <c r="AF812" s="552"/>
      <c r="AG812" s="552"/>
      <c r="AH812" s="552"/>
      <c r="AI812" s="552"/>
      <c r="AJ812" s="552"/>
      <c r="AK812" s="552"/>
      <c r="AL812" s="552">
        <v>30</v>
      </c>
      <c r="AM812" s="552"/>
      <c r="AN812" s="552"/>
      <c r="AO812" s="552"/>
      <c r="AP812" s="552"/>
      <c r="AQ812" s="552" t="s">
        <v>1186</v>
      </c>
      <c r="AR812" s="552" t="s">
        <v>2809</v>
      </c>
      <c r="AS812" s="552" t="s">
        <v>6881</v>
      </c>
      <c r="AT812" s="552" t="s">
        <v>726</v>
      </c>
    </row>
    <row r="813" spans="1:46" ht="14.7" customHeight="1">
      <c r="A813" s="706" t="s">
        <v>6431</v>
      </c>
      <c r="B813" s="344" t="s">
        <v>3699</v>
      </c>
      <c r="C813" s="539" t="s">
        <v>7753</v>
      </c>
      <c r="D813" s="709" t="s">
        <v>7936</v>
      </c>
      <c r="E813" s="552" t="s">
        <v>7926</v>
      </c>
      <c r="F813" s="552"/>
      <c r="G813" s="552" t="s">
        <v>7924</v>
      </c>
      <c r="H813" s="552"/>
      <c r="I813" s="552"/>
      <c r="J813" s="552"/>
      <c r="K813" s="552"/>
      <c r="L813" s="552"/>
      <c r="M813" s="552"/>
      <c r="N813" s="552"/>
      <c r="O813" s="552"/>
      <c r="P813" s="552"/>
      <c r="Q813" s="552"/>
      <c r="R813" s="552"/>
      <c r="S813" s="552"/>
      <c r="T813" s="552"/>
      <c r="U813" s="552"/>
      <c r="V813" s="552"/>
      <c r="W813" s="552"/>
      <c r="X813" s="552">
        <v>5</v>
      </c>
      <c r="Y813" s="552">
        <v>5</v>
      </c>
      <c r="Z813" s="552"/>
      <c r="AA813" s="552"/>
      <c r="AB813" s="552">
        <v>30</v>
      </c>
      <c r="AC813" s="552"/>
      <c r="AD813" s="552">
        <v>30</v>
      </c>
      <c r="AE813" s="552"/>
      <c r="AF813" s="552"/>
      <c r="AG813" s="552"/>
      <c r="AH813" s="552"/>
      <c r="AI813" s="552"/>
      <c r="AJ813" s="552"/>
      <c r="AK813" s="552"/>
      <c r="AL813" s="552"/>
      <c r="AM813" s="552"/>
      <c r="AN813" s="552"/>
      <c r="AO813" s="717" t="s">
        <v>7937</v>
      </c>
      <c r="AP813" s="552"/>
      <c r="AQ813" s="552" t="s">
        <v>1186</v>
      </c>
      <c r="AR813" s="552" t="s">
        <v>2809</v>
      </c>
      <c r="AS813" s="552" t="s">
        <v>6881</v>
      </c>
      <c r="AT813" s="552" t="s">
        <v>726</v>
      </c>
    </row>
    <row r="814" spans="1:46" ht="14.7" customHeight="1">
      <c r="A814" s="706"/>
      <c r="B814" s="344" t="s">
        <v>3699</v>
      </c>
      <c r="C814" s="539" t="s">
        <v>7753</v>
      </c>
      <c r="D814" s="709"/>
      <c r="E814" s="552"/>
      <c r="F814" s="552"/>
      <c r="G814" s="552"/>
      <c r="H814" s="552"/>
      <c r="I814" s="552"/>
      <c r="J814" s="552"/>
      <c r="K814" s="552"/>
      <c r="L814" s="552"/>
      <c r="M814" s="552"/>
      <c r="N814" s="552"/>
      <c r="O814" s="552"/>
      <c r="P814" s="552"/>
      <c r="Q814" s="552"/>
      <c r="R814" s="552"/>
      <c r="S814" s="552"/>
      <c r="T814" s="552"/>
      <c r="U814" s="552"/>
      <c r="V814" s="552"/>
      <c r="W814" s="552"/>
      <c r="X814" s="552"/>
      <c r="Y814" s="552"/>
      <c r="Z814" s="552"/>
      <c r="AA814" s="552"/>
      <c r="AB814" s="552"/>
      <c r="AC814" s="552"/>
      <c r="AD814" s="552"/>
      <c r="AE814" s="552"/>
      <c r="AF814" s="552"/>
      <c r="AG814" s="552"/>
      <c r="AH814" s="552"/>
      <c r="AI814" s="552"/>
      <c r="AJ814" s="552"/>
      <c r="AK814" s="552"/>
      <c r="AL814" s="552"/>
      <c r="AM814" s="552"/>
      <c r="AN814" s="552"/>
      <c r="AO814" s="552"/>
      <c r="AP814" s="552"/>
      <c r="AQ814" s="552" t="s">
        <v>1186</v>
      </c>
      <c r="AR814" s="552" t="s">
        <v>2809</v>
      </c>
      <c r="AS814" s="552" t="s">
        <v>6881</v>
      </c>
      <c r="AT814" s="552" t="s">
        <v>726</v>
      </c>
    </row>
    <row r="815" spans="1:46" ht="14.7" customHeight="1">
      <c r="A815" s="706"/>
      <c r="B815" s="344" t="s">
        <v>3699</v>
      </c>
      <c r="C815" s="539" t="s">
        <v>7753</v>
      </c>
      <c r="D815" s="709"/>
      <c r="E815" s="552"/>
      <c r="F815" s="552"/>
      <c r="G815" s="552"/>
      <c r="H815" s="552"/>
      <c r="I815" s="552"/>
      <c r="J815" s="552"/>
      <c r="K815" s="552"/>
      <c r="L815" s="552"/>
      <c r="M815" s="552"/>
      <c r="N815" s="552"/>
      <c r="O815" s="552"/>
      <c r="P815" s="552"/>
      <c r="Q815" s="552"/>
      <c r="R815" s="552"/>
      <c r="S815" s="552"/>
      <c r="T815" s="552"/>
      <c r="U815" s="552"/>
      <c r="V815" s="552"/>
      <c r="W815" s="552"/>
      <c r="X815" s="552"/>
      <c r="Y815" s="552"/>
      <c r="Z815" s="552"/>
      <c r="AA815" s="552"/>
      <c r="AB815" s="552"/>
      <c r="AC815" s="552"/>
      <c r="AD815" s="552"/>
      <c r="AE815" s="552"/>
      <c r="AF815" s="552"/>
      <c r="AG815" s="552"/>
      <c r="AH815" s="552"/>
      <c r="AI815" s="552"/>
      <c r="AJ815" s="552"/>
      <c r="AK815" s="552"/>
      <c r="AL815" s="552"/>
      <c r="AM815" s="552"/>
      <c r="AN815" s="552"/>
      <c r="AO815" s="552"/>
      <c r="AP815" s="552"/>
      <c r="AQ815" s="552" t="s">
        <v>1186</v>
      </c>
      <c r="AR815" s="552" t="s">
        <v>2809</v>
      </c>
      <c r="AS815" s="552" t="s">
        <v>6881</v>
      </c>
      <c r="AT815" s="552" t="s">
        <v>726</v>
      </c>
    </row>
    <row r="816" spans="1:46" ht="14.7" customHeight="1">
      <c r="A816" s="706"/>
      <c r="B816" s="559" t="s">
        <v>3700</v>
      </c>
      <c r="C816" s="539" t="s">
        <v>7753</v>
      </c>
      <c r="D816" s="709"/>
      <c r="E816" s="552"/>
      <c r="F816" s="552"/>
      <c r="G816" s="552"/>
      <c r="H816" s="552"/>
      <c r="I816" s="552"/>
      <c r="J816" s="552"/>
      <c r="K816" s="552"/>
      <c r="L816" s="552"/>
      <c r="M816" s="552"/>
      <c r="N816" s="552"/>
      <c r="O816" s="552"/>
      <c r="P816" s="552"/>
      <c r="Q816" s="552"/>
      <c r="R816" s="552"/>
      <c r="S816" s="552"/>
      <c r="T816" s="552"/>
      <c r="U816" s="552"/>
      <c r="V816" s="552"/>
      <c r="W816" s="552"/>
      <c r="X816" s="552"/>
      <c r="Y816" s="552"/>
      <c r="Z816" s="552"/>
      <c r="AA816" s="552"/>
      <c r="AB816" s="552"/>
      <c r="AC816" s="552"/>
      <c r="AD816" s="552"/>
      <c r="AE816" s="552"/>
      <c r="AF816" s="552"/>
      <c r="AG816" s="552"/>
      <c r="AH816" s="552"/>
      <c r="AI816" s="552"/>
      <c r="AJ816" s="552"/>
      <c r="AK816" s="552"/>
      <c r="AL816" s="552"/>
      <c r="AM816" s="552"/>
      <c r="AN816" s="552"/>
      <c r="AO816" s="552"/>
      <c r="AP816" s="552"/>
      <c r="AQ816" s="552" t="s">
        <v>1186</v>
      </c>
      <c r="AR816" s="552" t="s">
        <v>2971</v>
      </c>
      <c r="AS816" s="552" t="s">
        <v>6881</v>
      </c>
      <c r="AT816" s="552" t="s">
        <v>726</v>
      </c>
    </row>
    <row r="817" spans="1:46" ht="14.7" customHeight="1">
      <c r="A817" s="706" t="s">
        <v>6432</v>
      </c>
      <c r="B817" s="559" t="s">
        <v>3700</v>
      </c>
      <c r="C817" s="539" t="s">
        <v>7753</v>
      </c>
      <c r="D817" s="709" t="s">
        <v>7938</v>
      </c>
      <c r="E817" s="552" t="s">
        <v>7926</v>
      </c>
      <c r="F817" s="552"/>
      <c r="G817" s="552" t="s">
        <v>7924</v>
      </c>
      <c r="H817" s="552"/>
      <c r="I817" s="552"/>
      <c r="J817" s="552"/>
      <c r="K817" s="552"/>
      <c r="L817" s="552"/>
      <c r="M817" s="552"/>
      <c r="N817" s="552">
        <v>100</v>
      </c>
      <c r="O817" s="552"/>
      <c r="P817" s="552"/>
      <c r="Q817" s="552"/>
      <c r="R817" s="552"/>
      <c r="S817" s="552"/>
      <c r="T817" s="552"/>
      <c r="U817" s="552"/>
      <c r="V817" s="552"/>
      <c r="W817" s="552"/>
      <c r="X817" s="552">
        <v>10</v>
      </c>
      <c r="Y817" s="552"/>
      <c r="Z817" s="552"/>
      <c r="AA817" s="552"/>
      <c r="AB817" s="552"/>
      <c r="AC817" s="552"/>
      <c r="AD817" s="552"/>
      <c r="AE817" s="552"/>
      <c r="AF817" s="552"/>
      <c r="AG817" s="552"/>
      <c r="AH817" s="552"/>
      <c r="AI817" s="552"/>
      <c r="AJ817" s="552"/>
      <c r="AK817" s="552"/>
      <c r="AL817" s="552"/>
      <c r="AM817" s="552"/>
      <c r="AN817" s="552"/>
      <c r="AO817" s="717" t="s">
        <v>7939</v>
      </c>
      <c r="AP817" s="552"/>
      <c r="AQ817" s="552" t="s">
        <v>1186</v>
      </c>
      <c r="AR817" s="552" t="s">
        <v>2971</v>
      </c>
      <c r="AS817" s="552" t="s">
        <v>6881</v>
      </c>
      <c r="AT817" s="552" t="s">
        <v>726</v>
      </c>
    </row>
    <row r="818" spans="1:46" ht="14.7" customHeight="1">
      <c r="A818" s="706" t="s">
        <v>8983</v>
      </c>
      <c r="B818" s="711" t="s">
        <v>6055</v>
      </c>
      <c r="C818" s="539" t="s">
        <v>7753</v>
      </c>
      <c r="D818" s="709" t="s">
        <v>8984</v>
      </c>
      <c r="E818" s="552" t="s">
        <v>7926</v>
      </c>
      <c r="F818" s="552"/>
      <c r="G818" s="552" t="s">
        <v>7924</v>
      </c>
      <c r="H818" s="552"/>
      <c r="I818" s="552"/>
      <c r="J818" s="552"/>
      <c r="K818" s="717" t="s">
        <v>7940</v>
      </c>
      <c r="L818" s="552"/>
      <c r="M818" s="552"/>
      <c r="N818" s="552">
        <v>200</v>
      </c>
      <c r="O818" s="552"/>
      <c r="P818" s="552"/>
      <c r="Q818" s="552"/>
      <c r="R818" s="552"/>
      <c r="S818" s="552"/>
      <c r="T818" s="552"/>
      <c r="U818" s="552"/>
      <c r="V818" s="552">
        <v>1</v>
      </c>
      <c r="W818" s="552"/>
      <c r="X818" s="552">
        <v>10</v>
      </c>
      <c r="Y818" s="552"/>
      <c r="Z818" s="552"/>
      <c r="AA818" s="552"/>
      <c r="AB818" s="552"/>
      <c r="AC818" s="552"/>
      <c r="AD818" s="552">
        <v>50</v>
      </c>
      <c r="AE818" s="552"/>
      <c r="AF818" s="552"/>
      <c r="AG818" s="552"/>
      <c r="AH818" s="552"/>
      <c r="AI818" s="552"/>
      <c r="AJ818" s="552"/>
      <c r="AK818" s="552"/>
      <c r="AL818" s="552"/>
      <c r="AM818" s="552"/>
      <c r="AN818" s="552"/>
      <c r="AO818" s="717" t="s">
        <v>7941</v>
      </c>
      <c r="AP818" s="552"/>
      <c r="AQ818" s="552" t="s">
        <v>1186</v>
      </c>
      <c r="AR818" s="552" t="s">
        <v>6697</v>
      </c>
      <c r="AS818" s="552" t="s">
        <v>6881</v>
      </c>
      <c r="AT818" s="552" t="s">
        <v>726</v>
      </c>
    </row>
    <row r="819" spans="1:46" ht="14.7" customHeight="1">
      <c r="A819" s="706" t="s">
        <v>6433</v>
      </c>
      <c r="B819" s="540" t="s">
        <v>3695</v>
      </c>
      <c r="C819" s="539" t="s">
        <v>7753</v>
      </c>
      <c r="D819" s="709" t="s">
        <v>7942</v>
      </c>
      <c r="E819" s="552" t="s">
        <v>7923</v>
      </c>
      <c r="F819" s="552"/>
      <c r="G819" s="552" t="s">
        <v>7943</v>
      </c>
      <c r="H819" s="552"/>
      <c r="I819" s="552"/>
      <c r="J819" s="552"/>
      <c r="K819" s="552"/>
      <c r="L819" s="552"/>
      <c r="M819" s="552"/>
      <c r="N819" s="552"/>
      <c r="O819" s="552"/>
      <c r="P819" s="552"/>
      <c r="Q819" s="552"/>
      <c r="R819" s="552"/>
      <c r="S819" s="552"/>
      <c r="T819" s="552"/>
      <c r="U819" s="552"/>
      <c r="V819" s="552"/>
      <c r="W819" s="552"/>
      <c r="X819" s="552">
        <v>2</v>
      </c>
      <c r="Y819" s="552"/>
      <c r="Z819" s="552"/>
      <c r="AA819" s="552"/>
      <c r="AB819" s="552"/>
      <c r="AC819" s="552"/>
      <c r="AD819" s="552"/>
      <c r="AE819" s="552"/>
      <c r="AF819" s="552"/>
      <c r="AG819" s="552"/>
      <c r="AH819" s="552">
        <v>10</v>
      </c>
      <c r="AI819" s="552"/>
      <c r="AJ819" s="552"/>
      <c r="AK819" s="552"/>
      <c r="AL819" s="552"/>
      <c r="AM819" s="552"/>
      <c r="AN819" s="552"/>
      <c r="AO819" s="552"/>
      <c r="AP819" s="552"/>
      <c r="AQ819" s="552" t="s">
        <v>1186</v>
      </c>
      <c r="AR819" s="552" t="s">
        <v>2802</v>
      </c>
      <c r="AS819" s="552" t="s">
        <v>6881</v>
      </c>
      <c r="AT819" s="552" t="s">
        <v>726</v>
      </c>
    </row>
    <row r="820" spans="1:46" ht="14.7" customHeight="1">
      <c r="A820" s="706" t="s">
        <v>6434</v>
      </c>
      <c r="B820" s="540" t="s">
        <v>3695</v>
      </c>
      <c r="C820" s="539" t="s">
        <v>7753</v>
      </c>
      <c r="D820" s="709" t="s">
        <v>7944</v>
      </c>
      <c r="E820" s="552" t="s">
        <v>7926</v>
      </c>
      <c r="F820" s="552"/>
      <c r="G820" s="552" t="s">
        <v>7943</v>
      </c>
      <c r="H820" s="552"/>
      <c r="I820" s="552"/>
      <c r="J820" s="552"/>
      <c r="K820" s="552"/>
      <c r="L820" s="552"/>
      <c r="M820" s="552"/>
      <c r="N820" s="552"/>
      <c r="O820" s="552"/>
      <c r="P820" s="552">
        <v>2</v>
      </c>
      <c r="Q820" s="552"/>
      <c r="R820" s="552"/>
      <c r="S820" s="552"/>
      <c r="T820" s="552"/>
      <c r="U820" s="552"/>
      <c r="V820" s="552"/>
      <c r="W820" s="552"/>
      <c r="X820" s="552">
        <v>1</v>
      </c>
      <c r="Y820" s="552"/>
      <c r="Z820" s="552"/>
      <c r="AA820" s="552"/>
      <c r="AB820" s="552"/>
      <c r="AC820" s="552"/>
      <c r="AD820" s="552"/>
      <c r="AE820" s="552"/>
      <c r="AF820" s="552"/>
      <c r="AG820" s="552"/>
      <c r="AH820" s="552"/>
      <c r="AI820" s="552"/>
      <c r="AJ820" s="552"/>
      <c r="AK820" s="552"/>
      <c r="AL820" s="552"/>
      <c r="AM820" s="552"/>
      <c r="AN820" s="552"/>
      <c r="AO820" s="552"/>
      <c r="AP820" s="552"/>
      <c r="AQ820" s="552" t="s">
        <v>1186</v>
      </c>
      <c r="AR820" s="552" t="s">
        <v>2802</v>
      </c>
      <c r="AS820" s="552" t="s">
        <v>6881</v>
      </c>
      <c r="AT820" s="552" t="s">
        <v>726</v>
      </c>
    </row>
    <row r="821" spans="1:46" ht="14.7" customHeight="1">
      <c r="A821" s="706" t="s">
        <v>6435</v>
      </c>
      <c r="B821" s="707" t="s">
        <v>3696</v>
      </c>
      <c r="C821" s="539" t="s">
        <v>7753</v>
      </c>
      <c r="D821" s="709" t="s">
        <v>7945</v>
      </c>
      <c r="E821" s="552" t="s">
        <v>7923</v>
      </c>
      <c r="F821" s="552"/>
      <c r="G821" s="552" t="s">
        <v>7943</v>
      </c>
      <c r="H821" s="552"/>
      <c r="I821" s="552"/>
      <c r="J821" s="552"/>
      <c r="K821" s="552"/>
      <c r="L821" s="552"/>
      <c r="M821" s="552"/>
      <c r="N821" s="552"/>
      <c r="O821" s="552"/>
      <c r="P821" s="552"/>
      <c r="Q821" s="552"/>
      <c r="R821" s="552"/>
      <c r="S821" s="552"/>
      <c r="T821" s="552"/>
      <c r="U821" s="552"/>
      <c r="V821" s="552"/>
      <c r="W821" s="552"/>
      <c r="X821" s="552">
        <v>2</v>
      </c>
      <c r="Y821" s="552">
        <v>1</v>
      </c>
      <c r="Z821" s="552"/>
      <c r="AA821" s="552"/>
      <c r="AB821" s="552"/>
      <c r="AC821" s="552"/>
      <c r="AD821" s="552"/>
      <c r="AE821" s="552"/>
      <c r="AF821" s="552"/>
      <c r="AG821" s="552"/>
      <c r="AH821" s="552"/>
      <c r="AI821" s="552">
        <v>10</v>
      </c>
      <c r="AJ821" s="552"/>
      <c r="AK821" s="552"/>
      <c r="AL821" s="552"/>
      <c r="AM821" s="552"/>
      <c r="AN821" s="552"/>
      <c r="AO821" s="552"/>
      <c r="AP821" s="552"/>
      <c r="AQ821" s="552" t="s">
        <v>1186</v>
      </c>
      <c r="AR821" s="552" t="s">
        <v>2805</v>
      </c>
      <c r="AS821" s="552" t="s">
        <v>6881</v>
      </c>
      <c r="AT821" s="552" t="s">
        <v>726</v>
      </c>
    </row>
    <row r="822" spans="1:46" ht="14.7" customHeight="1">
      <c r="A822" s="706"/>
      <c r="B822" s="707" t="s">
        <v>3696</v>
      </c>
      <c r="C822" s="539" t="s">
        <v>7753</v>
      </c>
      <c r="D822" s="709"/>
      <c r="E822" s="552"/>
      <c r="F822" s="552"/>
      <c r="G822" s="552"/>
      <c r="H822" s="552"/>
      <c r="I822" s="552"/>
      <c r="J822" s="552"/>
      <c r="K822" s="552"/>
      <c r="L822" s="552"/>
      <c r="M822" s="552"/>
      <c r="N822" s="552"/>
      <c r="O822" s="552"/>
      <c r="P822" s="552"/>
      <c r="Q822" s="552"/>
      <c r="R822" s="552"/>
      <c r="S822" s="552"/>
      <c r="T822" s="552"/>
      <c r="U822" s="552"/>
      <c r="V822" s="552"/>
      <c r="W822" s="552"/>
      <c r="X822" s="552"/>
      <c r="Y822" s="552"/>
      <c r="Z822" s="552"/>
      <c r="AA822" s="552"/>
      <c r="AB822" s="552"/>
      <c r="AC822" s="552"/>
      <c r="AD822" s="552"/>
      <c r="AE822" s="552"/>
      <c r="AF822" s="552"/>
      <c r="AG822" s="552"/>
      <c r="AH822" s="552"/>
      <c r="AI822" s="552"/>
      <c r="AJ822" s="552"/>
      <c r="AK822" s="552"/>
      <c r="AL822" s="552"/>
      <c r="AM822" s="552"/>
      <c r="AN822" s="552"/>
      <c r="AO822" s="552"/>
      <c r="AP822" s="552"/>
      <c r="AQ822" s="552" t="s">
        <v>1186</v>
      </c>
      <c r="AR822" s="552" t="s">
        <v>2805</v>
      </c>
      <c r="AS822" s="552" t="s">
        <v>6881</v>
      </c>
      <c r="AT822" s="552" t="s">
        <v>726</v>
      </c>
    </row>
    <row r="823" spans="1:46" ht="14.7" customHeight="1">
      <c r="A823" s="706" t="s">
        <v>6436</v>
      </c>
      <c r="B823" s="556" t="s">
        <v>3697</v>
      </c>
      <c r="C823" s="539" t="s">
        <v>7753</v>
      </c>
      <c r="D823" s="709" t="s">
        <v>7946</v>
      </c>
      <c r="E823" s="552" t="s">
        <v>7923</v>
      </c>
      <c r="F823" s="552"/>
      <c r="G823" s="552" t="s">
        <v>7943</v>
      </c>
      <c r="H823" s="552"/>
      <c r="I823" s="552"/>
      <c r="J823" s="552"/>
      <c r="K823" s="552"/>
      <c r="L823" s="552"/>
      <c r="M823" s="552"/>
      <c r="N823" s="552"/>
      <c r="O823" s="552"/>
      <c r="P823" s="552">
        <v>2</v>
      </c>
      <c r="Q823" s="552">
        <v>-2</v>
      </c>
      <c r="R823" s="552"/>
      <c r="S823" s="552"/>
      <c r="T823" s="552"/>
      <c r="U823" s="552"/>
      <c r="V823" s="552"/>
      <c r="W823" s="552"/>
      <c r="X823" s="552">
        <v>5</v>
      </c>
      <c r="Y823" s="552"/>
      <c r="Z823" s="552"/>
      <c r="AA823" s="552"/>
      <c r="AB823" s="552"/>
      <c r="AC823" s="552"/>
      <c r="AD823" s="552"/>
      <c r="AE823" s="552"/>
      <c r="AF823" s="552"/>
      <c r="AG823" s="552"/>
      <c r="AH823" s="552">
        <v>-20</v>
      </c>
      <c r="AI823" s="552">
        <v>20</v>
      </c>
      <c r="AJ823" s="552"/>
      <c r="AK823" s="552"/>
      <c r="AL823" s="552"/>
      <c r="AM823" s="552"/>
      <c r="AN823" s="552"/>
      <c r="AO823" s="552"/>
      <c r="AP823" s="552"/>
      <c r="AQ823" s="552" t="s">
        <v>1186</v>
      </c>
      <c r="AR823" s="552" t="s">
        <v>2875</v>
      </c>
      <c r="AS823" s="552" t="s">
        <v>6881</v>
      </c>
      <c r="AT823" s="552" t="s">
        <v>726</v>
      </c>
    </row>
    <row r="824" spans="1:46" ht="14.7" customHeight="1">
      <c r="A824" s="706" t="s">
        <v>6437</v>
      </c>
      <c r="B824" s="556" t="s">
        <v>3697</v>
      </c>
      <c r="C824" s="539" t="s">
        <v>7753</v>
      </c>
      <c r="D824" s="709" t="s">
        <v>7947</v>
      </c>
      <c r="E824" s="552" t="s">
        <v>7926</v>
      </c>
      <c r="F824" s="552"/>
      <c r="G824" s="552" t="s">
        <v>7943</v>
      </c>
      <c r="H824" s="552"/>
      <c r="I824" s="552"/>
      <c r="J824" s="552"/>
      <c r="K824" s="552"/>
      <c r="L824" s="552"/>
      <c r="M824" s="552"/>
      <c r="N824" s="552">
        <v>50</v>
      </c>
      <c r="O824" s="552"/>
      <c r="P824" s="552"/>
      <c r="Q824" s="552">
        <v>-3</v>
      </c>
      <c r="R824" s="552"/>
      <c r="S824" s="552">
        <v>-2</v>
      </c>
      <c r="T824" s="552"/>
      <c r="U824" s="552"/>
      <c r="V824" s="552"/>
      <c r="W824" s="552"/>
      <c r="X824" s="552">
        <v>5</v>
      </c>
      <c r="Y824" s="552"/>
      <c r="Z824" s="552"/>
      <c r="AA824" s="552"/>
      <c r="AB824" s="552"/>
      <c r="AC824" s="552"/>
      <c r="AD824" s="552"/>
      <c r="AE824" s="552"/>
      <c r="AF824" s="552"/>
      <c r="AG824" s="552"/>
      <c r="AH824" s="552">
        <v>-20</v>
      </c>
      <c r="AI824" s="552">
        <v>30</v>
      </c>
      <c r="AJ824" s="552"/>
      <c r="AK824" s="552"/>
      <c r="AL824" s="552"/>
      <c r="AM824" s="552"/>
      <c r="AN824" s="552"/>
      <c r="AO824" s="552"/>
      <c r="AP824" s="552"/>
      <c r="AQ824" s="552" t="s">
        <v>1186</v>
      </c>
      <c r="AR824" s="552" t="s">
        <v>2875</v>
      </c>
      <c r="AS824" s="552" t="s">
        <v>6881</v>
      </c>
      <c r="AT824" s="552" t="s">
        <v>726</v>
      </c>
    </row>
    <row r="825" spans="1:46" ht="14.7" customHeight="1">
      <c r="A825" s="706"/>
      <c r="B825" s="556" t="s">
        <v>3697</v>
      </c>
      <c r="C825" s="539" t="s">
        <v>7753</v>
      </c>
      <c r="D825" s="709"/>
      <c r="E825" s="552"/>
      <c r="F825" s="552"/>
      <c r="G825" s="552"/>
      <c r="H825" s="552"/>
      <c r="I825" s="552"/>
      <c r="J825" s="552"/>
      <c r="K825" s="552"/>
      <c r="L825" s="552"/>
      <c r="M825" s="552"/>
      <c r="N825" s="552"/>
      <c r="O825" s="552"/>
      <c r="P825" s="552"/>
      <c r="Q825" s="552"/>
      <c r="R825" s="552"/>
      <c r="S825" s="552"/>
      <c r="T825" s="552"/>
      <c r="U825" s="552"/>
      <c r="V825" s="552"/>
      <c r="W825" s="552"/>
      <c r="X825" s="552"/>
      <c r="Y825" s="552"/>
      <c r="Z825" s="552"/>
      <c r="AA825" s="552"/>
      <c r="AB825" s="552"/>
      <c r="AC825" s="552"/>
      <c r="AD825" s="552"/>
      <c r="AE825" s="552"/>
      <c r="AF825" s="552"/>
      <c r="AG825" s="552"/>
      <c r="AH825" s="552"/>
      <c r="AI825" s="552"/>
      <c r="AJ825" s="552"/>
      <c r="AK825" s="552"/>
      <c r="AL825" s="552"/>
      <c r="AM825" s="552"/>
      <c r="AN825" s="552"/>
      <c r="AO825" s="552"/>
      <c r="AP825" s="552"/>
      <c r="AQ825" s="552" t="s">
        <v>1186</v>
      </c>
      <c r="AR825" s="552" t="s">
        <v>2875</v>
      </c>
      <c r="AS825" s="552" t="s">
        <v>6881</v>
      </c>
      <c r="AT825" s="552" t="s">
        <v>726</v>
      </c>
    </row>
    <row r="826" spans="1:46" ht="14.7" customHeight="1">
      <c r="A826" s="706" t="s">
        <v>9096</v>
      </c>
      <c r="B826" s="557" t="s">
        <v>3698</v>
      </c>
      <c r="C826" s="539" t="s">
        <v>7753</v>
      </c>
      <c r="D826" s="552" t="s">
        <v>7948</v>
      </c>
      <c r="E826" s="552" t="s">
        <v>7923</v>
      </c>
      <c r="F826" s="552"/>
      <c r="G826" s="552" t="s">
        <v>7943</v>
      </c>
      <c r="H826" s="552"/>
      <c r="I826" s="552"/>
      <c r="J826" s="552"/>
      <c r="K826" s="552"/>
      <c r="L826" s="552"/>
      <c r="M826" s="552"/>
      <c r="N826" s="552">
        <v>40</v>
      </c>
      <c r="O826" s="552"/>
      <c r="P826" s="552"/>
      <c r="Q826" s="552"/>
      <c r="R826" s="552"/>
      <c r="S826" s="552"/>
      <c r="T826" s="552"/>
      <c r="U826" s="552"/>
      <c r="V826" s="552"/>
      <c r="W826" s="552"/>
      <c r="X826" s="552">
        <v>3</v>
      </c>
      <c r="Y826" s="552">
        <v>1</v>
      </c>
      <c r="Z826" s="552"/>
      <c r="AA826" s="552"/>
      <c r="AB826" s="552"/>
      <c r="AC826" s="552"/>
      <c r="AD826" s="552"/>
      <c r="AE826" s="552"/>
      <c r="AF826" s="552"/>
      <c r="AG826" s="552"/>
      <c r="AH826" s="552"/>
      <c r="AI826" s="552">
        <v>20</v>
      </c>
      <c r="AJ826" s="552"/>
      <c r="AK826" s="552"/>
      <c r="AL826" s="552">
        <v>10</v>
      </c>
      <c r="AM826" s="552"/>
      <c r="AN826" s="552"/>
      <c r="AO826" s="552"/>
      <c r="AP826" s="552"/>
      <c r="AQ826" s="552" t="s">
        <v>1186</v>
      </c>
      <c r="AR826" s="552" t="s">
        <v>2998</v>
      </c>
      <c r="AS826" s="552" t="s">
        <v>6881</v>
      </c>
      <c r="AT826" s="552" t="s">
        <v>726</v>
      </c>
    </row>
    <row r="827" spans="1:46" ht="14.7" customHeight="1">
      <c r="A827" s="706" t="s">
        <v>6438</v>
      </c>
      <c r="B827" s="557" t="s">
        <v>3698</v>
      </c>
      <c r="C827" s="539" t="s">
        <v>7753</v>
      </c>
      <c r="D827" s="552" t="s">
        <v>7949</v>
      </c>
      <c r="E827" s="552" t="s">
        <v>7926</v>
      </c>
      <c r="F827" s="552"/>
      <c r="G827" s="552" t="s">
        <v>7943</v>
      </c>
      <c r="H827" s="552"/>
      <c r="I827" s="552"/>
      <c r="J827" s="552"/>
      <c r="K827" s="552"/>
      <c r="L827" s="552"/>
      <c r="M827" s="552"/>
      <c r="N827" s="552">
        <v>40</v>
      </c>
      <c r="O827" s="552"/>
      <c r="P827" s="552">
        <v>2</v>
      </c>
      <c r="Q827" s="552"/>
      <c r="R827" s="552"/>
      <c r="S827" s="552">
        <v>-1</v>
      </c>
      <c r="T827" s="552"/>
      <c r="U827" s="552"/>
      <c r="V827" s="552"/>
      <c r="W827" s="552"/>
      <c r="X827" s="552">
        <v>4</v>
      </c>
      <c r="Y827" s="552"/>
      <c r="Z827" s="552"/>
      <c r="AA827" s="552"/>
      <c r="AB827" s="552"/>
      <c r="AC827" s="552"/>
      <c r="AD827" s="552"/>
      <c r="AE827" s="552"/>
      <c r="AF827" s="552"/>
      <c r="AG827" s="552"/>
      <c r="AH827" s="552"/>
      <c r="AI827" s="552"/>
      <c r="AJ827" s="552"/>
      <c r="AK827" s="552"/>
      <c r="AL827" s="552"/>
      <c r="AM827" s="552"/>
      <c r="AN827" s="552"/>
      <c r="AO827" s="717" t="s">
        <v>7950</v>
      </c>
      <c r="AP827" s="552"/>
      <c r="AQ827" s="552" t="s">
        <v>1186</v>
      </c>
      <c r="AR827" s="552" t="s">
        <v>2998</v>
      </c>
      <c r="AS827" s="552" t="s">
        <v>6881</v>
      </c>
      <c r="AT827" s="552" t="s">
        <v>726</v>
      </c>
    </row>
    <row r="828" spans="1:46" ht="14.7" customHeight="1">
      <c r="A828" s="706" t="s">
        <v>6439</v>
      </c>
      <c r="B828" s="557" t="s">
        <v>3698</v>
      </c>
      <c r="C828" s="539" t="s">
        <v>7753</v>
      </c>
      <c r="D828" s="552" t="s">
        <v>7951</v>
      </c>
      <c r="E828" s="552" t="s">
        <v>7926</v>
      </c>
      <c r="F828" s="552"/>
      <c r="G828" s="552" t="s">
        <v>7943</v>
      </c>
      <c r="H828" s="552"/>
      <c r="I828" s="552"/>
      <c r="J828" s="552"/>
      <c r="K828" s="552"/>
      <c r="L828" s="552"/>
      <c r="M828" s="552"/>
      <c r="N828" s="552">
        <v>20</v>
      </c>
      <c r="O828" s="552"/>
      <c r="P828" s="552"/>
      <c r="Q828" s="552"/>
      <c r="R828" s="552"/>
      <c r="S828" s="552">
        <v>-1</v>
      </c>
      <c r="T828" s="552">
        <v>2</v>
      </c>
      <c r="U828" s="552"/>
      <c r="V828" s="552"/>
      <c r="W828" s="552"/>
      <c r="X828" s="552">
        <v>2</v>
      </c>
      <c r="Y828" s="552"/>
      <c r="Z828" s="552"/>
      <c r="AA828" s="552"/>
      <c r="AB828" s="552"/>
      <c r="AC828" s="552"/>
      <c r="AD828" s="552"/>
      <c r="AE828" s="552"/>
      <c r="AF828" s="552">
        <v>20</v>
      </c>
      <c r="AG828" s="552"/>
      <c r="AH828" s="552"/>
      <c r="AI828" s="552"/>
      <c r="AJ828" s="552"/>
      <c r="AK828" s="552"/>
      <c r="AL828" s="552"/>
      <c r="AM828" s="552"/>
      <c r="AN828" s="552"/>
      <c r="AO828" s="552"/>
      <c r="AP828" s="552"/>
      <c r="AQ828" s="552" t="s">
        <v>1186</v>
      </c>
      <c r="AR828" s="552" t="s">
        <v>2998</v>
      </c>
      <c r="AS828" s="552" t="s">
        <v>6881</v>
      </c>
      <c r="AT828" s="552" t="s">
        <v>726</v>
      </c>
    </row>
    <row r="829" spans="1:46" ht="14.7" customHeight="1">
      <c r="A829" s="706"/>
      <c r="B829" s="557" t="s">
        <v>3698</v>
      </c>
      <c r="C829" s="539" t="s">
        <v>7753</v>
      </c>
      <c r="D829" s="552"/>
      <c r="E829" s="552"/>
      <c r="F829" s="552"/>
      <c r="G829" s="552"/>
      <c r="H829" s="552"/>
      <c r="I829" s="552"/>
      <c r="J829" s="552"/>
      <c r="K829" s="552"/>
      <c r="L829" s="552"/>
      <c r="M829" s="552"/>
      <c r="N829" s="552"/>
      <c r="O829" s="552"/>
      <c r="P829" s="552"/>
      <c r="Q829" s="552"/>
      <c r="R829" s="552"/>
      <c r="S829" s="552"/>
      <c r="T829" s="552"/>
      <c r="U829" s="552"/>
      <c r="V829" s="552"/>
      <c r="W829" s="552"/>
      <c r="X829" s="552"/>
      <c r="Y829" s="552"/>
      <c r="Z829" s="552"/>
      <c r="AA829" s="552"/>
      <c r="AB829" s="552"/>
      <c r="AC829" s="552"/>
      <c r="AD829" s="552"/>
      <c r="AE829" s="552"/>
      <c r="AF829" s="552"/>
      <c r="AG829" s="552"/>
      <c r="AH829" s="552"/>
      <c r="AI829" s="552"/>
      <c r="AJ829" s="552"/>
      <c r="AK829" s="552"/>
      <c r="AL829" s="552"/>
      <c r="AM829" s="552"/>
      <c r="AN829" s="552"/>
      <c r="AO829" s="552"/>
      <c r="AP829" s="552"/>
      <c r="AQ829" s="552" t="s">
        <v>1186</v>
      </c>
      <c r="AR829" s="552" t="s">
        <v>2998</v>
      </c>
      <c r="AS829" s="552" t="s">
        <v>6881</v>
      </c>
      <c r="AT829" s="552" t="s">
        <v>726</v>
      </c>
    </row>
    <row r="830" spans="1:46" ht="14.7" customHeight="1">
      <c r="A830" s="706" t="s">
        <v>6440</v>
      </c>
      <c r="B830" s="344" t="s">
        <v>3699</v>
      </c>
      <c r="C830" s="539" t="s">
        <v>7753</v>
      </c>
      <c r="D830" s="552" t="s">
        <v>7952</v>
      </c>
      <c r="E830" s="552" t="s">
        <v>7923</v>
      </c>
      <c r="F830" s="552"/>
      <c r="G830" s="552" t="s">
        <v>7943</v>
      </c>
      <c r="H830" s="552"/>
      <c r="I830" s="552"/>
      <c r="J830" s="552"/>
      <c r="K830" s="552"/>
      <c r="L830" s="552"/>
      <c r="M830" s="552"/>
      <c r="N830" s="552">
        <v>40</v>
      </c>
      <c r="O830" s="552"/>
      <c r="P830" s="552"/>
      <c r="Q830" s="552"/>
      <c r="R830" s="552"/>
      <c r="S830" s="552"/>
      <c r="T830" s="552"/>
      <c r="U830" s="552"/>
      <c r="V830" s="552"/>
      <c r="W830" s="552"/>
      <c r="X830" s="552">
        <v>4</v>
      </c>
      <c r="Y830" s="552">
        <v>4</v>
      </c>
      <c r="Z830" s="552"/>
      <c r="AA830" s="552"/>
      <c r="AB830" s="552"/>
      <c r="AC830" s="552"/>
      <c r="AD830" s="552"/>
      <c r="AE830" s="552"/>
      <c r="AF830" s="552"/>
      <c r="AG830" s="552"/>
      <c r="AH830" s="552"/>
      <c r="AI830" s="552"/>
      <c r="AJ830" s="552"/>
      <c r="AK830" s="552"/>
      <c r="AL830" s="552"/>
      <c r="AM830" s="552"/>
      <c r="AN830" s="552"/>
      <c r="AO830" s="717" t="s">
        <v>7953</v>
      </c>
      <c r="AP830" s="552"/>
      <c r="AQ830" s="552" t="s">
        <v>1186</v>
      </c>
      <c r="AR830" s="552" t="s">
        <v>2809</v>
      </c>
      <c r="AS830" s="552" t="s">
        <v>6881</v>
      </c>
      <c r="AT830" s="552" t="s">
        <v>726</v>
      </c>
    </row>
    <row r="831" spans="1:46" ht="14.7" customHeight="1">
      <c r="A831" s="706" t="s">
        <v>7954</v>
      </c>
      <c r="B831" s="344" t="s">
        <v>3699</v>
      </c>
      <c r="C831" s="539" t="s">
        <v>7753</v>
      </c>
      <c r="D831" s="552" t="s">
        <v>7955</v>
      </c>
      <c r="E831" s="552" t="s">
        <v>7923</v>
      </c>
      <c r="F831" s="552"/>
      <c r="G831" s="552" t="s">
        <v>7943</v>
      </c>
      <c r="H831" s="552"/>
      <c r="I831" s="552"/>
      <c r="J831" s="552"/>
      <c r="K831" s="552"/>
      <c r="L831" s="552"/>
      <c r="M831" s="552"/>
      <c r="N831" s="552"/>
      <c r="O831" s="552"/>
      <c r="P831" s="552"/>
      <c r="Q831" s="552"/>
      <c r="R831" s="552"/>
      <c r="S831" s="552"/>
      <c r="T831" s="552"/>
      <c r="U831" s="552"/>
      <c r="V831" s="552"/>
      <c r="W831" s="552"/>
      <c r="X831" s="552">
        <v>5</v>
      </c>
      <c r="Y831" s="552"/>
      <c r="Z831" s="552"/>
      <c r="AA831" s="552"/>
      <c r="AB831" s="552"/>
      <c r="AC831" s="552"/>
      <c r="AD831" s="552"/>
      <c r="AE831" s="552"/>
      <c r="AF831" s="552"/>
      <c r="AG831" s="552"/>
      <c r="AH831" s="552"/>
      <c r="AI831" s="552"/>
      <c r="AJ831" s="552"/>
      <c r="AK831" s="552"/>
      <c r="AL831" s="552"/>
      <c r="AM831" s="552"/>
      <c r="AN831" s="552"/>
      <c r="AO831" s="717" t="s">
        <v>7956</v>
      </c>
      <c r="AP831" s="552"/>
      <c r="AQ831" s="552" t="s">
        <v>1186</v>
      </c>
      <c r="AR831" s="552" t="s">
        <v>2809</v>
      </c>
      <c r="AS831" s="552" t="s">
        <v>6881</v>
      </c>
      <c r="AT831" s="552" t="s">
        <v>726</v>
      </c>
    </row>
    <row r="832" spans="1:46" ht="14.7" customHeight="1">
      <c r="A832" s="706" t="s">
        <v>6441</v>
      </c>
      <c r="B832" s="344" t="s">
        <v>3699</v>
      </c>
      <c r="C832" s="539" t="s">
        <v>7753</v>
      </c>
      <c r="D832" s="552" t="s">
        <v>7957</v>
      </c>
      <c r="E832" s="552" t="s">
        <v>7926</v>
      </c>
      <c r="F832" s="552"/>
      <c r="G832" s="552" t="s">
        <v>7943</v>
      </c>
      <c r="H832" s="552"/>
      <c r="I832" s="552"/>
      <c r="J832" s="552"/>
      <c r="K832" s="552"/>
      <c r="L832" s="552"/>
      <c r="M832" s="552"/>
      <c r="N832" s="552">
        <v>150</v>
      </c>
      <c r="O832" s="552"/>
      <c r="P832" s="552">
        <v>5</v>
      </c>
      <c r="Q832" s="552"/>
      <c r="R832" s="552"/>
      <c r="S832" s="552">
        <v>-2</v>
      </c>
      <c r="T832" s="552"/>
      <c r="U832" s="552"/>
      <c r="V832" s="552"/>
      <c r="W832" s="552"/>
      <c r="X832" s="552">
        <v>5</v>
      </c>
      <c r="Y832" s="552"/>
      <c r="Z832" s="552"/>
      <c r="AA832" s="552"/>
      <c r="AB832" s="552"/>
      <c r="AC832" s="552"/>
      <c r="AD832" s="552"/>
      <c r="AE832" s="552"/>
      <c r="AF832" s="552"/>
      <c r="AG832" s="552"/>
      <c r="AH832" s="552"/>
      <c r="AI832" s="552"/>
      <c r="AJ832" s="552"/>
      <c r="AK832" s="552"/>
      <c r="AL832" s="552"/>
      <c r="AM832" s="552"/>
      <c r="AN832" s="552"/>
      <c r="AO832" s="552"/>
      <c r="AP832" s="552"/>
      <c r="AQ832" s="552" t="s">
        <v>1186</v>
      </c>
      <c r="AR832" s="552" t="s">
        <v>2809</v>
      </c>
      <c r="AS832" s="552" t="s">
        <v>6881</v>
      </c>
      <c r="AT832" s="552" t="s">
        <v>726</v>
      </c>
    </row>
    <row r="833" spans="1:46" ht="14.7" customHeight="1">
      <c r="A833" s="706" t="s">
        <v>9097</v>
      </c>
      <c r="B833" s="344" t="s">
        <v>3699</v>
      </c>
      <c r="C833" s="539" t="s">
        <v>7753</v>
      </c>
      <c r="D833" s="552" t="s">
        <v>7958</v>
      </c>
      <c r="E833" s="552" t="s">
        <v>7923</v>
      </c>
      <c r="F833" s="552"/>
      <c r="G833" s="552" t="s">
        <v>7943</v>
      </c>
      <c r="H833" s="552"/>
      <c r="I833" s="552"/>
      <c r="J833" s="552"/>
      <c r="K833" s="552"/>
      <c r="L833" s="552"/>
      <c r="M833" s="552"/>
      <c r="N833" s="552"/>
      <c r="O833" s="552"/>
      <c r="P833" s="552"/>
      <c r="Q833" s="552"/>
      <c r="R833" s="552"/>
      <c r="S833" s="552"/>
      <c r="T833" s="552"/>
      <c r="U833" s="552"/>
      <c r="V833" s="552"/>
      <c r="W833" s="552"/>
      <c r="X833" s="552">
        <v>4</v>
      </c>
      <c r="Y833" s="552">
        <v>8</v>
      </c>
      <c r="Z833" s="552"/>
      <c r="AA833" s="552"/>
      <c r="AB833" s="552">
        <v>10</v>
      </c>
      <c r="AC833" s="552">
        <v>10</v>
      </c>
      <c r="AD833" s="552">
        <v>10</v>
      </c>
      <c r="AE833" s="552">
        <v>10</v>
      </c>
      <c r="AF833" s="552">
        <v>10</v>
      </c>
      <c r="AG833" s="552">
        <v>10</v>
      </c>
      <c r="AH833" s="552">
        <v>10</v>
      </c>
      <c r="AI833" s="552">
        <v>10</v>
      </c>
      <c r="AJ833" s="552">
        <v>10</v>
      </c>
      <c r="AK833" s="552"/>
      <c r="AL833" s="552">
        <v>10</v>
      </c>
      <c r="AM833" s="552"/>
      <c r="AN833" s="552"/>
      <c r="AO833" s="552"/>
      <c r="AP833" s="717" t="s">
        <v>7959</v>
      </c>
      <c r="AQ833" s="552" t="s">
        <v>1186</v>
      </c>
      <c r="AR833" s="552" t="s">
        <v>2809</v>
      </c>
      <c r="AS833" s="552" t="s">
        <v>6881</v>
      </c>
      <c r="AT833" s="552" t="s">
        <v>726</v>
      </c>
    </row>
    <row r="834" spans="1:46" ht="14.7" customHeight="1">
      <c r="A834" s="706"/>
      <c r="B834" s="344" t="s">
        <v>3699</v>
      </c>
      <c r="C834" s="539" t="s">
        <v>7753</v>
      </c>
      <c r="D834" s="552"/>
      <c r="E834" s="552"/>
      <c r="F834" s="552"/>
      <c r="G834" s="552"/>
      <c r="H834" s="552"/>
      <c r="I834" s="552"/>
      <c r="J834" s="552"/>
      <c r="K834" s="552"/>
      <c r="L834" s="552"/>
      <c r="M834" s="552"/>
      <c r="N834" s="552"/>
      <c r="O834" s="552"/>
      <c r="P834" s="552"/>
      <c r="Q834" s="552"/>
      <c r="R834" s="552"/>
      <c r="S834" s="552"/>
      <c r="T834" s="552"/>
      <c r="U834" s="552"/>
      <c r="V834" s="552"/>
      <c r="W834" s="552"/>
      <c r="X834" s="552"/>
      <c r="Y834" s="552"/>
      <c r="Z834" s="552"/>
      <c r="AA834" s="552"/>
      <c r="AB834" s="552"/>
      <c r="AC834" s="552"/>
      <c r="AD834" s="552"/>
      <c r="AE834" s="552"/>
      <c r="AF834" s="552"/>
      <c r="AG834" s="552"/>
      <c r="AH834" s="552"/>
      <c r="AI834" s="552"/>
      <c r="AJ834" s="552"/>
      <c r="AK834" s="552"/>
      <c r="AL834" s="552"/>
      <c r="AM834" s="552"/>
      <c r="AN834" s="552"/>
      <c r="AO834" s="552"/>
      <c r="AP834" s="552"/>
      <c r="AQ834" s="552" t="s">
        <v>1186</v>
      </c>
      <c r="AR834" s="552" t="s">
        <v>2809</v>
      </c>
      <c r="AS834" s="552" t="s">
        <v>6881</v>
      </c>
      <c r="AT834" s="552" t="s">
        <v>726</v>
      </c>
    </row>
    <row r="835" spans="1:46" ht="14.7" customHeight="1">
      <c r="A835" s="706" t="s">
        <v>6442</v>
      </c>
      <c r="B835" s="559" t="s">
        <v>3700</v>
      </c>
      <c r="C835" s="539" t="s">
        <v>7753</v>
      </c>
      <c r="D835" s="552" t="s">
        <v>7960</v>
      </c>
      <c r="E835" s="552" t="s">
        <v>7923</v>
      </c>
      <c r="F835" s="552"/>
      <c r="G835" s="552" t="s">
        <v>7943</v>
      </c>
      <c r="H835" s="552"/>
      <c r="I835" s="552"/>
      <c r="J835" s="552"/>
      <c r="K835" s="552"/>
      <c r="L835" s="552"/>
      <c r="M835" s="552"/>
      <c r="N835" s="552">
        <v>100</v>
      </c>
      <c r="O835" s="552"/>
      <c r="P835" s="552"/>
      <c r="Q835" s="552"/>
      <c r="R835" s="552"/>
      <c r="S835" s="552"/>
      <c r="T835" s="552"/>
      <c r="U835" s="552"/>
      <c r="V835" s="552"/>
      <c r="W835" s="552"/>
      <c r="X835" s="552">
        <v>5</v>
      </c>
      <c r="Y835" s="552">
        <v>5</v>
      </c>
      <c r="Z835" s="552"/>
      <c r="AA835" s="552"/>
      <c r="AB835" s="552">
        <v>50</v>
      </c>
      <c r="AC835" s="552"/>
      <c r="AD835" s="552"/>
      <c r="AE835" s="552"/>
      <c r="AF835" s="552"/>
      <c r="AG835" s="552"/>
      <c r="AH835" s="552"/>
      <c r="AI835" s="552"/>
      <c r="AJ835" s="552"/>
      <c r="AK835" s="552"/>
      <c r="AL835" s="552"/>
      <c r="AM835" s="552"/>
      <c r="AN835" s="552"/>
      <c r="AO835" s="552"/>
      <c r="AP835" s="717" t="s">
        <v>7961</v>
      </c>
      <c r="AQ835" s="552" t="s">
        <v>1186</v>
      </c>
      <c r="AR835" s="552" t="s">
        <v>2971</v>
      </c>
      <c r="AS835" s="552" t="s">
        <v>6881</v>
      </c>
      <c r="AT835" s="552" t="s">
        <v>726</v>
      </c>
    </row>
    <row r="836" spans="1:46" ht="14.7" customHeight="1">
      <c r="A836" s="706" t="s">
        <v>7962</v>
      </c>
      <c r="B836" s="559" t="s">
        <v>3700</v>
      </c>
      <c r="C836" s="539" t="s">
        <v>7753</v>
      </c>
      <c r="D836" s="709" t="s">
        <v>7963</v>
      </c>
      <c r="E836" s="552" t="s">
        <v>7926</v>
      </c>
      <c r="F836" s="552"/>
      <c r="G836" s="552" t="s">
        <v>7943</v>
      </c>
      <c r="H836" s="552"/>
      <c r="I836" s="552"/>
      <c r="J836" s="552"/>
      <c r="K836" s="552"/>
      <c r="L836" s="552"/>
      <c r="M836" s="552"/>
      <c r="N836" s="552"/>
      <c r="O836" s="552"/>
      <c r="P836" s="552"/>
      <c r="Q836" s="552"/>
      <c r="R836" s="552"/>
      <c r="S836" s="552"/>
      <c r="T836" s="552"/>
      <c r="U836" s="552"/>
      <c r="V836" s="552"/>
      <c r="W836" s="552"/>
      <c r="X836" s="552"/>
      <c r="Y836" s="552"/>
      <c r="Z836" s="552"/>
      <c r="AA836" s="552"/>
      <c r="AB836" s="552"/>
      <c r="AC836" s="552"/>
      <c r="AD836" s="552"/>
      <c r="AE836" s="552"/>
      <c r="AF836" s="552"/>
      <c r="AG836" s="552"/>
      <c r="AH836" s="552"/>
      <c r="AI836" s="552"/>
      <c r="AJ836" s="552"/>
      <c r="AK836" s="552"/>
      <c r="AL836" s="552"/>
      <c r="AM836" s="552"/>
      <c r="AN836" s="552"/>
      <c r="AO836" s="552"/>
      <c r="AP836" s="717" t="s">
        <v>7964</v>
      </c>
      <c r="AQ836" s="552" t="s">
        <v>1186</v>
      </c>
      <c r="AR836" s="552" t="s">
        <v>2971</v>
      </c>
      <c r="AS836" s="552" t="s">
        <v>6881</v>
      </c>
      <c r="AT836" s="552" t="s">
        <v>726</v>
      </c>
    </row>
    <row r="837" spans="1:46" ht="14.7" customHeight="1">
      <c r="A837" s="706" t="s">
        <v>8982</v>
      </c>
      <c r="B837" s="711" t="s">
        <v>6055</v>
      </c>
      <c r="C837" s="539" t="s">
        <v>7753</v>
      </c>
      <c r="D837" s="539" t="s">
        <v>7965</v>
      </c>
      <c r="E837" s="539" t="s">
        <v>7926</v>
      </c>
      <c r="F837" s="539"/>
      <c r="G837" s="552" t="s">
        <v>7943</v>
      </c>
      <c r="H837" s="539" t="s">
        <v>7966</v>
      </c>
      <c r="I837" s="539"/>
      <c r="J837" s="539"/>
      <c r="K837" s="539"/>
      <c r="L837" s="539"/>
      <c r="M837" s="539"/>
      <c r="N837" s="539">
        <v>600</v>
      </c>
      <c r="O837" s="539">
        <v>200</v>
      </c>
      <c r="P837" s="539">
        <v>20</v>
      </c>
      <c r="Q837" s="539">
        <v>20</v>
      </c>
      <c r="R837" s="539">
        <v>20</v>
      </c>
      <c r="S837" s="539"/>
      <c r="T837" s="539"/>
      <c r="U837" s="539"/>
      <c r="V837" s="539"/>
      <c r="W837" s="539"/>
      <c r="X837" s="552"/>
      <c r="Y837" s="552"/>
      <c r="Z837" s="552"/>
      <c r="AA837" s="552"/>
      <c r="AB837" s="552"/>
      <c r="AC837" s="552"/>
      <c r="AD837" s="552"/>
      <c r="AE837" s="552"/>
      <c r="AF837" s="552"/>
      <c r="AG837" s="552"/>
      <c r="AH837" s="552"/>
      <c r="AI837" s="552"/>
      <c r="AJ837" s="552"/>
      <c r="AK837" s="552"/>
      <c r="AL837" s="552"/>
      <c r="AM837" s="552"/>
      <c r="AN837" s="552"/>
      <c r="AO837" s="552" t="s">
        <v>7967</v>
      </c>
      <c r="AP837" s="552"/>
      <c r="AQ837" s="552" t="s">
        <v>1186</v>
      </c>
      <c r="AR837" s="552" t="s">
        <v>6697</v>
      </c>
      <c r="AS837" s="552" t="s">
        <v>6881</v>
      </c>
      <c r="AT837" s="552" t="s">
        <v>726</v>
      </c>
    </row>
    <row r="838" spans="1:46" ht="14.7" customHeight="1">
      <c r="A838" s="706" t="s">
        <v>6443</v>
      </c>
      <c r="B838" s="540" t="s">
        <v>3695</v>
      </c>
      <c r="C838" s="539" t="s">
        <v>7753</v>
      </c>
      <c r="D838" s="709" t="s">
        <v>7968</v>
      </c>
      <c r="E838" s="552" t="s">
        <v>7926</v>
      </c>
      <c r="F838" s="552"/>
      <c r="G838" s="552" t="s">
        <v>7969</v>
      </c>
      <c r="H838" s="552"/>
      <c r="I838" s="552"/>
      <c r="J838" s="552"/>
      <c r="K838" s="552"/>
      <c r="L838" s="552"/>
      <c r="M838" s="552"/>
      <c r="N838" s="552"/>
      <c r="O838" s="552"/>
      <c r="P838" s="552"/>
      <c r="Q838" s="552"/>
      <c r="R838" s="552"/>
      <c r="S838" s="552"/>
      <c r="T838" s="552"/>
      <c r="U838" s="552"/>
      <c r="V838" s="552"/>
      <c r="W838" s="552"/>
      <c r="X838" s="552"/>
      <c r="Y838" s="552"/>
      <c r="Z838" s="552"/>
      <c r="AA838" s="552"/>
      <c r="AB838" s="552"/>
      <c r="AC838" s="552"/>
      <c r="AD838" s="552"/>
      <c r="AE838" s="552"/>
      <c r="AF838" s="552"/>
      <c r="AG838" s="552"/>
      <c r="AH838" s="552"/>
      <c r="AI838" s="552"/>
      <c r="AJ838" s="552"/>
      <c r="AK838" s="552"/>
      <c r="AL838" s="552"/>
      <c r="AM838" s="552"/>
      <c r="AN838" s="552"/>
      <c r="AO838" s="717" t="s">
        <v>7970</v>
      </c>
      <c r="AP838" s="552"/>
      <c r="AQ838" s="552" t="s">
        <v>7715</v>
      </c>
      <c r="AR838" s="552" t="s">
        <v>2802</v>
      </c>
      <c r="AS838" s="552" t="s">
        <v>6967</v>
      </c>
      <c r="AT838" s="552" t="s">
        <v>726</v>
      </c>
    </row>
    <row r="839" spans="1:46" ht="14.7" customHeight="1">
      <c r="A839" s="706" t="s">
        <v>6444</v>
      </c>
      <c r="B839" s="540" t="s">
        <v>3695</v>
      </c>
      <c r="C839" s="539" t="s">
        <v>7753</v>
      </c>
      <c r="D839" s="709" t="s">
        <v>7971</v>
      </c>
      <c r="E839" s="552" t="s">
        <v>7926</v>
      </c>
      <c r="F839" s="552"/>
      <c r="G839" s="552" t="s">
        <v>7969</v>
      </c>
      <c r="H839" s="552"/>
      <c r="I839" s="552"/>
      <c r="J839" s="552"/>
      <c r="K839" s="552"/>
      <c r="L839" s="552"/>
      <c r="M839" s="552"/>
      <c r="N839" s="552"/>
      <c r="O839" s="552"/>
      <c r="P839" s="552"/>
      <c r="Q839" s="552">
        <v>2</v>
      </c>
      <c r="R839" s="552"/>
      <c r="S839" s="552"/>
      <c r="T839" s="552"/>
      <c r="U839" s="552"/>
      <c r="V839" s="552"/>
      <c r="W839" s="552"/>
      <c r="X839" s="552">
        <v>1</v>
      </c>
      <c r="Y839" s="552"/>
      <c r="Z839" s="552"/>
      <c r="AA839" s="552"/>
      <c r="AB839" s="552"/>
      <c r="AC839" s="552"/>
      <c r="AD839" s="552"/>
      <c r="AE839" s="552"/>
      <c r="AF839" s="552"/>
      <c r="AG839" s="552"/>
      <c r="AH839" s="552"/>
      <c r="AI839" s="552"/>
      <c r="AJ839" s="552"/>
      <c r="AK839" s="552"/>
      <c r="AL839" s="552"/>
      <c r="AM839" s="552"/>
      <c r="AN839" s="552"/>
      <c r="AO839" s="552"/>
      <c r="AP839" s="552"/>
      <c r="AQ839" s="552" t="s">
        <v>7715</v>
      </c>
      <c r="AR839" s="552" t="s">
        <v>2802</v>
      </c>
      <c r="AS839" s="552" t="s">
        <v>6967</v>
      </c>
      <c r="AT839" s="552" t="s">
        <v>726</v>
      </c>
    </row>
    <row r="840" spans="1:46" ht="14.7" customHeight="1">
      <c r="A840" s="706" t="s">
        <v>6445</v>
      </c>
      <c r="B840" s="707" t="s">
        <v>3696</v>
      </c>
      <c r="C840" s="539" t="s">
        <v>7753</v>
      </c>
      <c r="D840" s="709" t="s">
        <v>7972</v>
      </c>
      <c r="E840" s="552" t="s">
        <v>7926</v>
      </c>
      <c r="F840" s="552"/>
      <c r="G840" s="552" t="s">
        <v>7969</v>
      </c>
      <c r="H840" s="552"/>
      <c r="I840" s="552"/>
      <c r="J840" s="552"/>
      <c r="K840" s="552"/>
      <c r="L840" s="552"/>
      <c r="M840" s="552"/>
      <c r="N840" s="552"/>
      <c r="O840" s="552"/>
      <c r="P840" s="552"/>
      <c r="Q840" s="552">
        <v>4</v>
      </c>
      <c r="R840" s="552"/>
      <c r="S840" s="552"/>
      <c r="T840" s="552"/>
      <c r="U840" s="552"/>
      <c r="V840" s="552"/>
      <c r="W840" s="552"/>
      <c r="X840" s="552"/>
      <c r="Y840" s="552"/>
      <c r="Z840" s="552"/>
      <c r="AA840" s="552"/>
      <c r="AB840" s="552"/>
      <c r="AC840" s="552"/>
      <c r="AD840" s="552"/>
      <c r="AE840" s="552"/>
      <c r="AF840" s="552"/>
      <c r="AG840" s="552"/>
      <c r="AH840" s="552"/>
      <c r="AI840" s="552"/>
      <c r="AJ840" s="552"/>
      <c r="AK840" s="552"/>
      <c r="AL840" s="552"/>
      <c r="AM840" s="552"/>
      <c r="AN840" s="552"/>
      <c r="AO840" s="552"/>
      <c r="AP840" s="552"/>
      <c r="AQ840" s="552" t="s">
        <v>7715</v>
      </c>
      <c r="AR840" s="552" t="s">
        <v>2805</v>
      </c>
      <c r="AS840" s="552" t="s">
        <v>6967</v>
      </c>
      <c r="AT840" s="552" t="s">
        <v>726</v>
      </c>
    </row>
    <row r="841" spans="1:46" ht="14.7" customHeight="1">
      <c r="A841" s="706"/>
      <c r="B841" s="707" t="s">
        <v>3696</v>
      </c>
      <c r="C841" s="539" t="s">
        <v>7753</v>
      </c>
      <c r="D841" s="709"/>
      <c r="E841" s="552"/>
      <c r="F841" s="552"/>
      <c r="G841" s="552"/>
      <c r="H841" s="552"/>
      <c r="I841" s="552"/>
      <c r="J841" s="552"/>
      <c r="K841" s="552"/>
      <c r="L841" s="552"/>
      <c r="M841" s="552"/>
      <c r="N841" s="552"/>
      <c r="O841" s="552"/>
      <c r="P841" s="552"/>
      <c r="Q841" s="552"/>
      <c r="R841" s="552"/>
      <c r="S841" s="552"/>
      <c r="T841" s="552"/>
      <c r="U841" s="552"/>
      <c r="V841" s="552"/>
      <c r="W841" s="552"/>
      <c r="X841" s="552"/>
      <c r="Y841" s="552"/>
      <c r="Z841" s="552"/>
      <c r="AA841" s="552"/>
      <c r="AB841" s="552"/>
      <c r="AC841" s="552"/>
      <c r="AD841" s="552"/>
      <c r="AE841" s="552"/>
      <c r="AF841" s="552"/>
      <c r="AG841" s="552"/>
      <c r="AH841" s="552"/>
      <c r="AI841" s="552"/>
      <c r="AJ841" s="552"/>
      <c r="AK841" s="552"/>
      <c r="AL841" s="552"/>
      <c r="AM841" s="552"/>
      <c r="AN841" s="552"/>
      <c r="AO841" s="552"/>
      <c r="AP841" s="552"/>
      <c r="AQ841" s="552" t="s">
        <v>7715</v>
      </c>
      <c r="AR841" s="552" t="s">
        <v>2805</v>
      </c>
      <c r="AS841" s="552" t="s">
        <v>6967</v>
      </c>
      <c r="AT841" s="552" t="s">
        <v>726</v>
      </c>
    </row>
    <row r="842" spans="1:46" ht="14.7" customHeight="1">
      <c r="A842" s="706" t="s">
        <v>6446</v>
      </c>
      <c r="B842" s="556" t="s">
        <v>3697</v>
      </c>
      <c r="C842" s="539" t="s">
        <v>7753</v>
      </c>
      <c r="D842" s="709" t="s">
        <v>7973</v>
      </c>
      <c r="E842" s="552" t="s">
        <v>7923</v>
      </c>
      <c r="F842" s="552"/>
      <c r="G842" s="552" t="s">
        <v>7969</v>
      </c>
      <c r="H842" s="552"/>
      <c r="I842" s="552"/>
      <c r="J842" s="552"/>
      <c r="K842" s="552"/>
      <c r="L842" s="552"/>
      <c r="M842" s="552"/>
      <c r="N842" s="552">
        <v>50</v>
      </c>
      <c r="O842" s="552"/>
      <c r="P842" s="552"/>
      <c r="Q842" s="552"/>
      <c r="R842" s="552"/>
      <c r="S842" s="552"/>
      <c r="T842" s="552"/>
      <c r="U842" s="552"/>
      <c r="V842" s="552"/>
      <c r="W842" s="552"/>
      <c r="X842" s="552"/>
      <c r="Y842" s="552"/>
      <c r="Z842" s="552"/>
      <c r="AA842" s="552"/>
      <c r="AB842" s="552"/>
      <c r="AC842" s="552"/>
      <c r="AD842" s="552">
        <v>10</v>
      </c>
      <c r="AE842" s="552"/>
      <c r="AF842" s="552"/>
      <c r="AG842" s="552"/>
      <c r="AH842" s="552"/>
      <c r="AI842" s="552"/>
      <c r="AJ842" s="552"/>
      <c r="AK842" s="552"/>
      <c r="AL842" s="552"/>
      <c r="AM842" s="552"/>
      <c r="AN842" s="552"/>
      <c r="AO842" s="552"/>
      <c r="AP842" s="552"/>
      <c r="AQ842" s="552" t="s">
        <v>7715</v>
      </c>
      <c r="AR842" s="552" t="s">
        <v>2875</v>
      </c>
      <c r="AS842" s="552" t="s">
        <v>6967</v>
      </c>
      <c r="AT842" s="552" t="s">
        <v>726</v>
      </c>
    </row>
    <row r="843" spans="1:46" ht="14.7" customHeight="1">
      <c r="A843" s="706" t="s">
        <v>6447</v>
      </c>
      <c r="B843" s="556" t="s">
        <v>3697</v>
      </c>
      <c r="C843" s="539" t="s">
        <v>7753</v>
      </c>
      <c r="D843" s="709" t="s">
        <v>7974</v>
      </c>
      <c r="E843" s="552" t="s">
        <v>7923</v>
      </c>
      <c r="F843" s="552"/>
      <c r="G843" s="552" t="s">
        <v>7969</v>
      </c>
      <c r="H843" s="552"/>
      <c r="I843" s="552"/>
      <c r="J843" s="552"/>
      <c r="K843" s="552"/>
      <c r="L843" s="552"/>
      <c r="M843" s="552"/>
      <c r="N843" s="552">
        <v>15</v>
      </c>
      <c r="O843" s="552"/>
      <c r="P843" s="552"/>
      <c r="Q843" s="552">
        <v>2</v>
      </c>
      <c r="R843" s="552"/>
      <c r="S843" s="552"/>
      <c r="T843" s="552"/>
      <c r="U843" s="552"/>
      <c r="V843" s="552"/>
      <c r="W843" s="552"/>
      <c r="X843" s="552">
        <v>2</v>
      </c>
      <c r="Y843" s="552"/>
      <c r="Z843" s="552"/>
      <c r="AA843" s="552"/>
      <c r="AB843" s="552"/>
      <c r="AC843" s="552"/>
      <c r="AD843" s="552"/>
      <c r="AE843" s="552"/>
      <c r="AF843" s="552"/>
      <c r="AG843" s="552"/>
      <c r="AH843" s="552"/>
      <c r="AI843" s="552"/>
      <c r="AJ843" s="552"/>
      <c r="AK843" s="552"/>
      <c r="AL843" s="552"/>
      <c r="AM843" s="552"/>
      <c r="AN843" s="552"/>
      <c r="AO843" s="552"/>
      <c r="AP843" s="552"/>
      <c r="AQ843" s="552" t="s">
        <v>7715</v>
      </c>
      <c r="AR843" s="552" t="s">
        <v>2875</v>
      </c>
      <c r="AS843" s="552" t="s">
        <v>6967</v>
      </c>
      <c r="AT843" s="552" t="s">
        <v>726</v>
      </c>
    </row>
    <row r="844" spans="1:46" ht="14.7" customHeight="1">
      <c r="A844" s="706" t="s">
        <v>6448</v>
      </c>
      <c r="B844" s="556" t="s">
        <v>3697</v>
      </c>
      <c r="C844" s="539" t="s">
        <v>7753</v>
      </c>
      <c r="D844" s="709" t="s">
        <v>7975</v>
      </c>
      <c r="E844" s="552" t="s">
        <v>7926</v>
      </c>
      <c r="F844" s="552"/>
      <c r="G844" s="552" t="s">
        <v>7969</v>
      </c>
      <c r="H844" s="552"/>
      <c r="I844" s="552"/>
      <c r="J844" s="552"/>
      <c r="K844" s="552"/>
      <c r="L844" s="552"/>
      <c r="M844" s="552"/>
      <c r="N844" s="552"/>
      <c r="O844" s="552"/>
      <c r="P844" s="552"/>
      <c r="Q844" s="552">
        <v>3</v>
      </c>
      <c r="R844" s="552"/>
      <c r="S844" s="552"/>
      <c r="T844" s="552"/>
      <c r="U844" s="552"/>
      <c r="V844" s="552"/>
      <c r="W844" s="552"/>
      <c r="X844" s="552">
        <v>3</v>
      </c>
      <c r="Y844" s="552"/>
      <c r="Z844" s="552"/>
      <c r="AA844" s="552"/>
      <c r="AB844" s="552"/>
      <c r="AC844" s="552"/>
      <c r="AD844" s="552"/>
      <c r="AE844" s="552"/>
      <c r="AF844" s="552"/>
      <c r="AG844" s="552"/>
      <c r="AH844" s="552"/>
      <c r="AI844" s="552"/>
      <c r="AJ844" s="552"/>
      <c r="AK844" s="552"/>
      <c r="AL844" s="552"/>
      <c r="AM844" s="552"/>
      <c r="AN844" s="552"/>
      <c r="AO844" s="552"/>
      <c r="AP844" s="552"/>
      <c r="AQ844" s="552" t="s">
        <v>7715</v>
      </c>
      <c r="AR844" s="552" t="s">
        <v>2875</v>
      </c>
      <c r="AS844" s="552" t="s">
        <v>6967</v>
      </c>
      <c r="AT844" s="552" t="s">
        <v>726</v>
      </c>
    </row>
    <row r="845" spans="1:46" ht="14.7" customHeight="1">
      <c r="A845" s="706" t="s">
        <v>6449</v>
      </c>
      <c r="B845" s="557" t="s">
        <v>3698</v>
      </c>
      <c r="C845" s="539" t="s">
        <v>7753</v>
      </c>
      <c r="D845" s="709" t="s">
        <v>7976</v>
      </c>
      <c r="E845" s="552" t="s">
        <v>7923</v>
      </c>
      <c r="F845" s="552"/>
      <c r="G845" s="552" t="s">
        <v>7969</v>
      </c>
      <c r="H845" s="552"/>
      <c r="I845" s="552"/>
      <c r="J845" s="552"/>
      <c r="K845" s="552"/>
      <c r="L845" s="552"/>
      <c r="M845" s="552"/>
      <c r="N845" s="552"/>
      <c r="O845" s="552"/>
      <c r="P845" s="552"/>
      <c r="Q845" s="552">
        <v>4</v>
      </c>
      <c r="R845" s="552"/>
      <c r="S845" s="552"/>
      <c r="T845" s="552"/>
      <c r="U845" s="552"/>
      <c r="V845" s="552"/>
      <c r="W845" s="552"/>
      <c r="X845" s="552">
        <v>4</v>
      </c>
      <c r="Y845" s="552"/>
      <c r="Z845" s="552"/>
      <c r="AA845" s="552"/>
      <c r="AB845" s="552"/>
      <c r="AC845" s="552"/>
      <c r="AD845" s="552"/>
      <c r="AE845" s="552"/>
      <c r="AF845" s="552"/>
      <c r="AG845" s="552"/>
      <c r="AH845" s="552"/>
      <c r="AI845" s="552"/>
      <c r="AJ845" s="552"/>
      <c r="AK845" s="552"/>
      <c r="AL845" s="552"/>
      <c r="AM845" s="552"/>
      <c r="AN845" s="552"/>
      <c r="AO845" s="717" t="s">
        <v>7977</v>
      </c>
      <c r="AP845" s="552"/>
      <c r="AQ845" s="552" t="s">
        <v>7715</v>
      </c>
      <c r="AR845" s="552" t="s">
        <v>2998</v>
      </c>
      <c r="AS845" s="552" t="s">
        <v>6967</v>
      </c>
      <c r="AT845" s="552" t="s">
        <v>726</v>
      </c>
    </row>
    <row r="846" spans="1:46" ht="14.7" customHeight="1">
      <c r="A846" s="706" t="s">
        <v>6450</v>
      </c>
      <c r="B846" s="557" t="s">
        <v>3698</v>
      </c>
      <c r="C846" s="539" t="s">
        <v>7753</v>
      </c>
      <c r="D846" s="709" t="s">
        <v>7978</v>
      </c>
      <c r="E846" s="552" t="s">
        <v>7926</v>
      </c>
      <c r="F846" s="552"/>
      <c r="G846" s="552" t="s">
        <v>7969</v>
      </c>
      <c r="H846" s="552"/>
      <c r="I846" s="552"/>
      <c r="J846" s="552"/>
      <c r="K846" s="552"/>
      <c r="L846" s="552"/>
      <c r="M846" s="552"/>
      <c r="N846" s="552"/>
      <c r="O846" s="552"/>
      <c r="P846" s="552"/>
      <c r="Q846" s="552">
        <v>4</v>
      </c>
      <c r="R846" s="552"/>
      <c r="S846" s="552"/>
      <c r="T846" s="552"/>
      <c r="U846" s="552"/>
      <c r="V846" s="552"/>
      <c r="W846" s="552"/>
      <c r="X846" s="552">
        <v>4</v>
      </c>
      <c r="Y846" s="552"/>
      <c r="Z846" s="552"/>
      <c r="AA846" s="552"/>
      <c r="AB846" s="552"/>
      <c r="AC846" s="552"/>
      <c r="AD846" s="552"/>
      <c r="AE846" s="552"/>
      <c r="AF846" s="552"/>
      <c r="AG846" s="552"/>
      <c r="AH846" s="552"/>
      <c r="AI846" s="552"/>
      <c r="AJ846" s="552"/>
      <c r="AK846" s="552"/>
      <c r="AL846" s="552"/>
      <c r="AM846" s="552"/>
      <c r="AN846" s="552"/>
      <c r="AO846" s="717" t="s">
        <v>7979</v>
      </c>
      <c r="AP846" s="552"/>
      <c r="AQ846" s="552" t="s">
        <v>7715</v>
      </c>
      <c r="AR846" s="552" t="s">
        <v>2998</v>
      </c>
      <c r="AS846" s="552" t="s">
        <v>6967</v>
      </c>
      <c r="AT846" s="552" t="s">
        <v>726</v>
      </c>
    </row>
    <row r="847" spans="1:46" ht="14.7" customHeight="1">
      <c r="A847" s="706" t="s">
        <v>6451</v>
      </c>
      <c r="B847" s="557" t="s">
        <v>3698</v>
      </c>
      <c r="C847" s="539" t="s">
        <v>7753</v>
      </c>
      <c r="D847" s="709" t="s">
        <v>7980</v>
      </c>
      <c r="E847" s="552" t="s">
        <v>7926</v>
      </c>
      <c r="F847" s="552"/>
      <c r="G847" s="552" t="s">
        <v>7969</v>
      </c>
      <c r="H847" s="552"/>
      <c r="I847" s="552"/>
      <c r="J847" s="552"/>
      <c r="K847" s="552"/>
      <c r="L847" s="552"/>
      <c r="M847" s="552"/>
      <c r="N847" s="552"/>
      <c r="O847" s="552"/>
      <c r="P847" s="552"/>
      <c r="Q847" s="552"/>
      <c r="R847" s="552">
        <v>6</v>
      </c>
      <c r="S847" s="552"/>
      <c r="T847" s="552"/>
      <c r="U847" s="552"/>
      <c r="V847" s="552"/>
      <c r="W847" s="552"/>
      <c r="X847" s="552">
        <v>2</v>
      </c>
      <c r="Y847" s="552"/>
      <c r="Z847" s="552"/>
      <c r="AA847" s="552"/>
      <c r="AB847" s="552"/>
      <c r="AC847" s="552">
        <v>30</v>
      </c>
      <c r="AD847" s="552"/>
      <c r="AE847" s="552"/>
      <c r="AF847" s="552"/>
      <c r="AG847" s="552"/>
      <c r="AH847" s="552"/>
      <c r="AI847" s="552"/>
      <c r="AJ847" s="552"/>
      <c r="AK847" s="552"/>
      <c r="AL847" s="552"/>
      <c r="AM847" s="552"/>
      <c r="AN847" s="552"/>
      <c r="AO847" s="717" t="s">
        <v>7981</v>
      </c>
      <c r="AP847" s="552"/>
      <c r="AQ847" s="552" t="s">
        <v>7715</v>
      </c>
      <c r="AR847" s="552" t="s">
        <v>2998</v>
      </c>
      <c r="AS847" s="552" t="s">
        <v>6967</v>
      </c>
      <c r="AT847" s="552" t="s">
        <v>726</v>
      </c>
    </row>
    <row r="848" spans="1:46" ht="14.7" customHeight="1">
      <c r="A848" s="706"/>
      <c r="B848" s="557" t="s">
        <v>3698</v>
      </c>
      <c r="C848" s="539" t="s">
        <v>7753</v>
      </c>
      <c r="D848" s="709"/>
      <c r="E848" s="552"/>
      <c r="F848" s="552"/>
      <c r="G848" s="552"/>
      <c r="H848" s="552"/>
      <c r="I848" s="552"/>
      <c r="J848" s="552"/>
      <c r="K848" s="552"/>
      <c r="L848" s="552"/>
      <c r="M848" s="552"/>
      <c r="N848" s="552"/>
      <c r="O848" s="552"/>
      <c r="P848" s="552"/>
      <c r="Q848" s="552"/>
      <c r="R848" s="552"/>
      <c r="S848" s="552"/>
      <c r="T848" s="552"/>
      <c r="U848" s="552"/>
      <c r="V848" s="552"/>
      <c r="W848" s="552"/>
      <c r="X848" s="552"/>
      <c r="Y848" s="552"/>
      <c r="Z848" s="552"/>
      <c r="AA848" s="552"/>
      <c r="AB848" s="552"/>
      <c r="AC848" s="552"/>
      <c r="AD848" s="552"/>
      <c r="AE848" s="552"/>
      <c r="AF848" s="552"/>
      <c r="AG848" s="552"/>
      <c r="AH848" s="552"/>
      <c r="AI848" s="552"/>
      <c r="AJ848" s="552"/>
      <c r="AK848" s="552"/>
      <c r="AL848" s="552"/>
      <c r="AM848" s="552"/>
      <c r="AN848" s="552"/>
      <c r="AO848" s="552"/>
      <c r="AP848" s="552"/>
      <c r="AQ848" s="552" t="s">
        <v>7715</v>
      </c>
      <c r="AR848" s="552" t="s">
        <v>2998</v>
      </c>
      <c r="AS848" s="552" t="s">
        <v>6967</v>
      </c>
      <c r="AT848" s="552" t="s">
        <v>726</v>
      </c>
    </row>
    <row r="849" spans="1:46" ht="14.7" customHeight="1">
      <c r="A849" s="706" t="s">
        <v>6452</v>
      </c>
      <c r="B849" s="344" t="s">
        <v>3699</v>
      </c>
      <c r="C849" s="539" t="s">
        <v>7753</v>
      </c>
      <c r="D849" s="709" t="s">
        <v>7982</v>
      </c>
      <c r="E849" s="552" t="s">
        <v>7923</v>
      </c>
      <c r="F849" s="552"/>
      <c r="G849" s="552" t="s">
        <v>7969</v>
      </c>
      <c r="H849" s="552"/>
      <c r="I849" s="552"/>
      <c r="J849" s="552"/>
      <c r="K849" s="552"/>
      <c r="L849" s="552"/>
      <c r="M849" s="552"/>
      <c r="N849" s="552"/>
      <c r="O849" s="552"/>
      <c r="P849" s="552"/>
      <c r="Q849" s="552">
        <v>8</v>
      </c>
      <c r="R849" s="552">
        <v>4</v>
      </c>
      <c r="S849" s="552">
        <v>2</v>
      </c>
      <c r="T849" s="552"/>
      <c r="U849" s="552"/>
      <c r="V849" s="552"/>
      <c r="W849" s="552"/>
      <c r="X849" s="552"/>
      <c r="Y849" s="552"/>
      <c r="Z849" s="552"/>
      <c r="AA849" s="552"/>
      <c r="AB849" s="552"/>
      <c r="AC849" s="552"/>
      <c r="AD849" s="552"/>
      <c r="AE849" s="552"/>
      <c r="AF849" s="552"/>
      <c r="AG849" s="552"/>
      <c r="AH849" s="552"/>
      <c r="AI849" s="552"/>
      <c r="AJ849" s="552"/>
      <c r="AK849" s="552"/>
      <c r="AL849" s="552"/>
      <c r="AM849" s="552"/>
      <c r="AN849" s="552"/>
      <c r="AO849" s="552"/>
      <c r="AP849" s="717" t="s">
        <v>7983</v>
      </c>
      <c r="AQ849" s="552" t="s">
        <v>7715</v>
      </c>
      <c r="AR849" s="552" t="s">
        <v>2809</v>
      </c>
      <c r="AS849" s="552" t="s">
        <v>6967</v>
      </c>
      <c r="AT849" s="552" t="s">
        <v>726</v>
      </c>
    </row>
    <row r="850" spans="1:46" ht="14.7" customHeight="1">
      <c r="A850" s="706" t="s">
        <v>6453</v>
      </c>
      <c r="B850" s="344" t="s">
        <v>3699</v>
      </c>
      <c r="C850" s="539" t="s">
        <v>7753</v>
      </c>
      <c r="D850" s="709" t="s">
        <v>7984</v>
      </c>
      <c r="E850" s="552" t="s">
        <v>7926</v>
      </c>
      <c r="F850" s="552"/>
      <c r="G850" s="552" t="s">
        <v>7969</v>
      </c>
      <c r="H850" s="552"/>
      <c r="I850" s="552"/>
      <c r="J850" s="552"/>
      <c r="K850" s="552"/>
      <c r="L850" s="552"/>
      <c r="M850" s="552"/>
      <c r="N850" s="552"/>
      <c r="O850" s="552"/>
      <c r="P850" s="552"/>
      <c r="Q850" s="552">
        <v>6</v>
      </c>
      <c r="R850" s="552"/>
      <c r="S850" s="552"/>
      <c r="T850" s="552"/>
      <c r="U850" s="552"/>
      <c r="V850" s="552"/>
      <c r="W850" s="552"/>
      <c r="X850" s="552">
        <v>6</v>
      </c>
      <c r="Y850" s="552"/>
      <c r="Z850" s="552"/>
      <c r="AA850" s="552"/>
      <c r="AB850" s="552"/>
      <c r="AC850" s="552"/>
      <c r="AD850" s="552"/>
      <c r="AE850" s="552"/>
      <c r="AF850" s="552"/>
      <c r="AG850" s="552"/>
      <c r="AH850" s="552"/>
      <c r="AI850" s="552"/>
      <c r="AJ850" s="552"/>
      <c r="AK850" s="552"/>
      <c r="AL850" s="552"/>
      <c r="AM850" s="552"/>
      <c r="AN850" s="552"/>
      <c r="AO850" s="552"/>
      <c r="AP850" s="717" t="s">
        <v>7985</v>
      </c>
      <c r="AQ850" s="552" t="s">
        <v>7715</v>
      </c>
      <c r="AR850" s="552" t="s">
        <v>2809</v>
      </c>
      <c r="AS850" s="552" t="s">
        <v>6967</v>
      </c>
      <c r="AT850" s="552" t="s">
        <v>726</v>
      </c>
    </row>
    <row r="851" spans="1:46" ht="14.7" customHeight="1">
      <c r="A851" s="706" t="s">
        <v>6454</v>
      </c>
      <c r="B851" s="344" t="s">
        <v>3699</v>
      </c>
      <c r="C851" s="539" t="s">
        <v>7753</v>
      </c>
      <c r="D851" s="709" t="s">
        <v>7986</v>
      </c>
      <c r="E851" s="552" t="s">
        <v>7926</v>
      </c>
      <c r="F851" s="552"/>
      <c r="G851" s="552" t="s">
        <v>7969</v>
      </c>
      <c r="H851" s="552"/>
      <c r="I851" s="552"/>
      <c r="J851" s="552"/>
      <c r="K851" s="552"/>
      <c r="L851" s="552"/>
      <c r="M851" s="552"/>
      <c r="N851" s="552"/>
      <c r="O851" s="552"/>
      <c r="P851" s="552"/>
      <c r="Q851" s="552">
        <v>3</v>
      </c>
      <c r="R851" s="552"/>
      <c r="S851" s="552"/>
      <c r="T851" s="552"/>
      <c r="U851" s="552"/>
      <c r="V851" s="552"/>
      <c r="W851" s="552"/>
      <c r="X851" s="552">
        <v>1</v>
      </c>
      <c r="Y851" s="552">
        <v>2</v>
      </c>
      <c r="Z851" s="552"/>
      <c r="AA851" s="552"/>
      <c r="AB851" s="552"/>
      <c r="AC851" s="552"/>
      <c r="AD851" s="552"/>
      <c r="AE851" s="552"/>
      <c r="AF851" s="552"/>
      <c r="AG851" s="552"/>
      <c r="AH851" s="552"/>
      <c r="AI851" s="552"/>
      <c r="AJ851" s="552"/>
      <c r="AK851" s="552">
        <v>10</v>
      </c>
      <c r="AL851" s="552"/>
      <c r="AM851" s="552"/>
      <c r="AN851" s="552"/>
      <c r="AO851" s="717" t="s">
        <v>7987</v>
      </c>
      <c r="AP851" s="552"/>
      <c r="AQ851" s="552" t="s">
        <v>7715</v>
      </c>
      <c r="AR851" s="552" t="s">
        <v>2809</v>
      </c>
      <c r="AS851" s="552" t="s">
        <v>6967</v>
      </c>
      <c r="AT851" s="552" t="s">
        <v>726</v>
      </c>
    </row>
    <row r="852" spans="1:46" ht="14.7" customHeight="1">
      <c r="A852" s="706"/>
      <c r="B852" s="344" t="s">
        <v>3699</v>
      </c>
      <c r="C852" s="539" t="s">
        <v>7753</v>
      </c>
      <c r="D852" s="709"/>
      <c r="E852" s="552"/>
      <c r="F852" s="552"/>
      <c r="G852" s="552"/>
      <c r="H852" s="552"/>
      <c r="I852" s="552"/>
      <c r="J852" s="552"/>
      <c r="K852" s="552"/>
      <c r="L852" s="552"/>
      <c r="M852" s="552"/>
      <c r="N852" s="552"/>
      <c r="O852" s="552"/>
      <c r="P852" s="552"/>
      <c r="Q852" s="552"/>
      <c r="R852" s="552"/>
      <c r="S852" s="552"/>
      <c r="T852" s="552"/>
      <c r="U852" s="552"/>
      <c r="V852" s="552"/>
      <c r="W852" s="552"/>
      <c r="X852" s="552"/>
      <c r="Y852" s="552"/>
      <c r="Z852" s="552"/>
      <c r="AA852" s="552"/>
      <c r="AB852" s="552"/>
      <c r="AC852" s="552"/>
      <c r="AD852" s="552"/>
      <c r="AE852" s="552"/>
      <c r="AF852" s="552"/>
      <c r="AG852" s="552"/>
      <c r="AH852" s="552"/>
      <c r="AI852" s="552"/>
      <c r="AJ852" s="552"/>
      <c r="AK852" s="552"/>
      <c r="AL852" s="552"/>
      <c r="AM852" s="552"/>
      <c r="AN852" s="552"/>
      <c r="AO852" s="552"/>
      <c r="AP852" s="552"/>
      <c r="AQ852" s="552" t="s">
        <v>7715</v>
      </c>
      <c r="AR852" s="552" t="s">
        <v>2809</v>
      </c>
      <c r="AS852" s="552" t="s">
        <v>6967</v>
      </c>
      <c r="AT852" s="552" t="s">
        <v>726</v>
      </c>
    </row>
    <row r="853" spans="1:46" ht="14.7" customHeight="1">
      <c r="A853" s="706"/>
      <c r="B853" s="344" t="s">
        <v>3699</v>
      </c>
      <c r="C853" s="539" t="s">
        <v>7753</v>
      </c>
      <c r="D853" s="709"/>
      <c r="E853" s="552"/>
      <c r="F853" s="552"/>
      <c r="G853" s="552"/>
      <c r="H853" s="552"/>
      <c r="I853" s="552"/>
      <c r="J853" s="552"/>
      <c r="K853" s="552"/>
      <c r="L853" s="552"/>
      <c r="M853" s="552"/>
      <c r="N853" s="552"/>
      <c r="O853" s="552"/>
      <c r="P853" s="552"/>
      <c r="Q853" s="552"/>
      <c r="R853" s="552"/>
      <c r="S853" s="552"/>
      <c r="T853" s="552"/>
      <c r="U853" s="552"/>
      <c r="V853" s="552"/>
      <c r="W853" s="552"/>
      <c r="X853" s="552"/>
      <c r="Y853" s="552"/>
      <c r="Z853" s="552"/>
      <c r="AA853" s="552"/>
      <c r="AB853" s="552"/>
      <c r="AC853" s="552"/>
      <c r="AD853" s="552"/>
      <c r="AE853" s="552"/>
      <c r="AF853" s="552"/>
      <c r="AG853" s="552"/>
      <c r="AH853" s="552"/>
      <c r="AI853" s="552"/>
      <c r="AJ853" s="552"/>
      <c r="AK853" s="552"/>
      <c r="AL853" s="552"/>
      <c r="AM853" s="552"/>
      <c r="AN853" s="552"/>
      <c r="AO853" s="552"/>
      <c r="AP853" s="552"/>
      <c r="AQ853" s="552" t="s">
        <v>7715</v>
      </c>
      <c r="AR853" s="552" t="s">
        <v>2809</v>
      </c>
      <c r="AS853" s="552" t="s">
        <v>6967</v>
      </c>
      <c r="AT853" s="552" t="s">
        <v>726</v>
      </c>
    </row>
    <row r="854" spans="1:46" ht="14.7" customHeight="1">
      <c r="A854" s="706" t="s">
        <v>6455</v>
      </c>
      <c r="B854" s="559" t="s">
        <v>3700</v>
      </c>
      <c r="C854" s="539" t="s">
        <v>7753</v>
      </c>
      <c r="D854" s="709" t="s">
        <v>7988</v>
      </c>
      <c r="E854" s="552" t="s">
        <v>7923</v>
      </c>
      <c r="F854" s="552"/>
      <c r="G854" s="552" t="s">
        <v>7969</v>
      </c>
      <c r="H854" s="552"/>
      <c r="I854" s="552"/>
      <c r="J854" s="552"/>
      <c r="K854" s="552"/>
      <c r="L854" s="552"/>
      <c r="M854" s="552"/>
      <c r="N854" s="552"/>
      <c r="O854" s="552"/>
      <c r="P854" s="552"/>
      <c r="Q854" s="552"/>
      <c r="R854" s="552"/>
      <c r="S854" s="552"/>
      <c r="T854" s="552"/>
      <c r="U854" s="552"/>
      <c r="V854" s="552"/>
      <c r="W854" s="552"/>
      <c r="X854" s="552">
        <v>5</v>
      </c>
      <c r="Y854" s="552">
        <v>5</v>
      </c>
      <c r="Z854" s="552"/>
      <c r="AA854" s="552"/>
      <c r="AB854" s="552"/>
      <c r="AC854" s="552">
        <v>50</v>
      </c>
      <c r="AD854" s="552"/>
      <c r="AE854" s="552"/>
      <c r="AF854" s="552"/>
      <c r="AG854" s="552"/>
      <c r="AH854" s="552"/>
      <c r="AI854" s="552"/>
      <c r="AJ854" s="552"/>
      <c r="AK854" s="552"/>
      <c r="AL854" s="552"/>
      <c r="AM854" s="552"/>
      <c r="AN854" s="552"/>
      <c r="AO854" s="709" t="s">
        <v>7989</v>
      </c>
      <c r="AP854" s="552"/>
      <c r="AQ854" s="552" t="s">
        <v>7715</v>
      </c>
      <c r="AR854" s="552" t="s">
        <v>2971</v>
      </c>
      <c r="AS854" s="552" t="s">
        <v>6967</v>
      </c>
      <c r="AT854" s="552" t="s">
        <v>726</v>
      </c>
    </row>
    <row r="855" spans="1:46" ht="14.7" customHeight="1">
      <c r="A855" s="706"/>
      <c r="B855" s="559" t="s">
        <v>3700</v>
      </c>
      <c r="C855" s="539" t="s">
        <v>7753</v>
      </c>
      <c r="D855" s="709"/>
      <c r="E855" s="552"/>
      <c r="F855" s="552"/>
      <c r="G855" s="552"/>
      <c r="H855" s="552"/>
      <c r="I855" s="552"/>
      <c r="J855" s="552"/>
      <c r="K855" s="552"/>
      <c r="L855" s="552"/>
      <c r="M855" s="552"/>
      <c r="N855" s="552"/>
      <c r="O855" s="552"/>
      <c r="P855" s="552"/>
      <c r="Q855" s="552"/>
      <c r="R855" s="552"/>
      <c r="S855" s="552"/>
      <c r="T855" s="552"/>
      <c r="U855" s="552"/>
      <c r="V855" s="552"/>
      <c r="W855" s="552"/>
      <c r="X855" s="552"/>
      <c r="Y855" s="552"/>
      <c r="Z855" s="552"/>
      <c r="AA855" s="552"/>
      <c r="AB855" s="552"/>
      <c r="AC855" s="552"/>
      <c r="AD855" s="552"/>
      <c r="AE855" s="552"/>
      <c r="AF855" s="552"/>
      <c r="AG855" s="552"/>
      <c r="AH855" s="552"/>
      <c r="AI855" s="552"/>
      <c r="AJ855" s="552"/>
      <c r="AK855" s="552"/>
      <c r="AL855" s="552"/>
      <c r="AM855" s="552"/>
      <c r="AN855" s="552"/>
      <c r="AO855" s="552"/>
      <c r="AP855" s="552"/>
      <c r="AQ855" s="552" t="s">
        <v>7715</v>
      </c>
      <c r="AR855" s="552" t="s">
        <v>2971</v>
      </c>
      <c r="AS855" s="552" t="s">
        <v>6967</v>
      </c>
      <c r="AT855" s="552" t="s">
        <v>726</v>
      </c>
    </row>
    <row r="856" spans="1:46" ht="14.7" customHeight="1">
      <c r="A856" s="706"/>
      <c r="B856" s="711" t="s">
        <v>6055</v>
      </c>
      <c r="C856" s="539" t="s">
        <v>7753</v>
      </c>
      <c r="D856" s="539"/>
      <c r="E856" s="539"/>
      <c r="F856" s="539"/>
      <c r="G856" s="539" t="s">
        <v>7969</v>
      </c>
      <c r="H856" s="539"/>
      <c r="I856" s="539"/>
      <c r="J856" s="539"/>
      <c r="K856" s="539"/>
      <c r="L856" s="539"/>
      <c r="M856" s="539"/>
      <c r="N856" s="539"/>
      <c r="O856" s="539">
        <v>200</v>
      </c>
      <c r="P856" s="539"/>
      <c r="Q856" s="539"/>
      <c r="R856" s="539">
        <v>2</v>
      </c>
      <c r="S856" s="539">
        <v>2</v>
      </c>
      <c r="T856" s="539"/>
      <c r="U856" s="539"/>
      <c r="V856" s="539"/>
      <c r="W856" s="539"/>
      <c r="X856" s="539"/>
      <c r="Y856" s="539">
        <v>1</v>
      </c>
      <c r="Z856" s="539"/>
      <c r="AA856" s="539"/>
      <c r="AB856" s="539"/>
      <c r="AC856" s="539"/>
      <c r="AD856" s="552"/>
      <c r="AE856" s="552"/>
      <c r="AF856" s="552"/>
      <c r="AG856" s="552"/>
      <c r="AH856" s="552"/>
      <c r="AI856" s="552"/>
      <c r="AJ856" s="552"/>
      <c r="AK856" s="552"/>
      <c r="AL856" s="552">
        <v>20</v>
      </c>
      <c r="AM856" s="552"/>
      <c r="AN856" s="552"/>
      <c r="AO856" s="552" t="s">
        <v>7990</v>
      </c>
      <c r="AP856" s="717" t="s">
        <v>7991</v>
      </c>
      <c r="AQ856" s="552" t="s">
        <v>7715</v>
      </c>
      <c r="AR856" s="552" t="s">
        <v>6697</v>
      </c>
      <c r="AS856" s="552" t="s">
        <v>6967</v>
      </c>
      <c r="AT856" s="552" t="s">
        <v>726</v>
      </c>
    </row>
    <row r="857" spans="1:46" ht="14.7" customHeight="1">
      <c r="A857" s="706" t="s">
        <v>6456</v>
      </c>
      <c r="B857" s="540" t="s">
        <v>3695</v>
      </c>
      <c r="C857" s="539" t="s">
        <v>7753</v>
      </c>
      <c r="D857" s="709" t="s">
        <v>7992</v>
      </c>
      <c r="E857" s="552" t="s">
        <v>7926</v>
      </c>
      <c r="F857" s="552"/>
      <c r="G857" s="552" t="s">
        <v>7993</v>
      </c>
      <c r="H857" s="552"/>
      <c r="I857" s="552"/>
      <c r="J857" s="552"/>
      <c r="K857" s="552"/>
      <c r="L857" s="552"/>
      <c r="M857" s="552"/>
      <c r="N857" s="552"/>
      <c r="O857" s="552"/>
      <c r="P857" s="552"/>
      <c r="Q857" s="552"/>
      <c r="R857" s="552">
        <v>1</v>
      </c>
      <c r="S857" s="552"/>
      <c r="T857" s="552"/>
      <c r="U857" s="552"/>
      <c r="V857" s="552"/>
      <c r="W857" s="552"/>
      <c r="X857" s="552"/>
      <c r="Y857" s="552">
        <v>2</v>
      </c>
      <c r="Z857" s="552"/>
      <c r="AA857" s="552"/>
      <c r="AB857" s="552"/>
      <c r="AC857" s="552"/>
      <c r="AD857" s="552"/>
      <c r="AE857" s="552"/>
      <c r="AF857" s="552"/>
      <c r="AG857" s="552"/>
      <c r="AH857" s="552"/>
      <c r="AI857" s="552"/>
      <c r="AJ857" s="552"/>
      <c r="AK857" s="552"/>
      <c r="AL857" s="552"/>
      <c r="AM857" s="552"/>
      <c r="AN857" s="552"/>
      <c r="AO857" s="552"/>
      <c r="AP857" s="552"/>
      <c r="AQ857" s="552" t="s">
        <v>7715</v>
      </c>
      <c r="AR857" s="552" t="s">
        <v>2802</v>
      </c>
      <c r="AS857" s="552" t="s">
        <v>7484</v>
      </c>
      <c r="AT857" s="552" t="s">
        <v>726</v>
      </c>
    </row>
    <row r="858" spans="1:46" ht="14.7" customHeight="1">
      <c r="A858" s="706" t="s">
        <v>6457</v>
      </c>
      <c r="B858" s="540" t="s">
        <v>3695</v>
      </c>
      <c r="C858" s="539" t="s">
        <v>7753</v>
      </c>
      <c r="D858" s="709" t="s">
        <v>7994</v>
      </c>
      <c r="E858" s="552" t="s">
        <v>7926</v>
      </c>
      <c r="F858" s="552"/>
      <c r="G858" s="552" t="s">
        <v>7993</v>
      </c>
      <c r="H858" s="552"/>
      <c r="I858" s="552"/>
      <c r="J858" s="552"/>
      <c r="K858" s="552"/>
      <c r="L858" s="552"/>
      <c r="M858" s="552"/>
      <c r="N858" s="552"/>
      <c r="O858" s="552"/>
      <c r="P858" s="552"/>
      <c r="Q858" s="552"/>
      <c r="R858" s="552">
        <v>1</v>
      </c>
      <c r="S858" s="552"/>
      <c r="T858" s="552"/>
      <c r="U858" s="552"/>
      <c r="V858" s="552"/>
      <c r="W858" s="552"/>
      <c r="X858" s="552"/>
      <c r="Y858" s="552">
        <v>2</v>
      </c>
      <c r="Z858" s="552"/>
      <c r="AA858" s="552"/>
      <c r="AB858" s="552"/>
      <c r="AC858" s="552"/>
      <c r="AD858" s="552"/>
      <c r="AE858" s="552"/>
      <c r="AF858" s="552"/>
      <c r="AG858" s="552"/>
      <c r="AH858" s="552"/>
      <c r="AI858" s="552"/>
      <c r="AJ858" s="552"/>
      <c r="AK858" s="552"/>
      <c r="AL858" s="552"/>
      <c r="AM858" s="552"/>
      <c r="AN858" s="552"/>
      <c r="AO858" s="552"/>
      <c r="AP858" s="552"/>
      <c r="AQ858" s="552" t="s">
        <v>7715</v>
      </c>
      <c r="AR858" s="552" t="s">
        <v>2802</v>
      </c>
      <c r="AS858" s="552" t="s">
        <v>7484</v>
      </c>
      <c r="AT858" s="552" t="s">
        <v>726</v>
      </c>
    </row>
    <row r="859" spans="1:46" ht="14.7" customHeight="1">
      <c r="A859" s="706" t="s">
        <v>6458</v>
      </c>
      <c r="B859" s="707" t="s">
        <v>3696</v>
      </c>
      <c r="C859" s="539" t="s">
        <v>7753</v>
      </c>
      <c r="D859" s="709" t="s">
        <v>7995</v>
      </c>
      <c r="E859" s="552" t="s">
        <v>7926</v>
      </c>
      <c r="F859" s="552"/>
      <c r="G859" s="552" t="s">
        <v>7993</v>
      </c>
      <c r="H859" s="552"/>
      <c r="I859" s="552"/>
      <c r="J859" s="552"/>
      <c r="K859" s="552"/>
      <c r="L859" s="552"/>
      <c r="M859" s="552"/>
      <c r="N859" s="552"/>
      <c r="O859" s="552">
        <v>10</v>
      </c>
      <c r="P859" s="552"/>
      <c r="Q859" s="552"/>
      <c r="R859" s="552">
        <v>1</v>
      </c>
      <c r="S859" s="552"/>
      <c r="T859" s="552"/>
      <c r="U859" s="552"/>
      <c r="V859" s="552"/>
      <c r="W859" s="552"/>
      <c r="X859" s="552"/>
      <c r="Y859" s="552">
        <v>1</v>
      </c>
      <c r="Z859" s="552"/>
      <c r="AA859" s="552"/>
      <c r="AB859" s="552"/>
      <c r="AC859" s="552"/>
      <c r="AD859" s="552"/>
      <c r="AE859" s="552"/>
      <c r="AF859" s="552"/>
      <c r="AG859" s="552"/>
      <c r="AH859" s="552"/>
      <c r="AI859" s="552"/>
      <c r="AJ859" s="552"/>
      <c r="AK859" s="552">
        <v>10</v>
      </c>
      <c r="AL859" s="552"/>
      <c r="AM859" s="552"/>
      <c r="AN859" s="552"/>
      <c r="AO859" s="552"/>
      <c r="AP859" s="552"/>
      <c r="AQ859" s="552" t="s">
        <v>7715</v>
      </c>
      <c r="AR859" s="552" t="s">
        <v>2805</v>
      </c>
      <c r="AS859" s="552" t="s">
        <v>7484</v>
      </c>
      <c r="AT859" s="552" t="s">
        <v>726</v>
      </c>
    </row>
    <row r="860" spans="1:46" ht="14.7" customHeight="1">
      <c r="A860" s="706"/>
      <c r="B860" s="707" t="s">
        <v>3696</v>
      </c>
      <c r="C860" s="539" t="s">
        <v>7753</v>
      </c>
      <c r="D860" s="709"/>
      <c r="E860" s="552"/>
      <c r="F860" s="552"/>
      <c r="G860" s="552"/>
      <c r="H860" s="552"/>
      <c r="I860" s="552"/>
      <c r="J860" s="552"/>
      <c r="K860" s="552"/>
      <c r="L860" s="552"/>
      <c r="M860" s="552"/>
      <c r="N860" s="552"/>
      <c r="O860" s="552"/>
      <c r="P860" s="552"/>
      <c r="Q860" s="552"/>
      <c r="R860" s="552"/>
      <c r="S860" s="552"/>
      <c r="T860" s="552"/>
      <c r="U860" s="552"/>
      <c r="V860" s="552"/>
      <c r="W860" s="552"/>
      <c r="X860" s="552"/>
      <c r="Y860" s="552"/>
      <c r="Z860" s="552"/>
      <c r="AA860" s="552"/>
      <c r="AB860" s="552"/>
      <c r="AC860" s="552"/>
      <c r="AD860" s="552"/>
      <c r="AE860" s="552"/>
      <c r="AF860" s="552"/>
      <c r="AG860" s="552"/>
      <c r="AH860" s="552"/>
      <c r="AI860" s="552"/>
      <c r="AJ860" s="552"/>
      <c r="AK860" s="552"/>
      <c r="AL860" s="552"/>
      <c r="AM860" s="552"/>
      <c r="AN860" s="552"/>
      <c r="AO860" s="552"/>
      <c r="AP860" s="552"/>
      <c r="AQ860" s="552" t="s">
        <v>7715</v>
      </c>
      <c r="AR860" s="552" t="s">
        <v>2805</v>
      </c>
      <c r="AS860" s="552" t="s">
        <v>7484</v>
      </c>
      <c r="AT860" s="552" t="s">
        <v>726</v>
      </c>
    </row>
    <row r="861" spans="1:46" ht="14.7" customHeight="1">
      <c r="A861" s="706" t="s">
        <v>6459</v>
      </c>
      <c r="B861" s="556" t="s">
        <v>3697</v>
      </c>
      <c r="C861" s="539" t="s">
        <v>7753</v>
      </c>
      <c r="D861" s="709" t="s">
        <v>7996</v>
      </c>
      <c r="E861" s="552" t="s">
        <v>7926</v>
      </c>
      <c r="F861" s="552"/>
      <c r="G861" s="552" t="s">
        <v>7993</v>
      </c>
      <c r="H861" s="552"/>
      <c r="I861" s="552"/>
      <c r="J861" s="552"/>
      <c r="K861" s="552"/>
      <c r="L861" s="552"/>
      <c r="M861" s="552"/>
      <c r="N861" s="552"/>
      <c r="O861" s="552"/>
      <c r="P861" s="552"/>
      <c r="Q861" s="552"/>
      <c r="R861" s="552"/>
      <c r="S861" s="552">
        <v>2</v>
      </c>
      <c r="T861" s="552"/>
      <c r="U861" s="552"/>
      <c r="V861" s="552"/>
      <c r="W861" s="552"/>
      <c r="X861" s="552"/>
      <c r="Y861" s="552"/>
      <c r="Z861" s="552"/>
      <c r="AA861" s="552"/>
      <c r="AB861" s="552"/>
      <c r="AC861" s="552"/>
      <c r="AD861" s="552"/>
      <c r="AE861" s="552"/>
      <c r="AF861" s="552">
        <v>10</v>
      </c>
      <c r="AG861" s="552"/>
      <c r="AH861" s="552"/>
      <c r="AI861" s="552"/>
      <c r="AJ861" s="552"/>
      <c r="AK861" s="552"/>
      <c r="AL861" s="552"/>
      <c r="AM861" s="552"/>
      <c r="AN861" s="552"/>
      <c r="AO861" s="552"/>
      <c r="AP861" s="552"/>
      <c r="AQ861" s="552" t="s">
        <v>7715</v>
      </c>
      <c r="AR861" s="552" t="s">
        <v>2875</v>
      </c>
      <c r="AS861" s="552" t="s">
        <v>7484</v>
      </c>
      <c r="AT861" s="552" t="s">
        <v>726</v>
      </c>
    </row>
    <row r="862" spans="1:46" ht="14.7" customHeight="1">
      <c r="A862" s="706" t="s">
        <v>6460</v>
      </c>
      <c r="B862" s="556" t="s">
        <v>3697</v>
      </c>
      <c r="C862" s="539" t="s">
        <v>7753</v>
      </c>
      <c r="D862" s="709" t="s">
        <v>7997</v>
      </c>
      <c r="E862" s="552" t="s">
        <v>7926</v>
      </c>
      <c r="F862" s="552"/>
      <c r="G862" s="552" t="s">
        <v>7993</v>
      </c>
      <c r="H862" s="552"/>
      <c r="I862" s="552"/>
      <c r="J862" s="552"/>
      <c r="K862" s="552"/>
      <c r="L862" s="552"/>
      <c r="M862" s="552"/>
      <c r="N862" s="552"/>
      <c r="O862" s="552">
        <v>50</v>
      </c>
      <c r="P862" s="552"/>
      <c r="Q862" s="552"/>
      <c r="R862" s="552"/>
      <c r="S862" s="552"/>
      <c r="T862" s="552"/>
      <c r="U862" s="552"/>
      <c r="V862" s="552"/>
      <c r="W862" s="552"/>
      <c r="X862" s="552"/>
      <c r="Y862" s="552"/>
      <c r="Z862" s="552"/>
      <c r="AA862" s="552"/>
      <c r="AB862" s="552"/>
      <c r="AC862" s="552"/>
      <c r="AD862" s="552"/>
      <c r="AE862" s="552"/>
      <c r="AF862" s="552"/>
      <c r="AG862" s="552"/>
      <c r="AH862" s="552"/>
      <c r="AI862" s="552"/>
      <c r="AJ862" s="552"/>
      <c r="AK862" s="552"/>
      <c r="AL862" s="552"/>
      <c r="AM862" s="552"/>
      <c r="AN862" s="552"/>
      <c r="AO862" s="552"/>
      <c r="AP862" s="552"/>
      <c r="AQ862" s="552" t="s">
        <v>7715</v>
      </c>
      <c r="AR862" s="552" t="s">
        <v>2875</v>
      </c>
      <c r="AS862" s="552" t="s">
        <v>7484</v>
      </c>
      <c r="AT862" s="552" t="s">
        <v>726</v>
      </c>
    </row>
    <row r="863" spans="1:46" ht="14.7" customHeight="1">
      <c r="A863" s="706"/>
      <c r="B863" s="556" t="s">
        <v>3697</v>
      </c>
      <c r="C863" s="539" t="s">
        <v>7753</v>
      </c>
      <c r="D863" s="709"/>
      <c r="E863" s="552"/>
      <c r="F863" s="552"/>
      <c r="G863" s="552"/>
      <c r="H863" s="552"/>
      <c r="I863" s="552"/>
      <c r="J863" s="552"/>
      <c r="K863" s="552"/>
      <c r="L863" s="552"/>
      <c r="M863" s="552"/>
      <c r="N863" s="552"/>
      <c r="O863" s="552"/>
      <c r="P863" s="552"/>
      <c r="Q863" s="552"/>
      <c r="R863" s="552"/>
      <c r="S863" s="552"/>
      <c r="T863" s="552"/>
      <c r="U863" s="552"/>
      <c r="V863" s="552"/>
      <c r="W863" s="552"/>
      <c r="X863" s="552"/>
      <c r="Y863" s="552"/>
      <c r="Z863" s="552"/>
      <c r="AA863" s="552"/>
      <c r="AB863" s="552"/>
      <c r="AC863" s="552"/>
      <c r="AD863" s="552"/>
      <c r="AE863" s="552"/>
      <c r="AF863" s="552"/>
      <c r="AG863" s="552"/>
      <c r="AH863" s="552"/>
      <c r="AI863" s="552"/>
      <c r="AJ863" s="552"/>
      <c r="AK863" s="552"/>
      <c r="AL863" s="552"/>
      <c r="AM863" s="552"/>
      <c r="AN863" s="552"/>
      <c r="AO863" s="552"/>
      <c r="AP863" s="552"/>
      <c r="AQ863" s="552" t="s">
        <v>7715</v>
      </c>
      <c r="AR863" s="552" t="s">
        <v>2875</v>
      </c>
      <c r="AS863" s="552" t="s">
        <v>7484</v>
      </c>
      <c r="AT863" s="552" t="s">
        <v>726</v>
      </c>
    </row>
    <row r="864" spans="1:46" ht="14.7" customHeight="1">
      <c r="A864" s="706" t="s">
        <v>6461</v>
      </c>
      <c r="B864" s="557" t="s">
        <v>3698</v>
      </c>
      <c r="C864" s="539" t="s">
        <v>7753</v>
      </c>
      <c r="D864" s="709" t="s">
        <v>7998</v>
      </c>
      <c r="E864" s="552" t="s">
        <v>7926</v>
      </c>
      <c r="F864" s="552"/>
      <c r="G864" s="552" t="s">
        <v>7993</v>
      </c>
      <c r="H864" s="552"/>
      <c r="I864" s="552"/>
      <c r="J864" s="552"/>
      <c r="K864" s="552"/>
      <c r="L864" s="552"/>
      <c r="M864" s="552"/>
      <c r="N864" s="552"/>
      <c r="O864" s="552"/>
      <c r="P864" s="552"/>
      <c r="Q864" s="552"/>
      <c r="R864" s="552"/>
      <c r="S864" s="552"/>
      <c r="T864" s="552"/>
      <c r="U864" s="552"/>
      <c r="V864" s="552"/>
      <c r="W864" s="552"/>
      <c r="X864" s="552"/>
      <c r="Y864" s="552"/>
      <c r="Z864" s="552"/>
      <c r="AA864" s="552"/>
      <c r="AB864" s="552"/>
      <c r="AC864" s="552"/>
      <c r="AD864" s="552"/>
      <c r="AE864" s="552"/>
      <c r="AF864" s="552"/>
      <c r="AG864" s="552"/>
      <c r="AH864" s="552"/>
      <c r="AI864" s="552"/>
      <c r="AJ864" s="552"/>
      <c r="AK864" s="552"/>
      <c r="AL864" s="552"/>
      <c r="AM864" s="552"/>
      <c r="AN864" s="552"/>
      <c r="AO864" s="717" t="s">
        <v>7999</v>
      </c>
      <c r="AP864" s="552"/>
      <c r="AQ864" s="552" t="s">
        <v>7715</v>
      </c>
      <c r="AR864" s="552" t="s">
        <v>2998</v>
      </c>
      <c r="AS864" s="552" t="s">
        <v>7484</v>
      </c>
      <c r="AT864" s="552" t="s">
        <v>726</v>
      </c>
    </row>
    <row r="865" spans="1:46" ht="14.7" customHeight="1">
      <c r="A865" s="706" t="s">
        <v>6462</v>
      </c>
      <c r="B865" s="557" t="s">
        <v>3698</v>
      </c>
      <c r="C865" s="539" t="s">
        <v>7753</v>
      </c>
      <c r="D865" s="709" t="s">
        <v>8000</v>
      </c>
      <c r="E865" s="552" t="s">
        <v>7923</v>
      </c>
      <c r="F865" s="552"/>
      <c r="G865" s="552" t="s">
        <v>7993</v>
      </c>
      <c r="H865" s="552"/>
      <c r="I865" s="552"/>
      <c r="J865" s="552"/>
      <c r="K865" s="552"/>
      <c r="L865" s="552"/>
      <c r="M865" s="552"/>
      <c r="N865" s="552"/>
      <c r="O865" s="552"/>
      <c r="P865" s="552"/>
      <c r="Q865" s="552"/>
      <c r="R865" s="552"/>
      <c r="S865" s="552"/>
      <c r="T865" s="552"/>
      <c r="U865" s="552"/>
      <c r="V865" s="552"/>
      <c r="W865" s="552"/>
      <c r="X865" s="552"/>
      <c r="Y865" s="552"/>
      <c r="Z865" s="552"/>
      <c r="AA865" s="552"/>
      <c r="AB865" s="552"/>
      <c r="AC865" s="552"/>
      <c r="AD865" s="552"/>
      <c r="AE865" s="552"/>
      <c r="AF865" s="552"/>
      <c r="AG865" s="552"/>
      <c r="AH865" s="552"/>
      <c r="AI865" s="552"/>
      <c r="AJ865" s="552"/>
      <c r="AK865" s="552"/>
      <c r="AL865" s="552"/>
      <c r="AM865" s="552"/>
      <c r="AN865" s="552"/>
      <c r="AO865" s="717" t="s">
        <v>8001</v>
      </c>
      <c r="AP865" s="552"/>
      <c r="AQ865" s="552" t="s">
        <v>7715</v>
      </c>
      <c r="AR865" s="552" t="s">
        <v>2998</v>
      </c>
      <c r="AS865" s="552" t="s">
        <v>7484</v>
      </c>
      <c r="AT865" s="552" t="s">
        <v>726</v>
      </c>
    </row>
    <row r="866" spans="1:46" ht="14.7" customHeight="1">
      <c r="A866" s="706" t="s">
        <v>6463</v>
      </c>
      <c r="B866" s="557" t="s">
        <v>3698</v>
      </c>
      <c r="C866" s="539" t="s">
        <v>7753</v>
      </c>
      <c r="D866" s="709" t="s">
        <v>8002</v>
      </c>
      <c r="E866" s="552" t="s">
        <v>7926</v>
      </c>
      <c r="F866" s="552"/>
      <c r="G866" s="552" t="s">
        <v>7993</v>
      </c>
      <c r="H866" s="552"/>
      <c r="I866" s="552"/>
      <c r="J866" s="552"/>
      <c r="K866" s="552"/>
      <c r="L866" s="552"/>
      <c r="M866" s="552"/>
      <c r="N866" s="552"/>
      <c r="O866" s="552">
        <v>50</v>
      </c>
      <c r="P866" s="552"/>
      <c r="Q866" s="552"/>
      <c r="R866" s="552"/>
      <c r="S866" s="552"/>
      <c r="T866" s="552"/>
      <c r="U866" s="552"/>
      <c r="V866" s="552"/>
      <c r="W866" s="552"/>
      <c r="X866" s="552"/>
      <c r="Y866" s="552"/>
      <c r="Z866" s="552"/>
      <c r="AA866" s="552"/>
      <c r="AB866" s="552"/>
      <c r="AC866" s="552"/>
      <c r="AD866" s="552"/>
      <c r="AE866" s="552"/>
      <c r="AF866" s="552"/>
      <c r="AG866" s="552"/>
      <c r="AH866" s="552"/>
      <c r="AI866" s="552"/>
      <c r="AJ866" s="552"/>
      <c r="AK866" s="552"/>
      <c r="AL866" s="552"/>
      <c r="AM866" s="552"/>
      <c r="AN866" s="552"/>
      <c r="AO866" s="717" t="s">
        <v>8003</v>
      </c>
      <c r="AP866" s="552"/>
      <c r="AQ866" s="552" t="s">
        <v>7715</v>
      </c>
      <c r="AR866" s="552" t="s">
        <v>2998</v>
      </c>
      <c r="AS866" s="552" t="s">
        <v>7484</v>
      </c>
      <c r="AT866" s="552" t="s">
        <v>726</v>
      </c>
    </row>
    <row r="867" spans="1:46" ht="14.7" customHeight="1">
      <c r="A867" s="706" t="s">
        <v>6464</v>
      </c>
      <c r="B867" s="557" t="s">
        <v>3698</v>
      </c>
      <c r="C867" s="539" t="s">
        <v>7753</v>
      </c>
      <c r="D867" s="709" t="s">
        <v>8004</v>
      </c>
      <c r="E867" s="552" t="s">
        <v>7926</v>
      </c>
      <c r="F867" s="552"/>
      <c r="G867" s="552" t="s">
        <v>7993</v>
      </c>
      <c r="H867" s="552"/>
      <c r="I867" s="552"/>
      <c r="J867" s="552"/>
      <c r="K867" s="552"/>
      <c r="L867" s="552"/>
      <c r="M867" s="552"/>
      <c r="N867" s="552"/>
      <c r="O867" s="552"/>
      <c r="P867" s="552">
        <v>-2</v>
      </c>
      <c r="Q867" s="552">
        <v>-2</v>
      </c>
      <c r="R867" s="552">
        <v>4</v>
      </c>
      <c r="S867" s="552"/>
      <c r="T867" s="552"/>
      <c r="U867" s="552">
        <v>2</v>
      </c>
      <c r="V867" s="552"/>
      <c r="W867" s="552"/>
      <c r="X867" s="552"/>
      <c r="Y867" s="552"/>
      <c r="Z867" s="552"/>
      <c r="AA867" s="552"/>
      <c r="AB867" s="552"/>
      <c r="AC867" s="552"/>
      <c r="AD867" s="552"/>
      <c r="AE867" s="552"/>
      <c r="AF867" s="552"/>
      <c r="AG867" s="552"/>
      <c r="AH867" s="552"/>
      <c r="AI867" s="552"/>
      <c r="AJ867" s="552"/>
      <c r="AK867" s="552"/>
      <c r="AL867" s="552"/>
      <c r="AM867" s="552"/>
      <c r="AN867" s="552"/>
      <c r="AO867" s="552"/>
      <c r="AP867" s="552"/>
      <c r="AQ867" s="552" t="s">
        <v>7715</v>
      </c>
      <c r="AR867" s="552" t="s">
        <v>2998</v>
      </c>
      <c r="AS867" s="552" t="s">
        <v>7484</v>
      </c>
      <c r="AT867" s="552" t="s">
        <v>726</v>
      </c>
    </row>
    <row r="868" spans="1:46" ht="14.7" customHeight="1">
      <c r="A868" s="706" t="s">
        <v>6465</v>
      </c>
      <c r="B868" s="344" t="s">
        <v>3699</v>
      </c>
      <c r="C868" s="539" t="s">
        <v>7753</v>
      </c>
      <c r="D868" s="709" t="s">
        <v>8005</v>
      </c>
      <c r="E868" s="552" t="s">
        <v>7926</v>
      </c>
      <c r="F868" s="709"/>
      <c r="G868" s="709" t="s">
        <v>7993</v>
      </c>
      <c r="H868" s="552"/>
      <c r="I868" s="552"/>
      <c r="J868" s="552"/>
      <c r="K868" s="552"/>
      <c r="L868" s="552"/>
      <c r="M868" s="552"/>
      <c r="N868" s="552"/>
      <c r="O868" s="552"/>
      <c r="P868" s="552"/>
      <c r="Q868" s="552"/>
      <c r="R868" s="552"/>
      <c r="S868" s="552"/>
      <c r="T868" s="552"/>
      <c r="U868" s="552"/>
      <c r="V868" s="552"/>
      <c r="W868" s="552"/>
      <c r="X868" s="552"/>
      <c r="Y868" s="552"/>
      <c r="Z868" s="552"/>
      <c r="AA868" s="552"/>
      <c r="AB868" s="552"/>
      <c r="AC868" s="552"/>
      <c r="AD868" s="552"/>
      <c r="AE868" s="552"/>
      <c r="AF868" s="552"/>
      <c r="AG868" s="552"/>
      <c r="AH868" s="552"/>
      <c r="AI868" s="552"/>
      <c r="AJ868" s="552"/>
      <c r="AK868" s="552"/>
      <c r="AL868" s="552"/>
      <c r="AM868" s="552"/>
      <c r="AN868" s="552"/>
      <c r="AO868" s="717" t="s">
        <v>8006</v>
      </c>
      <c r="AP868" s="552"/>
      <c r="AQ868" s="552" t="s">
        <v>7715</v>
      </c>
      <c r="AR868" s="552" t="s">
        <v>2809</v>
      </c>
      <c r="AS868" s="552" t="s">
        <v>7484</v>
      </c>
      <c r="AT868" s="552" t="s">
        <v>726</v>
      </c>
    </row>
    <row r="869" spans="1:46" ht="14.7" customHeight="1">
      <c r="A869" s="706" t="s">
        <v>8007</v>
      </c>
      <c r="B869" s="344" t="s">
        <v>3699</v>
      </c>
      <c r="C869" s="539" t="s">
        <v>7753</v>
      </c>
      <c r="D869" s="709" t="s">
        <v>8008</v>
      </c>
      <c r="E869" s="552" t="s">
        <v>7926</v>
      </c>
      <c r="F869" s="552"/>
      <c r="G869" s="552" t="s">
        <v>7993</v>
      </c>
      <c r="H869" s="552"/>
      <c r="I869" s="552"/>
      <c r="J869" s="552"/>
      <c r="K869" s="552"/>
      <c r="L869" s="552"/>
      <c r="M869" s="552"/>
      <c r="N869" s="552"/>
      <c r="O869" s="552"/>
      <c r="P869" s="552"/>
      <c r="Q869" s="552"/>
      <c r="R869" s="552">
        <v>3</v>
      </c>
      <c r="S869" s="552"/>
      <c r="T869" s="552"/>
      <c r="U869" s="552">
        <v>1</v>
      </c>
      <c r="V869" s="552"/>
      <c r="W869" s="552"/>
      <c r="X869" s="552"/>
      <c r="Y869" s="552">
        <v>3</v>
      </c>
      <c r="Z869" s="552"/>
      <c r="AA869" s="552"/>
      <c r="AB869" s="552">
        <v>10</v>
      </c>
      <c r="AC869" s="552">
        <v>10</v>
      </c>
      <c r="AD869" s="552">
        <v>10</v>
      </c>
      <c r="AE869" s="552">
        <v>10</v>
      </c>
      <c r="AF869" s="552">
        <v>10</v>
      </c>
      <c r="AG869" s="552">
        <v>10</v>
      </c>
      <c r="AH869" s="552">
        <v>10</v>
      </c>
      <c r="AI869" s="552">
        <v>10</v>
      </c>
      <c r="AJ869" s="552">
        <v>10</v>
      </c>
      <c r="AK869" s="552"/>
      <c r="AL869" s="552"/>
      <c r="AM869" s="552"/>
      <c r="AN869" s="552"/>
      <c r="AO869" s="552"/>
      <c r="AP869" s="717" t="s">
        <v>8009</v>
      </c>
      <c r="AQ869" s="552" t="s">
        <v>7715</v>
      </c>
      <c r="AR869" s="552" t="s">
        <v>2809</v>
      </c>
      <c r="AS869" s="552" t="s">
        <v>7484</v>
      </c>
      <c r="AT869" s="552" t="s">
        <v>726</v>
      </c>
    </row>
    <row r="870" spans="1:46" ht="14.7" customHeight="1">
      <c r="A870" s="706" t="s">
        <v>6466</v>
      </c>
      <c r="B870" s="344" t="s">
        <v>3699</v>
      </c>
      <c r="C870" s="539" t="s">
        <v>7753</v>
      </c>
      <c r="D870" s="709" t="s">
        <v>8010</v>
      </c>
      <c r="E870" s="552" t="s">
        <v>7926</v>
      </c>
      <c r="F870" s="552"/>
      <c r="G870" s="552" t="s">
        <v>7993</v>
      </c>
      <c r="H870" s="552"/>
      <c r="I870" s="552"/>
      <c r="J870" s="552"/>
      <c r="K870" s="552"/>
      <c r="L870" s="552"/>
      <c r="M870" s="552"/>
      <c r="N870" s="552"/>
      <c r="O870" s="552"/>
      <c r="P870" s="552"/>
      <c r="Q870" s="552"/>
      <c r="R870" s="552">
        <v>6</v>
      </c>
      <c r="S870" s="552"/>
      <c r="T870" s="552"/>
      <c r="U870" s="552"/>
      <c r="V870" s="552"/>
      <c r="W870" s="552"/>
      <c r="X870" s="552"/>
      <c r="Y870" s="552">
        <v>6</v>
      </c>
      <c r="Z870" s="552"/>
      <c r="AA870" s="552"/>
      <c r="AB870" s="552"/>
      <c r="AC870" s="552"/>
      <c r="AD870" s="552"/>
      <c r="AE870" s="552"/>
      <c r="AF870" s="552"/>
      <c r="AG870" s="552"/>
      <c r="AH870" s="552"/>
      <c r="AI870" s="552"/>
      <c r="AJ870" s="552"/>
      <c r="AK870" s="552"/>
      <c r="AL870" s="552"/>
      <c r="AM870" s="552"/>
      <c r="AN870" s="552"/>
      <c r="AO870" s="717" t="s">
        <v>8011</v>
      </c>
      <c r="AP870" s="552"/>
      <c r="AQ870" s="552" t="s">
        <v>7715</v>
      </c>
      <c r="AR870" s="552" t="s">
        <v>2809</v>
      </c>
      <c r="AS870" s="552" t="s">
        <v>7484</v>
      </c>
      <c r="AT870" s="552" t="s">
        <v>726</v>
      </c>
    </row>
    <row r="871" spans="1:46" ht="14.7" customHeight="1">
      <c r="A871" s="706" t="s">
        <v>8012</v>
      </c>
      <c r="B871" s="344" t="s">
        <v>3699</v>
      </c>
      <c r="C871" s="539" t="s">
        <v>7753</v>
      </c>
      <c r="D871" s="709" t="s">
        <v>8013</v>
      </c>
      <c r="E871" s="552" t="s">
        <v>7926</v>
      </c>
      <c r="F871" s="552"/>
      <c r="G871" s="552" t="s">
        <v>7993</v>
      </c>
      <c r="H871" s="552"/>
      <c r="I871" s="552"/>
      <c r="J871" s="552"/>
      <c r="K871" s="552"/>
      <c r="L871" s="552"/>
      <c r="M871" s="552"/>
      <c r="N871" s="552"/>
      <c r="O871" s="552"/>
      <c r="P871" s="552"/>
      <c r="Q871" s="552"/>
      <c r="R871" s="552">
        <v>4</v>
      </c>
      <c r="S871" s="552"/>
      <c r="T871" s="552"/>
      <c r="U871" s="552"/>
      <c r="V871" s="552"/>
      <c r="W871" s="552"/>
      <c r="X871" s="552"/>
      <c r="Y871" s="552">
        <v>2</v>
      </c>
      <c r="Z871" s="552"/>
      <c r="AA871" s="552"/>
      <c r="AB871" s="552"/>
      <c r="AC871" s="552"/>
      <c r="AD871" s="552"/>
      <c r="AE871" s="552"/>
      <c r="AF871" s="552"/>
      <c r="AG871" s="552"/>
      <c r="AH871" s="552"/>
      <c r="AI871" s="552"/>
      <c r="AJ871" s="552"/>
      <c r="AK871" s="552">
        <v>20</v>
      </c>
      <c r="AL871" s="552"/>
      <c r="AM871" s="552"/>
      <c r="AN871" s="552"/>
      <c r="AO871" s="552"/>
      <c r="AP871" s="717" t="s">
        <v>8014</v>
      </c>
      <c r="AQ871" s="552" t="s">
        <v>7715</v>
      </c>
      <c r="AR871" s="552" t="s">
        <v>2809</v>
      </c>
      <c r="AS871" s="552" t="s">
        <v>7484</v>
      </c>
      <c r="AT871" s="552" t="s">
        <v>726</v>
      </c>
    </row>
    <row r="872" spans="1:46" ht="14.7" customHeight="1">
      <c r="A872" s="706"/>
      <c r="B872" s="344" t="s">
        <v>3699</v>
      </c>
      <c r="C872" s="539" t="s">
        <v>7753</v>
      </c>
      <c r="D872" s="709"/>
      <c r="E872" s="552"/>
      <c r="F872" s="552"/>
      <c r="G872" s="552"/>
      <c r="H872" s="552"/>
      <c r="I872" s="552"/>
      <c r="J872" s="552"/>
      <c r="K872" s="552"/>
      <c r="L872" s="552"/>
      <c r="M872" s="552"/>
      <c r="N872" s="552"/>
      <c r="O872" s="552"/>
      <c r="P872" s="552"/>
      <c r="Q872" s="552"/>
      <c r="R872" s="552"/>
      <c r="S872" s="552"/>
      <c r="T872" s="552"/>
      <c r="U872" s="552"/>
      <c r="V872" s="552"/>
      <c r="W872" s="552"/>
      <c r="X872" s="552"/>
      <c r="Y872" s="552"/>
      <c r="Z872" s="552"/>
      <c r="AA872" s="552"/>
      <c r="AB872" s="552"/>
      <c r="AC872" s="552"/>
      <c r="AD872" s="552"/>
      <c r="AE872" s="552"/>
      <c r="AF872" s="552"/>
      <c r="AG872" s="552"/>
      <c r="AH872" s="552"/>
      <c r="AI872" s="552"/>
      <c r="AJ872" s="552"/>
      <c r="AK872" s="552"/>
      <c r="AL872" s="552"/>
      <c r="AM872" s="552"/>
      <c r="AN872" s="552"/>
      <c r="AO872" s="552"/>
      <c r="AP872" s="552"/>
      <c r="AQ872" s="552" t="s">
        <v>7715</v>
      </c>
      <c r="AR872" s="552" t="s">
        <v>2809</v>
      </c>
      <c r="AS872" s="552" t="s">
        <v>7484</v>
      </c>
      <c r="AT872" s="552" t="s">
        <v>726</v>
      </c>
    </row>
    <row r="873" spans="1:46" ht="14.7" customHeight="1">
      <c r="A873" s="706" t="s">
        <v>6467</v>
      </c>
      <c r="B873" s="559" t="s">
        <v>3700</v>
      </c>
      <c r="C873" s="539" t="s">
        <v>7753</v>
      </c>
      <c r="D873" s="709" t="s">
        <v>8015</v>
      </c>
      <c r="E873" s="552" t="s">
        <v>7923</v>
      </c>
      <c r="F873" s="552"/>
      <c r="G873" s="552" t="s">
        <v>7993</v>
      </c>
      <c r="H873" s="552"/>
      <c r="I873" s="552"/>
      <c r="J873" s="552"/>
      <c r="K873" s="552"/>
      <c r="L873" s="552"/>
      <c r="M873" s="552"/>
      <c r="N873" s="552"/>
      <c r="O873" s="552">
        <v>200</v>
      </c>
      <c r="P873" s="552"/>
      <c r="Q873" s="552"/>
      <c r="R873" s="552">
        <v>20</v>
      </c>
      <c r="S873" s="552"/>
      <c r="T873" s="552"/>
      <c r="U873" s="552"/>
      <c r="V873" s="552"/>
      <c r="W873" s="552"/>
      <c r="X873" s="552"/>
      <c r="Y873" s="552"/>
      <c r="Z873" s="552"/>
      <c r="AA873" s="552"/>
      <c r="AB873" s="552">
        <v>30</v>
      </c>
      <c r="AC873" s="552">
        <v>30</v>
      </c>
      <c r="AD873" s="552">
        <v>30</v>
      </c>
      <c r="AE873" s="552">
        <v>30</v>
      </c>
      <c r="AF873" s="552">
        <v>30</v>
      </c>
      <c r="AG873" s="552">
        <v>30</v>
      </c>
      <c r="AH873" s="552">
        <v>30</v>
      </c>
      <c r="AI873" s="552">
        <v>30</v>
      </c>
      <c r="AJ873" s="552">
        <v>30</v>
      </c>
      <c r="AK873" s="552"/>
      <c r="AL873" s="552"/>
      <c r="AM873" s="552"/>
      <c r="AN873" s="552"/>
      <c r="AO873" s="717" t="s">
        <v>8016</v>
      </c>
      <c r="AP873" s="552"/>
      <c r="AQ873" s="552" t="s">
        <v>7715</v>
      </c>
      <c r="AR873" s="552" t="s">
        <v>2971</v>
      </c>
      <c r="AS873" s="552" t="s">
        <v>7484</v>
      </c>
      <c r="AT873" s="552" t="s">
        <v>726</v>
      </c>
    </row>
    <row r="874" spans="1:46" ht="14.7" customHeight="1">
      <c r="A874" s="706"/>
      <c r="B874" s="559" t="s">
        <v>3700</v>
      </c>
      <c r="C874" s="539" t="s">
        <v>7753</v>
      </c>
      <c r="D874" s="709"/>
      <c r="E874" s="552"/>
      <c r="F874" s="552"/>
      <c r="G874" s="552"/>
      <c r="H874" s="552"/>
      <c r="I874" s="552"/>
      <c r="J874" s="552"/>
      <c r="K874" s="552"/>
      <c r="L874" s="552"/>
      <c r="M874" s="552"/>
      <c r="N874" s="552"/>
      <c r="O874" s="552"/>
      <c r="P874" s="552"/>
      <c r="Q874" s="552"/>
      <c r="R874" s="552"/>
      <c r="S874" s="552"/>
      <c r="T874" s="552"/>
      <c r="U874" s="552"/>
      <c r="V874" s="552"/>
      <c r="W874" s="552"/>
      <c r="X874" s="552"/>
      <c r="Y874" s="552"/>
      <c r="Z874" s="552"/>
      <c r="AA874" s="552"/>
      <c r="AB874" s="552"/>
      <c r="AC874" s="552"/>
      <c r="AD874" s="552"/>
      <c r="AE874" s="552"/>
      <c r="AF874" s="552"/>
      <c r="AG874" s="552"/>
      <c r="AH874" s="552"/>
      <c r="AI874" s="552"/>
      <c r="AJ874" s="552"/>
      <c r="AK874" s="552"/>
      <c r="AL874" s="552"/>
      <c r="AM874" s="552"/>
      <c r="AN874" s="552"/>
      <c r="AO874" s="552"/>
      <c r="AP874" s="552"/>
      <c r="AQ874" s="552" t="s">
        <v>7715</v>
      </c>
      <c r="AR874" s="552" t="s">
        <v>2971</v>
      </c>
      <c r="AS874" s="552" t="s">
        <v>7484</v>
      </c>
      <c r="AT874" s="552" t="s">
        <v>726</v>
      </c>
    </row>
    <row r="875" spans="1:46" ht="14.7" customHeight="1">
      <c r="A875" s="706"/>
      <c r="B875" s="711" t="s">
        <v>6055</v>
      </c>
      <c r="C875" s="539" t="s">
        <v>7753</v>
      </c>
      <c r="D875" s="709"/>
      <c r="E875" s="552"/>
      <c r="F875" s="552"/>
      <c r="G875" s="552"/>
      <c r="H875" s="552"/>
      <c r="I875" s="552"/>
      <c r="J875" s="552"/>
      <c r="K875" s="552"/>
      <c r="L875" s="552"/>
      <c r="M875" s="552"/>
      <c r="N875" s="552"/>
      <c r="O875" s="552"/>
      <c r="P875" s="552"/>
      <c r="Q875" s="552"/>
      <c r="R875" s="552"/>
      <c r="S875" s="552"/>
      <c r="T875" s="552"/>
      <c r="U875" s="552"/>
      <c r="V875" s="552"/>
      <c r="W875" s="552"/>
      <c r="X875" s="552"/>
      <c r="Y875" s="552"/>
      <c r="Z875" s="552"/>
      <c r="AA875" s="552"/>
      <c r="AB875" s="552"/>
      <c r="AC875" s="552"/>
      <c r="AD875" s="552"/>
      <c r="AE875" s="552"/>
      <c r="AF875" s="552"/>
      <c r="AG875" s="552"/>
      <c r="AH875" s="552"/>
      <c r="AI875" s="552"/>
      <c r="AJ875" s="552"/>
      <c r="AK875" s="552"/>
      <c r="AL875" s="552"/>
      <c r="AM875" s="552"/>
      <c r="AN875" s="552"/>
      <c r="AO875" s="552"/>
      <c r="AP875" s="552"/>
      <c r="AQ875" s="552" t="s">
        <v>7715</v>
      </c>
      <c r="AR875" s="552" t="s">
        <v>6697</v>
      </c>
      <c r="AS875" s="552" t="s">
        <v>7484</v>
      </c>
      <c r="AT875" s="552" t="s">
        <v>726</v>
      </c>
    </row>
    <row r="876" spans="1:46" ht="14.7" customHeight="1">
      <c r="A876" s="706" t="s">
        <v>6468</v>
      </c>
      <c r="B876" s="540" t="s">
        <v>3695</v>
      </c>
      <c r="C876" s="539" t="s">
        <v>7753</v>
      </c>
      <c r="D876" s="709" t="s">
        <v>8017</v>
      </c>
      <c r="E876" s="552" t="s">
        <v>8018</v>
      </c>
      <c r="F876" s="552"/>
      <c r="G876" s="552" t="s">
        <v>8019</v>
      </c>
      <c r="H876" s="552"/>
      <c r="I876" s="552"/>
      <c r="J876" s="552"/>
      <c r="K876" s="552"/>
      <c r="L876" s="552"/>
      <c r="M876" s="552"/>
      <c r="N876" s="552"/>
      <c r="O876" s="552"/>
      <c r="P876" s="552"/>
      <c r="Q876" s="552"/>
      <c r="R876" s="552"/>
      <c r="S876" s="552"/>
      <c r="T876" s="552"/>
      <c r="U876" s="552"/>
      <c r="V876" s="552"/>
      <c r="W876" s="552"/>
      <c r="X876" s="552">
        <v>2</v>
      </c>
      <c r="Y876" s="552"/>
      <c r="Z876" s="552"/>
      <c r="AA876" s="552"/>
      <c r="AB876" s="552"/>
      <c r="AC876" s="552"/>
      <c r="AD876" s="552"/>
      <c r="AE876" s="552"/>
      <c r="AF876" s="552"/>
      <c r="AG876" s="552"/>
      <c r="AH876" s="552">
        <v>10</v>
      </c>
      <c r="AI876" s="552"/>
      <c r="AJ876" s="552"/>
      <c r="AK876" s="552"/>
      <c r="AL876" s="552"/>
      <c r="AM876" s="552"/>
      <c r="AN876" s="552"/>
      <c r="AO876" s="552"/>
      <c r="AP876" s="552"/>
      <c r="AQ876" s="552" t="s">
        <v>1186</v>
      </c>
      <c r="AR876" s="552" t="s">
        <v>2802</v>
      </c>
      <c r="AS876" s="552" t="s">
        <v>6881</v>
      </c>
      <c r="AT876" s="552" t="s">
        <v>726</v>
      </c>
    </row>
    <row r="877" spans="1:46" ht="14.7" customHeight="1">
      <c r="A877" s="706"/>
      <c r="B877" s="540" t="s">
        <v>3695</v>
      </c>
      <c r="C877" s="539" t="s">
        <v>7753</v>
      </c>
      <c r="D877" s="709"/>
      <c r="E877" s="552"/>
      <c r="F877" s="552"/>
      <c r="G877" s="552"/>
      <c r="H877" s="552"/>
      <c r="I877" s="552"/>
      <c r="J877" s="552"/>
      <c r="K877" s="552"/>
      <c r="L877" s="552"/>
      <c r="M877" s="552"/>
      <c r="N877" s="552"/>
      <c r="O877" s="552"/>
      <c r="P877" s="552"/>
      <c r="Q877" s="552"/>
      <c r="R877" s="552"/>
      <c r="S877" s="552"/>
      <c r="T877" s="552"/>
      <c r="U877" s="552"/>
      <c r="V877" s="552"/>
      <c r="W877" s="552"/>
      <c r="X877" s="552"/>
      <c r="Y877" s="552"/>
      <c r="Z877" s="552"/>
      <c r="AA877" s="552"/>
      <c r="AB877" s="552"/>
      <c r="AC877" s="552"/>
      <c r="AD877" s="552"/>
      <c r="AE877" s="552"/>
      <c r="AF877" s="552"/>
      <c r="AG877" s="552"/>
      <c r="AH877" s="552"/>
      <c r="AI877" s="552"/>
      <c r="AJ877" s="552"/>
      <c r="AK877" s="552"/>
      <c r="AL877" s="552"/>
      <c r="AM877" s="552"/>
      <c r="AN877" s="552"/>
      <c r="AO877" s="552"/>
      <c r="AP877" s="552"/>
      <c r="AQ877" s="552" t="s">
        <v>1186</v>
      </c>
      <c r="AR877" s="552" t="s">
        <v>2802</v>
      </c>
      <c r="AS877" s="552" t="s">
        <v>6881</v>
      </c>
      <c r="AT877" s="552" t="s">
        <v>726</v>
      </c>
    </row>
    <row r="878" spans="1:46" ht="14.7" customHeight="1">
      <c r="A878" s="706"/>
      <c r="B878" s="707" t="s">
        <v>3696</v>
      </c>
      <c r="C878" s="539" t="s">
        <v>7753</v>
      </c>
      <c r="D878" s="709"/>
      <c r="E878" s="552"/>
      <c r="F878" s="552"/>
      <c r="G878" s="552"/>
      <c r="H878" s="552"/>
      <c r="I878" s="552"/>
      <c r="J878" s="552"/>
      <c r="K878" s="552"/>
      <c r="L878" s="552"/>
      <c r="M878" s="552"/>
      <c r="N878" s="552"/>
      <c r="O878" s="552"/>
      <c r="P878" s="552"/>
      <c r="Q878" s="552"/>
      <c r="R878" s="552"/>
      <c r="S878" s="552"/>
      <c r="T878" s="552"/>
      <c r="U878" s="552"/>
      <c r="V878" s="552"/>
      <c r="W878" s="552"/>
      <c r="X878" s="552"/>
      <c r="Y878" s="552"/>
      <c r="Z878" s="552"/>
      <c r="AA878" s="552"/>
      <c r="AB878" s="552"/>
      <c r="AC878" s="552"/>
      <c r="AD878" s="552"/>
      <c r="AE878" s="552"/>
      <c r="AF878" s="552"/>
      <c r="AG878" s="552"/>
      <c r="AH878" s="552"/>
      <c r="AI878" s="552"/>
      <c r="AJ878" s="552"/>
      <c r="AK878" s="552"/>
      <c r="AL878" s="552"/>
      <c r="AM878" s="552"/>
      <c r="AN878" s="552"/>
      <c r="AO878" s="552"/>
      <c r="AP878" s="552"/>
      <c r="AQ878" s="552" t="s">
        <v>1186</v>
      </c>
      <c r="AR878" s="552" t="s">
        <v>2805</v>
      </c>
      <c r="AS878" s="552" t="s">
        <v>6881</v>
      </c>
      <c r="AT878" s="552" t="s">
        <v>726</v>
      </c>
    </row>
    <row r="879" spans="1:46" ht="14.7" customHeight="1">
      <c r="A879" s="706"/>
      <c r="B879" s="707" t="s">
        <v>3696</v>
      </c>
      <c r="C879" s="539" t="s">
        <v>7753</v>
      </c>
      <c r="D879" s="709"/>
      <c r="E879" s="552"/>
      <c r="F879" s="552"/>
      <c r="G879" s="552"/>
      <c r="H879" s="552"/>
      <c r="I879" s="552"/>
      <c r="J879" s="552"/>
      <c r="K879" s="552"/>
      <c r="L879" s="552"/>
      <c r="M879" s="552"/>
      <c r="N879" s="552"/>
      <c r="O879" s="552"/>
      <c r="P879" s="552"/>
      <c r="Q879" s="552"/>
      <c r="R879" s="552"/>
      <c r="S879" s="552"/>
      <c r="T879" s="552"/>
      <c r="U879" s="552"/>
      <c r="V879" s="552"/>
      <c r="W879" s="552"/>
      <c r="X879" s="552"/>
      <c r="Y879" s="552"/>
      <c r="Z879" s="552"/>
      <c r="AA879" s="552"/>
      <c r="AB879" s="552"/>
      <c r="AC879" s="552"/>
      <c r="AD879" s="552"/>
      <c r="AE879" s="552"/>
      <c r="AF879" s="552"/>
      <c r="AG879" s="552"/>
      <c r="AH879" s="552"/>
      <c r="AI879" s="552"/>
      <c r="AJ879" s="552"/>
      <c r="AK879" s="552"/>
      <c r="AL879" s="552"/>
      <c r="AM879" s="552"/>
      <c r="AN879" s="552"/>
      <c r="AO879" s="552"/>
      <c r="AP879" s="552"/>
      <c r="AQ879" s="552" t="s">
        <v>1186</v>
      </c>
      <c r="AR879" s="552" t="s">
        <v>2805</v>
      </c>
      <c r="AS879" s="552" t="s">
        <v>6881</v>
      </c>
      <c r="AT879" s="552" t="s">
        <v>726</v>
      </c>
    </row>
    <row r="880" spans="1:46" ht="14.7" customHeight="1">
      <c r="A880" s="706"/>
      <c r="B880" s="556" t="s">
        <v>3697</v>
      </c>
      <c r="C880" s="539" t="s">
        <v>7753</v>
      </c>
      <c r="D880" s="709"/>
      <c r="E880" s="552"/>
      <c r="F880" s="552"/>
      <c r="G880" s="552"/>
      <c r="H880" s="552"/>
      <c r="I880" s="552"/>
      <c r="J880" s="552"/>
      <c r="K880" s="552"/>
      <c r="L880" s="552"/>
      <c r="M880" s="552"/>
      <c r="N880" s="552"/>
      <c r="O880" s="552"/>
      <c r="P880" s="552"/>
      <c r="Q880" s="552"/>
      <c r="R880" s="552"/>
      <c r="S880" s="552"/>
      <c r="T880" s="552"/>
      <c r="U880" s="552"/>
      <c r="V880" s="552"/>
      <c r="W880" s="552"/>
      <c r="X880" s="552"/>
      <c r="Y880" s="552"/>
      <c r="Z880" s="552"/>
      <c r="AA880" s="552"/>
      <c r="AB880" s="552"/>
      <c r="AC880" s="552"/>
      <c r="AD880" s="552"/>
      <c r="AE880" s="552"/>
      <c r="AF880" s="552"/>
      <c r="AG880" s="552"/>
      <c r="AH880" s="552"/>
      <c r="AI880" s="552"/>
      <c r="AJ880" s="552"/>
      <c r="AK880" s="552"/>
      <c r="AL880" s="552"/>
      <c r="AM880" s="552"/>
      <c r="AN880" s="552"/>
      <c r="AO880" s="552"/>
      <c r="AP880" s="552"/>
      <c r="AQ880" s="552" t="s">
        <v>1186</v>
      </c>
      <c r="AR880" s="552" t="s">
        <v>2875</v>
      </c>
      <c r="AS880" s="552" t="s">
        <v>6881</v>
      </c>
      <c r="AT880" s="552" t="s">
        <v>726</v>
      </c>
    </row>
    <row r="881" spans="1:46" ht="14.7" customHeight="1">
      <c r="A881" s="706" t="s">
        <v>6469</v>
      </c>
      <c r="B881" s="556" t="s">
        <v>3697</v>
      </c>
      <c r="C881" s="539" t="s">
        <v>7753</v>
      </c>
      <c r="D881" s="709" t="s">
        <v>8020</v>
      </c>
      <c r="E881" s="552" t="s">
        <v>8021</v>
      </c>
      <c r="F881" s="552"/>
      <c r="G881" s="552" t="s">
        <v>8019</v>
      </c>
      <c r="H881" s="552"/>
      <c r="I881" s="552"/>
      <c r="J881" s="552"/>
      <c r="K881" s="552"/>
      <c r="L881" s="552"/>
      <c r="M881" s="552"/>
      <c r="N881" s="552"/>
      <c r="O881" s="552"/>
      <c r="P881" s="552"/>
      <c r="Q881" s="552"/>
      <c r="R881" s="552"/>
      <c r="S881" s="552"/>
      <c r="T881" s="552"/>
      <c r="U881" s="552"/>
      <c r="V881" s="552"/>
      <c r="W881" s="552"/>
      <c r="X881" s="552">
        <v>2</v>
      </c>
      <c r="Y881" s="552"/>
      <c r="Z881" s="552"/>
      <c r="AA881" s="552"/>
      <c r="AB881" s="552"/>
      <c r="AC881" s="552"/>
      <c r="AD881" s="552">
        <v>20</v>
      </c>
      <c r="AE881" s="552">
        <v>20</v>
      </c>
      <c r="AF881" s="552"/>
      <c r="AG881" s="552"/>
      <c r="AH881" s="552">
        <v>20</v>
      </c>
      <c r="AI881" s="552"/>
      <c r="AJ881" s="552"/>
      <c r="AK881" s="552"/>
      <c r="AL881" s="552"/>
      <c r="AM881" s="552"/>
      <c r="AN881" s="552"/>
      <c r="AO881" s="552"/>
      <c r="AP881" s="552"/>
      <c r="AQ881" s="552" t="s">
        <v>1186</v>
      </c>
      <c r="AR881" s="552" t="s">
        <v>2875</v>
      </c>
      <c r="AS881" s="552" t="s">
        <v>6881</v>
      </c>
      <c r="AT881" s="552" t="s">
        <v>726</v>
      </c>
    </row>
    <row r="882" spans="1:46" ht="14.7" customHeight="1">
      <c r="A882" s="706"/>
      <c r="B882" s="556" t="s">
        <v>3697</v>
      </c>
      <c r="C882" s="539" t="s">
        <v>7753</v>
      </c>
      <c r="D882" s="709"/>
      <c r="E882" s="552"/>
      <c r="F882" s="552"/>
      <c r="G882" s="552"/>
      <c r="H882" s="552"/>
      <c r="I882" s="552"/>
      <c r="J882" s="552"/>
      <c r="K882" s="552"/>
      <c r="L882" s="552"/>
      <c r="M882" s="552"/>
      <c r="N882" s="552"/>
      <c r="O882" s="552"/>
      <c r="P882" s="552"/>
      <c r="Q882" s="552"/>
      <c r="R882" s="552"/>
      <c r="S882" s="552"/>
      <c r="T882" s="552"/>
      <c r="U882" s="552"/>
      <c r="V882" s="552"/>
      <c r="W882" s="552"/>
      <c r="X882" s="552"/>
      <c r="Y882" s="552"/>
      <c r="Z882" s="552"/>
      <c r="AA882" s="552"/>
      <c r="AB882" s="552"/>
      <c r="AC882" s="552"/>
      <c r="AD882" s="552"/>
      <c r="AE882" s="552"/>
      <c r="AF882" s="552"/>
      <c r="AG882" s="552"/>
      <c r="AH882" s="552"/>
      <c r="AI882" s="552"/>
      <c r="AJ882" s="552"/>
      <c r="AK882" s="552"/>
      <c r="AL882" s="552"/>
      <c r="AM882" s="552"/>
      <c r="AN882" s="552"/>
      <c r="AO882" s="552"/>
      <c r="AP882" s="552"/>
      <c r="AQ882" s="552" t="s">
        <v>1186</v>
      </c>
      <c r="AR882" s="552" t="s">
        <v>2875</v>
      </c>
      <c r="AS882" s="552" t="s">
        <v>6881</v>
      </c>
      <c r="AT882" s="552" t="s">
        <v>726</v>
      </c>
    </row>
    <row r="883" spans="1:46" ht="14.7" customHeight="1">
      <c r="A883" s="706" t="s">
        <v>8022</v>
      </c>
      <c r="B883" s="557" t="s">
        <v>3698</v>
      </c>
      <c r="C883" s="539" t="s">
        <v>7753</v>
      </c>
      <c r="D883" s="709" t="s">
        <v>8023</v>
      </c>
      <c r="E883" s="552" t="s">
        <v>8018</v>
      </c>
      <c r="F883" s="552"/>
      <c r="G883" s="552" t="s">
        <v>8019</v>
      </c>
      <c r="H883" s="552"/>
      <c r="I883" s="552"/>
      <c r="J883" s="552"/>
      <c r="K883" s="552"/>
      <c r="L883" s="552"/>
      <c r="M883" s="552"/>
      <c r="N883" s="552"/>
      <c r="O883" s="552"/>
      <c r="P883" s="552"/>
      <c r="Q883" s="552"/>
      <c r="R883" s="552"/>
      <c r="S883" s="552"/>
      <c r="T883" s="552"/>
      <c r="U883" s="552"/>
      <c r="V883" s="552"/>
      <c r="W883" s="552"/>
      <c r="X883" s="552">
        <v>3</v>
      </c>
      <c r="Y883" s="552">
        <v>3</v>
      </c>
      <c r="Z883" s="552"/>
      <c r="AA883" s="552"/>
      <c r="AB883" s="552"/>
      <c r="AC883" s="552"/>
      <c r="AD883" s="552"/>
      <c r="AE883" s="552"/>
      <c r="AF883" s="552"/>
      <c r="AG883" s="552"/>
      <c r="AH883" s="552"/>
      <c r="AI883" s="552"/>
      <c r="AJ883" s="552"/>
      <c r="AK883" s="552"/>
      <c r="AL883" s="552"/>
      <c r="AM883" s="552"/>
      <c r="AN883" s="552"/>
      <c r="AO883" s="552"/>
      <c r="AP883" s="717" t="s">
        <v>8024</v>
      </c>
      <c r="AQ883" s="552" t="s">
        <v>1186</v>
      </c>
      <c r="AR883" s="552" t="s">
        <v>2998</v>
      </c>
      <c r="AS883" s="552" t="s">
        <v>6881</v>
      </c>
      <c r="AT883" s="552" t="s">
        <v>726</v>
      </c>
    </row>
    <row r="884" spans="1:46" ht="14.7" customHeight="1">
      <c r="A884" s="706" t="s">
        <v>6470</v>
      </c>
      <c r="B884" s="557" t="s">
        <v>3698</v>
      </c>
      <c r="C884" s="539" t="s">
        <v>7753</v>
      </c>
      <c r="D884" s="709" t="s">
        <v>8025</v>
      </c>
      <c r="E884" s="552" t="s">
        <v>8021</v>
      </c>
      <c r="F884" s="552"/>
      <c r="G884" s="552" t="s">
        <v>8019</v>
      </c>
      <c r="H884" s="552"/>
      <c r="I884" s="552"/>
      <c r="J884" s="552"/>
      <c r="K884" s="552"/>
      <c r="L884" s="552"/>
      <c r="M884" s="552"/>
      <c r="N884" s="552"/>
      <c r="O884" s="552"/>
      <c r="P884" s="552">
        <v>2</v>
      </c>
      <c r="Q884" s="552"/>
      <c r="R884" s="552"/>
      <c r="S884" s="552"/>
      <c r="T884" s="552"/>
      <c r="U884" s="552"/>
      <c r="V884" s="552"/>
      <c r="W884" s="552"/>
      <c r="X884" s="552">
        <v>5</v>
      </c>
      <c r="Y884" s="552"/>
      <c r="Z884" s="552"/>
      <c r="AA884" s="552"/>
      <c r="AB884" s="552"/>
      <c r="AC884" s="552"/>
      <c r="AD884" s="552">
        <v>20</v>
      </c>
      <c r="AE884" s="552"/>
      <c r="AF884" s="552">
        <v>20</v>
      </c>
      <c r="AG884" s="552">
        <v>20</v>
      </c>
      <c r="AH884" s="552"/>
      <c r="AI884" s="552">
        <v>20</v>
      </c>
      <c r="AJ884" s="552"/>
      <c r="AK884" s="552"/>
      <c r="AL884" s="552"/>
      <c r="AM884" s="552"/>
      <c r="AN884" s="552"/>
      <c r="AO884" s="552"/>
      <c r="AP884" s="552"/>
      <c r="AQ884" s="552" t="s">
        <v>1186</v>
      </c>
      <c r="AR884" s="552" t="s">
        <v>2998</v>
      </c>
      <c r="AS884" s="552" t="s">
        <v>6881</v>
      </c>
      <c r="AT884" s="552" t="s">
        <v>726</v>
      </c>
    </row>
    <row r="885" spans="1:46" ht="14.7" customHeight="1">
      <c r="A885" s="706"/>
      <c r="B885" s="557" t="s">
        <v>3698</v>
      </c>
      <c r="C885" s="539" t="s">
        <v>7753</v>
      </c>
      <c r="D885" s="709"/>
      <c r="E885" s="552"/>
      <c r="F885" s="552"/>
      <c r="G885" s="552"/>
      <c r="H885" s="552"/>
      <c r="I885" s="552"/>
      <c r="J885" s="552"/>
      <c r="K885" s="552"/>
      <c r="L885" s="552"/>
      <c r="M885" s="552"/>
      <c r="N885" s="552"/>
      <c r="O885" s="552"/>
      <c r="P885" s="552"/>
      <c r="Q885" s="552"/>
      <c r="R885" s="552"/>
      <c r="S885" s="552"/>
      <c r="T885" s="552"/>
      <c r="U885" s="552"/>
      <c r="V885" s="552"/>
      <c r="W885" s="552"/>
      <c r="X885" s="552"/>
      <c r="Y885" s="552"/>
      <c r="Z885" s="552"/>
      <c r="AA885" s="552"/>
      <c r="AB885" s="552"/>
      <c r="AC885" s="552"/>
      <c r="AD885" s="552"/>
      <c r="AE885" s="552"/>
      <c r="AF885" s="552"/>
      <c r="AG885" s="552"/>
      <c r="AH885" s="552"/>
      <c r="AI885" s="552"/>
      <c r="AJ885" s="552"/>
      <c r="AK885" s="552"/>
      <c r="AL885" s="552"/>
      <c r="AM885" s="552"/>
      <c r="AN885" s="552"/>
      <c r="AO885" s="552"/>
      <c r="AP885" s="552"/>
      <c r="AQ885" s="552" t="s">
        <v>1186</v>
      </c>
      <c r="AR885" s="552" t="s">
        <v>2998</v>
      </c>
      <c r="AS885" s="552" t="s">
        <v>6881</v>
      </c>
      <c r="AT885" s="552" t="s">
        <v>726</v>
      </c>
    </row>
    <row r="886" spans="1:46" ht="14.7" customHeight="1">
      <c r="A886" s="706"/>
      <c r="B886" s="557" t="s">
        <v>3698</v>
      </c>
      <c r="C886" s="539" t="s">
        <v>7753</v>
      </c>
      <c r="D886" s="709"/>
      <c r="E886" s="552"/>
      <c r="F886" s="552"/>
      <c r="G886" s="552"/>
      <c r="H886" s="552"/>
      <c r="I886" s="552"/>
      <c r="J886" s="552"/>
      <c r="K886" s="552"/>
      <c r="L886" s="552"/>
      <c r="M886" s="552"/>
      <c r="N886" s="552"/>
      <c r="O886" s="552"/>
      <c r="P886" s="552"/>
      <c r="Q886" s="552"/>
      <c r="R886" s="552"/>
      <c r="S886" s="552"/>
      <c r="T886" s="552"/>
      <c r="U886" s="552"/>
      <c r="V886" s="552"/>
      <c r="W886" s="552"/>
      <c r="X886" s="552"/>
      <c r="Y886" s="552"/>
      <c r="Z886" s="552"/>
      <c r="AA886" s="552"/>
      <c r="AB886" s="552"/>
      <c r="AC886" s="552"/>
      <c r="AD886" s="552"/>
      <c r="AE886" s="552"/>
      <c r="AF886" s="552"/>
      <c r="AG886" s="552"/>
      <c r="AH886" s="552"/>
      <c r="AI886" s="552"/>
      <c r="AJ886" s="552"/>
      <c r="AK886" s="552"/>
      <c r="AL886" s="552"/>
      <c r="AM886" s="552"/>
      <c r="AN886" s="552"/>
      <c r="AO886" s="552"/>
      <c r="AP886" s="552"/>
      <c r="AQ886" s="552" t="s">
        <v>1186</v>
      </c>
      <c r="AR886" s="552" t="s">
        <v>2998</v>
      </c>
      <c r="AS886" s="552" t="s">
        <v>6881</v>
      </c>
      <c r="AT886" s="552" t="s">
        <v>726</v>
      </c>
    </row>
    <row r="887" spans="1:46" ht="14.7" customHeight="1">
      <c r="A887" s="706" t="s">
        <v>6471</v>
      </c>
      <c r="B887" s="344" t="s">
        <v>3699</v>
      </c>
      <c r="C887" s="539" t="s">
        <v>7753</v>
      </c>
      <c r="D887" s="709" t="s">
        <v>8026</v>
      </c>
      <c r="E887" s="552" t="s">
        <v>8018</v>
      </c>
      <c r="F887" s="552"/>
      <c r="G887" s="552" t="s">
        <v>8019</v>
      </c>
      <c r="H887" s="552"/>
      <c r="I887" s="552"/>
      <c r="J887" s="552"/>
      <c r="K887" s="552"/>
      <c r="L887" s="552"/>
      <c r="M887" s="552"/>
      <c r="N887" s="552"/>
      <c r="O887" s="552"/>
      <c r="P887" s="552"/>
      <c r="Q887" s="552"/>
      <c r="R887" s="552"/>
      <c r="S887" s="552"/>
      <c r="T887" s="552"/>
      <c r="U887" s="552"/>
      <c r="V887" s="552"/>
      <c r="W887" s="552"/>
      <c r="X887" s="552">
        <v>4</v>
      </c>
      <c r="Y887" s="552">
        <v>4</v>
      </c>
      <c r="Z887" s="552"/>
      <c r="AA887" s="552"/>
      <c r="AB887" s="552"/>
      <c r="AC887" s="552"/>
      <c r="AD887" s="552">
        <v>20</v>
      </c>
      <c r="AE887" s="552"/>
      <c r="AF887" s="552"/>
      <c r="AG887" s="552"/>
      <c r="AH887" s="552"/>
      <c r="AI887" s="552"/>
      <c r="AJ887" s="552"/>
      <c r="AK887" s="552"/>
      <c r="AL887" s="552"/>
      <c r="AM887" s="552"/>
      <c r="AN887" s="552"/>
      <c r="AO887" s="717" t="s">
        <v>8027</v>
      </c>
      <c r="AP887" s="552"/>
      <c r="AQ887" s="552" t="s">
        <v>1186</v>
      </c>
      <c r="AR887" s="552" t="s">
        <v>2809</v>
      </c>
      <c r="AS887" s="552" t="s">
        <v>6881</v>
      </c>
      <c r="AT887" s="552" t="s">
        <v>726</v>
      </c>
    </row>
    <row r="888" spans="1:46" ht="14.7" customHeight="1">
      <c r="A888" s="706" t="s">
        <v>6472</v>
      </c>
      <c r="B888" s="344" t="s">
        <v>3699</v>
      </c>
      <c r="C888" s="539" t="s">
        <v>7753</v>
      </c>
      <c r="D888" s="709" t="s">
        <v>8028</v>
      </c>
      <c r="E888" s="552" t="s">
        <v>8021</v>
      </c>
      <c r="F888" s="552"/>
      <c r="G888" s="552" t="s">
        <v>8019</v>
      </c>
      <c r="H888" s="552"/>
      <c r="I888" s="552"/>
      <c r="J888" s="552"/>
      <c r="K888" s="717" t="s">
        <v>8029</v>
      </c>
      <c r="L888" s="552"/>
      <c r="M888" s="552"/>
      <c r="N888" s="552"/>
      <c r="O888" s="552"/>
      <c r="P888" s="552"/>
      <c r="Q888" s="552"/>
      <c r="R888" s="552"/>
      <c r="S888" s="552"/>
      <c r="T888" s="552"/>
      <c r="U888" s="552"/>
      <c r="V888" s="552"/>
      <c r="W888" s="552"/>
      <c r="X888" s="552">
        <v>7</v>
      </c>
      <c r="Y888" s="552"/>
      <c r="Z888" s="552"/>
      <c r="AA888" s="552"/>
      <c r="AB888" s="552"/>
      <c r="AC888" s="552"/>
      <c r="AD888" s="552"/>
      <c r="AE888" s="552"/>
      <c r="AF888" s="552"/>
      <c r="AG888" s="552"/>
      <c r="AH888" s="552"/>
      <c r="AI888" s="552"/>
      <c r="AJ888" s="552">
        <v>40</v>
      </c>
      <c r="AK888" s="552"/>
      <c r="AL888" s="552"/>
      <c r="AM888" s="552"/>
      <c r="AN888" s="552"/>
      <c r="AO888" s="552"/>
      <c r="AP888" s="552"/>
      <c r="AQ888" s="552" t="s">
        <v>1186</v>
      </c>
      <c r="AR888" s="552" t="s">
        <v>2809</v>
      </c>
      <c r="AS888" s="552" t="s">
        <v>6881</v>
      </c>
      <c r="AT888" s="552" t="s">
        <v>726</v>
      </c>
    </row>
    <row r="889" spans="1:46" ht="14.7" customHeight="1">
      <c r="A889" s="706" t="s">
        <v>6473</v>
      </c>
      <c r="B889" s="344" t="s">
        <v>3699</v>
      </c>
      <c r="C889" s="539" t="s">
        <v>7753</v>
      </c>
      <c r="D889" s="709" t="s">
        <v>8030</v>
      </c>
      <c r="E889" s="552" t="s">
        <v>8021</v>
      </c>
      <c r="F889" s="552"/>
      <c r="G889" s="552" t="s">
        <v>8019</v>
      </c>
      <c r="H889" s="552"/>
      <c r="I889" s="552"/>
      <c r="J889" s="552"/>
      <c r="K889" s="552"/>
      <c r="L889" s="552"/>
      <c r="M889" s="552"/>
      <c r="N889" s="552"/>
      <c r="O889" s="552"/>
      <c r="P889" s="552"/>
      <c r="Q889" s="552"/>
      <c r="R889" s="552"/>
      <c r="S889" s="552"/>
      <c r="T889" s="552"/>
      <c r="U889" s="552"/>
      <c r="V889" s="552"/>
      <c r="W889" s="552"/>
      <c r="X889" s="552">
        <v>8</v>
      </c>
      <c r="Y889" s="552"/>
      <c r="Z889" s="552"/>
      <c r="AA889" s="552"/>
      <c r="AB889" s="552"/>
      <c r="AC889" s="552"/>
      <c r="AD889" s="552"/>
      <c r="AE889" s="552"/>
      <c r="AF889" s="552"/>
      <c r="AG889" s="552"/>
      <c r="AH889" s="552"/>
      <c r="AI889" s="552"/>
      <c r="AJ889" s="552"/>
      <c r="AK889" s="552"/>
      <c r="AL889" s="552"/>
      <c r="AM889" s="552"/>
      <c r="AN889" s="552"/>
      <c r="AO889" s="552"/>
      <c r="AP889" s="717" t="s">
        <v>8031</v>
      </c>
      <c r="AQ889" s="552" t="s">
        <v>1186</v>
      </c>
      <c r="AR889" s="552" t="s">
        <v>2809</v>
      </c>
      <c r="AS889" s="552" t="s">
        <v>6881</v>
      </c>
      <c r="AT889" s="552" t="s">
        <v>726</v>
      </c>
    </row>
    <row r="890" spans="1:46" ht="14.7" customHeight="1">
      <c r="A890" s="706"/>
      <c r="B890" s="344" t="s">
        <v>3699</v>
      </c>
      <c r="C890" s="539" t="s">
        <v>7753</v>
      </c>
      <c r="D890" s="709"/>
      <c r="E890" s="552"/>
      <c r="F890" s="552"/>
      <c r="G890" s="552"/>
      <c r="H890" s="552"/>
      <c r="I890" s="552"/>
      <c r="J890" s="552"/>
      <c r="K890" s="552"/>
      <c r="L890" s="552"/>
      <c r="M890" s="552"/>
      <c r="N890" s="552"/>
      <c r="O890" s="552"/>
      <c r="P890" s="552"/>
      <c r="Q890" s="552"/>
      <c r="R890" s="552"/>
      <c r="S890" s="552"/>
      <c r="T890" s="552"/>
      <c r="U890" s="552"/>
      <c r="V890" s="552"/>
      <c r="W890" s="552"/>
      <c r="X890" s="552"/>
      <c r="Y890" s="552"/>
      <c r="Z890" s="552"/>
      <c r="AA890" s="552"/>
      <c r="AB890" s="552"/>
      <c r="AC890" s="552"/>
      <c r="AD890" s="552"/>
      <c r="AE890" s="552"/>
      <c r="AF890" s="552"/>
      <c r="AG890" s="552"/>
      <c r="AH890" s="552"/>
      <c r="AI890" s="552"/>
      <c r="AJ890" s="552"/>
      <c r="AK890" s="552"/>
      <c r="AL890" s="552"/>
      <c r="AM890" s="552"/>
      <c r="AN890" s="552"/>
      <c r="AO890" s="552"/>
      <c r="AP890" s="552"/>
      <c r="AQ890" s="552" t="s">
        <v>1186</v>
      </c>
      <c r="AR890" s="552" t="s">
        <v>2809</v>
      </c>
      <c r="AS890" s="552" t="s">
        <v>6881</v>
      </c>
      <c r="AT890" s="552" t="s">
        <v>726</v>
      </c>
    </row>
    <row r="891" spans="1:46" ht="14.7" customHeight="1">
      <c r="A891" s="706"/>
      <c r="B891" s="344" t="s">
        <v>3699</v>
      </c>
      <c r="C891" s="539" t="s">
        <v>7753</v>
      </c>
      <c r="D891" s="709"/>
      <c r="E891" s="552"/>
      <c r="F891" s="552"/>
      <c r="G891" s="552"/>
      <c r="H891" s="552"/>
      <c r="I891" s="552"/>
      <c r="J891" s="552"/>
      <c r="K891" s="552"/>
      <c r="L891" s="552"/>
      <c r="M891" s="552"/>
      <c r="N891" s="552"/>
      <c r="O891" s="552"/>
      <c r="P891" s="552"/>
      <c r="Q891" s="552"/>
      <c r="R891" s="552"/>
      <c r="S891" s="552"/>
      <c r="T891" s="552"/>
      <c r="U891" s="552"/>
      <c r="V891" s="552"/>
      <c r="W891" s="552"/>
      <c r="X891" s="552"/>
      <c r="Y891" s="552"/>
      <c r="Z891" s="552"/>
      <c r="AA891" s="552"/>
      <c r="AB891" s="552"/>
      <c r="AC891" s="552"/>
      <c r="AD891" s="552"/>
      <c r="AE891" s="552"/>
      <c r="AF891" s="552"/>
      <c r="AG891" s="552"/>
      <c r="AH891" s="552"/>
      <c r="AI891" s="552"/>
      <c r="AJ891" s="552"/>
      <c r="AK891" s="552"/>
      <c r="AL891" s="552"/>
      <c r="AM891" s="552"/>
      <c r="AN891" s="552"/>
      <c r="AO891" s="552"/>
      <c r="AP891" s="552"/>
      <c r="AQ891" s="552" t="s">
        <v>1186</v>
      </c>
      <c r="AR891" s="552" t="s">
        <v>2809</v>
      </c>
      <c r="AS891" s="552" t="s">
        <v>6881</v>
      </c>
      <c r="AT891" s="552" t="s">
        <v>726</v>
      </c>
    </row>
    <row r="892" spans="1:46" ht="14.7" customHeight="1">
      <c r="A892" s="706" t="s">
        <v>8032</v>
      </c>
      <c r="B892" s="559" t="s">
        <v>3700</v>
      </c>
      <c r="C892" s="539" t="s">
        <v>7753</v>
      </c>
      <c r="D892" s="709" t="s">
        <v>8033</v>
      </c>
      <c r="E892" s="552" t="s">
        <v>8021</v>
      </c>
      <c r="F892" s="552"/>
      <c r="G892" s="552" t="s">
        <v>8019</v>
      </c>
      <c r="H892" s="552"/>
      <c r="I892" s="552"/>
      <c r="J892" s="552"/>
      <c r="K892" s="552"/>
      <c r="L892" s="552"/>
      <c r="M892" s="552"/>
      <c r="N892" s="552"/>
      <c r="O892" s="552"/>
      <c r="P892" s="552"/>
      <c r="Q892" s="552"/>
      <c r="R892" s="552"/>
      <c r="S892" s="552"/>
      <c r="T892" s="552"/>
      <c r="U892" s="552"/>
      <c r="V892" s="552"/>
      <c r="W892" s="552"/>
      <c r="X892" s="552">
        <v>5</v>
      </c>
      <c r="Y892" s="552">
        <v>5</v>
      </c>
      <c r="Z892" s="552"/>
      <c r="AA892" s="552"/>
      <c r="AB892" s="552">
        <v>20</v>
      </c>
      <c r="AC892" s="552">
        <v>20</v>
      </c>
      <c r="AD892" s="552">
        <v>20</v>
      </c>
      <c r="AE892" s="552">
        <v>20</v>
      </c>
      <c r="AF892" s="552">
        <v>20</v>
      </c>
      <c r="AG892" s="552">
        <v>20</v>
      </c>
      <c r="AH892" s="552">
        <v>20</v>
      </c>
      <c r="AI892" s="552">
        <v>20</v>
      </c>
      <c r="AJ892" s="552">
        <v>20</v>
      </c>
      <c r="AK892" s="552"/>
      <c r="AL892" s="552"/>
      <c r="AM892" s="552"/>
      <c r="AN892" s="552"/>
      <c r="AO892" s="552"/>
      <c r="AP892" s="717" t="s">
        <v>8034</v>
      </c>
      <c r="AQ892" s="552" t="s">
        <v>1186</v>
      </c>
      <c r="AR892" s="552" t="s">
        <v>2971</v>
      </c>
      <c r="AS892" s="552" t="s">
        <v>6881</v>
      </c>
      <c r="AT892" s="552" t="s">
        <v>726</v>
      </c>
    </row>
    <row r="893" spans="1:46" ht="14.7" customHeight="1">
      <c r="A893" s="706"/>
      <c r="B893" s="559" t="s">
        <v>3700</v>
      </c>
      <c r="C893" s="539" t="s">
        <v>7753</v>
      </c>
      <c r="D893" s="709"/>
      <c r="E893" s="552"/>
      <c r="F893" s="552"/>
      <c r="G893" s="552"/>
      <c r="H893" s="552"/>
      <c r="I893" s="552"/>
      <c r="J893" s="552"/>
      <c r="K893" s="552"/>
      <c r="L893" s="552"/>
      <c r="M893" s="552"/>
      <c r="N893" s="552"/>
      <c r="O893" s="552"/>
      <c r="P893" s="552"/>
      <c r="Q893" s="552"/>
      <c r="R893" s="552"/>
      <c r="S893" s="552"/>
      <c r="T893" s="552"/>
      <c r="U893" s="552"/>
      <c r="V893" s="552"/>
      <c r="W893" s="552"/>
      <c r="X893" s="552"/>
      <c r="Y893" s="552"/>
      <c r="Z893" s="552"/>
      <c r="AA893" s="552"/>
      <c r="AB893" s="552"/>
      <c r="AC893" s="552"/>
      <c r="AD893" s="552"/>
      <c r="AE893" s="552"/>
      <c r="AF893" s="552"/>
      <c r="AG893" s="552"/>
      <c r="AH893" s="552"/>
      <c r="AI893" s="552"/>
      <c r="AJ893" s="552"/>
      <c r="AK893" s="552"/>
      <c r="AL893" s="552"/>
      <c r="AM893" s="552"/>
      <c r="AN893" s="552"/>
      <c r="AO893" s="552"/>
      <c r="AP893" s="552"/>
      <c r="AQ893" s="552" t="s">
        <v>1186</v>
      </c>
      <c r="AR893" s="552" t="s">
        <v>2971</v>
      </c>
      <c r="AS893" s="552" t="s">
        <v>6881</v>
      </c>
      <c r="AT893" s="552" t="s">
        <v>726</v>
      </c>
    </row>
    <row r="894" spans="1:46" ht="14.7" customHeight="1">
      <c r="A894" s="706"/>
      <c r="B894" s="711" t="s">
        <v>6055</v>
      </c>
      <c r="C894" s="539" t="s">
        <v>7753</v>
      </c>
      <c r="D894" s="709"/>
      <c r="E894" s="552"/>
      <c r="F894" s="552"/>
      <c r="G894" s="552"/>
      <c r="H894" s="552"/>
      <c r="I894" s="552"/>
      <c r="J894" s="552"/>
      <c r="K894" s="552"/>
      <c r="L894" s="552"/>
      <c r="M894" s="552"/>
      <c r="N894" s="552"/>
      <c r="O894" s="552"/>
      <c r="P894" s="552"/>
      <c r="Q894" s="552"/>
      <c r="R894" s="552"/>
      <c r="S894" s="552"/>
      <c r="T894" s="552"/>
      <c r="U894" s="552"/>
      <c r="V894" s="552"/>
      <c r="W894" s="552"/>
      <c r="X894" s="552"/>
      <c r="Y894" s="552"/>
      <c r="Z894" s="552"/>
      <c r="AA894" s="552"/>
      <c r="AB894" s="552"/>
      <c r="AC894" s="552"/>
      <c r="AD894" s="552"/>
      <c r="AE894" s="552"/>
      <c r="AF894" s="552"/>
      <c r="AG894" s="552"/>
      <c r="AH894" s="552"/>
      <c r="AI894" s="552"/>
      <c r="AJ894" s="552"/>
      <c r="AK894" s="552"/>
      <c r="AL894" s="552"/>
      <c r="AM894" s="552"/>
      <c r="AN894" s="552"/>
      <c r="AO894" s="552"/>
      <c r="AP894" s="552"/>
      <c r="AQ894" s="552" t="s">
        <v>1186</v>
      </c>
      <c r="AR894" s="552" t="s">
        <v>6697</v>
      </c>
      <c r="AS894" s="552" t="s">
        <v>6881</v>
      </c>
      <c r="AT894" s="552" t="s">
        <v>726</v>
      </c>
    </row>
    <row r="895" spans="1:46" ht="14.7" customHeight="1">
      <c r="A895" s="706"/>
      <c r="B895" s="540" t="s">
        <v>3695</v>
      </c>
      <c r="C895" s="539" t="s">
        <v>7753</v>
      </c>
      <c r="D895" s="709"/>
      <c r="E895" s="552"/>
      <c r="F895" s="552"/>
      <c r="G895" s="552"/>
      <c r="H895" s="552"/>
      <c r="I895" s="552"/>
      <c r="J895" s="552"/>
      <c r="K895" s="552"/>
      <c r="L895" s="552"/>
      <c r="M895" s="552"/>
      <c r="N895" s="552"/>
      <c r="O895" s="552"/>
      <c r="P895" s="552"/>
      <c r="Q895" s="552"/>
      <c r="R895" s="552"/>
      <c r="S895" s="552"/>
      <c r="T895" s="552"/>
      <c r="U895" s="552"/>
      <c r="V895" s="552"/>
      <c r="W895" s="552"/>
      <c r="X895" s="552"/>
      <c r="Y895" s="552"/>
      <c r="Z895" s="552"/>
      <c r="AA895" s="552"/>
      <c r="AB895" s="552"/>
      <c r="AC895" s="552"/>
      <c r="AD895" s="552"/>
      <c r="AE895" s="552"/>
      <c r="AF895" s="552"/>
      <c r="AG895" s="552"/>
      <c r="AH895" s="552"/>
      <c r="AI895" s="552"/>
      <c r="AJ895" s="552"/>
      <c r="AK895" s="552"/>
      <c r="AL895" s="552"/>
      <c r="AM895" s="552"/>
      <c r="AN895" s="552"/>
      <c r="AO895" s="552"/>
      <c r="AP895" s="552"/>
      <c r="AQ895" s="552" t="s">
        <v>1186</v>
      </c>
      <c r="AR895" s="552" t="s">
        <v>2802</v>
      </c>
      <c r="AS895" s="552" t="s">
        <v>6881</v>
      </c>
      <c r="AT895" s="552" t="s">
        <v>726</v>
      </c>
    </row>
    <row r="896" spans="1:46" ht="14.7" customHeight="1">
      <c r="A896" s="706" t="s">
        <v>6474</v>
      </c>
      <c r="B896" s="540" t="s">
        <v>3695</v>
      </c>
      <c r="C896" s="539" t="s">
        <v>7753</v>
      </c>
      <c r="D896" s="709" t="s">
        <v>8035</v>
      </c>
      <c r="E896" s="552" t="s">
        <v>8018</v>
      </c>
      <c r="F896" s="552"/>
      <c r="G896" s="552" t="s">
        <v>8036</v>
      </c>
      <c r="H896" s="552"/>
      <c r="I896" s="552"/>
      <c r="J896" s="552"/>
      <c r="K896" s="552"/>
      <c r="L896" s="552"/>
      <c r="M896" s="552"/>
      <c r="N896" s="552"/>
      <c r="O896" s="552"/>
      <c r="P896" s="552"/>
      <c r="Q896" s="552"/>
      <c r="R896" s="552"/>
      <c r="S896" s="552"/>
      <c r="T896" s="552"/>
      <c r="U896" s="552"/>
      <c r="V896" s="552"/>
      <c r="W896" s="552"/>
      <c r="X896" s="552">
        <v>3</v>
      </c>
      <c r="Y896" s="552"/>
      <c r="Z896" s="552"/>
      <c r="AA896" s="552"/>
      <c r="AB896" s="552"/>
      <c r="AC896" s="552"/>
      <c r="AD896" s="552">
        <v>10</v>
      </c>
      <c r="AE896" s="552"/>
      <c r="AF896" s="552"/>
      <c r="AG896" s="552"/>
      <c r="AH896" s="552">
        <v>-20</v>
      </c>
      <c r="AI896" s="552"/>
      <c r="AJ896" s="552"/>
      <c r="AK896" s="552"/>
      <c r="AL896" s="552"/>
      <c r="AM896" s="552"/>
      <c r="AN896" s="552"/>
      <c r="AO896" s="552"/>
      <c r="AP896" s="552"/>
      <c r="AQ896" s="552" t="s">
        <v>1186</v>
      </c>
      <c r="AR896" s="552" t="s">
        <v>2802</v>
      </c>
      <c r="AS896" s="552" t="s">
        <v>6881</v>
      </c>
      <c r="AT896" s="552" t="s">
        <v>726</v>
      </c>
    </row>
    <row r="897" spans="1:46" ht="14.7" customHeight="1">
      <c r="A897" s="706" t="s">
        <v>6475</v>
      </c>
      <c r="B897" s="707" t="s">
        <v>3696</v>
      </c>
      <c r="C897" s="539" t="s">
        <v>7753</v>
      </c>
      <c r="D897" s="552" t="s">
        <v>8037</v>
      </c>
      <c r="E897" s="552" t="s">
        <v>8021</v>
      </c>
      <c r="F897" s="552"/>
      <c r="G897" s="552" t="s">
        <v>8036</v>
      </c>
      <c r="H897" s="552"/>
      <c r="I897" s="552"/>
      <c r="J897" s="552"/>
      <c r="K897" s="552"/>
      <c r="L897" s="552"/>
      <c r="M897" s="552"/>
      <c r="N897" s="552"/>
      <c r="O897" s="552"/>
      <c r="P897" s="552">
        <v>2</v>
      </c>
      <c r="Q897" s="552"/>
      <c r="R897" s="552"/>
      <c r="S897" s="552"/>
      <c r="T897" s="552"/>
      <c r="U897" s="552"/>
      <c r="V897" s="552"/>
      <c r="W897" s="552"/>
      <c r="X897" s="552">
        <v>2</v>
      </c>
      <c r="Y897" s="552"/>
      <c r="Z897" s="552"/>
      <c r="AA897" s="552"/>
      <c r="AB897" s="552"/>
      <c r="AC897" s="552"/>
      <c r="AD897" s="552"/>
      <c r="AE897" s="552"/>
      <c r="AF897" s="552"/>
      <c r="AG897" s="552"/>
      <c r="AH897" s="552"/>
      <c r="AI897" s="552"/>
      <c r="AJ897" s="552"/>
      <c r="AK897" s="552"/>
      <c r="AL897" s="552"/>
      <c r="AM897" s="552"/>
      <c r="AN897" s="552"/>
      <c r="AO897" s="552"/>
      <c r="AP897" s="552"/>
      <c r="AQ897" s="552" t="s">
        <v>1186</v>
      </c>
      <c r="AR897" s="552" t="s">
        <v>2805</v>
      </c>
      <c r="AS897" s="552" t="s">
        <v>6881</v>
      </c>
      <c r="AT897" s="552" t="s">
        <v>726</v>
      </c>
    </row>
    <row r="898" spans="1:46" ht="14.7" customHeight="1">
      <c r="A898" s="706"/>
      <c r="B898" s="707" t="s">
        <v>3696</v>
      </c>
      <c r="C898" s="539" t="s">
        <v>7753</v>
      </c>
      <c r="D898" s="709"/>
      <c r="E898" s="552"/>
      <c r="F898" s="552"/>
      <c r="G898" s="552"/>
      <c r="H898" s="552"/>
      <c r="I898" s="552"/>
      <c r="J898" s="552"/>
      <c r="K898" s="552"/>
      <c r="L898" s="552"/>
      <c r="M898" s="552"/>
      <c r="N898" s="552"/>
      <c r="O898" s="552"/>
      <c r="P898" s="552"/>
      <c r="Q898" s="552"/>
      <c r="R898" s="552"/>
      <c r="S898" s="552"/>
      <c r="T898" s="552"/>
      <c r="U898" s="552"/>
      <c r="V898" s="552"/>
      <c r="W898" s="552"/>
      <c r="X898" s="552"/>
      <c r="Y898" s="552"/>
      <c r="Z898" s="552"/>
      <c r="AA898" s="552"/>
      <c r="AB898" s="552"/>
      <c r="AC898" s="552"/>
      <c r="AD898" s="552"/>
      <c r="AE898" s="552"/>
      <c r="AF898" s="552"/>
      <c r="AG898" s="552"/>
      <c r="AH898" s="552"/>
      <c r="AI898" s="552"/>
      <c r="AJ898" s="552"/>
      <c r="AK898" s="552"/>
      <c r="AL898" s="552"/>
      <c r="AM898" s="552"/>
      <c r="AN898" s="552"/>
      <c r="AO898" s="552"/>
      <c r="AP898" s="552"/>
      <c r="AQ898" s="552" t="s">
        <v>1186</v>
      </c>
      <c r="AR898" s="552" t="s">
        <v>2805</v>
      </c>
      <c r="AS898" s="552" t="s">
        <v>6881</v>
      </c>
      <c r="AT898" s="552" t="s">
        <v>726</v>
      </c>
    </row>
    <row r="899" spans="1:46" ht="14.7" customHeight="1">
      <c r="A899" s="706" t="s">
        <v>6476</v>
      </c>
      <c r="B899" s="556" t="s">
        <v>3697</v>
      </c>
      <c r="C899" s="539" t="s">
        <v>7753</v>
      </c>
      <c r="D899" s="709" t="s">
        <v>8038</v>
      </c>
      <c r="E899" s="552" t="s">
        <v>8021</v>
      </c>
      <c r="F899" s="552"/>
      <c r="G899" s="552" t="s">
        <v>8036</v>
      </c>
      <c r="H899" s="552"/>
      <c r="I899" s="552"/>
      <c r="J899" s="552"/>
      <c r="K899" s="552"/>
      <c r="L899" s="552"/>
      <c r="M899" s="552"/>
      <c r="N899" s="552"/>
      <c r="O899" s="552"/>
      <c r="P899" s="552"/>
      <c r="Q899" s="552"/>
      <c r="R899" s="552"/>
      <c r="S899" s="552"/>
      <c r="T899" s="552"/>
      <c r="U899" s="552"/>
      <c r="V899" s="552"/>
      <c r="W899" s="552"/>
      <c r="X899" s="552"/>
      <c r="Y899" s="552"/>
      <c r="Z899" s="552"/>
      <c r="AA899" s="552"/>
      <c r="AB899" s="552"/>
      <c r="AC899" s="552"/>
      <c r="AD899" s="552"/>
      <c r="AE899" s="552"/>
      <c r="AF899" s="552"/>
      <c r="AG899" s="552"/>
      <c r="AH899" s="552"/>
      <c r="AI899" s="552"/>
      <c r="AJ899" s="552"/>
      <c r="AK899" s="552">
        <v>20</v>
      </c>
      <c r="AL899" s="552"/>
      <c r="AM899" s="552"/>
      <c r="AN899" s="552"/>
      <c r="AO899" s="552"/>
      <c r="AP899" s="552"/>
      <c r="AQ899" s="552" t="s">
        <v>1186</v>
      </c>
      <c r="AR899" s="552" t="s">
        <v>2875</v>
      </c>
      <c r="AS899" s="552" t="s">
        <v>6881</v>
      </c>
      <c r="AT899" s="552" t="s">
        <v>726</v>
      </c>
    </row>
    <row r="900" spans="1:46" ht="14.7" customHeight="1">
      <c r="A900" s="706" t="s">
        <v>6477</v>
      </c>
      <c r="B900" s="556" t="s">
        <v>3697</v>
      </c>
      <c r="C900" s="539" t="s">
        <v>7753</v>
      </c>
      <c r="D900" s="709" t="s">
        <v>8039</v>
      </c>
      <c r="E900" s="552" t="s">
        <v>8021</v>
      </c>
      <c r="F900" s="552"/>
      <c r="G900" s="552" t="s">
        <v>8036</v>
      </c>
      <c r="H900" s="552"/>
      <c r="I900" s="552"/>
      <c r="J900" s="552"/>
      <c r="K900" s="552"/>
      <c r="L900" s="552"/>
      <c r="M900" s="552"/>
      <c r="N900" s="552"/>
      <c r="O900" s="552"/>
      <c r="P900" s="552">
        <v>4</v>
      </c>
      <c r="Q900" s="552"/>
      <c r="R900" s="552"/>
      <c r="S900" s="552"/>
      <c r="T900" s="552"/>
      <c r="U900" s="552"/>
      <c r="V900" s="552"/>
      <c r="W900" s="552"/>
      <c r="X900" s="552">
        <v>2</v>
      </c>
      <c r="Y900" s="552"/>
      <c r="Z900" s="552"/>
      <c r="AA900" s="552"/>
      <c r="AB900" s="552"/>
      <c r="AC900" s="552"/>
      <c r="AD900" s="552"/>
      <c r="AE900" s="552"/>
      <c r="AF900" s="552"/>
      <c r="AG900" s="552"/>
      <c r="AH900" s="552"/>
      <c r="AI900" s="552"/>
      <c r="AJ900" s="552"/>
      <c r="AK900" s="552"/>
      <c r="AL900" s="552"/>
      <c r="AM900" s="552"/>
      <c r="AN900" s="552"/>
      <c r="AO900" s="552"/>
      <c r="AP900" s="552"/>
      <c r="AQ900" s="552" t="s">
        <v>1186</v>
      </c>
      <c r="AR900" s="552" t="s">
        <v>2875</v>
      </c>
      <c r="AS900" s="552" t="s">
        <v>6881</v>
      </c>
      <c r="AT900" s="552" t="s">
        <v>726</v>
      </c>
    </row>
    <row r="901" spans="1:46" ht="14.7" customHeight="1">
      <c r="A901" s="706" t="s">
        <v>6478</v>
      </c>
      <c r="B901" s="556" t="s">
        <v>3697</v>
      </c>
      <c r="C901" s="539" t="s">
        <v>7753</v>
      </c>
      <c r="D901" s="709" t="s">
        <v>8040</v>
      </c>
      <c r="E901" s="552" t="s">
        <v>8021</v>
      </c>
      <c r="F901" s="552"/>
      <c r="G901" s="552" t="s">
        <v>8036</v>
      </c>
      <c r="H901" s="552"/>
      <c r="I901" s="552"/>
      <c r="J901" s="552"/>
      <c r="K901" s="552"/>
      <c r="L901" s="552"/>
      <c r="M901" s="552"/>
      <c r="N901" s="552"/>
      <c r="O901" s="552"/>
      <c r="P901" s="552"/>
      <c r="Q901" s="552"/>
      <c r="R901" s="552"/>
      <c r="S901" s="552"/>
      <c r="T901" s="552">
        <v>3</v>
      </c>
      <c r="U901" s="552"/>
      <c r="V901" s="552"/>
      <c r="W901" s="552"/>
      <c r="X901" s="552"/>
      <c r="Y901" s="552"/>
      <c r="Z901" s="552"/>
      <c r="AA901" s="552"/>
      <c r="AB901" s="552"/>
      <c r="AC901" s="552"/>
      <c r="AD901" s="552"/>
      <c r="AE901" s="552"/>
      <c r="AF901" s="552"/>
      <c r="AG901" s="552"/>
      <c r="AH901" s="552"/>
      <c r="AI901" s="552">
        <v>-70</v>
      </c>
      <c r="AJ901" s="552"/>
      <c r="AK901" s="552"/>
      <c r="AL901" s="552"/>
      <c r="AM901" s="552"/>
      <c r="AN901" s="552"/>
      <c r="AO901" s="552"/>
      <c r="AP901" s="552"/>
      <c r="AQ901" s="552" t="s">
        <v>1186</v>
      </c>
      <c r="AR901" s="552" t="s">
        <v>2875</v>
      </c>
      <c r="AS901" s="552" t="s">
        <v>6881</v>
      </c>
      <c r="AT901" s="552" t="s">
        <v>726</v>
      </c>
    </row>
    <row r="902" spans="1:46" ht="14.7" customHeight="1">
      <c r="A902" s="706"/>
      <c r="B902" s="557" t="s">
        <v>3698</v>
      </c>
      <c r="C902" s="539" t="s">
        <v>7753</v>
      </c>
      <c r="D902" s="709"/>
      <c r="E902" s="552"/>
      <c r="F902" s="552"/>
      <c r="G902" s="552"/>
      <c r="H902" s="552"/>
      <c r="I902" s="552"/>
      <c r="J902" s="552"/>
      <c r="K902" s="552"/>
      <c r="L902" s="552"/>
      <c r="M902" s="552"/>
      <c r="N902" s="552"/>
      <c r="O902" s="552"/>
      <c r="P902" s="552"/>
      <c r="Q902" s="552"/>
      <c r="R902" s="552"/>
      <c r="S902" s="552"/>
      <c r="T902" s="552"/>
      <c r="U902" s="552"/>
      <c r="V902" s="552"/>
      <c r="W902" s="552"/>
      <c r="X902" s="552"/>
      <c r="Y902" s="552"/>
      <c r="Z902" s="552"/>
      <c r="AA902" s="552"/>
      <c r="AB902" s="552"/>
      <c r="AC902" s="552"/>
      <c r="AD902" s="552"/>
      <c r="AE902" s="552"/>
      <c r="AF902" s="552"/>
      <c r="AG902" s="552"/>
      <c r="AH902" s="552"/>
      <c r="AI902" s="552"/>
      <c r="AJ902" s="552"/>
      <c r="AK902" s="552"/>
      <c r="AL902" s="552"/>
      <c r="AM902" s="552"/>
      <c r="AN902" s="552"/>
      <c r="AO902" s="552"/>
      <c r="AP902" s="552"/>
      <c r="AQ902" s="552" t="s">
        <v>1186</v>
      </c>
      <c r="AR902" s="552" t="s">
        <v>2998</v>
      </c>
      <c r="AS902" s="552" t="s">
        <v>6881</v>
      </c>
      <c r="AT902" s="552" t="s">
        <v>726</v>
      </c>
    </row>
    <row r="903" spans="1:46" ht="14.7" customHeight="1">
      <c r="A903" s="706" t="s">
        <v>8041</v>
      </c>
      <c r="B903" s="557" t="s">
        <v>3698</v>
      </c>
      <c r="C903" s="539" t="s">
        <v>7753</v>
      </c>
      <c r="D903" s="709" t="s">
        <v>8042</v>
      </c>
      <c r="E903" s="552" t="s">
        <v>8021</v>
      </c>
      <c r="F903" s="552"/>
      <c r="G903" s="552" t="s">
        <v>8036</v>
      </c>
      <c r="H903" s="552"/>
      <c r="I903" s="552"/>
      <c r="J903" s="552"/>
      <c r="K903" s="552"/>
      <c r="L903" s="552"/>
      <c r="M903" s="552"/>
      <c r="N903" s="552"/>
      <c r="O903" s="552"/>
      <c r="P903" s="552"/>
      <c r="Q903" s="552"/>
      <c r="R903" s="552">
        <v>2</v>
      </c>
      <c r="S903" s="552"/>
      <c r="T903" s="552"/>
      <c r="U903" s="552"/>
      <c r="V903" s="552"/>
      <c r="W903" s="552"/>
      <c r="X903" s="552"/>
      <c r="Y903" s="552">
        <v>5</v>
      </c>
      <c r="Z903" s="552"/>
      <c r="AA903" s="552"/>
      <c r="AB903" s="552"/>
      <c r="AC903" s="552"/>
      <c r="AD903" s="552"/>
      <c r="AE903" s="552"/>
      <c r="AF903" s="552"/>
      <c r="AG903" s="552"/>
      <c r="AH903" s="552"/>
      <c r="AI903" s="552"/>
      <c r="AJ903" s="552"/>
      <c r="AK903" s="552"/>
      <c r="AL903" s="552"/>
      <c r="AM903" s="552"/>
      <c r="AN903" s="552"/>
      <c r="AO903" s="552"/>
      <c r="AP903" s="717" t="s">
        <v>8043</v>
      </c>
      <c r="AQ903" s="552" t="s">
        <v>1186</v>
      </c>
      <c r="AR903" s="552" t="s">
        <v>2998</v>
      </c>
      <c r="AS903" s="552" t="s">
        <v>6881</v>
      </c>
      <c r="AT903" s="552" t="s">
        <v>726</v>
      </c>
    </row>
    <row r="904" spans="1:46" ht="14.7" customHeight="1">
      <c r="A904" s="706"/>
      <c r="B904" s="557" t="s">
        <v>3698</v>
      </c>
      <c r="C904" s="539" t="s">
        <v>7753</v>
      </c>
      <c r="D904" s="709"/>
      <c r="E904" s="552"/>
      <c r="F904" s="552"/>
      <c r="G904" s="552"/>
      <c r="H904" s="552"/>
      <c r="I904" s="552"/>
      <c r="J904" s="552"/>
      <c r="K904" s="552"/>
      <c r="L904" s="552"/>
      <c r="M904" s="552"/>
      <c r="N904" s="552"/>
      <c r="O904" s="552"/>
      <c r="P904" s="552"/>
      <c r="Q904" s="552"/>
      <c r="R904" s="552"/>
      <c r="S904" s="552"/>
      <c r="T904" s="552"/>
      <c r="U904" s="552"/>
      <c r="V904" s="552"/>
      <c r="W904" s="552"/>
      <c r="X904" s="552"/>
      <c r="Y904" s="552"/>
      <c r="Z904" s="552"/>
      <c r="AA904" s="552"/>
      <c r="AB904" s="552"/>
      <c r="AC904" s="552"/>
      <c r="AD904" s="552"/>
      <c r="AE904" s="552"/>
      <c r="AF904" s="552"/>
      <c r="AG904" s="552"/>
      <c r="AH904" s="552"/>
      <c r="AI904" s="552"/>
      <c r="AJ904" s="552"/>
      <c r="AK904" s="552"/>
      <c r="AL904" s="552"/>
      <c r="AM904" s="552"/>
      <c r="AN904" s="552"/>
      <c r="AO904" s="552"/>
      <c r="AP904" s="552"/>
      <c r="AQ904" s="552" t="s">
        <v>1186</v>
      </c>
      <c r="AR904" s="552" t="s">
        <v>2998</v>
      </c>
      <c r="AS904" s="552" t="s">
        <v>6881</v>
      </c>
      <c r="AT904" s="552" t="s">
        <v>726</v>
      </c>
    </row>
    <row r="905" spans="1:46" ht="14.7" customHeight="1">
      <c r="A905" s="706"/>
      <c r="B905" s="557" t="s">
        <v>3698</v>
      </c>
      <c r="C905" s="539" t="s">
        <v>7753</v>
      </c>
      <c r="D905" s="709"/>
      <c r="E905" s="552"/>
      <c r="F905" s="552"/>
      <c r="G905" s="552"/>
      <c r="H905" s="552"/>
      <c r="I905" s="552"/>
      <c r="J905" s="552"/>
      <c r="K905" s="552"/>
      <c r="L905" s="552"/>
      <c r="M905" s="552"/>
      <c r="N905" s="552"/>
      <c r="O905" s="552"/>
      <c r="P905" s="552"/>
      <c r="Q905" s="552"/>
      <c r="R905" s="552"/>
      <c r="S905" s="552"/>
      <c r="T905" s="552"/>
      <c r="U905" s="552"/>
      <c r="V905" s="552"/>
      <c r="W905" s="552"/>
      <c r="X905" s="552"/>
      <c r="Y905" s="552"/>
      <c r="Z905" s="552"/>
      <c r="AA905" s="552"/>
      <c r="AB905" s="552"/>
      <c r="AC905" s="552"/>
      <c r="AD905" s="552"/>
      <c r="AE905" s="552"/>
      <c r="AF905" s="552"/>
      <c r="AG905" s="552"/>
      <c r="AH905" s="552"/>
      <c r="AI905" s="552"/>
      <c r="AJ905" s="552"/>
      <c r="AK905" s="552"/>
      <c r="AL905" s="552"/>
      <c r="AM905" s="552"/>
      <c r="AN905" s="552"/>
      <c r="AO905" s="552"/>
      <c r="AP905" s="552"/>
      <c r="AQ905" s="552" t="s">
        <v>1186</v>
      </c>
      <c r="AR905" s="552" t="s">
        <v>2998</v>
      </c>
      <c r="AS905" s="552" t="s">
        <v>6881</v>
      </c>
      <c r="AT905" s="552" t="s">
        <v>726</v>
      </c>
    </row>
    <row r="906" spans="1:46" ht="14.7" customHeight="1">
      <c r="A906" s="706" t="s">
        <v>8044</v>
      </c>
      <c r="B906" s="344" t="s">
        <v>3699</v>
      </c>
      <c r="C906" s="539" t="s">
        <v>7753</v>
      </c>
      <c r="D906" s="709" t="s">
        <v>8045</v>
      </c>
      <c r="E906" s="552" t="s">
        <v>8021</v>
      </c>
      <c r="F906" s="552"/>
      <c r="G906" s="552" t="s">
        <v>8036</v>
      </c>
      <c r="H906" s="552"/>
      <c r="I906" s="552"/>
      <c r="J906" s="552"/>
      <c r="K906" s="552"/>
      <c r="L906" s="552"/>
      <c r="M906" s="552"/>
      <c r="N906" s="552"/>
      <c r="O906" s="552"/>
      <c r="P906" s="552">
        <v>5</v>
      </c>
      <c r="Q906" s="552"/>
      <c r="R906" s="552"/>
      <c r="S906" s="552"/>
      <c r="T906" s="552">
        <v>1</v>
      </c>
      <c r="U906" s="552">
        <v>-1</v>
      </c>
      <c r="V906" s="552"/>
      <c r="W906" s="552"/>
      <c r="X906" s="552">
        <v>3</v>
      </c>
      <c r="Y906" s="552"/>
      <c r="Z906" s="552"/>
      <c r="AA906" s="552"/>
      <c r="AB906" s="552"/>
      <c r="AC906" s="552"/>
      <c r="AD906" s="552"/>
      <c r="AE906" s="552"/>
      <c r="AF906" s="552"/>
      <c r="AG906" s="552"/>
      <c r="AH906" s="552"/>
      <c r="AI906" s="552"/>
      <c r="AJ906" s="552"/>
      <c r="AK906" s="552"/>
      <c r="AL906" s="552"/>
      <c r="AM906" s="552"/>
      <c r="AN906" s="552"/>
      <c r="AO906" s="552"/>
      <c r="AP906" s="717" t="s">
        <v>8046</v>
      </c>
      <c r="AQ906" s="552" t="s">
        <v>1186</v>
      </c>
      <c r="AR906" s="552" t="s">
        <v>2809</v>
      </c>
      <c r="AS906" s="552" t="s">
        <v>6881</v>
      </c>
      <c r="AT906" s="552" t="s">
        <v>726</v>
      </c>
    </row>
    <row r="907" spans="1:46" ht="14.7" customHeight="1">
      <c r="A907" s="706"/>
      <c r="B907" s="344" t="s">
        <v>3699</v>
      </c>
      <c r="C907" s="539" t="s">
        <v>7753</v>
      </c>
      <c r="D907" s="709"/>
      <c r="E907" s="552"/>
      <c r="F907" s="552"/>
      <c r="G907" s="552"/>
      <c r="H907" s="552"/>
      <c r="I907" s="552"/>
      <c r="J907" s="552"/>
      <c r="K907" s="552"/>
      <c r="L907" s="552"/>
      <c r="M907" s="552"/>
      <c r="N907" s="552"/>
      <c r="O907" s="552"/>
      <c r="P907" s="552"/>
      <c r="Q907" s="552"/>
      <c r="R907" s="552"/>
      <c r="S907" s="552"/>
      <c r="T907" s="552"/>
      <c r="U907" s="552"/>
      <c r="V907" s="552"/>
      <c r="W907" s="552"/>
      <c r="X907" s="552"/>
      <c r="Y907" s="552"/>
      <c r="Z907" s="552"/>
      <c r="AA907" s="552"/>
      <c r="AB907" s="552"/>
      <c r="AC907" s="552"/>
      <c r="AD907" s="552"/>
      <c r="AE907" s="552"/>
      <c r="AF907" s="552"/>
      <c r="AG907" s="552"/>
      <c r="AH907" s="552"/>
      <c r="AI907" s="552"/>
      <c r="AJ907" s="552"/>
      <c r="AK907" s="552"/>
      <c r="AL907" s="552"/>
      <c r="AM907" s="552"/>
      <c r="AN907" s="552"/>
      <c r="AO907" s="552"/>
      <c r="AP907" s="552"/>
      <c r="AQ907" s="552" t="s">
        <v>1186</v>
      </c>
      <c r="AR907" s="552" t="s">
        <v>2809</v>
      </c>
      <c r="AS907" s="552" t="s">
        <v>6881</v>
      </c>
      <c r="AT907" s="552" t="s">
        <v>726</v>
      </c>
    </row>
    <row r="908" spans="1:46" ht="14.7" customHeight="1">
      <c r="A908" s="706" t="s">
        <v>6479</v>
      </c>
      <c r="B908" s="344" t="s">
        <v>3699</v>
      </c>
      <c r="C908" s="539" t="s">
        <v>7753</v>
      </c>
      <c r="D908" s="709" t="s">
        <v>8047</v>
      </c>
      <c r="E908" s="552" t="s">
        <v>8021</v>
      </c>
      <c r="F908" s="552"/>
      <c r="G908" s="552" t="s">
        <v>8036</v>
      </c>
      <c r="H908" s="552"/>
      <c r="I908" s="552"/>
      <c r="J908" s="552"/>
      <c r="K908" s="552"/>
      <c r="L908" s="552"/>
      <c r="M908" s="552"/>
      <c r="N908" s="552"/>
      <c r="O908" s="552"/>
      <c r="P908" s="552"/>
      <c r="Q908" s="552"/>
      <c r="R908" s="552"/>
      <c r="S908" s="552"/>
      <c r="T908" s="552"/>
      <c r="U908" s="552"/>
      <c r="V908" s="552"/>
      <c r="W908" s="552"/>
      <c r="X908" s="552">
        <v>4</v>
      </c>
      <c r="Y908" s="552">
        <v>4</v>
      </c>
      <c r="Z908" s="552"/>
      <c r="AA908" s="552"/>
      <c r="AB908" s="552"/>
      <c r="AC908" s="552"/>
      <c r="AD908" s="552"/>
      <c r="AE908" s="552"/>
      <c r="AF908" s="552"/>
      <c r="AG908" s="552"/>
      <c r="AH908" s="552"/>
      <c r="AI908" s="552"/>
      <c r="AJ908" s="552"/>
      <c r="AK908" s="552"/>
      <c r="AL908" s="552"/>
      <c r="AM908" s="552"/>
      <c r="AN908" s="552"/>
      <c r="AO908" s="552"/>
      <c r="AP908" s="717" t="s">
        <v>8048</v>
      </c>
      <c r="AQ908" s="552" t="s">
        <v>1186</v>
      </c>
      <c r="AR908" s="552" t="s">
        <v>2809</v>
      </c>
      <c r="AS908" s="552" t="s">
        <v>6881</v>
      </c>
      <c r="AT908" s="552" t="s">
        <v>726</v>
      </c>
    </row>
    <row r="909" spans="1:46" ht="14.7" customHeight="1">
      <c r="A909" s="706" t="s">
        <v>6480</v>
      </c>
      <c r="B909" s="344" t="s">
        <v>3699</v>
      </c>
      <c r="C909" s="539" t="s">
        <v>7753</v>
      </c>
      <c r="D909" s="709" t="s">
        <v>8049</v>
      </c>
      <c r="E909" s="552" t="s">
        <v>8021</v>
      </c>
      <c r="F909" s="552"/>
      <c r="G909" s="552" t="s">
        <v>8036</v>
      </c>
      <c r="H909" s="552"/>
      <c r="I909" s="552"/>
      <c r="J909" s="552"/>
      <c r="K909" s="552"/>
      <c r="L909" s="552"/>
      <c r="M909" s="552"/>
      <c r="N909" s="552">
        <v>50</v>
      </c>
      <c r="O909" s="552"/>
      <c r="P909" s="552"/>
      <c r="Q909" s="552"/>
      <c r="R909" s="552"/>
      <c r="S909" s="552"/>
      <c r="T909" s="552"/>
      <c r="U909" s="552"/>
      <c r="V909" s="552"/>
      <c r="W909" s="552"/>
      <c r="X909" s="552"/>
      <c r="Y909" s="552"/>
      <c r="Z909" s="552"/>
      <c r="AA909" s="552"/>
      <c r="AB909" s="552"/>
      <c r="AC909" s="552"/>
      <c r="AD909" s="552"/>
      <c r="AE909" s="552"/>
      <c r="AF909" s="552"/>
      <c r="AG909" s="552"/>
      <c r="AH909" s="552"/>
      <c r="AI909" s="552"/>
      <c r="AJ909" s="552"/>
      <c r="AK909" s="552">
        <v>20</v>
      </c>
      <c r="AL909" s="552"/>
      <c r="AM909" s="552"/>
      <c r="AN909" s="552"/>
      <c r="AO909" s="717" t="s">
        <v>8050</v>
      </c>
      <c r="AP909" s="552"/>
      <c r="AQ909" s="552" t="s">
        <v>1186</v>
      </c>
      <c r="AR909" s="552" t="s">
        <v>2809</v>
      </c>
      <c r="AS909" s="552" t="s">
        <v>6881</v>
      </c>
      <c r="AT909" s="552" t="s">
        <v>726</v>
      </c>
    </row>
    <row r="910" spans="1:46" ht="14.7" customHeight="1">
      <c r="A910" s="706"/>
      <c r="B910" s="344" t="s">
        <v>3699</v>
      </c>
      <c r="C910" s="539" t="s">
        <v>7753</v>
      </c>
      <c r="D910" s="709"/>
      <c r="E910" s="552"/>
      <c r="F910" s="552"/>
      <c r="G910" s="552"/>
      <c r="H910" s="552"/>
      <c r="I910" s="552"/>
      <c r="J910" s="552"/>
      <c r="K910" s="552"/>
      <c r="L910" s="552"/>
      <c r="M910" s="552"/>
      <c r="N910" s="552"/>
      <c r="O910" s="552"/>
      <c r="P910" s="552"/>
      <c r="Q910" s="552"/>
      <c r="R910" s="552"/>
      <c r="S910" s="552"/>
      <c r="T910" s="552"/>
      <c r="U910" s="552"/>
      <c r="V910" s="552"/>
      <c r="W910" s="552"/>
      <c r="X910" s="552"/>
      <c r="Y910" s="552"/>
      <c r="Z910" s="552"/>
      <c r="AA910" s="552"/>
      <c r="AB910" s="552"/>
      <c r="AC910" s="552"/>
      <c r="AD910" s="552"/>
      <c r="AE910" s="552"/>
      <c r="AF910" s="552"/>
      <c r="AG910" s="552"/>
      <c r="AH910" s="552"/>
      <c r="AI910" s="552"/>
      <c r="AJ910" s="552"/>
      <c r="AK910" s="552"/>
      <c r="AL910" s="552"/>
      <c r="AM910" s="552"/>
      <c r="AN910" s="552"/>
      <c r="AO910" s="552"/>
      <c r="AP910" s="552"/>
      <c r="AQ910" s="552" t="s">
        <v>1186</v>
      </c>
      <c r="AR910" s="552" t="s">
        <v>2809</v>
      </c>
      <c r="AS910" s="552" t="s">
        <v>6881</v>
      </c>
      <c r="AT910" s="552" t="s">
        <v>726</v>
      </c>
    </row>
    <row r="911" spans="1:46" ht="14.7" customHeight="1">
      <c r="A911" s="706" t="s">
        <v>6481</v>
      </c>
      <c r="B911" s="559" t="s">
        <v>3700</v>
      </c>
      <c r="C911" s="539" t="s">
        <v>7753</v>
      </c>
      <c r="D911" s="709" t="s">
        <v>8051</v>
      </c>
      <c r="E911" s="552" t="s">
        <v>8018</v>
      </c>
      <c r="F911" s="552"/>
      <c r="G911" s="552" t="s">
        <v>8036</v>
      </c>
      <c r="H911" s="552"/>
      <c r="I911" s="552"/>
      <c r="J911" s="552"/>
      <c r="K911" s="552"/>
      <c r="L911" s="552"/>
      <c r="M911" s="552"/>
      <c r="N911" s="552"/>
      <c r="O911" s="552"/>
      <c r="P911" s="552">
        <v>6</v>
      </c>
      <c r="Q911" s="552">
        <v>6</v>
      </c>
      <c r="R911" s="552"/>
      <c r="S911" s="552"/>
      <c r="T911" s="552"/>
      <c r="U911" s="552"/>
      <c r="V911" s="552"/>
      <c r="W911" s="552"/>
      <c r="X911" s="552">
        <v>6</v>
      </c>
      <c r="Y911" s="552"/>
      <c r="Z911" s="552"/>
      <c r="AA911" s="552"/>
      <c r="AB911" s="552"/>
      <c r="AC911" s="552">
        <v>20</v>
      </c>
      <c r="AD911" s="552"/>
      <c r="AE911" s="552"/>
      <c r="AF911" s="552"/>
      <c r="AG911" s="552"/>
      <c r="AH911" s="552"/>
      <c r="AI911" s="552"/>
      <c r="AJ911" s="552"/>
      <c r="AK911" s="552"/>
      <c r="AL911" s="552"/>
      <c r="AM911" s="552"/>
      <c r="AN911" s="552"/>
      <c r="AO911" s="717" t="s">
        <v>8052</v>
      </c>
      <c r="AP911" s="552"/>
      <c r="AQ911" s="552" t="s">
        <v>1186</v>
      </c>
      <c r="AR911" s="552" t="s">
        <v>2971</v>
      </c>
      <c r="AS911" s="552" t="s">
        <v>6881</v>
      </c>
      <c r="AT911" s="552" t="s">
        <v>726</v>
      </c>
    </row>
    <row r="912" spans="1:46" ht="14.7" customHeight="1">
      <c r="A912" s="706"/>
      <c r="B912" s="559" t="s">
        <v>3700</v>
      </c>
      <c r="C912" s="539" t="s">
        <v>7753</v>
      </c>
      <c r="D912" s="709"/>
      <c r="E912" s="552"/>
      <c r="F912" s="552"/>
      <c r="G912" s="552"/>
      <c r="H912" s="552"/>
      <c r="I912" s="552"/>
      <c r="J912" s="552"/>
      <c r="K912" s="552"/>
      <c r="L912" s="552"/>
      <c r="M912" s="552"/>
      <c r="N912" s="552"/>
      <c r="O912" s="552"/>
      <c r="P912" s="552"/>
      <c r="Q912" s="552"/>
      <c r="R912" s="552"/>
      <c r="S912" s="552"/>
      <c r="T912" s="552"/>
      <c r="U912" s="552"/>
      <c r="V912" s="552"/>
      <c r="W912" s="552"/>
      <c r="X912" s="552"/>
      <c r="Y912" s="552"/>
      <c r="Z912" s="552"/>
      <c r="AA912" s="552"/>
      <c r="AB912" s="552"/>
      <c r="AC912" s="552"/>
      <c r="AD912" s="552"/>
      <c r="AE912" s="552"/>
      <c r="AF912" s="552"/>
      <c r="AG912" s="552"/>
      <c r="AH912" s="552"/>
      <c r="AI912" s="552"/>
      <c r="AJ912" s="552"/>
      <c r="AK912" s="552"/>
      <c r="AL912" s="552"/>
      <c r="AM912" s="552"/>
      <c r="AN912" s="552"/>
      <c r="AO912" s="552"/>
      <c r="AP912" s="552"/>
      <c r="AQ912" s="552" t="s">
        <v>1186</v>
      </c>
      <c r="AR912" s="552" t="s">
        <v>2971</v>
      </c>
      <c r="AS912" s="552" t="s">
        <v>6881</v>
      </c>
      <c r="AT912" s="552" t="s">
        <v>726</v>
      </c>
    </row>
    <row r="913" spans="1:46" ht="14.7" customHeight="1">
      <c r="A913" s="706"/>
      <c r="B913" s="711" t="s">
        <v>6055</v>
      </c>
      <c r="C913" s="539" t="s">
        <v>7753</v>
      </c>
      <c r="D913" s="709"/>
      <c r="E913" s="552"/>
      <c r="F913" s="552"/>
      <c r="G913" s="552"/>
      <c r="H913" s="552"/>
      <c r="I913" s="552"/>
      <c r="J913" s="552"/>
      <c r="K913" s="552"/>
      <c r="L913" s="552"/>
      <c r="M913" s="552"/>
      <c r="N913" s="552"/>
      <c r="O913" s="552"/>
      <c r="P913" s="552"/>
      <c r="Q913" s="552"/>
      <c r="R913" s="552"/>
      <c r="S913" s="552"/>
      <c r="T913" s="552"/>
      <c r="U913" s="552"/>
      <c r="V913" s="552"/>
      <c r="W913" s="552"/>
      <c r="X913" s="552"/>
      <c r="Y913" s="552"/>
      <c r="Z913" s="552"/>
      <c r="AA913" s="552"/>
      <c r="AB913" s="552"/>
      <c r="AC913" s="552"/>
      <c r="AD913" s="552"/>
      <c r="AE913" s="552"/>
      <c r="AF913" s="552"/>
      <c r="AG913" s="552"/>
      <c r="AH913" s="552"/>
      <c r="AI913" s="552"/>
      <c r="AJ913" s="552"/>
      <c r="AK913" s="552"/>
      <c r="AL913" s="552"/>
      <c r="AM913" s="552"/>
      <c r="AN913" s="552"/>
      <c r="AO913" s="552"/>
      <c r="AP913" s="552"/>
      <c r="AQ913" s="552" t="s">
        <v>1186</v>
      </c>
      <c r="AR913" s="552" t="s">
        <v>6697</v>
      </c>
      <c r="AS913" s="552" t="s">
        <v>6881</v>
      </c>
      <c r="AT913" s="552" t="s">
        <v>726</v>
      </c>
    </row>
    <row r="914" spans="1:46" ht="14.7" customHeight="1">
      <c r="A914" s="706" t="s">
        <v>6482</v>
      </c>
      <c r="B914" s="540" t="s">
        <v>3695</v>
      </c>
      <c r="C914" s="539" t="s">
        <v>7753</v>
      </c>
      <c r="D914" s="709" t="s">
        <v>8053</v>
      </c>
      <c r="E914" s="552" t="s">
        <v>8021</v>
      </c>
      <c r="F914" s="552"/>
      <c r="G914" s="552" t="s">
        <v>8054</v>
      </c>
      <c r="H914" s="552"/>
      <c r="I914" s="552"/>
      <c r="J914" s="552"/>
      <c r="K914" s="552"/>
      <c r="L914" s="552"/>
      <c r="M914" s="552"/>
      <c r="N914" s="552"/>
      <c r="O914" s="552"/>
      <c r="P914" s="552"/>
      <c r="Q914" s="552"/>
      <c r="R914" s="552"/>
      <c r="S914" s="552"/>
      <c r="T914" s="552"/>
      <c r="U914" s="552"/>
      <c r="V914" s="552"/>
      <c r="W914" s="552"/>
      <c r="X914" s="552"/>
      <c r="Y914" s="552"/>
      <c r="Z914" s="552"/>
      <c r="AA914" s="552"/>
      <c r="AB914" s="552"/>
      <c r="AC914" s="552"/>
      <c r="AD914" s="552"/>
      <c r="AE914" s="552"/>
      <c r="AF914" s="552"/>
      <c r="AG914" s="552"/>
      <c r="AH914" s="552"/>
      <c r="AI914" s="552"/>
      <c r="AJ914" s="552"/>
      <c r="AK914" s="552"/>
      <c r="AL914" s="552"/>
      <c r="AM914" s="552"/>
      <c r="AN914" s="552"/>
      <c r="AO914" s="552"/>
      <c r="AP914" s="552"/>
      <c r="AQ914" s="552" t="s">
        <v>7715</v>
      </c>
      <c r="AR914" s="552" t="s">
        <v>2802</v>
      </c>
      <c r="AS914" s="552" t="s">
        <v>7484</v>
      </c>
      <c r="AT914" s="552" t="s">
        <v>726</v>
      </c>
    </row>
    <row r="915" spans="1:46" ht="14.7" customHeight="1">
      <c r="A915" s="706"/>
      <c r="B915" s="540" t="s">
        <v>3695</v>
      </c>
      <c r="C915" s="539" t="s">
        <v>7753</v>
      </c>
      <c r="D915" s="709"/>
      <c r="E915" s="552"/>
      <c r="F915" s="552"/>
      <c r="G915" s="552"/>
      <c r="H915" s="552"/>
      <c r="I915" s="552"/>
      <c r="J915" s="552"/>
      <c r="K915" s="552"/>
      <c r="L915" s="552"/>
      <c r="M915" s="552"/>
      <c r="N915" s="552"/>
      <c r="O915" s="552"/>
      <c r="P915" s="552"/>
      <c r="Q915" s="552"/>
      <c r="R915" s="552">
        <v>1</v>
      </c>
      <c r="S915" s="552"/>
      <c r="T915" s="552"/>
      <c r="U915" s="552"/>
      <c r="V915" s="552"/>
      <c r="W915" s="552"/>
      <c r="X915" s="552"/>
      <c r="Y915" s="552">
        <v>2</v>
      </c>
      <c r="Z915" s="552"/>
      <c r="AA915" s="552"/>
      <c r="AB915" s="552"/>
      <c r="AC915" s="552"/>
      <c r="AD915" s="552"/>
      <c r="AE915" s="552"/>
      <c r="AF915" s="552"/>
      <c r="AG915" s="552"/>
      <c r="AH915" s="552"/>
      <c r="AI915" s="552"/>
      <c r="AJ915" s="552"/>
      <c r="AK915" s="552"/>
      <c r="AL915" s="552"/>
      <c r="AM915" s="552"/>
      <c r="AN915" s="552"/>
      <c r="AO915" s="552"/>
      <c r="AP915" s="552"/>
      <c r="AQ915" s="552" t="s">
        <v>7715</v>
      </c>
      <c r="AR915" s="552" t="s">
        <v>2802</v>
      </c>
      <c r="AS915" s="552" t="s">
        <v>7484</v>
      </c>
      <c r="AT915" s="552" t="s">
        <v>726</v>
      </c>
    </row>
    <row r="916" spans="1:46" ht="14.7" customHeight="1">
      <c r="A916" s="706" t="s">
        <v>6483</v>
      </c>
      <c r="B916" s="707" t="s">
        <v>3696</v>
      </c>
      <c r="C916" s="539" t="s">
        <v>7753</v>
      </c>
      <c r="D916" s="709" t="s">
        <v>8055</v>
      </c>
      <c r="E916" s="552" t="s">
        <v>8021</v>
      </c>
      <c r="F916" s="552"/>
      <c r="G916" s="552" t="s">
        <v>8054</v>
      </c>
      <c r="H916" s="552"/>
      <c r="I916" s="552"/>
      <c r="J916" s="552"/>
      <c r="K916" s="552"/>
      <c r="L916" s="552"/>
      <c r="M916" s="552"/>
      <c r="N916" s="552"/>
      <c r="O916" s="552"/>
      <c r="P916" s="552"/>
      <c r="Q916" s="552"/>
      <c r="R916" s="552">
        <v>2</v>
      </c>
      <c r="S916" s="552"/>
      <c r="T916" s="552"/>
      <c r="U916" s="552"/>
      <c r="V916" s="552"/>
      <c r="W916" s="552"/>
      <c r="X916" s="552"/>
      <c r="Y916" s="552">
        <v>2</v>
      </c>
      <c r="Z916" s="552"/>
      <c r="AA916" s="552"/>
      <c r="AB916" s="552"/>
      <c r="AC916" s="552"/>
      <c r="AD916" s="552"/>
      <c r="AE916" s="552"/>
      <c r="AF916" s="552"/>
      <c r="AG916" s="552"/>
      <c r="AH916" s="552"/>
      <c r="AI916" s="552"/>
      <c r="AJ916" s="552"/>
      <c r="AK916" s="552"/>
      <c r="AL916" s="552"/>
      <c r="AM916" s="552"/>
      <c r="AN916" s="552"/>
      <c r="AO916" s="552"/>
      <c r="AP916" s="552"/>
      <c r="AQ916" s="552" t="s">
        <v>7715</v>
      </c>
      <c r="AR916" s="552" t="s">
        <v>2805</v>
      </c>
      <c r="AS916" s="552" t="s">
        <v>7484</v>
      </c>
      <c r="AT916" s="552" t="s">
        <v>726</v>
      </c>
    </row>
    <row r="917" spans="1:46" ht="14.7" customHeight="1">
      <c r="A917" s="706"/>
      <c r="B917" s="707" t="s">
        <v>3696</v>
      </c>
      <c r="C917" s="539" t="s">
        <v>7753</v>
      </c>
      <c r="D917" s="709"/>
      <c r="E917" s="552"/>
      <c r="F917" s="552"/>
      <c r="G917" s="552"/>
      <c r="H917" s="552"/>
      <c r="I917" s="552"/>
      <c r="J917" s="552"/>
      <c r="K917" s="552"/>
      <c r="L917" s="552"/>
      <c r="M917" s="552"/>
      <c r="N917" s="552"/>
      <c r="O917" s="552"/>
      <c r="P917" s="552"/>
      <c r="Q917" s="552"/>
      <c r="R917" s="552"/>
      <c r="S917" s="552"/>
      <c r="T917" s="552"/>
      <c r="U917" s="552"/>
      <c r="V917" s="552"/>
      <c r="W917" s="552"/>
      <c r="X917" s="552"/>
      <c r="Y917" s="552"/>
      <c r="Z917" s="552"/>
      <c r="AA917" s="552"/>
      <c r="AB917" s="552"/>
      <c r="AC917" s="552"/>
      <c r="AD917" s="552"/>
      <c r="AE917" s="552"/>
      <c r="AF917" s="552"/>
      <c r="AG917" s="552"/>
      <c r="AH917" s="552"/>
      <c r="AI917" s="552"/>
      <c r="AJ917" s="552"/>
      <c r="AK917" s="552"/>
      <c r="AL917" s="552"/>
      <c r="AM917" s="552"/>
      <c r="AN917" s="552"/>
      <c r="AO917" s="552"/>
      <c r="AP917" s="552"/>
      <c r="AQ917" s="552" t="s">
        <v>7715</v>
      </c>
      <c r="AR917" s="552" t="s">
        <v>2805</v>
      </c>
      <c r="AS917" s="552" t="s">
        <v>7484</v>
      </c>
      <c r="AT917" s="552" t="s">
        <v>726</v>
      </c>
    </row>
    <row r="918" spans="1:46" ht="14.7" customHeight="1">
      <c r="A918" s="706" t="s">
        <v>6484</v>
      </c>
      <c r="B918" s="556" t="s">
        <v>3697</v>
      </c>
      <c r="C918" s="539" t="s">
        <v>7753</v>
      </c>
      <c r="D918" s="709" t="s">
        <v>8056</v>
      </c>
      <c r="E918" s="552" t="s">
        <v>8021</v>
      </c>
      <c r="F918" s="552"/>
      <c r="G918" s="552" t="s">
        <v>8054</v>
      </c>
      <c r="H918" s="552"/>
      <c r="I918" s="552"/>
      <c r="J918" s="552"/>
      <c r="K918" s="552"/>
      <c r="L918" s="552"/>
      <c r="M918" s="552"/>
      <c r="N918" s="552"/>
      <c r="O918" s="552"/>
      <c r="P918" s="552"/>
      <c r="Q918" s="552"/>
      <c r="R918" s="552">
        <v>2</v>
      </c>
      <c r="S918" s="552"/>
      <c r="T918" s="552"/>
      <c r="U918" s="552"/>
      <c r="V918" s="552"/>
      <c r="W918" s="552"/>
      <c r="X918" s="552"/>
      <c r="Y918" s="552">
        <v>3</v>
      </c>
      <c r="Z918" s="552"/>
      <c r="AA918" s="552"/>
      <c r="AB918" s="552"/>
      <c r="AC918" s="552"/>
      <c r="AD918" s="552"/>
      <c r="AE918" s="552"/>
      <c r="AF918" s="552"/>
      <c r="AG918" s="552"/>
      <c r="AH918" s="552">
        <v>20</v>
      </c>
      <c r="AI918" s="552"/>
      <c r="AJ918" s="552"/>
      <c r="AK918" s="552"/>
      <c r="AL918" s="552"/>
      <c r="AM918" s="552"/>
      <c r="AN918" s="552"/>
      <c r="AO918" s="552"/>
      <c r="AP918" s="552"/>
      <c r="AQ918" s="552" t="s">
        <v>7715</v>
      </c>
      <c r="AR918" s="552" t="s">
        <v>2875</v>
      </c>
      <c r="AS918" s="552" t="s">
        <v>7484</v>
      </c>
      <c r="AT918" s="552" t="s">
        <v>726</v>
      </c>
    </row>
    <row r="919" spans="1:46" ht="14.7" customHeight="1">
      <c r="A919" s="706" t="s">
        <v>6485</v>
      </c>
      <c r="B919" s="556" t="s">
        <v>3697</v>
      </c>
      <c r="C919" s="539" t="s">
        <v>7753</v>
      </c>
      <c r="D919" s="709" t="s">
        <v>8057</v>
      </c>
      <c r="E919" s="552" t="s">
        <v>8021</v>
      </c>
      <c r="F919" s="552"/>
      <c r="G919" s="552" t="s">
        <v>8054</v>
      </c>
      <c r="H919" s="552"/>
      <c r="I919" s="552"/>
      <c r="J919" s="552"/>
      <c r="K919" s="552"/>
      <c r="L919" s="552"/>
      <c r="M919" s="552"/>
      <c r="N919" s="552"/>
      <c r="O919" s="552">
        <v>20</v>
      </c>
      <c r="P919" s="552"/>
      <c r="Q919" s="552"/>
      <c r="R919" s="552"/>
      <c r="S919" s="552"/>
      <c r="T919" s="552"/>
      <c r="U919" s="552">
        <v>1</v>
      </c>
      <c r="V919" s="552"/>
      <c r="W919" s="552"/>
      <c r="X919" s="552"/>
      <c r="Y919" s="552"/>
      <c r="Z919" s="552"/>
      <c r="AA919" s="552"/>
      <c r="AB919" s="552"/>
      <c r="AC919" s="552"/>
      <c r="AD919" s="552"/>
      <c r="AE919" s="552"/>
      <c r="AF919" s="552"/>
      <c r="AG919" s="552"/>
      <c r="AH919" s="552"/>
      <c r="AI919" s="552"/>
      <c r="AJ919" s="552"/>
      <c r="AK919" s="552"/>
      <c r="AL919" s="552"/>
      <c r="AM919" s="552"/>
      <c r="AN919" s="552"/>
      <c r="AO919" s="552"/>
      <c r="AP919" s="552"/>
      <c r="AQ919" s="552" t="s">
        <v>7715</v>
      </c>
      <c r="AR919" s="552" t="s">
        <v>2875</v>
      </c>
      <c r="AS919" s="552" t="s">
        <v>7484</v>
      </c>
      <c r="AT919" s="552" t="s">
        <v>726</v>
      </c>
    </row>
    <row r="920" spans="1:46" ht="14.7" customHeight="1">
      <c r="A920" s="706"/>
      <c r="B920" s="556" t="s">
        <v>3697</v>
      </c>
      <c r="C920" s="539" t="s">
        <v>7753</v>
      </c>
      <c r="D920" s="709"/>
      <c r="E920" s="552"/>
      <c r="F920" s="552"/>
      <c r="G920" s="552"/>
      <c r="H920" s="552"/>
      <c r="I920" s="552"/>
      <c r="J920" s="552"/>
      <c r="K920" s="552"/>
      <c r="L920" s="552"/>
      <c r="M920" s="552"/>
      <c r="N920" s="552"/>
      <c r="O920" s="552"/>
      <c r="P920" s="552"/>
      <c r="Q920" s="552"/>
      <c r="R920" s="552"/>
      <c r="S920" s="552"/>
      <c r="T920" s="552"/>
      <c r="U920" s="552"/>
      <c r="V920" s="552"/>
      <c r="W920" s="552"/>
      <c r="X920" s="552"/>
      <c r="Y920" s="552"/>
      <c r="Z920" s="552"/>
      <c r="AA920" s="552"/>
      <c r="AB920" s="552"/>
      <c r="AC920" s="552"/>
      <c r="AD920" s="552"/>
      <c r="AE920" s="552"/>
      <c r="AF920" s="552"/>
      <c r="AG920" s="552"/>
      <c r="AH920" s="552"/>
      <c r="AI920" s="552"/>
      <c r="AJ920" s="552"/>
      <c r="AK920" s="552"/>
      <c r="AL920" s="552"/>
      <c r="AM920" s="552"/>
      <c r="AN920" s="552"/>
      <c r="AO920" s="552"/>
      <c r="AP920" s="552"/>
      <c r="AQ920" s="552" t="s">
        <v>7715</v>
      </c>
      <c r="AR920" s="552" t="s">
        <v>2875</v>
      </c>
      <c r="AS920" s="552" t="s">
        <v>7484</v>
      </c>
      <c r="AT920" s="552" t="s">
        <v>726</v>
      </c>
    </row>
    <row r="921" spans="1:46" ht="14.7" customHeight="1">
      <c r="A921" s="706" t="s">
        <v>6486</v>
      </c>
      <c r="B921" s="557" t="s">
        <v>3698</v>
      </c>
      <c r="C921" s="539" t="s">
        <v>7753</v>
      </c>
      <c r="D921" s="709" t="s">
        <v>8058</v>
      </c>
      <c r="E921" s="552" t="s">
        <v>8059</v>
      </c>
      <c r="F921" s="552"/>
      <c r="G921" s="552" t="s">
        <v>8054</v>
      </c>
      <c r="H921" s="552"/>
      <c r="I921" s="552" t="s">
        <v>8060</v>
      </c>
      <c r="J921" s="552"/>
      <c r="K921" s="552"/>
      <c r="L921" s="552"/>
      <c r="M921" s="552"/>
      <c r="N921" s="552"/>
      <c r="O921" s="552"/>
      <c r="P921" s="552"/>
      <c r="Q921" s="552">
        <v>3</v>
      </c>
      <c r="R921" s="552">
        <v>3</v>
      </c>
      <c r="S921" s="552"/>
      <c r="T921" s="552"/>
      <c r="U921" s="552"/>
      <c r="V921" s="552"/>
      <c r="W921" s="552"/>
      <c r="X921" s="552">
        <v>1</v>
      </c>
      <c r="Y921" s="552"/>
      <c r="Z921" s="552"/>
      <c r="AA921" s="552"/>
      <c r="AB921" s="552"/>
      <c r="AC921" s="552">
        <v>30</v>
      </c>
      <c r="AD921" s="552"/>
      <c r="AE921" s="552"/>
      <c r="AF921" s="552"/>
      <c r="AG921" s="552"/>
      <c r="AH921" s="552"/>
      <c r="AI921" s="552"/>
      <c r="AJ921" s="552"/>
      <c r="AK921" s="552"/>
      <c r="AL921" s="552"/>
      <c r="AM921" s="552"/>
      <c r="AN921" s="552"/>
      <c r="AO921" s="552"/>
      <c r="AP921" s="717" t="s">
        <v>8061</v>
      </c>
      <c r="AQ921" s="552" t="s">
        <v>7715</v>
      </c>
      <c r="AR921" s="552" t="s">
        <v>2998</v>
      </c>
      <c r="AS921" s="552" t="s">
        <v>7484</v>
      </c>
      <c r="AT921" s="552" t="s">
        <v>726</v>
      </c>
    </row>
    <row r="922" spans="1:46" ht="14.7" customHeight="1">
      <c r="A922" s="706" t="s">
        <v>6487</v>
      </c>
      <c r="B922" s="557" t="s">
        <v>3698</v>
      </c>
      <c r="C922" s="539" t="s">
        <v>7753</v>
      </c>
      <c r="D922" s="709" t="s">
        <v>8062</v>
      </c>
      <c r="E922" s="552" t="s">
        <v>8021</v>
      </c>
      <c r="F922" s="552"/>
      <c r="G922" s="552" t="s">
        <v>8054</v>
      </c>
      <c r="H922" s="552"/>
      <c r="I922" s="552"/>
      <c r="J922" s="552"/>
      <c r="K922" s="552"/>
      <c r="L922" s="552"/>
      <c r="M922" s="552"/>
      <c r="N922" s="552"/>
      <c r="O922" s="552"/>
      <c r="P922" s="552"/>
      <c r="Q922" s="552"/>
      <c r="R922" s="552"/>
      <c r="S922" s="552"/>
      <c r="T922" s="552"/>
      <c r="U922" s="552">
        <v>3</v>
      </c>
      <c r="V922" s="552"/>
      <c r="W922" s="552"/>
      <c r="X922" s="552"/>
      <c r="Y922" s="552"/>
      <c r="Z922" s="552"/>
      <c r="AA922" s="552"/>
      <c r="AB922" s="552"/>
      <c r="AC922" s="552"/>
      <c r="AD922" s="552"/>
      <c r="AE922" s="552"/>
      <c r="AF922" s="552"/>
      <c r="AG922" s="552"/>
      <c r="AH922" s="552"/>
      <c r="AI922" s="552"/>
      <c r="AJ922" s="552"/>
      <c r="AK922" s="552"/>
      <c r="AL922" s="552"/>
      <c r="AM922" s="552"/>
      <c r="AN922" s="552"/>
      <c r="AO922" s="552"/>
      <c r="AP922" s="552"/>
      <c r="AQ922" s="552" t="s">
        <v>7715</v>
      </c>
      <c r="AR922" s="552" t="s">
        <v>2998</v>
      </c>
      <c r="AS922" s="552" t="s">
        <v>7484</v>
      </c>
      <c r="AT922" s="552" t="s">
        <v>726</v>
      </c>
    </row>
    <row r="923" spans="1:46" ht="14.7" customHeight="1">
      <c r="A923" s="706"/>
      <c r="B923" s="557" t="s">
        <v>3698</v>
      </c>
      <c r="C923" s="539" t="s">
        <v>7753</v>
      </c>
      <c r="D923" s="709"/>
      <c r="E923" s="552"/>
      <c r="F923" s="552"/>
      <c r="G923" s="552"/>
      <c r="H923" s="552"/>
      <c r="I923" s="552"/>
      <c r="J923" s="552"/>
      <c r="K923" s="552"/>
      <c r="L923" s="552"/>
      <c r="M923" s="552"/>
      <c r="N923" s="552"/>
      <c r="O923" s="552"/>
      <c r="P923" s="552"/>
      <c r="Q923" s="552"/>
      <c r="R923" s="552"/>
      <c r="S923" s="552"/>
      <c r="T923" s="552"/>
      <c r="U923" s="552"/>
      <c r="V923" s="552"/>
      <c r="W923" s="552"/>
      <c r="X923" s="552"/>
      <c r="Y923" s="552"/>
      <c r="Z923" s="552"/>
      <c r="AA923" s="552"/>
      <c r="AB923" s="552"/>
      <c r="AC923" s="552"/>
      <c r="AD923" s="552"/>
      <c r="AE923" s="552"/>
      <c r="AF923" s="552"/>
      <c r="AG923" s="552"/>
      <c r="AH923" s="552"/>
      <c r="AI923" s="552"/>
      <c r="AJ923" s="552"/>
      <c r="AK923" s="552"/>
      <c r="AL923" s="552"/>
      <c r="AM923" s="552"/>
      <c r="AN923" s="552"/>
      <c r="AO923" s="552"/>
      <c r="AP923" s="552"/>
      <c r="AQ923" s="552" t="s">
        <v>7715</v>
      </c>
      <c r="AR923" s="552" t="s">
        <v>2998</v>
      </c>
      <c r="AS923" s="552" t="s">
        <v>7484</v>
      </c>
      <c r="AT923" s="552" t="s">
        <v>726</v>
      </c>
    </row>
    <row r="924" spans="1:46" ht="14.7" customHeight="1">
      <c r="A924" s="706"/>
      <c r="B924" s="557" t="s">
        <v>3698</v>
      </c>
      <c r="C924" s="539" t="s">
        <v>7753</v>
      </c>
      <c r="D924" s="709"/>
      <c r="E924" s="552"/>
      <c r="F924" s="552"/>
      <c r="G924" s="552"/>
      <c r="H924" s="552"/>
      <c r="I924" s="552"/>
      <c r="J924" s="552"/>
      <c r="K924" s="552"/>
      <c r="L924" s="552"/>
      <c r="M924" s="552"/>
      <c r="N924" s="552"/>
      <c r="O924" s="552"/>
      <c r="P924" s="552"/>
      <c r="Q924" s="552"/>
      <c r="R924" s="552"/>
      <c r="S924" s="552"/>
      <c r="T924" s="552"/>
      <c r="U924" s="552"/>
      <c r="V924" s="552"/>
      <c r="W924" s="552"/>
      <c r="X924" s="552"/>
      <c r="Y924" s="552"/>
      <c r="Z924" s="552"/>
      <c r="AA924" s="552"/>
      <c r="AB924" s="552"/>
      <c r="AC924" s="552"/>
      <c r="AD924" s="552"/>
      <c r="AE924" s="552"/>
      <c r="AF924" s="552"/>
      <c r="AG924" s="552"/>
      <c r="AH924" s="552"/>
      <c r="AI924" s="552"/>
      <c r="AJ924" s="552"/>
      <c r="AK924" s="552"/>
      <c r="AL924" s="552"/>
      <c r="AM924" s="552"/>
      <c r="AN924" s="552"/>
      <c r="AO924" s="552"/>
      <c r="AP924" s="552"/>
      <c r="AQ924" s="552" t="s">
        <v>7715</v>
      </c>
      <c r="AR924" s="552" t="s">
        <v>2998</v>
      </c>
      <c r="AS924" s="552" t="s">
        <v>7484</v>
      </c>
      <c r="AT924" s="552" t="s">
        <v>726</v>
      </c>
    </row>
    <row r="925" spans="1:46" ht="14.7" customHeight="1">
      <c r="A925" s="706"/>
      <c r="B925" s="344" t="s">
        <v>3699</v>
      </c>
      <c r="C925" s="539" t="s">
        <v>7753</v>
      </c>
      <c r="D925" s="709"/>
      <c r="E925" s="552"/>
      <c r="F925" s="552"/>
      <c r="G925" s="552"/>
      <c r="H925" s="552"/>
      <c r="I925" s="552"/>
      <c r="J925" s="552"/>
      <c r="K925" s="552"/>
      <c r="L925" s="552"/>
      <c r="M925" s="552"/>
      <c r="N925" s="552"/>
      <c r="O925" s="552"/>
      <c r="P925" s="552"/>
      <c r="Q925" s="552"/>
      <c r="R925" s="552"/>
      <c r="S925" s="552"/>
      <c r="T925" s="552"/>
      <c r="U925" s="552"/>
      <c r="V925" s="552"/>
      <c r="W925" s="552"/>
      <c r="X925" s="552"/>
      <c r="Y925" s="552"/>
      <c r="Z925" s="552"/>
      <c r="AA925" s="552"/>
      <c r="AB925" s="552"/>
      <c r="AC925" s="552"/>
      <c r="AD925" s="552"/>
      <c r="AE925" s="552"/>
      <c r="AF925" s="552"/>
      <c r="AG925" s="552"/>
      <c r="AH925" s="552"/>
      <c r="AI925" s="552"/>
      <c r="AJ925" s="552"/>
      <c r="AK925" s="552"/>
      <c r="AL925" s="552"/>
      <c r="AM925" s="552"/>
      <c r="AN925" s="552"/>
      <c r="AO925" s="552"/>
      <c r="AP925" s="552"/>
      <c r="AQ925" s="552" t="s">
        <v>7715</v>
      </c>
      <c r="AR925" s="552" t="s">
        <v>2809</v>
      </c>
      <c r="AS925" s="552" t="s">
        <v>7484</v>
      </c>
      <c r="AT925" s="552" t="s">
        <v>726</v>
      </c>
    </row>
    <row r="926" spans="1:46" ht="14.7" customHeight="1">
      <c r="A926" s="706" t="s">
        <v>8063</v>
      </c>
      <c r="B926" s="344" t="s">
        <v>3699</v>
      </c>
      <c r="C926" s="539" t="s">
        <v>7753</v>
      </c>
      <c r="D926" s="709" t="s">
        <v>8064</v>
      </c>
      <c r="E926" s="552" t="s">
        <v>8021</v>
      </c>
      <c r="F926" s="552"/>
      <c r="G926" s="552" t="s">
        <v>8054</v>
      </c>
      <c r="H926" s="552"/>
      <c r="I926" s="552"/>
      <c r="J926" s="552"/>
      <c r="K926" s="552"/>
      <c r="L926" s="552"/>
      <c r="M926" s="552"/>
      <c r="N926" s="552"/>
      <c r="O926" s="552"/>
      <c r="P926" s="552"/>
      <c r="Q926" s="552"/>
      <c r="R926" s="552">
        <v>4</v>
      </c>
      <c r="S926" s="552"/>
      <c r="T926" s="552"/>
      <c r="U926" s="552"/>
      <c r="V926" s="552"/>
      <c r="W926" s="552"/>
      <c r="X926" s="552"/>
      <c r="Y926" s="552"/>
      <c r="Z926" s="552"/>
      <c r="AA926" s="552"/>
      <c r="AB926" s="552"/>
      <c r="AC926" s="552"/>
      <c r="AD926" s="552"/>
      <c r="AE926" s="552"/>
      <c r="AF926" s="552"/>
      <c r="AG926" s="552"/>
      <c r="AH926" s="552"/>
      <c r="AI926" s="552"/>
      <c r="AJ926" s="552"/>
      <c r="AK926" s="552"/>
      <c r="AL926" s="552"/>
      <c r="AM926" s="552"/>
      <c r="AN926" s="552"/>
      <c r="AO926" s="552"/>
      <c r="AP926" s="717" t="s">
        <v>8065</v>
      </c>
      <c r="AQ926" s="552" t="s">
        <v>7715</v>
      </c>
      <c r="AR926" s="552" t="s">
        <v>2809</v>
      </c>
      <c r="AS926" s="552" t="s">
        <v>7484</v>
      </c>
      <c r="AT926" s="552" t="s">
        <v>726</v>
      </c>
    </row>
    <row r="927" spans="1:46" ht="14.7" customHeight="1">
      <c r="A927" s="706" t="s">
        <v>6488</v>
      </c>
      <c r="B927" s="344" t="s">
        <v>3699</v>
      </c>
      <c r="C927" s="539" t="s">
        <v>7753</v>
      </c>
      <c r="D927" s="709" t="s">
        <v>8066</v>
      </c>
      <c r="E927" s="552" t="s">
        <v>8021</v>
      </c>
      <c r="F927" s="552"/>
      <c r="G927" s="552" t="s">
        <v>8054</v>
      </c>
      <c r="H927" s="552"/>
      <c r="I927" s="552"/>
      <c r="J927" s="552"/>
      <c r="K927" s="552"/>
      <c r="L927" s="552"/>
      <c r="M927" s="552"/>
      <c r="N927" s="552"/>
      <c r="O927" s="552"/>
      <c r="P927" s="552"/>
      <c r="Q927" s="552">
        <v>5</v>
      </c>
      <c r="R927" s="552">
        <v>5</v>
      </c>
      <c r="S927" s="552"/>
      <c r="T927" s="552"/>
      <c r="U927" s="552"/>
      <c r="V927" s="552"/>
      <c r="W927" s="552"/>
      <c r="X927" s="552"/>
      <c r="Y927" s="552"/>
      <c r="Z927" s="552"/>
      <c r="AA927" s="552"/>
      <c r="AB927" s="552"/>
      <c r="AC927" s="552"/>
      <c r="AD927" s="552"/>
      <c r="AE927" s="552"/>
      <c r="AF927" s="552"/>
      <c r="AG927" s="552"/>
      <c r="AH927" s="552"/>
      <c r="AI927" s="552"/>
      <c r="AJ927" s="552"/>
      <c r="AK927" s="552"/>
      <c r="AL927" s="552"/>
      <c r="AM927" s="552"/>
      <c r="AN927" s="552"/>
      <c r="AO927" s="717" t="s">
        <v>8067</v>
      </c>
      <c r="AP927" s="552"/>
      <c r="AQ927" s="552" t="s">
        <v>7715</v>
      </c>
      <c r="AR927" s="552" t="s">
        <v>2809</v>
      </c>
      <c r="AS927" s="552" t="s">
        <v>7484</v>
      </c>
      <c r="AT927" s="552" t="s">
        <v>726</v>
      </c>
    </row>
    <row r="928" spans="1:46" ht="14.7" customHeight="1">
      <c r="A928" s="706"/>
      <c r="B928" s="344" t="s">
        <v>3699</v>
      </c>
      <c r="C928" s="539" t="s">
        <v>7753</v>
      </c>
      <c r="D928" s="709"/>
      <c r="E928" s="552"/>
      <c r="F928" s="552"/>
      <c r="G928" s="552"/>
      <c r="H928" s="552"/>
      <c r="I928" s="552"/>
      <c r="J928" s="552"/>
      <c r="K928" s="552"/>
      <c r="L928" s="552"/>
      <c r="M928" s="552"/>
      <c r="N928" s="552"/>
      <c r="O928" s="552"/>
      <c r="P928" s="552"/>
      <c r="Q928" s="552"/>
      <c r="R928" s="552"/>
      <c r="S928" s="552"/>
      <c r="T928" s="552"/>
      <c r="U928" s="552"/>
      <c r="V928" s="552"/>
      <c r="W928" s="552"/>
      <c r="X928" s="552"/>
      <c r="Y928" s="552"/>
      <c r="Z928" s="552"/>
      <c r="AA928" s="552"/>
      <c r="AB928" s="552"/>
      <c r="AC928" s="552"/>
      <c r="AD928" s="552"/>
      <c r="AE928" s="552"/>
      <c r="AF928" s="552"/>
      <c r="AG928" s="552"/>
      <c r="AH928" s="552"/>
      <c r="AI928" s="552"/>
      <c r="AJ928" s="552"/>
      <c r="AK928" s="552"/>
      <c r="AL928" s="552"/>
      <c r="AM928" s="552"/>
      <c r="AN928" s="552"/>
      <c r="AO928" s="552"/>
      <c r="AP928" s="552"/>
      <c r="AQ928" s="552" t="s">
        <v>7715</v>
      </c>
      <c r="AR928" s="552" t="s">
        <v>2809</v>
      </c>
      <c r="AS928" s="552" t="s">
        <v>7484</v>
      </c>
      <c r="AT928" s="552" t="s">
        <v>726</v>
      </c>
    </row>
    <row r="929" spans="1:46" ht="14.7" customHeight="1">
      <c r="A929" s="706"/>
      <c r="B929" s="344" t="s">
        <v>3699</v>
      </c>
      <c r="C929" s="539" t="s">
        <v>7753</v>
      </c>
      <c r="D929" s="709"/>
      <c r="E929" s="552"/>
      <c r="F929" s="552"/>
      <c r="G929" s="552"/>
      <c r="H929" s="552"/>
      <c r="I929" s="552"/>
      <c r="J929" s="552"/>
      <c r="K929" s="552"/>
      <c r="L929" s="552"/>
      <c r="M929" s="552"/>
      <c r="N929" s="552"/>
      <c r="O929" s="552"/>
      <c r="P929" s="552"/>
      <c r="Q929" s="552"/>
      <c r="R929" s="552"/>
      <c r="S929" s="552"/>
      <c r="T929" s="552"/>
      <c r="U929" s="552"/>
      <c r="V929" s="552"/>
      <c r="W929" s="552"/>
      <c r="X929" s="552"/>
      <c r="Y929" s="552"/>
      <c r="Z929" s="552"/>
      <c r="AA929" s="552"/>
      <c r="AB929" s="552"/>
      <c r="AC929" s="552"/>
      <c r="AD929" s="552"/>
      <c r="AE929" s="552"/>
      <c r="AF929" s="552"/>
      <c r="AG929" s="552"/>
      <c r="AH929" s="552"/>
      <c r="AI929" s="552"/>
      <c r="AJ929" s="552"/>
      <c r="AK929" s="552"/>
      <c r="AL929" s="552"/>
      <c r="AM929" s="552"/>
      <c r="AN929" s="552"/>
      <c r="AO929" s="552"/>
      <c r="AP929" s="552"/>
      <c r="AQ929" s="552" t="s">
        <v>7715</v>
      </c>
      <c r="AR929" s="552" t="s">
        <v>2809</v>
      </c>
      <c r="AS929" s="552" t="s">
        <v>7484</v>
      </c>
      <c r="AT929" s="552" t="s">
        <v>726</v>
      </c>
    </row>
    <row r="930" spans="1:46" ht="14.7" customHeight="1">
      <c r="A930" s="706" t="s">
        <v>9098</v>
      </c>
      <c r="B930" s="559" t="s">
        <v>3700</v>
      </c>
      <c r="C930" s="539" t="s">
        <v>7753</v>
      </c>
      <c r="D930" s="709" t="s">
        <v>8068</v>
      </c>
      <c r="E930" s="552" t="s">
        <v>8021</v>
      </c>
      <c r="F930" s="552"/>
      <c r="G930" s="552" t="s">
        <v>8054</v>
      </c>
      <c r="H930" s="552"/>
      <c r="I930" s="552"/>
      <c r="J930" s="552"/>
      <c r="K930" s="552"/>
      <c r="L930" s="552"/>
      <c r="M930" s="552"/>
      <c r="N930" s="552"/>
      <c r="O930" s="552"/>
      <c r="P930" s="552"/>
      <c r="Q930" s="552"/>
      <c r="R930" s="552"/>
      <c r="S930" s="552"/>
      <c r="T930" s="552"/>
      <c r="U930" s="552"/>
      <c r="V930" s="552"/>
      <c r="W930" s="552"/>
      <c r="X930" s="552">
        <v>-10</v>
      </c>
      <c r="Y930" s="552">
        <v>-10</v>
      </c>
      <c r="Z930" s="552"/>
      <c r="AA930" s="552"/>
      <c r="AB930" s="552"/>
      <c r="AC930" s="552"/>
      <c r="AD930" s="552"/>
      <c r="AE930" s="552"/>
      <c r="AF930" s="552"/>
      <c r="AG930" s="552"/>
      <c r="AH930" s="552"/>
      <c r="AI930" s="552"/>
      <c r="AJ930" s="552"/>
      <c r="AK930" s="552">
        <v>20</v>
      </c>
      <c r="AL930" s="552">
        <v>20</v>
      </c>
      <c r="AM930" s="552"/>
      <c r="AN930" s="552"/>
      <c r="AO930" s="717" t="s">
        <v>9117</v>
      </c>
      <c r="AP930" s="552"/>
      <c r="AQ930" s="552" t="s">
        <v>7715</v>
      </c>
      <c r="AR930" s="552" t="s">
        <v>2971</v>
      </c>
      <c r="AS930" s="552" t="s">
        <v>7484</v>
      </c>
      <c r="AT930" s="552" t="s">
        <v>726</v>
      </c>
    </row>
    <row r="931" spans="1:46" ht="14.7" customHeight="1">
      <c r="A931" s="706"/>
      <c r="B931" s="559" t="s">
        <v>3700</v>
      </c>
      <c r="C931" s="539" t="s">
        <v>7753</v>
      </c>
      <c r="D931" s="709"/>
      <c r="E931" s="552"/>
      <c r="F931" s="552"/>
      <c r="G931" s="552"/>
      <c r="H931" s="552"/>
      <c r="I931" s="552"/>
      <c r="J931" s="552"/>
      <c r="K931" s="552"/>
      <c r="L931" s="552"/>
      <c r="M931" s="552"/>
      <c r="N931" s="552"/>
      <c r="O931" s="552"/>
      <c r="P931" s="552"/>
      <c r="Q931" s="552"/>
      <c r="R931" s="552"/>
      <c r="S931" s="552"/>
      <c r="T931" s="552"/>
      <c r="U931" s="552"/>
      <c r="V931" s="552"/>
      <c r="W931" s="552"/>
      <c r="X931" s="552"/>
      <c r="Y931" s="552"/>
      <c r="Z931" s="552"/>
      <c r="AA931" s="552"/>
      <c r="AB931" s="552"/>
      <c r="AC931" s="552"/>
      <c r="AD931" s="552"/>
      <c r="AE931" s="552"/>
      <c r="AF931" s="552"/>
      <c r="AG931" s="552"/>
      <c r="AH931" s="552"/>
      <c r="AI931" s="552"/>
      <c r="AJ931" s="552"/>
      <c r="AK931" s="552"/>
      <c r="AL931" s="552"/>
      <c r="AM931" s="552"/>
      <c r="AN931" s="552"/>
      <c r="AO931" s="552"/>
      <c r="AP931" s="552"/>
      <c r="AQ931" s="552" t="s">
        <v>7715</v>
      </c>
      <c r="AR931" s="552" t="s">
        <v>2971</v>
      </c>
      <c r="AS931" s="552" t="s">
        <v>7484</v>
      </c>
      <c r="AT931" s="552" t="s">
        <v>726</v>
      </c>
    </row>
    <row r="932" spans="1:46" ht="14.7" customHeight="1">
      <c r="A932" s="706"/>
      <c r="B932" s="711" t="s">
        <v>6055</v>
      </c>
      <c r="C932" s="539" t="s">
        <v>7753</v>
      </c>
      <c r="D932" s="709"/>
      <c r="E932" s="552"/>
      <c r="F932" s="552"/>
      <c r="G932" s="552"/>
      <c r="H932" s="552"/>
      <c r="I932" s="552"/>
      <c r="J932" s="552"/>
      <c r="K932" s="552"/>
      <c r="L932" s="552"/>
      <c r="M932" s="552"/>
      <c r="N932" s="552"/>
      <c r="O932" s="552"/>
      <c r="P932" s="552"/>
      <c r="Q932" s="552"/>
      <c r="R932" s="552"/>
      <c r="S932" s="552"/>
      <c r="T932" s="552"/>
      <c r="U932" s="552"/>
      <c r="V932" s="552"/>
      <c r="W932" s="552"/>
      <c r="X932" s="552"/>
      <c r="Y932" s="552"/>
      <c r="Z932" s="552"/>
      <c r="AA932" s="552"/>
      <c r="AB932" s="552"/>
      <c r="AC932" s="552"/>
      <c r="AD932" s="552"/>
      <c r="AE932" s="552"/>
      <c r="AF932" s="552"/>
      <c r="AG932" s="552"/>
      <c r="AH932" s="552"/>
      <c r="AI932" s="552"/>
      <c r="AJ932" s="552"/>
      <c r="AK932" s="552"/>
      <c r="AL932" s="552"/>
      <c r="AM932" s="552"/>
      <c r="AN932" s="552"/>
      <c r="AO932" s="552"/>
      <c r="AP932" s="552"/>
      <c r="AQ932" s="552" t="s">
        <v>7715</v>
      </c>
      <c r="AR932" s="552" t="s">
        <v>6697</v>
      </c>
      <c r="AS932" s="552" t="s">
        <v>7484</v>
      </c>
      <c r="AT932" s="552" t="s">
        <v>726</v>
      </c>
    </row>
    <row r="933" spans="1:46" ht="14.7" customHeight="1">
      <c r="A933" s="706" t="s">
        <v>6489</v>
      </c>
      <c r="B933" s="540" t="s">
        <v>3695</v>
      </c>
      <c r="C933" s="539" t="s">
        <v>7753</v>
      </c>
      <c r="D933" s="709" t="s">
        <v>8069</v>
      </c>
      <c r="E933" s="552" t="s">
        <v>8021</v>
      </c>
      <c r="F933" s="552"/>
      <c r="G933" s="552" t="s">
        <v>8070</v>
      </c>
      <c r="H933" s="552"/>
      <c r="I933" s="552"/>
      <c r="J933" s="552"/>
      <c r="K933" s="552"/>
      <c r="L933" s="552"/>
      <c r="M933" s="552"/>
      <c r="N933" s="552"/>
      <c r="O933" s="552"/>
      <c r="P933" s="552"/>
      <c r="Q933" s="552">
        <v>2</v>
      </c>
      <c r="R933" s="552"/>
      <c r="S933" s="552"/>
      <c r="T933" s="552"/>
      <c r="U933" s="552"/>
      <c r="V933" s="552"/>
      <c r="W933" s="552"/>
      <c r="X933" s="552">
        <v>1</v>
      </c>
      <c r="Y933" s="552"/>
      <c r="Z933" s="552"/>
      <c r="AA933" s="552"/>
      <c r="AB933" s="552"/>
      <c r="AC933" s="552"/>
      <c r="AD933" s="552"/>
      <c r="AE933" s="552"/>
      <c r="AF933" s="552"/>
      <c r="AG933" s="552"/>
      <c r="AH933" s="552"/>
      <c r="AI933" s="552"/>
      <c r="AJ933" s="552"/>
      <c r="AK933" s="552"/>
      <c r="AL933" s="552"/>
      <c r="AM933" s="552"/>
      <c r="AN933" s="552"/>
      <c r="AO933" s="552"/>
      <c r="AP933" s="552"/>
      <c r="AQ933" s="552" t="s">
        <v>7715</v>
      </c>
      <c r="AR933" s="552" t="s">
        <v>2802</v>
      </c>
      <c r="AS933" s="552" t="s">
        <v>6967</v>
      </c>
      <c r="AT933" s="552" t="s">
        <v>726</v>
      </c>
    </row>
    <row r="934" spans="1:46" ht="14.7" customHeight="1">
      <c r="A934" s="706"/>
      <c r="B934" s="540" t="s">
        <v>3695</v>
      </c>
      <c r="C934" s="539" t="s">
        <v>7753</v>
      </c>
      <c r="D934" s="709"/>
      <c r="E934" s="552"/>
      <c r="F934" s="552"/>
      <c r="G934" s="552"/>
      <c r="H934" s="552"/>
      <c r="I934" s="552"/>
      <c r="J934" s="552"/>
      <c r="K934" s="552"/>
      <c r="L934" s="552"/>
      <c r="M934" s="552"/>
      <c r="N934" s="552"/>
      <c r="O934" s="552"/>
      <c r="P934" s="552"/>
      <c r="Q934" s="552"/>
      <c r="R934" s="552"/>
      <c r="S934" s="552"/>
      <c r="T934" s="552"/>
      <c r="U934" s="552"/>
      <c r="V934" s="552"/>
      <c r="W934" s="552"/>
      <c r="X934" s="552"/>
      <c r="Y934" s="552"/>
      <c r="Z934" s="552"/>
      <c r="AA934" s="552"/>
      <c r="AB934" s="552"/>
      <c r="AC934" s="552"/>
      <c r="AD934" s="552"/>
      <c r="AE934" s="552"/>
      <c r="AF934" s="552"/>
      <c r="AG934" s="552"/>
      <c r="AH934" s="552"/>
      <c r="AI934" s="552"/>
      <c r="AJ934" s="552"/>
      <c r="AK934" s="552"/>
      <c r="AL934" s="552"/>
      <c r="AM934" s="552"/>
      <c r="AN934" s="552"/>
      <c r="AO934" s="552"/>
      <c r="AP934" s="552"/>
      <c r="AQ934" s="552" t="s">
        <v>7715</v>
      </c>
      <c r="AR934" s="552" t="s">
        <v>2802</v>
      </c>
      <c r="AS934" s="552" t="s">
        <v>6967</v>
      </c>
      <c r="AT934" s="552" t="s">
        <v>726</v>
      </c>
    </row>
    <row r="935" spans="1:46" ht="14.7" customHeight="1">
      <c r="A935" s="706" t="s">
        <v>6490</v>
      </c>
      <c r="B935" s="707" t="s">
        <v>3696</v>
      </c>
      <c r="C935" s="539" t="s">
        <v>7753</v>
      </c>
      <c r="D935" s="709" t="s">
        <v>8071</v>
      </c>
      <c r="E935" s="552" t="s">
        <v>8021</v>
      </c>
      <c r="F935" s="552"/>
      <c r="G935" s="552" t="s">
        <v>8070</v>
      </c>
      <c r="H935" s="552"/>
      <c r="I935" s="552"/>
      <c r="J935" s="552"/>
      <c r="K935" s="552"/>
      <c r="L935" s="552"/>
      <c r="M935" s="552"/>
      <c r="N935" s="552"/>
      <c r="O935" s="552"/>
      <c r="P935" s="552"/>
      <c r="Q935" s="552">
        <v>2</v>
      </c>
      <c r="R935" s="552"/>
      <c r="S935" s="552"/>
      <c r="T935" s="552"/>
      <c r="U935" s="552"/>
      <c r="V935" s="552"/>
      <c r="W935" s="552"/>
      <c r="X935" s="552">
        <v>1</v>
      </c>
      <c r="Y935" s="552"/>
      <c r="Z935" s="552"/>
      <c r="AA935" s="552"/>
      <c r="AB935" s="552"/>
      <c r="AC935" s="552"/>
      <c r="AD935" s="552"/>
      <c r="AE935" s="552"/>
      <c r="AF935" s="552"/>
      <c r="AG935" s="552"/>
      <c r="AH935" s="552"/>
      <c r="AI935" s="552"/>
      <c r="AJ935" s="552">
        <v>10</v>
      </c>
      <c r="AK935" s="552"/>
      <c r="AL935" s="552"/>
      <c r="AM935" s="552"/>
      <c r="AN935" s="552"/>
      <c r="AO935" s="552"/>
      <c r="AP935" s="552"/>
      <c r="AQ935" s="552" t="s">
        <v>7715</v>
      </c>
      <c r="AR935" s="552" t="s">
        <v>2805</v>
      </c>
      <c r="AS935" s="552" t="s">
        <v>6967</v>
      </c>
      <c r="AT935" s="552" t="s">
        <v>726</v>
      </c>
    </row>
    <row r="936" spans="1:46" ht="14.7" customHeight="1">
      <c r="A936" s="706"/>
      <c r="B936" s="707" t="s">
        <v>3696</v>
      </c>
      <c r="C936" s="539" t="s">
        <v>7753</v>
      </c>
      <c r="D936" s="709"/>
      <c r="E936" s="552"/>
      <c r="F936" s="552"/>
      <c r="G936" s="552"/>
      <c r="H936" s="552"/>
      <c r="I936" s="552"/>
      <c r="J936" s="552"/>
      <c r="K936" s="552"/>
      <c r="L936" s="552"/>
      <c r="M936" s="552"/>
      <c r="N936" s="552"/>
      <c r="O936" s="552"/>
      <c r="P936" s="552"/>
      <c r="Q936" s="552"/>
      <c r="R936" s="552"/>
      <c r="S936" s="552"/>
      <c r="T936" s="552"/>
      <c r="U936" s="552"/>
      <c r="V936" s="552"/>
      <c r="W936" s="552"/>
      <c r="X936" s="552"/>
      <c r="Y936" s="552"/>
      <c r="Z936" s="552"/>
      <c r="AA936" s="552"/>
      <c r="AB936" s="552"/>
      <c r="AC936" s="552"/>
      <c r="AD936" s="552"/>
      <c r="AE936" s="552"/>
      <c r="AF936" s="552"/>
      <c r="AG936" s="552"/>
      <c r="AH936" s="552"/>
      <c r="AI936" s="552"/>
      <c r="AJ936" s="552"/>
      <c r="AK936" s="552"/>
      <c r="AL936" s="552"/>
      <c r="AM936" s="552"/>
      <c r="AN936" s="552"/>
      <c r="AO936" s="552"/>
      <c r="AP936" s="552"/>
      <c r="AQ936" s="552" t="s">
        <v>7715</v>
      </c>
      <c r="AR936" s="552" t="s">
        <v>2805</v>
      </c>
      <c r="AS936" s="552" t="s">
        <v>6967</v>
      </c>
      <c r="AT936" s="552" t="s">
        <v>726</v>
      </c>
    </row>
    <row r="937" spans="1:46" ht="14.7" customHeight="1">
      <c r="A937" s="706" t="s">
        <v>6491</v>
      </c>
      <c r="B937" s="556" t="s">
        <v>3697</v>
      </c>
      <c r="C937" s="539" t="s">
        <v>7753</v>
      </c>
      <c r="D937" s="709" t="s">
        <v>8072</v>
      </c>
      <c r="E937" s="552" t="s">
        <v>8021</v>
      </c>
      <c r="F937" s="552"/>
      <c r="G937" s="552" t="s">
        <v>8070</v>
      </c>
      <c r="H937" s="552"/>
      <c r="I937" s="552"/>
      <c r="J937" s="552"/>
      <c r="K937" s="552"/>
      <c r="L937" s="552"/>
      <c r="M937" s="552"/>
      <c r="N937" s="552"/>
      <c r="O937" s="552"/>
      <c r="P937" s="552"/>
      <c r="Q937" s="552">
        <v>4</v>
      </c>
      <c r="R937" s="552"/>
      <c r="S937" s="552"/>
      <c r="T937" s="552"/>
      <c r="U937" s="552"/>
      <c r="V937" s="552"/>
      <c r="W937" s="552"/>
      <c r="X937" s="552">
        <v>2</v>
      </c>
      <c r="Y937" s="552"/>
      <c r="Z937" s="552"/>
      <c r="AA937" s="552"/>
      <c r="AB937" s="552"/>
      <c r="AC937" s="552"/>
      <c r="AD937" s="552"/>
      <c r="AE937" s="552"/>
      <c r="AF937" s="552"/>
      <c r="AG937" s="552"/>
      <c r="AH937" s="552"/>
      <c r="AI937" s="552"/>
      <c r="AJ937" s="552"/>
      <c r="AK937" s="552"/>
      <c r="AL937" s="552"/>
      <c r="AM937" s="552"/>
      <c r="AN937" s="552"/>
      <c r="AO937" s="552"/>
      <c r="AP937" s="552"/>
      <c r="AQ937" s="552" t="s">
        <v>7715</v>
      </c>
      <c r="AR937" s="552" t="s">
        <v>2875</v>
      </c>
      <c r="AS937" s="552" t="s">
        <v>6967</v>
      </c>
      <c r="AT937" s="552" t="s">
        <v>726</v>
      </c>
    </row>
    <row r="938" spans="1:46" ht="14.7" customHeight="1">
      <c r="A938" s="706"/>
      <c r="B938" s="556" t="s">
        <v>3697</v>
      </c>
      <c r="C938" s="539" t="s">
        <v>7753</v>
      </c>
      <c r="D938" s="709"/>
      <c r="E938" s="552"/>
      <c r="F938" s="552"/>
      <c r="G938" s="552"/>
      <c r="H938" s="552"/>
      <c r="I938" s="552"/>
      <c r="J938" s="552"/>
      <c r="K938" s="552"/>
      <c r="L938" s="552"/>
      <c r="M938" s="552"/>
      <c r="N938" s="552"/>
      <c r="O938" s="552"/>
      <c r="P938" s="552"/>
      <c r="Q938" s="552"/>
      <c r="R938" s="552"/>
      <c r="S938" s="552"/>
      <c r="T938" s="552"/>
      <c r="U938" s="552"/>
      <c r="V938" s="552"/>
      <c r="W938" s="552"/>
      <c r="X938" s="552"/>
      <c r="Y938" s="552"/>
      <c r="Z938" s="552"/>
      <c r="AA938" s="552"/>
      <c r="AB938" s="552"/>
      <c r="AC938" s="552"/>
      <c r="AD938" s="552"/>
      <c r="AE938" s="552"/>
      <c r="AF938" s="552"/>
      <c r="AG938" s="552"/>
      <c r="AH938" s="552"/>
      <c r="AI938" s="552"/>
      <c r="AJ938" s="552"/>
      <c r="AK938" s="552"/>
      <c r="AL938" s="552"/>
      <c r="AM938" s="552"/>
      <c r="AN938" s="552"/>
      <c r="AO938" s="552"/>
      <c r="AP938" s="552"/>
      <c r="AQ938" s="552" t="s">
        <v>7715</v>
      </c>
      <c r="AR938" s="552" t="s">
        <v>2875</v>
      </c>
      <c r="AS938" s="552" t="s">
        <v>6967</v>
      </c>
      <c r="AT938" s="552" t="s">
        <v>726</v>
      </c>
    </row>
    <row r="939" spans="1:46" ht="14.7" customHeight="1">
      <c r="A939" s="706" t="s">
        <v>6492</v>
      </c>
      <c r="B939" s="556" t="s">
        <v>3697</v>
      </c>
      <c r="C939" s="539" t="s">
        <v>7753</v>
      </c>
      <c r="D939" s="709" t="s">
        <v>8073</v>
      </c>
      <c r="E939" s="552" t="s">
        <v>8021</v>
      </c>
      <c r="F939" s="552"/>
      <c r="G939" s="552" t="s">
        <v>8070</v>
      </c>
      <c r="H939" s="552"/>
      <c r="I939" s="552"/>
      <c r="J939" s="552"/>
      <c r="K939" s="552"/>
      <c r="L939" s="552"/>
      <c r="M939" s="552"/>
      <c r="N939" s="552"/>
      <c r="O939" s="552"/>
      <c r="P939" s="552"/>
      <c r="Q939" s="552"/>
      <c r="R939" s="552"/>
      <c r="S939" s="552">
        <v>1</v>
      </c>
      <c r="T939" s="552"/>
      <c r="U939" s="552"/>
      <c r="V939" s="552"/>
      <c r="W939" s="552"/>
      <c r="X939" s="552"/>
      <c r="Y939" s="552"/>
      <c r="Z939" s="552"/>
      <c r="AA939" s="552"/>
      <c r="AB939" s="552"/>
      <c r="AC939" s="552"/>
      <c r="AD939" s="552"/>
      <c r="AE939" s="552"/>
      <c r="AF939" s="552"/>
      <c r="AG939" s="552"/>
      <c r="AH939" s="552"/>
      <c r="AI939" s="552"/>
      <c r="AJ939" s="552"/>
      <c r="AK939" s="552"/>
      <c r="AL939" s="552"/>
      <c r="AM939" s="552"/>
      <c r="AN939" s="552"/>
      <c r="AO939" s="717" t="s">
        <v>8074</v>
      </c>
      <c r="AP939" s="552"/>
      <c r="AQ939" s="552" t="s">
        <v>7715</v>
      </c>
      <c r="AR939" s="552" t="s">
        <v>2875</v>
      </c>
      <c r="AS939" s="552" t="s">
        <v>6967</v>
      </c>
      <c r="AT939" s="552" t="s">
        <v>726</v>
      </c>
    </row>
    <row r="940" spans="1:46" ht="14.7" customHeight="1">
      <c r="A940" s="706" t="s">
        <v>6493</v>
      </c>
      <c r="B940" s="557" t="s">
        <v>3698</v>
      </c>
      <c r="C940" s="539" t="s">
        <v>7753</v>
      </c>
      <c r="D940" s="709" t="s">
        <v>8075</v>
      </c>
      <c r="E940" s="552" t="s">
        <v>8021</v>
      </c>
      <c r="F940" s="552"/>
      <c r="G940" s="552" t="s">
        <v>8070</v>
      </c>
      <c r="H940" s="552"/>
      <c r="I940" s="552"/>
      <c r="J940" s="552"/>
      <c r="K940" s="552"/>
      <c r="L940" s="552"/>
      <c r="M940" s="552"/>
      <c r="N940" s="552"/>
      <c r="O940" s="552"/>
      <c r="P940" s="552"/>
      <c r="Q940" s="552"/>
      <c r="R940" s="552"/>
      <c r="S940" s="552"/>
      <c r="T940" s="552"/>
      <c r="U940" s="552"/>
      <c r="V940" s="552"/>
      <c r="W940" s="552"/>
      <c r="X940" s="552"/>
      <c r="Y940" s="552"/>
      <c r="Z940" s="552"/>
      <c r="AA940" s="552"/>
      <c r="AB940" s="552"/>
      <c r="AC940" s="552"/>
      <c r="AD940" s="552"/>
      <c r="AE940" s="552"/>
      <c r="AF940" s="552"/>
      <c r="AG940" s="552"/>
      <c r="AH940" s="552"/>
      <c r="AI940" s="552"/>
      <c r="AJ940" s="552"/>
      <c r="AK940" s="552"/>
      <c r="AL940" s="552"/>
      <c r="AM940" s="552"/>
      <c r="AN940" s="552"/>
      <c r="AO940" s="552" t="s">
        <v>8076</v>
      </c>
      <c r="AP940" s="552"/>
      <c r="AQ940" s="552" t="s">
        <v>7715</v>
      </c>
      <c r="AR940" s="552" t="s">
        <v>2998</v>
      </c>
      <c r="AS940" s="552" t="s">
        <v>6967</v>
      </c>
      <c r="AT940" s="552" t="s">
        <v>726</v>
      </c>
    </row>
    <row r="941" spans="1:46" ht="14.7" customHeight="1">
      <c r="A941" s="706"/>
      <c r="B941" s="557" t="s">
        <v>3698</v>
      </c>
      <c r="C941" s="539" t="s">
        <v>7753</v>
      </c>
      <c r="D941" s="709"/>
      <c r="E941" s="552"/>
      <c r="F941" s="552"/>
      <c r="G941" s="552"/>
      <c r="H941" s="552"/>
      <c r="I941" s="552"/>
      <c r="J941" s="552"/>
      <c r="K941" s="552"/>
      <c r="L941" s="552"/>
      <c r="M941" s="552"/>
      <c r="N941" s="552"/>
      <c r="O941" s="552"/>
      <c r="P941" s="552"/>
      <c r="Q941" s="552"/>
      <c r="R941" s="552"/>
      <c r="S941" s="552"/>
      <c r="T941" s="552"/>
      <c r="U941" s="552"/>
      <c r="V941" s="552"/>
      <c r="W941" s="552"/>
      <c r="X941" s="552"/>
      <c r="Y941" s="552"/>
      <c r="Z941" s="552"/>
      <c r="AA941" s="552"/>
      <c r="AB941" s="552"/>
      <c r="AC941" s="552"/>
      <c r="AD941" s="552"/>
      <c r="AE941" s="552"/>
      <c r="AF941" s="552"/>
      <c r="AG941" s="552"/>
      <c r="AH941" s="552"/>
      <c r="AI941" s="552"/>
      <c r="AJ941" s="552"/>
      <c r="AK941" s="552"/>
      <c r="AL941" s="552"/>
      <c r="AM941" s="552"/>
      <c r="AN941" s="552"/>
      <c r="AO941" s="552"/>
      <c r="AP941" s="552"/>
      <c r="AQ941" s="552" t="s">
        <v>7715</v>
      </c>
      <c r="AR941" s="552" t="s">
        <v>2998</v>
      </c>
      <c r="AS941" s="552" t="s">
        <v>6967</v>
      </c>
      <c r="AT941" s="552" t="s">
        <v>726</v>
      </c>
    </row>
    <row r="942" spans="1:46" ht="14.7" customHeight="1">
      <c r="A942" s="706"/>
      <c r="B942" s="557" t="s">
        <v>3698</v>
      </c>
      <c r="C942" s="539" t="s">
        <v>7753</v>
      </c>
      <c r="D942" s="709"/>
      <c r="E942" s="552"/>
      <c r="F942" s="552"/>
      <c r="G942" s="552"/>
      <c r="H942" s="552"/>
      <c r="I942" s="552"/>
      <c r="J942" s="552"/>
      <c r="K942" s="552"/>
      <c r="L942" s="552"/>
      <c r="M942" s="552"/>
      <c r="N942" s="552"/>
      <c r="O942" s="552"/>
      <c r="P942" s="552"/>
      <c r="Q942" s="552"/>
      <c r="R942" s="552"/>
      <c r="S942" s="552"/>
      <c r="T942" s="552"/>
      <c r="U942" s="552"/>
      <c r="V942" s="552"/>
      <c r="W942" s="552"/>
      <c r="X942" s="552"/>
      <c r="Y942" s="552"/>
      <c r="Z942" s="552"/>
      <c r="AA942" s="552"/>
      <c r="AB942" s="552"/>
      <c r="AC942" s="552"/>
      <c r="AD942" s="552"/>
      <c r="AE942" s="552"/>
      <c r="AF942" s="552"/>
      <c r="AG942" s="552"/>
      <c r="AH942" s="552"/>
      <c r="AI942" s="552"/>
      <c r="AJ942" s="552"/>
      <c r="AK942" s="552"/>
      <c r="AL942" s="552"/>
      <c r="AM942" s="552"/>
      <c r="AN942" s="552"/>
      <c r="AO942" s="552"/>
      <c r="AP942" s="552"/>
      <c r="AQ942" s="552" t="s">
        <v>7715</v>
      </c>
      <c r="AR942" s="552" t="s">
        <v>2998</v>
      </c>
      <c r="AS942" s="552" t="s">
        <v>6967</v>
      </c>
      <c r="AT942" s="552" t="s">
        <v>726</v>
      </c>
    </row>
    <row r="943" spans="1:46" ht="14.7" customHeight="1">
      <c r="A943" s="706"/>
      <c r="B943" s="557" t="s">
        <v>3698</v>
      </c>
      <c r="C943" s="539" t="s">
        <v>7753</v>
      </c>
      <c r="D943" s="709"/>
      <c r="E943" s="552"/>
      <c r="F943" s="552"/>
      <c r="G943" s="552"/>
      <c r="H943" s="552"/>
      <c r="I943" s="552"/>
      <c r="J943" s="552"/>
      <c r="K943" s="552"/>
      <c r="L943" s="552"/>
      <c r="M943" s="552"/>
      <c r="N943" s="552"/>
      <c r="O943" s="552"/>
      <c r="P943" s="552"/>
      <c r="Q943" s="552"/>
      <c r="R943" s="552"/>
      <c r="S943" s="552"/>
      <c r="T943" s="552"/>
      <c r="U943" s="552"/>
      <c r="V943" s="552"/>
      <c r="W943" s="552"/>
      <c r="X943" s="552"/>
      <c r="Y943" s="552"/>
      <c r="Z943" s="552"/>
      <c r="AA943" s="552"/>
      <c r="AB943" s="552"/>
      <c r="AC943" s="552"/>
      <c r="AD943" s="552"/>
      <c r="AE943" s="552"/>
      <c r="AF943" s="552"/>
      <c r="AG943" s="552"/>
      <c r="AH943" s="552"/>
      <c r="AI943" s="552"/>
      <c r="AJ943" s="552"/>
      <c r="AK943" s="552"/>
      <c r="AL943" s="552"/>
      <c r="AM943" s="552"/>
      <c r="AN943" s="552"/>
      <c r="AO943" s="552"/>
      <c r="AP943" s="552"/>
      <c r="AQ943" s="552" t="s">
        <v>7715</v>
      </c>
      <c r="AR943" s="552" t="s">
        <v>2998</v>
      </c>
      <c r="AS943" s="552" t="s">
        <v>6967</v>
      </c>
      <c r="AT943" s="552" t="s">
        <v>726</v>
      </c>
    </row>
    <row r="944" spans="1:46" ht="14.7" customHeight="1">
      <c r="A944" s="706" t="s">
        <v>6494</v>
      </c>
      <c r="B944" s="344" t="s">
        <v>3699</v>
      </c>
      <c r="C944" s="539" t="s">
        <v>7753</v>
      </c>
      <c r="D944" s="709" t="s">
        <v>8077</v>
      </c>
      <c r="E944" s="552" t="s">
        <v>8021</v>
      </c>
      <c r="F944" s="552"/>
      <c r="G944" s="552" t="s">
        <v>8070</v>
      </c>
      <c r="H944" s="552"/>
      <c r="I944" s="552"/>
      <c r="J944" s="552"/>
      <c r="K944" s="552"/>
      <c r="L944" s="552"/>
      <c r="M944" s="552"/>
      <c r="N944" s="552">
        <v>20</v>
      </c>
      <c r="O944" s="552"/>
      <c r="P944" s="552"/>
      <c r="Q944" s="552">
        <v>6</v>
      </c>
      <c r="R944" s="552"/>
      <c r="S944" s="552"/>
      <c r="T944" s="552"/>
      <c r="U944" s="552"/>
      <c r="V944" s="552"/>
      <c r="W944" s="552"/>
      <c r="X944" s="552"/>
      <c r="Y944" s="552"/>
      <c r="Z944" s="552"/>
      <c r="AA944" s="552"/>
      <c r="AB944" s="552"/>
      <c r="AC944" s="552"/>
      <c r="AD944" s="552"/>
      <c r="AE944" s="552"/>
      <c r="AF944" s="552">
        <v>30</v>
      </c>
      <c r="AG944" s="552"/>
      <c r="AH944" s="552"/>
      <c r="AI944" s="552"/>
      <c r="AJ944" s="552">
        <v>30</v>
      </c>
      <c r="AK944" s="552"/>
      <c r="AL944" s="552"/>
      <c r="AM944" s="552"/>
      <c r="AN944" s="552"/>
      <c r="AO944" s="717" t="s">
        <v>8078</v>
      </c>
      <c r="AP944" s="552"/>
      <c r="AQ944" s="552" t="s">
        <v>7715</v>
      </c>
      <c r="AR944" s="552" t="s">
        <v>2809</v>
      </c>
      <c r="AS944" s="552" t="s">
        <v>6967</v>
      </c>
      <c r="AT944" s="552" t="s">
        <v>726</v>
      </c>
    </row>
    <row r="945" spans="1:46" ht="14.7" customHeight="1">
      <c r="A945" s="706" t="s">
        <v>6495</v>
      </c>
      <c r="B945" s="344" t="s">
        <v>3699</v>
      </c>
      <c r="C945" s="539" t="s">
        <v>7753</v>
      </c>
      <c r="D945" s="709" t="s">
        <v>8079</v>
      </c>
      <c r="E945" s="552" t="s">
        <v>8018</v>
      </c>
      <c r="F945" s="552"/>
      <c r="G945" s="552" t="s">
        <v>8070</v>
      </c>
      <c r="H945" s="552"/>
      <c r="I945" s="552"/>
      <c r="J945" s="552"/>
      <c r="K945" s="552"/>
      <c r="L945" s="552"/>
      <c r="M945" s="552"/>
      <c r="N945" s="552"/>
      <c r="O945" s="552"/>
      <c r="P945" s="552"/>
      <c r="Q945" s="552"/>
      <c r="R945" s="552"/>
      <c r="S945" s="552"/>
      <c r="T945" s="552"/>
      <c r="U945" s="552"/>
      <c r="V945" s="552"/>
      <c r="W945" s="552"/>
      <c r="X945" s="552"/>
      <c r="Y945" s="552"/>
      <c r="Z945" s="552"/>
      <c r="AA945" s="552"/>
      <c r="AB945" s="552"/>
      <c r="AC945" s="552"/>
      <c r="AD945" s="552"/>
      <c r="AE945" s="552"/>
      <c r="AF945" s="552"/>
      <c r="AG945" s="552"/>
      <c r="AH945" s="552"/>
      <c r="AI945" s="552"/>
      <c r="AJ945" s="552"/>
      <c r="AK945" s="552"/>
      <c r="AL945" s="552"/>
      <c r="AM945" s="552"/>
      <c r="AN945" s="552"/>
      <c r="AO945" s="717" t="s">
        <v>8080</v>
      </c>
      <c r="AP945" s="552"/>
      <c r="AQ945" s="552" t="s">
        <v>7715</v>
      </c>
      <c r="AR945" s="552" t="s">
        <v>2809</v>
      </c>
      <c r="AS945" s="552" t="s">
        <v>6967</v>
      </c>
      <c r="AT945" s="552" t="s">
        <v>726</v>
      </c>
    </row>
    <row r="946" spans="1:46" ht="14.7" customHeight="1">
      <c r="A946" s="706"/>
      <c r="B946" s="344" t="s">
        <v>3699</v>
      </c>
      <c r="C946" s="539" t="s">
        <v>7753</v>
      </c>
      <c r="D946" s="709"/>
      <c r="E946" s="552"/>
      <c r="F946" s="552"/>
      <c r="G946" s="552"/>
      <c r="H946" s="552"/>
      <c r="I946" s="552"/>
      <c r="J946" s="552"/>
      <c r="K946" s="552"/>
      <c r="L946" s="552"/>
      <c r="M946" s="552"/>
      <c r="N946" s="552"/>
      <c r="O946" s="552"/>
      <c r="P946" s="552"/>
      <c r="Q946" s="552"/>
      <c r="R946" s="552"/>
      <c r="S946" s="552"/>
      <c r="T946" s="552"/>
      <c r="U946" s="552"/>
      <c r="V946" s="552"/>
      <c r="W946" s="552"/>
      <c r="X946" s="552"/>
      <c r="Y946" s="552"/>
      <c r="Z946" s="552"/>
      <c r="AA946" s="552"/>
      <c r="AB946" s="552"/>
      <c r="AC946" s="552"/>
      <c r="AD946" s="552"/>
      <c r="AE946" s="552"/>
      <c r="AF946" s="552"/>
      <c r="AG946" s="552"/>
      <c r="AH946" s="552"/>
      <c r="AI946" s="552"/>
      <c r="AJ946" s="552"/>
      <c r="AK946" s="552"/>
      <c r="AL946" s="552"/>
      <c r="AM946" s="552"/>
      <c r="AN946" s="552"/>
      <c r="AO946" s="552"/>
      <c r="AP946" s="552"/>
      <c r="AQ946" s="552" t="s">
        <v>7715</v>
      </c>
      <c r="AR946" s="552" t="s">
        <v>2809</v>
      </c>
      <c r="AS946" s="552" t="s">
        <v>6967</v>
      </c>
      <c r="AT946" s="552" t="s">
        <v>726</v>
      </c>
    </row>
    <row r="947" spans="1:46" ht="14.7" customHeight="1">
      <c r="A947" s="706"/>
      <c r="B947" s="344" t="s">
        <v>3699</v>
      </c>
      <c r="C947" s="539" t="s">
        <v>7753</v>
      </c>
      <c r="D947" s="709"/>
      <c r="E947" s="552"/>
      <c r="F947" s="552"/>
      <c r="G947" s="552"/>
      <c r="H947" s="552"/>
      <c r="I947" s="552"/>
      <c r="J947" s="552"/>
      <c r="K947" s="552"/>
      <c r="L947" s="552"/>
      <c r="M947" s="552"/>
      <c r="N947" s="552"/>
      <c r="O947" s="552"/>
      <c r="P947" s="552"/>
      <c r="Q947" s="552"/>
      <c r="R947" s="552"/>
      <c r="S947" s="552"/>
      <c r="T947" s="552"/>
      <c r="U947" s="552"/>
      <c r="V947" s="552"/>
      <c r="W947" s="552"/>
      <c r="X947" s="552"/>
      <c r="Y947" s="552"/>
      <c r="Z947" s="552"/>
      <c r="AA947" s="552"/>
      <c r="AB947" s="552"/>
      <c r="AC947" s="552"/>
      <c r="AD947" s="552"/>
      <c r="AE947" s="552"/>
      <c r="AF947" s="552"/>
      <c r="AG947" s="552"/>
      <c r="AH947" s="552"/>
      <c r="AI947" s="552"/>
      <c r="AJ947" s="552"/>
      <c r="AK947" s="552"/>
      <c r="AL947" s="552"/>
      <c r="AM947" s="552"/>
      <c r="AN947" s="552"/>
      <c r="AO947" s="552"/>
      <c r="AP947" s="552"/>
      <c r="AQ947" s="552" t="s">
        <v>7715</v>
      </c>
      <c r="AR947" s="552" t="s">
        <v>2809</v>
      </c>
      <c r="AS947" s="552" t="s">
        <v>6967</v>
      </c>
      <c r="AT947" s="552" t="s">
        <v>726</v>
      </c>
    </row>
    <row r="948" spans="1:46" ht="14.7" customHeight="1">
      <c r="A948" s="706"/>
      <c r="B948" s="344" t="s">
        <v>3699</v>
      </c>
      <c r="C948" s="539" t="s">
        <v>7753</v>
      </c>
      <c r="D948" s="709"/>
      <c r="E948" s="552"/>
      <c r="F948" s="552"/>
      <c r="G948" s="552"/>
      <c r="H948" s="552"/>
      <c r="I948" s="552"/>
      <c r="J948" s="552"/>
      <c r="K948" s="552"/>
      <c r="L948" s="552"/>
      <c r="M948" s="552"/>
      <c r="N948" s="552"/>
      <c r="O948" s="552"/>
      <c r="P948" s="552"/>
      <c r="Q948" s="552"/>
      <c r="R948" s="552"/>
      <c r="S948" s="552"/>
      <c r="T948" s="552"/>
      <c r="U948" s="552"/>
      <c r="V948" s="552"/>
      <c r="W948" s="552"/>
      <c r="X948" s="552"/>
      <c r="Y948" s="552"/>
      <c r="Z948" s="552"/>
      <c r="AA948" s="552"/>
      <c r="AB948" s="552"/>
      <c r="AC948" s="552"/>
      <c r="AD948" s="552"/>
      <c r="AE948" s="552"/>
      <c r="AF948" s="552"/>
      <c r="AG948" s="552"/>
      <c r="AH948" s="552"/>
      <c r="AI948" s="552"/>
      <c r="AJ948" s="552"/>
      <c r="AK948" s="552"/>
      <c r="AL948" s="552"/>
      <c r="AM948" s="552"/>
      <c r="AN948" s="552"/>
      <c r="AO948" s="552"/>
      <c r="AP948" s="552"/>
      <c r="AQ948" s="552" t="s">
        <v>7715</v>
      </c>
      <c r="AR948" s="552" t="s">
        <v>2809</v>
      </c>
      <c r="AS948" s="552" t="s">
        <v>6967</v>
      </c>
      <c r="AT948" s="552" t="s">
        <v>726</v>
      </c>
    </row>
    <row r="949" spans="1:46" ht="14.7" customHeight="1">
      <c r="A949" s="706" t="s">
        <v>6496</v>
      </c>
      <c r="B949" s="559" t="s">
        <v>3700</v>
      </c>
      <c r="C949" s="539" t="s">
        <v>7753</v>
      </c>
      <c r="D949" s="709" t="s">
        <v>8081</v>
      </c>
      <c r="E949" s="552" t="s">
        <v>8021</v>
      </c>
      <c r="F949" s="552"/>
      <c r="G949" s="552" t="s">
        <v>8070</v>
      </c>
      <c r="H949" s="552"/>
      <c r="I949" s="552"/>
      <c r="J949" s="552"/>
      <c r="K949" s="552"/>
      <c r="L949" s="552"/>
      <c r="M949" s="552"/>
      <c r="N949" s="552"/>
      <c r="O949" s="552"/>
      <c r="P949" s="552"/>
      <c r="Q949" s="552"/>
      <c r="R949" s="552"/>
      <c r="S949" s="552"/>
      <c r="T949" s="552"/>
      <c r="U949" s="552"/>
      <c r="V949" s="552"/>
      <c r="W949" s="552"/>
      <c r="X949" s="552"/>
      <c r="Y949" s="552"/>
      <c r="Z949" s="552"/>
      <c r="AA949" s="552"/>
      <c r="AB949" s="552"/>
      <c r="AC949" s="552"/>
      <c r="AD949" s="552"/>
      <c r="AE949" s="552"/>
      <c r="AF949" s="552"/>
      <c r="AG949" s="552"/>
      <c r="AH949" s="552"/>
      <c r="AI949" s="552"/>
      <c r="AJ949" s="552"/>
      <c r="AK949" s="552"/>
      <c r="AL949" s="552"/>
      <c r="AM949" s="552"/>
      <c r="AN949" s="552"/>
      <c r="AO949" s="717" t="s">
        <v>8082</v>
      </c>
      <c r="AP949" s="552"/>
      <c r="AQ949" s="552" t="s">
        <v>7715</v>
      </c>
      <c r="AR949" s="552" t="s">
        <v>2971</v>
      </c>
      <c r="AS949" s="552" t="s">
        <v>6967</v>
      </c>
      <c r="AT949" s="552" t="s">
        <v>726</v>
      </c>
    </row>
    <row r="950" spans="1:46" ht="14.7" customHeight="1">
      <c r="A950" s="706"/>
      <c r="B950" s="559" t="s">
        <v>3700</v>
      </c>
      <c r="C950" s="539" t="s">
        <v>7753</v>
      </c>
      <c r="D950" s="709"/>
      <c r="E950" s="552"/>
      <c r="F950" s="552"/>
      <c r="G950" s="552"/>
      <c r="H950" s="552"/>
      <c r="I950" s="552"/>
      <c r="J950" s="552"/>
      <c r="K950" s="552"/>
      <c r="L950" s="552"/>
      <c r="M950" s="552"/>
      <c r="N950" s="552"/>
      <c r="O950" s="552"/>
      <c r="P950" s="552"/>
      <c r="Q950" s="552"/>
      <c r="R950" s="552"/>
      <c r="S950" s="552"/>
      <c r="T950" s="552"/>
      <c r="U950" s="552"/>
      <c r="V950" s="552"/>
      <c r="W950" s="552"/>
      <c r="X950" s="552"/>
      <c r="Y950" s="552"/>
      <c r="Z950" s="552"/>
      <c r="AA950" s="552"/>
      <c r="AB950" s="552"/>
      <c r="AC950" s="552"/>
      <c r="AD950" s="552"/>
      <c r="AE950" s="552"/>
      <c r="AF950" s="552"/>
      <c r="AG950" s="552"/>
      <c r="AH950" s="552"/>
      <c r="AI950" s="552"/>
      <c r="AJ950" s="552"/>
      <c r="AK950" s="552"/>
      <c r="AL950" s="552"/>
      <c r="AM950" s="552"/>
      <c r="AN950" s="552"/>
      <c r="AO950" s="552"/>
      <c r="AP950" s="552"/>
      <c r="AQ950" s="552" t="s">
        <v>7715</v>
      </c>
      <c r="AR950" s="552" t="s">
        <v>2971</v>
      </c>
      <c r="AS950" s="552" t="s">
        <v>6967</v>
      </c>
      <c r="AT950" s="552" t="s">
        <v>726</v>
      </c>
    </row>
    <row r="951" spans="1:46" ht="14.7" customHeight="1">
      <c r="A951" s="706"/>
      <c r="B951" s="711" t="s">
        <v>6055</v>
      </c>
      <c r="C951" s="539" t="s">
        <v>7753</v>
      </c>
      <c r="D951" s="709"/>
      <c r="E951" s="552"/>
      <c r="F951" s="552"/>
      <c r="G951" s="552"/>
      <c r="H951" s="552"/>
      <c r="I951" s="552"/>
      <c r="J951" s="552"/>
      <c r="K951" s="552"/>
      <c r="L951" s="552"/>
      <c r="M951" s="552"/>
      <c r="N951" s="552"/>
      <c r="O951" s="552"/>
      <c r="P951" s="552"/>
      <c r="Q951" s="552"/>
      <c r="R951" s="552"/>
      <c r="S951" s="552"/>
      <c r="T951" s="552"/>
      <c r="U951" s="552"/>
      <c r="V951" s="552"/>
      <c r="W951" s="552"/>
      <c r="X951" s="552"/>
      <c r="Y951" s="552"/>
      <c r="Z951" s="552"/>
      <c r="AA951" s="552"/>
      <c r="AB951" s="552"/>
      <c r="AC951" s="552"/>
      <c r="AD951" s="552"/>
      <c r="AE951" s="552"/>
      <c r="AF951" s="552"/>
      <c r="AG951" s="552"/>
      <c r="AH951" s="552"/>
      <c r="AI951" s="552"/>
      <c r="AJ951" s="552"/>
      <c r="AK951" s="552"/>
      <c r="AL951" s="552"/>
      <c r="AM951" s="552"/>
      <c r="AN951" s="552"/>
      <c r="AO951" s="552"/>
      <c r="AP951" s="552"/>
      <c r="AQ951" s="552" t="s">
        <v>7715</v>
      </c>
      <c r="AR951" s="552" t="s">
        <v>6697</v>
      </c>
      <c r="AS951" s="552" t="s">
        <v>6967</v>
      </c>
      <c r="AT951" s="552" t="s">
        <v>726</v>
      </c>
    </row>
    <row r="952" spans="1:46" ht="14.7" customHeight="1">
      <c r="A952" s="706" t="s">
        <v>6497</v>
      </c>
      <c r="B952" s="540" t="s">
        <v>3695</v>
      </c>
      <c r="C952" s="539" t="s">
        <v>7753</v>
      </c>
      <c r="D952" s="709" t="s">
        <v>8083</v>
      </c>
      <c r="E952" s="552" t="s">
        <v>8084</v>
      </c>
      <c r="F952" s="552"/>
      <c r="G952" s="552" t="s">
        <v>8085</v>
      </c>
      <c r="H952" s="552"/>
      <c r="I952" s="552"/>
      <c r="J952" s="552"/>
      <c r="K952" s="552"/>
      <c r="L952" s="552"/>
      <c r="M952" s="552"/>
      <c r="N952" s="552"/>
      <c r="O952" s="552"/>
      <c r="P952" s="552">
        <v>2</v>
      </c>
      <c r="Q952" s="552"/>
      <c r="R952" s="552"/>
      <c r="S952" s="552"/>
      <c r="T952" s="552"/>
      <c r="U952" s="552"/>
      <c r="V952" s="552"/>
      <c r="W952" s="552"/>
      <c r="X952" s="552">
        <v>1</v>
      </c>
      <c r="Y952" s="552"/>
      <c r="Z952" s="552"/>
      <c r="AA952" s="552"/>
      <c r="AB952" s="552"/>
      <c r="AC952" s="552"/>
      <c r="AD952" s="552"/>
      <c r="AE952" s="552"/>
      <c r="AF952" s="552"/>
      <c r="AG952" s="552"/>
      <c r="AH952" s="552"/>
      <c r="AI952" s="552"/>
      <c r="AJ952" s="552"/>
      <c r="AK952" s="552"/>
      <c r="AL952" s="552"/>
      <c r="AM952" s="552"/>
      <c r="AN952" s="552"/>
      <c r="AO952" s="552"/>
      <c r="AP952" s="552"/>
      <c r="AQ952" s="552" t="s">
        <v>1186</v>
      </c>
      <c r="AR952" s="552" t="s">
        <v>2802</v>
      </c>
      <c r="AS952" s="552" t="s">
        <v>6881</v>
      </c>
      <c r="AT952" s="552" t="s">
        <v>726</v>
      </c>
    </row>
    <row r="953" spans="1:46" ht="14.7" customHeight="1">
      <c r="A953" s="706"/>
      <c r="B953" s="540" t="s">
        <v>3695</v>
      </c>
      <c r="C953" s="539" t="s">
        <v>7753</v>
      </c>
      <c r="D953" s="709"/>
      <c r="E953" s="552"/>
      <c r="F953" s="552"/>
      <c r="G953" s="552"/>
      <c r="H953" s="552"/>
      <c r="I953" s="552"/>
      <c r="J953" s="552"/>
      <c r="K953" s="552"/>
      <c r="L953" s="552"/>
      <c r="M953" s="552"/>
      <c r="N953" s="552"/>
      <c r="O953" s="552"/>
      <c r="P953" s="552"/>
      <c r="Q953" s="552"/>
      <c r="R953" s="552"/>
      <c r="S953" s="552"/>
      <c r="T953" s="552"/>
      <c r="U953" s="552"/>
      <c r="V953" s="552"/>
      <c r="W953" s="552"/>
      <c r="X953" s="552"/>
      <c r="Y953" s="552"/>
      <c r="Z953" s="552"/>
      <c r="AA953" s="552"/>
      <c r="AB953" s="552"/>
      <c r="AC953" s="552"/>
      <c r="AD953" s="552"/>
      <c r="AE953" s="552"/>
      <c r="AF953" s="552"/>
      <c r="AG953" s="552"/>
      <c r="AH953" s="552"/>
      <c r="AI953" s="552"/>
      <c r="AJ953" s="552"/>
      <c r="AK953" s="552"/>
      <c r="AL953" s="552"/>
      <c r="AM953" s="552"/>
      <c r="AN953" s="552"/>
      <c r="AO953" s="552"/>
      <c r="AP953" s="552"/>
      <c r="AQ953" s="552" t="s">
        <v>1186</v>
      </c>
      <c r="AR953" s="552" t="s">
        <v>2802</v>
      </c>
      <c r="AS953" s="552" t="s">
        <v>6881</v>
      </c>
      <c r="AT953" s="552" t="s">
        <v>726</v>
      </c>
    </row>
    <row r="954" spans="1:46" ht="14.7" customHeight="1">
      <c r="A954" s="706" t="s">
        <v>8086</v>
      </c>
      <c r="B954" s="707" t="s">
        <v>3696</v>
      </c>
      <c r="C954" s="539" t="s">
        <v>7753</v>
      </c>
      <c r="D954" s="709" t="s">
        <v>8087</v>
      </c>
      <c r="E954" s="552" t="s">
        <v>8088</v>
      </c>
      <c r="F954" s="552"/>
      <c r="G954" s="552" t="s">
        <v>8085</v>
      </c>
      <c r="H954" s="552"/>
      <c r="I954" s="552"/>
      <c r="J954" s="552"/>
      <c r="K954" s="552"/>
      <c r="L954" s="552"/>
      <c r="M954" s="552"/>
      <c r="N954" s="552"/>
      <c r="O954" s="552"/>
      <c r="P954" s="552">
        <v>2</v>
      </c>
      <c r="Q954" s="552"/>
      <c r="R954" s="552"/>
      <c r="S954" s="552"/>
      <c r="T954" s="552"/>
      <c r="U954" s="552"/>
      <c r="V954" s="552"/>
      <c r="W954" s="552"/>
      <c r="X954" s="552"/>
      <c r="Y954" s="552"/>
      <c r="Z954" s="552"/>
      <c r="AA954" s="552"/>
      <c r="AB954" s="552"/>
      <c r="AC954" s="552"/>
      <c r="AD954" s="552"/>
      <c r="AE954" s="552"/>
      <c r="AF954" s="552"/>
      <c r="AG954" s="552"/>
      <c r="AH954" s="552"/>
      <c r="AI954" s="552"/>
      <c r="AJ954" s="552"/>
      <c r="AK954" s="552"/>
      <c r="AL954" s="552"/>
      <c r="AM954" s="552"/>
      <c r="AN954" s="552"/>
      <c r="AO954" s="552"/>
      <c r="AP954" s="717" t="s">
        <v>8089</v>
      </c>
      <c r="AQ954" s="552" t="s">
        <v>1186</v>
      </c>
      <c r="AR954" s="552" t="s">
        <v>2805</v>
      </c>
      <c r="AS954" s="552" t="s">
        <v>6881</v>
      </c>
      <c r="AT954" s="552" t="s">
        <v>726</v>
      </c>
    </row>
    <row r="955" spans="1:46" ht="14.7" customHeight="1">
      <c r="A955" s="706"/>
      <c r="B955" s="707" t="s">
        <v>3696</v>
      </c>
      <c r="C955" s="539" t="s">
        <v>7753</v>
      </c>
      <c r="D955" s="709"/>
      <c r="E955" s="552"/>
      <c r="F955" s="552"/>
      <c r="G955" s="552"/>
      <c r="H955" s="552"/>
      <c r="I955" s="552"/>
      <c r="J955" s="552"/>
      <c r="K955" s="552"/>
      <c r="L955" s="552"/>
      <c r="M955" s="552"/>
      <c r="N955" s="552"/>
      <c r="O955" s="552"/>
      <c r="P955" s="552"/>
      <c r="Q955" s="552"/>
      <c r="R955" s="552"/>
      <c r="S955" s="552"/>
      <c r="T955" s="552"/>
      <c r="U955" s="552"/>
      <c r="V955" s="552"/>
      <c r="W955" s="552"/>
      <c r="X955" s="552"/>
      <c r="Y955" s="552"/>
      <c r="Z955" s="552"/>
      <c r="AA955" s="552"/>
      <c r="AB955" s="552"/>
      <c r="AC955" s="552"/>
      <c r="AD955" s="552"/>
      <c r="AE955" s="552"/>
      <c r="AF955" s="552"/>
      <c r="AG955" s="552"/>
      <c r="AH955" s="552"/>
      <c r="AI955" s="552"/>
      <c r="AJ955" s="552"/>
      <c r="AK955" s="552"/>
      <c r="AL955" s="552"/>
      <c r="AM955" s="552"/>
      <c r="AN955" s="552"/>
      <c r="AO955" s="552"/>
      <c r="AP955" s="552"/>
      <c r="AQ955" s="552" t="s">
        <v>1186</v>
      </c>
      <c r="AR955" s="552" t="s">
        <v>2805</v>
      </c>
      <c r="AS955" s="552" t="s">
        <v>6881</v>
      </c>
      <c r="AT955" s="552" t="s">
        <v>726</v>
      </c>
    </row>
    <row r="956" spans="1:46" ht="14.7" customHeight="1">
      <c r="A956" s="706" t="s">
        <v>6498</v>
      </c>
      <c r="B956" s="556" t="s">
        <v>3697</v>
      </c>
      <c r="C956" s="539" t="s">
        <v>7753</v>
      </c>
      <c r="D956" s="709" t="s">
        <v>8090</v>
      </c>
      <c r="E956" s="552" t="s">
        <v>8084</v>
      </c>
      <c r="F956" s="552"/>
      <c r="G956" s="552" t="s">
        <v>8085</v>
      </c>
      <c r="H956" s="552"/>
      <c r="I956" s="552"/>
      <c r="J956" s="552"/>
      <c r="K956" s="552"/>
      <c r="L956" s="552"/>
      <c r="M956" s="552"/>
      <c r="N956" s="552"/>
      <c r="O956" s="552"/>
      <c r="P956" s="552">
        <v>1</v>
      </c>
      <c r="Q956" s="552"/>
      <c r="R956" s="552"/>
      <c r="S956" s="552"/>
      <c r="T956" s="552"/>
      <c r="U956" s="552"/>
      <c r="V956" s="552"/>
      <c r="W956" s="552"/>
      <c r="X956" s="552">
        <v>4</v>
      </c>
      <c r="Y956" s="552"/>
      <c r="Z956" s="552"/>
      <c r="AA956" s="552"/>
      <c r="AB956" s="552"/>
      <c r="AC956" s="552"/>
      <c r="AD956" s="552"/>
      <c r="AE956" s="552"/>
      <c r="AF956" s="552"/>
      <c r="AG956" s="552"/>
      <c r="AH956" s="552">
        <v>-10</v>
      </c>
      <c r="AI956" s="552">
        <v>10</v>
      </c>
      <c r="AJ956" s="552"/>
      <c r="AK956" s="552"/>
      <c r="AL956" s="552"/>
      <c r="AM956" s="552"/>
      <c r="AN956" s="552"/>
      <c r="AO956" s="552"/>
      <c r="AP956" s="552"/>
      <c r="AQ956" s="552" t="s">
        <v>1186</v>
      </c>
      <c r="AR956" s="552" t="s">
        <v>2875</v>
      </c>
      <c r="AS956" s="552" t="s">
        <v>6881</v>
      </c>
      <c r="AT956" s="552" t="s">
        <v>726</v>
      </c>
    </row>
    <row r="957" spans="1:46" ht="14.7" customHeight="1">
      <c r="A957" s="706" t="s">
        <v>6499</v>
      </c>
      <c r="B957" s="556" t="s">
        <v>3697</v>
      </c>
      <c r="C957" s="539" t="s">
        <v>7753</v>
      </c>
      <c r="D957" s="709" t="s">
        <v>8091</v>
      </c>
      <c r="E957" s="552" t="s">
        <v>8084</v>
      </c>
      <c r="F957" s="552"/>
      <c r="G957" s="552" t="s">
        <v>8085</v>
      </c>
      <c r="H957" s="552"/>
      <c r="I957" s="552"/>
      <c r="J957" s="552"/>
      <c r="K957" s="552"/>
      <c r="L957" s="552"/>
      <c r="M957" s="552"/>
      <c r="N957" s="552"/>
      <c r="O957" s="552"/>
      <c r="P957" s="552"/>
      <c r="Q957" s="552"/>
      <c r="R957" s="552"/>
      <c r="S957" s="552"/>
      <c r="T957" s="552"/>
      <c r="U957" s="552"/>
      <c r="V957" s="552"/>
      <c r="W957" s="552"/>
      <c r="X957" s="552">
        <v>1</v>
      </c>
      <c r="Y957" s="552"/>
      <c r="Z957" s="552"/>
      <c r="AA957" s="552"/>
      <c r="AB957" s="552">
        <v>10</v>
      </c>
      <c r="AC957" s="552">
        <v>10</v>
      </c>
      <c r="AD957" s="552">
        <v>10</v>
      </c>
      <c r="AE957" s="552">
        <v>10</v>
      </c>
      <c r="AF957" s="552">
        <v>10</v>
      </c>
      <c r="AG957" s="552">
        <v>10</v>
      </c>
      <c r="AH957" s="552">
        <v>10</v>
      </c>
      <c r="AI957" s="552">
        <v>10</v>
      </c>
      <c r="AJ957" s="552">
        <v>10</v>
      </c>
      <c r="AK957" s="552"/>
      <c r="AL957" s="552"/>
      <c r="AM957" s="552"/>
      <c r="AN957" s="552"/>
      <c r="AO957" s="552"/>
      <c r="AP957" s="552"/>
      <c r="AQ957" s="552" t="s">
        <v>1186</v>
      </c>
      <c r="AR957" s="552" t="s">
        <v>2875</v>
      </c>
      <c r="AS957" s="552" t="s">
        <v>6881</v>
      </c>
      <c r="AT957" s="552" t="s">
        <v>726</v>
      </c>
    </row>
    <row r="958" spans="1:46" ht="14.7" customHeight="1">
      <c r="A958" s="706"/>
      <c r="B958" s="556" t="s">
        <v>3697</v>
      </c>
      <c r="C958" s="539" t="s">
        <v>7753</v>
      </c>
      <c r="D958" s="709"/>
      <c r="E958" s="552"/>
      <c r="F958" s="552"/>
      <c r="G958" s="552"/>
      <c r="H958" s="552"/>
      <c r="I958" s="552"/>
      <c r="J958" s="552"/>
      <c r="K958" s="552"/>
      <c r="L958" s="552"/>
      <c r="M958" s="552"/>
      <c r="N958" s="552"/>
      <c r="O958" s="552"/>
      <c r="P958" s="552"/>
      <c r="Q958" s="552"/>
      <c r="R958" s="552"/>
      <c r="S958" s="552"/>
      <c r="T958" s="552"/>
      <c r="U958" s="552"/>
      <c r="V958" s="552"/>
      <c r="W958" s="552"/>
      <c r="X958" s="552"/>
      <c r="Y958" s="552"/>
      <c r="Z958" s="552"/>
      <c r="AA958" s="552"/>
      <c r="AB958" s="552"/>
      <c r="AC958" s="552"/>
      <c r="AD958" s="552"/>
      <c r="AE958" s="552"/>
      <c r="AF958" s="552"/>
      <c r="AG958" s="552"/>
      <c r="AH958" s="552"/>
      <c r="AI958" s="552"/>
      <c r="AJ958" s="552"/>
      <c r="AK958" s="552"/>
      <c r="AL958" s="552"/>
      <c r="AM958" s="552"/>
      <c r="AN958" s="552"/>
      <c r="AO958" s="552"/>
      <c r="AP958" s="552"/>
      <c r="AQ958" s="552" t="s">
        <v>1186</v>
      </c>
      <c r="AR958" s="552" t="s">
        <v>2875</v>
      </c>
      <c r="AS958" s="552" t="s">
        <v>6881</v>
      </c>
      <c r="AT958" s="552" t="s">
        <v>726</v>
      </c>
    </row>
    <row r="959" spans="1:46" ht="14.7" customHeight="1">
      <c r="A959" s="706" t="s">
        <v>8092</v>
      </c>
      <c r="B959" s="557" t="s">
        <v>3698</v>
      </c>
      <c r="C959" s="539" t="s">
        <v>7753</v>
      </c>
      <c r="D959" s="709" t="s">
        <v>8093</v>
      </c>
      <c r="E959" s="552" t="s">
        <v>8088</v>
      </c>
      <c r="F959" s="552"/>
      <c r="G959" s="552" t="s">
        <v>8085</v>
      </c>
      <c r="H959" s="552"/>
      <c r="I959" s="552"/>
      <c r="J959" s="552"/>
      <c r="K959" s="552"/>
      <c r="L959" s="552"/>
      <c r="M959" s="552"/>
      <c r="N959" s="552"/>
      <c r="O959" s="552"/>
      <c r="P959" s="552"/>
      <c r="Q959" s="552"/>
      <c r="R959" s="552"/>
      <c r="S959" s="552"/>
      <c r="T959" s="552"/>
      <c r="U959" s="552"/>
      <c r="V959" s="552"/>
      <c r="W959" s="552"/>
      <c r="X959" s="552">
        <v>1</v>
      </c>
      <c r="Y959" s="552">
        <v>1</v>
      </c>
      <c r="Z959" s="552"/>
      <c r="AA959" s="552"/>
      <c r="AB959" s="552"/>
      <c r="AC959" s="552"/>
      <c r="AD959" s="552"/>
      <c r="AE959" s="552"/>
      <c r="AF959" s="552"/>
      <c r="AG959" s="552"/>
      <c r="AH959" s="552"/>
      <c r="AI959" s="552"/>
      <c r="AJ959" s="552"/>
      <c r="AK959" s="552"/>
      <c r="AL959" s="552"/>
      <c r="AM959" s="552"/>
      <c r="AN959" s="552"/>
      <c r="AO959" s="552"/>
      <c r="AP959" s="717" t="s">
        <v>8094</v>
      </c>
      <c r="AQ959" s="552" t="s">
        <v>1186</v>
      </c>
      <c r="AR959" s="552" t="s">
        <v>2998</v>
      </c>
      <c r="AS959" s="552" t="s">
        <v>6881</v>
      </c>
      <c r="AT959" s="552" t="s">
        <v>726</v>
      </c>
    </row>
    <row r="960" spans="1:46" ht="14.7" customHeight="1">
      <c r="A960" s="706" t="s">
        <v>6500</v>
      </c>
      <c r="B960" s="557" t="s">
        <v>3698</v>
      </c>
      <c r="C960" s="539" t="s">
        <v>7753</v>
      </c>
      <c r="D960" s="709" t="s">
        <v>8095</v>
      </c>
      <c r="E960" s="552" t="s">
        <v>8088</v>
      </c>
      <c r="F960" s="552"/>
      <c r="G960" s="552" t="s">
        <v>8085</v>
      </c>
      <c r="H960" s="552"/>
      <c r="I960" s="552"/>
      <c r="J960" s="552"/>
      <c r="K960" s="552"/>
      <c r="L960" s="552"/>
      <c r="M960" s="552"/>
      <c r="N960" s="552"/>
      <c r="O960" s="552"/>
      <c r="P960" s="552">
        <v>1</v>
      </c>
      <c r="Q960" s="552"/>
      <c r="R960" s="552"/>
      <c r="S960" s="552"/>
      <c r="T960" s="552">
        <v>1</v>
      </c>
      <c r="U960" s="552"/>
      <c r="V960" s="552"/>
      <c r="W960" s="552"/>
      <c r="X960" s="552">
        <v>1</v>
      </c>
      <c r="Y960" s="552"/>
      <c r="Z960" s="552"/>
      <c r="AA960" s="552"/>
      <c r="AB960" s="552"/>
      <c r="AC960" s="552"/>
      <c r="AD960" s="552"/>
      <c r="AE960" s="552"/>
      <c r="AF960" s="552"/>
      <c r="AG960" s="552"/>
      <c r="AH960" s="552"/>
      <c r="AI960" s="552"/>
      <c r="AJ960" s="552"/>
      <c r="AK960" s="552"/>
      <c r="AL960" s="552"/>
      <c r="AM960" s="552"/>
      <c r="AN960" s="552"/>
      <c r="AO960" s="717" t="s">
        <v>8096</v>
      </c>
      <c r="AP960" s="552"/>
      <c r="AQ960" s="552" t="s">
        <v>1186</v>
      </c>
      <c r="AR960" s="552" t="s">
        <v>2998</v>
      </c>
      <c r="AS960" s="552" t="s">
        <v>6881</v>
      </c>
      <c r="AT960" s="552" t="s">
        <v>726</v>
      </c>
    </row>
    <row r="961" spans="1:46" ht="14.7" customHeight="1">
      <c r="A961" s="706"/>
      <c r="B961" s="557" t="s">
        <v>3698</v>
      </c>
      <c r="C961" s="539" t="s">
        <v>7753</v>
      </c>
      <c r="D961" s="709"/>
      <c r="E961" s="552"/>
      <c r="F961" s="552"/>
      <c r="G961" s="552"/>
      <c r="H961" s="552"/>
      <c r="I961" s="552"/>
      <c r="J961" s="552"/>
      <c r="K961" s="552"/>
      <c r="L961" s="552"/>
      <c r="M961" s="552"/>
      <c r="N961" s="552"/>
      <c r="O961" s="552"/>
      <c r="P961" s="552"/>
      <c r="Q961" s="552"/>
      <c r="R961" s="552"/>
      <c r="S961" s="552"/>
      <c r="T961" s="552"/>
      <c r="U961" s="552"/>
      <c r="V961" s="552"/>
      <c r="W961" s="552"/>
      <c r="X961" s="552"/>
      <c r="Y961" s="552"/>
      <c r="Z961" s="552"/>
      <c r="AA961" s="552"/>
      <c r="AB961" s="552"/>
      <c r="AC961" s="552"/>
      <c r="AD961" s="552"/>
      <c r="AE961" s="552"/>
      <c r="AF961" s="552"/>
      <c r="AG961" s="552"/>
      <c r="AH961" s="552"/>
      <c r="AI961" s="552"/>
      <c r="AJ961" s="552"/>
      <c r="AK961" s="552"/>
      <c r="AL961" s="552"/>
      <c r="AM961" s="552"/>
      <c r="AN961" s="552"/>
      <c r="AO961" s="552"/>
      <c r="AP961" s="552"/>
      <c r="AQ961" s="552" t="s">
        <v>1186</v>
      </c>
      <c r="AR961" s="552" t="s">
        <v>2998</v>
      </c>
      <c r="AS961" s="552" t="s">
        <v>6881</v>
      </c>
      <c r="AT961" s="552" t="s">
        <v>726</v>
      </c>
    </row>
    <row r="962" spans="1:46" ht="14.7" customHeight="1">
      <c r="A962" s="706"/>
      <c r="B962" s="557" t="s">
        <v>3698</v>
      </c>
      <c r="C962" s="539" t="s">
        <v>7753</v>
      </c>
      <c r="D962" s="709"/>
      <c r="E962" s="552"/>
      <c r="F962" s="552"/>
      <c r="G962" s="552"/>
      <c r="H962" s="552"/>
      <c r="I962" s="552"/>
      <c r="J962" s="552"/>
      <c r="K962" s="552"/>
      <c r="L962" s="552"/>
      <c r="M962" s="552"/>
      <c r="N962" s="552"/>
      <c r="O962" s="552"/>
      <c r="P962" s="552"/>
      <c r="Q962" s="552"/>
      <c r="R962" s="552"/>
      <c r="S962" s="552"/>
      <c r="T962" s="552"/>
      <c r="U962" s="552"/>
      <c r="V962" s="552"/>
      <c r="W962" s="552"/>
      <c r="X962" s="552"/>
      <c r="Y962" s="552"/>
      <c r="Z962" s="552"/>
      <c r="AA962" s="552"/>
      <c r="AB962" s="552"/>
      <c r="AC962" s="552"/>
      <c r="AD962" s="552"/>
      <c r="AE962" s="552"/>
      <c r="AF962" s="552"/>
      <c r="AG962" s="552"/>
      <c r="AH962" s="552"/>
      <c r="AI962" s="552"/>
      <c r="AJ962" s="552"/>
      <c r="AK962" s="552"/>
      <c r="AL962" s="552"/>
      <c r="AM962" s="552"/>
      <c r="AN962" s="552"/>
      <c r="AO962" s="552"/>
      <c r="AP962" s="552"/>
      <c r="AQ962" s="552" t="s">
        <v>1186</v>
      </c>
      <c r="AR962" s="552" t="s">
        <v>2998</v>
      </c>
      <c r="AS962" s="552" t="s">
        <v>6881</v>
      </c>
      <c r="AT962" s="552" t="s">
        <v>726</v>
      </c>
    </row>
    <row r="963" spans="1:46" ht="14.7" customHeight="1">
      <c r="A963" s="706" t="s">
        <v>8097</v>
      </c>
      <c r="B963" s="344" t="s">
        <v>3699</v>
      </c>
      <c r="C963" s="539" t="s">
        <v>7753</v>
      </c>
      <c r="D963" s="709" t="s">
        <v>8098</v>
      </c>
      <c r="E963" s="552" t="s">
        <v>8084</v>
      </c>
      <c r="F963" s="552"/>
      <c r="G963" s="552" t="s">
        <v>8085</v>
      </c>
      <c r="H963" s="552"/>
      <c r="I963" s="552"/>
      <c r="J963" s="552"/>
      <c r="K963" s="717" t="s">
        <v>7008</v>
      </c>
      <c r="L963" s="552"/>
      <c r="M963" s="552"/>
      <c r="N963" s="552"/>
      <c r="O963" s="552"/>
      <c r="P963" s="552"/>
      <c r="Q963" s="552"/>
      <c r="R963" s="552"/>
      <c r="S963" s="552"/>
      <c r="T963" s="552"/>
      <c r="U963" s="552"/>
      <c r="V963" s="552"/>
      <c r="W963" s="552"/>
      <c r="X963" s="552">
        <v>4</v>
      </c>
      <c r="Y963" s="552">
        <v>6</v>
      </c>
      <c r="Z963" s="552"/>
      <c r="AA963" s="552"/>
      <c r="AB963" s="552">
        <v>10</v>
      </c>
      <c r="AC963" s="552">
        <v>10</v>
      </c>
      <c r="AD963" s="552">
        <v>10</v>
      </c>
      <c r="AE963" s="552">
        <v>10</v>
      </c>
      <c r="AF963" s="552">
        <v>10</v>
      </c>
      <c r="AG963" s="552">
        <v>10</v>
      </c>
      <c r="AH963" s="552">
        <v>10</v>
      </c>
      <c r="AI963" s="552">
        <v>10</v>
      </c>
      <c r="AJ963" s="552">
        <v>10</v>
      </c>
      <c r="AK963" s="552"/>
      <c r="AL963" s="552"/>
      <c r="AM963" s="552"/>
      <c r="AN963" s="552"/>
      <c r="AO963" s="552"/>
      <c r="AP963" s="717" t="s">
        <v>8099</v>
      </c>
      <c r="AQ963" s="552" t="s">
        <v>1186</v>
      </c>
      <c r="AR963" s="552" t="s">
        <v>2809</v>
      </c>
      <c r="AS963" s="552" t="s">
        <v>6881</v>
      </c>
      <c r="AT963" s="552" t="s">
        <v>726</v>
      </c>
    </row>
    <row r="964" spans="1:46" ht="14.7" customHeight="1">
      <c r="A964" s="706" t="s">
        <v>9099</v>
      </c>
      <c r="B964" s="344" t="s">
        <v>3699</v>
      </c>
      <c r="C964" s="539" t="s">
        <v>7753</v>
      </c>
      <c r="D964" s="709" t="s">
        <v>8100</v>
      </c>
      <c r="E964" s="552" t="s">
        <v>8088</v>
      </c>
      <c r="F964" s="552"/>
      <c r="G964" s="552" t="s">
        <v>8085</v>
      </c>
      <c r="H964" s="552"/>
      <c r="I964" s="552"/>
      <c r="J964" s="552"/>
      <c r="K964" s="552"/>
      <c r="L964" s="552"/>
      <c r="M964" s="552"/>
      <c r="N964" s="552"/>
      <c r="O964" s="552"/>
      <c r="P964" s="552">
        <v>3</v>
      </c>
      <c r="Q964" s="552"/>
      <c r="R964" s="552">
        <v>3</v>
      </c>
      <c r="S964" s="552"/>
      <c r="T964" s="552"/>
      <c r="U964" s="552"/>
      <c r="V964" s="552"/>
      <c r="W964" s="552"/>
      <c r="X964" s="552">
        <v>5</v>
      </c>
      <c r="Y964" s="552">
        <v>2</v>
      </c>
      <c r="Z964" s="552"/>
      <c r="AA964" s="552"/>
      <c r="AB964" s="552"/>
      <c r="AC964" s="552"/>
      <c r="AD964" s="552"/>
      <c r="AE964" s="552"/>
      <c r="AF964" s="552"/>
      <c r="AG964" s="552">
        <v>50</v>
      </c>
      <c r="AH964" s="552"/>
      <c r="AI964" s="552"/>
      <c r="AJ964" s="552"/>
      <c r="AK964" s="552"/>
      <c r="AL964" s="552">
        <v>20</v>
      </c>
      <c r="AM964" s="552"/>
      <c r="AN964" s="552"/>
      <c r="AO964" s="552"/>
      <c r="AP964" s="552"/>
      <c r="AQ964" s="552" t="s">
        <v>1186</v>
      </c>
      <c r="AR964" s="552" t="s">
        <v>2809</v>
      </c>
      <c r="AS964" s="552" t="s">
        <v>6881</v>
      </c>
      <c r="AT964" s="552" t="s">
        <v>726</v>
      </c>
    </row>
    <row r="965" spans="1:46" ht="14.7" customHeight="1">
      <c r="A965" s="706" t="s">
        <v>6501</v>
      </c>
      <c r="B965" s="344" t="s">
        <v>3699</v>
      </c>
      <c r="C965" s="539" t="s">
        <v>7753</v>
      </c>
      <c r="D965" s="709" t="s">
        <v>8101</v>
      </c>
      <c r="E965" s="552" t="s">
        <v>8088</v>
      </c>
      <c r="F965" s="552"/>
      <c r="G965" s="552" t="s">
        <v>8085</v>
      </c>
      <c r="H965" s="552"/>
      <c r="I965" s="552"/>
      <c r="J965" s="552"/>
      <c r="K965" s="552"/>
      <c r="L965" s="552"/>
      <c r="M965" s="552"/>
      <c r="N965" s="552">
        <v>40</v>
      </c>
      <c r="O965" s="552"/>
      <c r="P965" s="552"/>
      <c r="Q965" s="552"/>
      <c r="R965" s="552"/>
      <c r="S965" s="552"/>
      <c r="T965" s="552"/>
      <c r="U965" s="552"/>
      <c r="V965" s="552"/>
      <c r="W965" s="552"/>
      <c r="X965" s="552"/>
      <c r="Y965" s="552"/>
      <c r="Z965" s="552"/>
      <c r="AA965" s="552"/>
      <c r="AB965" s="552"/>
      <c r="AC965" s="552">
        <v>20</v>
      </c>
      <c r="AD965" s="552"/>
      <c r="AE965" s="552"/>
      <c r="AF965" s="552"/>
      <c r="AG965" s="552"/>
      <c r="AH965" s="552"/>
      <c r="AI965" s="552"/>
      <c r="AJ965" s="552"/>
      <c r="AK965" s="552"/>
      <c r="AL965" s="552"/>
      <c r="AM965" s="552"/>
      <c r="AN965" s="552"/>
      <c r="AO965" s="552" t="s">
        <v>8102</v>
      </c>
      <c r="AP965" s="552"/>
      <c r="AQ965" s="552" t="s">
        <v>1186</v>
      </c>
      <c r="AR965" s="552" t="s">
        <v>2809</v>
      </c>
      <c r="AS965" s="552" t="s">
        <v>6881</v>
      </c>
      <c r="AT965" s="552" t="s">
        <v>726</v>
      </c>
    </row>
    <row r="966" spans="1:46" ht="14.7" customHeight="1">
      <c r="A966" s="706"/>
      <c r="B966" s="344" t="s">
        <v>3699</v>
      </c>
      <c r="C966" s="539" t="s">
        <v>7753</v>
      </c>
      <c r="D966" s="709"/>
      <c r="E966" s="552"/>
      <c r="F966" s="552"/>
      <c r="G966" s="552"/>
      <c r="H966" s="552"/>
      <c r="I966" s="552"/>
      <c r="J966" s="552"/>
      <c r="K966" s="552"/>
      <c r="L966" s="552"/>
      <c r="M966" s="552"/>
      <c r="N966" s="552"/>
      <c r="O966" s="552"/>
      <c r="P966" s="552"/>
      <c r="Q966" s="552"/>
      <c r="R966" s="552"/>
      <c r="S966" s="552"/>
      <c r="T966" s="552"/>
      <c r="U966" s="552"/>
      <c r="V966" s="552"/>
      <c r="W966" s="552"/>
      <c r="X966" s="552"/>
      <c r="Y966" s="552"/>
      <c r="Z966" s="552"/>
      <c r="AA966" s="552"/>
      <c r="AB966" s="552"/>
      <c r="AC966" s="552"/>
      <c r="AD966" s="552"/>
      <c r="AE966" s="552"/>
      <c r="AF966" s="552"/>
      <c r="AG966" s="552"/>
      <c r="AH966" s="552"/>
      <c r="AI966" s="552"/>
      <c r="AJ966" s="552"/>
      <c r="AK966" s="552"/>
      <c r="AL966" s="552"/>
      <c r="AM966" s="552"/>
      <c r="AN966" s="552"/>
      <c r="AO966" s="552"/>
      <c r="AP966" s="552"/>
      <c r="AQ966" s="552" t="s">
        <v>1186</v>
      </c>
      <c r="AR966" s="552" t="s">
        <v>2809</v>
      </c>
      <c r="AS966" s="552" t="s">
        <v>6881</v>
      </c>
      <c r="AT966" s="552" t="s">
        <v>726</v>
      </c>
    </row>
    <row r="967" spans="1:46" ht="14.7" customHeight="1">
      <c r="A967" s="706"/>
      <c r="B967" s="344" t="s">
        <v>3699</v>
      </c>
      <c r="C967" s="539" t="s">
        <v>7753</v>
      </c>
      <c r="D967" s="709"/>
      <c r="E967" s="552"/>
      <c r="F967" s="552"/>
      <c r="G967" s="552"/>
      <c r="H967" s="552"/>
      <c r="I967" s="552"/>
      <c r="J967" s="552"/>
      <c r="K967" s="552"/>
      <c r="L967" s="552"/>
      <c r="M967" s="552"/>
      <c r="N967" s="552"/>
      <c r="O967" s="552"/>
      <c r="P967" s="552"/>
      <c r="Q967" s="552"/>
      <c r="R967" s="552"/>
      <c r="S967" s="552"/>
      <c r="T967" s="552"/>
      <c r="U967" s="552"/>
      <c r="V967" s="552"/>
      <c r="W967" s="552"/>
      <c r="X967" s="552"/>
      <c r="Y967" s="552"/>
      <c r="Z967" s="552"/>
      <c r="AA967" s="552"/>
      <c r="AB967" s="552"/>
      <c r="AC967" s="552"/>
      <c r="AD967" s="552"/>
      <c r="AE967" s="552"/>
      <c r="AF967" s="552"/>
      <c r="AG967" s="552"/>
      <c r="AH967" s="552"/>
      <c r="AI967" s="552"/>
      <c r="AJ967" s="552"/>
      <c r="AK967" s="552"/>
      <c r="AL967" s="552"/>
      <c r="AM967" s="552"/>
      <c r="AN967" s="552"/>
      <c r="AO967" s="552"/>
      <c r="AP967" s="552"/>
      <c r="AQ967" s="552" t="s">
        <v>1186</v>
      </c>
      <c r="AR967" s="552" t="s">
        <v>2809</v>
      </c>
      <c r="AS967" s="552" t="s">
        <v>6881</v>
      </c>
      <c r="AT967" s="552" t="s">
        <v>726</v>
      </c>
    </row>
    <row r="968" spans="1:46" ht="14.7" customHeight="1">
      <c r="A968" s="706" t="s">
        <v>6502</v>
      </c>
      <c r="B968" s="559" t="s">
        <v>3700</v>
      </c>
      <c r="C968" s="539" t="s">
        <v>7753</v>
      </c>
      <c r="D968" s="709" t="s">
        <v>8103</v>
      </c>
      <c r="E968" s="552" t="s">
        <v>8084</v>
      </c>
      <c r="F968" s="552"/>
      <c r="G968" s="552" t="s">
        <v>8085</v>
      </c>
      <c r="H968" s="552"/>
      <c r="I968" s="552"/>
      <c r="J968" s="552"/>
      <c r="K968" s="552"/>
      <c r="L968" s="552"/>
      <c r="M968" s="552"/>
      <c r="N968" s="552"/>
      <c r="O968" s="552"/>
      <c r="P968" s="552">
        <v>12</v>
      </c>
      <c r="Q968" s="552"/>
      <c r="R968" s="552"/>
      <c r="S968" s="552"/>
      <c r="T968" s="552"/>
      <c r="U968" s="552"/>
      <c r="V968" s="552"/>
      <c r="W968" s="552"/>
      <c r="X968" s="552">
        <v>5</v>
      </c>
      <c r="Y968" s="552">
        <v>5</v>
      </c>
      <c r="Z968" s="552"/>
      <c r="AA968" s="552"/>
      <c r="AB968" s="552"/>
      <c r="AC968" s="552"/>
      <c r="AD968" s="552">
        <v>50</v>
      </c>
      <c r="AE968" s="552"/>
      <c r="AF968" s="552"/>
      <c r="AG968" s="552"/>
      <c r="AH968" s="552"/>
      <c r="AI968" s="552"/>
      <c r="AJ968" s="552"/>
      <c r="AK968" s="552"/>
      <c r="AL968" s="552"/>
      <c r="AM968" s="552"/>
      <c r="AN968" s="552"/>
      <c r="AO968" s="552"/>
      <c r="AP968" s="717" t="s">
        <v>8104</v>
      </c>
      <c r="AQ968" s="552" t="s">
        <v>1186</v>
      </c>
      <c r="AR968" s="552" t="s">
        <v>2971</v>
      </c>
      <c r="AS968" s="552" t="s">
        <v>6881</v>
      </c>
      <c r="AT968" s="552" t="s">
        <v>726</v>
      </c>
    </row>
    <row r="969" spans="1:46" ht="14.7" customHeight="1">
      <c r="A969" s="706" t="s">
        <v>6503</v>
      </c>
      <c r="B969" s="559" t="s">
        <v>3700</v>
      </c>
      <c r="C969" s="539" t="s">
        <v>7753</v>
      </c>
      <c r="D969" s="709" t="s">
        <v>8105</v>
      </c>
      <c r="E969" s="552" t="s">
        <v>8088</v>
      </c>
      <c r="F969" s="552"/>
      <c r="G969" s="552" t="s">
        <v>8085</v>
      </c>
      <c r="H969" s="552"/>
      <c r="I969" s="552"/>
      <c r="J969" s="552"/>
      <c r="K969" s="552"/>
      <c r="L969" s="552"/>
      <c r="M969" s="552"/>
      <c r="N969" s="552"/>
      <c r="O969" s="552"/>
      <c r="P969" s="552">
        <v>10</v>
      </c>
      <c r="Q969" s="552"/>
      <c r="R969" s="552"/>
      <c r="S969" s="552">
        <v>-5</v>
      </c>
      <c r="T969" s="552"/>
      <c r="U969" s="552"/>
      <c r="V969" s="552"/>
      <c r="W969" s="552"/>
      <c r="X969" s="552">
        <v>10</v>
      </c>
      <c r="Y969" s="552"/>
      <c r="Z969" s="552"/>
      <c r="AA969" s="552"/>
      <c r="AB969" s="552">
        <v>60</v>
      </c>
      <c r="AC969" s="552"/>
      <c r="AD969" s="552"/>
      <c r="AE969" s="552"/>
      <c r="AF969" s="552"/>
      <c r="AG969" s="552"/>
      <c r="AH969" s="552"/>
      <c r="AI969" s="552"/>
      <c r="AJ969" s="552"/>
      <c r="AK969" s="552"/>
      <c r="AL969" s="552"/>
      <c r="AM969" s="552"/>
      <c r="AN969" s="552"/>
      <c r="AO969" s="717" t="s">
        <v>8106</v>
      </c>
      <c r="AP969" s="552"/>
      <c r="AQ969" s="552" t="s">
        <v>1186</v>
      </c>
      <c r="AR969" s="552" t="s">
        <v>2971</v>
      </c>
      <c r="AS969" s="552" t="s">
        <v>6881</v>
      </c>
      <c r="AT969" s="552" t="s">
        <v>726</v>
      </c>
    </row>
    <row r="970" spans="1:46" ht="14.7" customHeight="1">
      <c r="A970" s="706"/>
      <c r="B970" s="711" t="s">
        <v>6055</v>
      </c>
      <c r="C970" s="539" t="s">
        <v>7753</v>
      </c>
      <c r="D970" s="709"/>
      <c r="E970" s="552"/>
      <c r="F970" s="552"/>
      <c r="G970" s="552"/>
      <c r="H970" s="552"/>
      <c r="I970" s="552"/>
      <c r="J970" s="552"/>
      <c r="K970" s="552"/>
      <c r="L970" s="552"/>
      <c r="M970" s="552"/>
      <c r="N970" s="552"/>
      <c r="O970" s="552"/>
      <c r="P970" s="552"/>
      <c r="Q970" s="552"/>
      <c r="R970" s="552"/>
      <c r="S970" s="552"/>
      <c r="T970" s="552"/>
      <c r="U970" s="552"/>
      <c r="V970" s="552"/>
      <c r="W970" s="552"/>
      <c r="X970" s="552"/>
      <c r="Y970" s="552"/>
      <c r="Z970" s="552"/>
      <c r="AA970" s="552"/>
      <c r="AB970" s="552"/>
      <c r="AC970" s="552"/>
      <c r="AD970" s="552"/>
      <c r="AE970" s="552"/>
      <c r="AF970" s="552"/>
      <c r="AG970" s="552"/>
      <c r="AH970" s="552"/>
      <c r="AI970" s="552"/>
      <c r="AJ970" s="552"/>
      <c r="AK970" s="552"/>
      <c r="AL970" s="552"/>
      <c r="AM970" s="552"/>
      <c r="AN970" s="552"/>
      <c r="AO970" s="552"/>
      <c r="AP970" s="552"/>
      <c r="AQ970" s="552" t="s">
        <v>1186</v>
      </c>
      <c r="AR970" s="552" t="s">
        <v>6697</v>
      </c>
      <c r="AS970" s="552" t="s">
        <v>6881</v>
      </c>
      <c r="AT970" s="552" t="s">
        <v>726</v>
      </c>
    </row>
    <row r="971" spans="1:46" ht="14.7" customHeight="1">
      <c r="A971" s="706" t="s">
        <v>6504</v>
      </c>
      <c r="B971" s="540" t="s">
        <v>3695</v>
      </c>
      <c r="C971" s="539" t="s">
        <v>7753</v>
      </c>
      <c r="D971" s="709" t="s">
        <v>8107</v>
      </c>
      <c r="E971" s="552" t="s">
        <v>8088</v>
      </c>
      <c r="F971" s="552"/>
      <c r="G971" s="552" t="s">
        <v>8108</v>
      </c>
      <c r="H971" s="552"/>
      <c r="I971" s="552"/>
      <c r="J971" s="552"/>
      <c r="K971" s="552"/>
      <c r="L971" s="552"/>
      <c r="M971" s="552"/>
      <c r="N971" s="552">
        <v>15</v>
      </c>
      <c r="O971" s="552"/>
      <c r="P971" s="552"/>
      <c r="Q971" s="552"/>
      <c r="R971" s="552"/>
      <c r="S971" s="552"/>
      <c r="T971" s="552"/>
      <c r="U971" s="552"/>
      <c r="V971" s="552"/>
      <c r="W971" s="552"/>
      <c r="X971" s="552">
        <v>1</v>
      </c>
      <c r="Y971" s="552"/>
      <c r="Z971" s="552"/>
      <c r="AA971" s="552"/>
      <c r="AB971" s="552"/>
      <c r="AC971" s="552"/>
      <c r="AD971" s="552"/>
      <c r="AE971" s="552"/>
      <c r="AF971" s="552"/>
      <c r="AG971" s="552"/>
      <c r="AH971" s="552"/>
      <c r="AI971" s="552"/>
      <c r="AJ971" s="552"/>
      <c r="AK971" s="552"/>
      <c r="AL971" s="552"/>
      <c r="AM971" s="552"/>
      <c r="AN971" s="552"/>
      <c r="AO971" s="552"/>
      <c r="AP971" s="552"/>
      <c r="AQ971" s="552" t="s">
        <v>1186</v>
      </c>
      <c r="AR971" s="552" t="s">
        <v>2802</v>
      </c>
      <c r="AS971" s="552" t="s">
        <v>6881</v>
      </c>
      <c r="AT971" s="552" t="s">
        <v>726</v>
      </c>
    </row>
    <row r="972" spans="1:46" ht="14.7" customHeight="1">
      <c r="A972" s="706"/>
      <c r="B972" s="540" t="s">
        <v>3695</v>
      </c>
      <c r="C972" s="539" t="s">
        <v>7753</v>
      </c>
      <c r="D972" s="709"/>
      <c r="E972" s="552"/>
      <c r="F972" s="552"/>
      <c r="G972" s="552"/>
      <c r="H972" s="552"/>
      <c r="I972" s="552"/>
      <c r="J972" s="552"/>
      <c r="K972" s="552"/>
      <c r="L972" s="552"/>
      <c r="M972" s="552"/>
      <c r="N972" s="552"/>
      <c r="O972" s="552"/>
      <c r="P972" s="552"/>
      <c r="Q972" s="552"/>
      <c r="R972" s="552"/>
      <c r="S972" s="552"/>
      <c r="T972" s="552"/>
      <c r="U972" s="552"/>
      <c r="V972" s="552"/>
      <c r="W972" s="552"/>
      <c r="X972" s="552"/>
      <c r="Y972" s="552"/>
      <c r="Z972" s="552"/>
      <c r="AA972" s="552"/>
      <c r="AB972" s="552"/>
      <c r="AC972" s="552"/>
      <c r="AD972" s="552"/>
      <c r="AE972" s="552"/>
      <c r="AF972" s="552"/>
      <c r="AG972" s="552"/>
      <c r="AH972" s="552"/>
      <c r="AI972" s="552"/>
      <c r="AJ972" s="552"/>
      <c r="AK972" s="552"/>
      <c r="AL972" s="552"/>
      <c r="AM972" s="552"/>
      <c r="AN972" s="552"/>
      <c r="AO972" s="552"/>
      <c r="AP972" s="552"/>
      <c r="AQ972" s="552" t="s">
        <v>1186</v>
      </c>
      <c r="AR972" s="552" t="s">
        <v>2802</v>
      </c>
      <c r="AS972" s="552" t="s">
        <v>6881</v>
      </c>
      <c r="AT972" s="552" t="s">
        <v>726</v>
      </c>
    </row>
    <row r="973" spans="1:46" ht="14.7" customHeight="1">
      <c r="A973" s="706" t="s">
        <v>6505</v>
      </c>
      <c r="B973" s="707" t="s">
        <v>3696</v>
      </c>
      <c r="C973" s="539" t="s">
        <v>7753</v>
      </c>
      <c r="D973" s="709" t="s">
        <v>8109</v>
      </c>
      <c r="E973" s="552" t="s">
        <v>8088</v>
      </c>
      <c r="F973" s="552"/>
      <c r="G973" s="552" t="s">
        <v>8108</v>
      </c>
      <c r="H973" s="552"/>
      <c r="I973" s="552"/>
      <c r="J973" s="552"/>
      <c r="K973" s="552"/>
      <c r="L973" s="552"/>
      <c r="M973" s="552"/>
      <c r="N973" s="552">
        <v>20</v>
      </c>
      <c r="O973" s="552"/>
      <c r="P973" s="552"/>
      <c r="Q973" s="552"/>
      <c r="R973" s="552"/>
      <c r="S973" s="552"/>
      <c r="T973" s="552"/>
      <c r="U973" s="552"/>
      <c r="V973" s="552"/>
      <c r="W973" s="552"/>
      <c r="X973" s="552">
        <v>2</v>
      </c>
      <c r="Y973" s="552"/>
      <c r="Z973" s="552"/>
      <c r="AA973" s="552"/>
      <c r="AB973" s="552"/>
      <c r="AC973" s="552"/>
      <c r="AD973" s="552"/>
      <c r="AE973" s="552"/>
      <c r="AF973" s="552"/>
      <c r="AG973" s="552"/>
      <c r="AH973" s="552"/>
      <c r="AI973" s="552"/>
      <c r="AJ973" s="552"/>
      <c r="AK973" s="552"/>
      <c r="AL973" s="552"/>
      <c r="AM973" s="552"/>
      <c r="AN973" s="552"/>
      <c r="AO973" s="552"/>
      <c r="AP973" s="552"/>
      <c r="AQ973" s="552" t="s">
        <v>1186</v>
      </c>
      <c r="AR973" s="552" t="s">
        <v>2805</v>
      </c>
      <c r="AS973" s="552" t="s">
        <v>6881</v>
      </c>
      <c r="AT973" s="552" t="s">
        <v>726</v>
      </c>
    </row>
    <row r="974" spans="1:46" ht="14.7" customHeight="1">
      <c r="A974" s="706"/>
      <c r="B974" s="707" t="s">
        <v>3696</v>
      </c>
      <c r="C974" s="539" t="s">
        <v>7753</v>
      </c>
      <c r="D974" s="709"/>
      <c r="E974" s="552"/>
      <c r="F974" s="552"/>
      <c r="G974" s="552"/>
      <c r="H974" s="552"/>
      <c r="I974" s="552"/>
      <c r="J974" s="552"/>
      <c r="K974" s="552"/>
      <c r="L974" s="552"/>
      <c r="M974" s="552"/>
      <c r="N974" s="552"/>
      <c r="O974" s="552"/>
      <c r="P974" s="552"/>
      <c r="Q974" s="552"/>
      <c r="R974" s="552"/>
      <c r="S974" s="552"/>
      <c r="T974" s="552"/>
      <c r="U974" s="552"/>
      <c r="V974" s="552"/>
      <c r="W974" s="552"/>
      <c r="X974" s="552"/>
      <c r="Y974" s="552"/>
      <c r="Z974" s="552"/>
      <c r="AA974" s="552"/>
      <c r="AB974" s="552"/>
      <c r="AC974" s="552"/>
      <c r="AD974" s="552"/>
      <c r="AE974" s="552"/>
      <c r="AF974" s="552"/>
      <c r="AG974" s="552"/>
      <c r="AH974" s="552"/>
      <c r="AI974" s="552"/>
      <c r="AJ974" s="552"/>
      <c r="AK974" s="552"/>
      <c r="AL974" s="552"/>
      <c r="AM974" s="552"/>
      <c r="AN974" s="552"/>
      <c r="AO974" s="552"/>
      <c r="AP974" s="552"/>
      <c r="AQ974" s="552" t="s">
        <v>1186</v>
      </c>
      <c r="AR974" s="552" t="s">
        <v>2805</v>
      </c>
      <c r="AS974" s="552" t="s">
        <v>6881</v>
      </c>
      <c r="AT974" s="552" t="s">
        <v>726</v>
      </c>
    </row>
    <row r="975" spans="1:46" ht="14.7" customHeight="1">
      <c r="A975" s="706" t="s">
        <v>6506</v>
      </c>
      <c r="B975" s="556" t="s">
        <v>3697</v>
      </c>
      <c r="C975" s="539" t="s">
        <v>7753</v>
      </c>
      <c r="D975" s="709" t="s">
        <v>8110</v>
      </c>
      <c r="E975" s="552" t="s">
        <v>8088</v>
      </c>
      <c r="F975" s="552"/>
      <c r="G975" s="552" t="s">
        <v>8108</v>
      </c>
      <c r="H975" s="552"/>
      <c r="I975" s="552"/>
      <c r="J975" s="552"/>
      <c r="K975" s="552"/>
      <c r="L975" s="552"/>
      <c r="M975" s="552"/>
      <c r="N975" s="552"/>
      <c r="O975" s="552"/>
      <c r="P975" s="552"/>
      <c r="Q975" s="552"/>
      <c r="R975" s="552"/>
      <c r="S975" s="552"/>
      <c r="T975" s="552"/>
      <c r="U975" s="552"/>
      <c r="V975" s="552"/>
      <c r="W975" s="552"/>
      <c r="X975" s="552">
        <v>3</v>
      </c>
      <c r="Y975" s="552">
        <v>2</v>
      </c>
      <c r="Z975" s="552"/>
      <c r="AA975" s="552"/>
      <c r="AB975" s="552"/>
      <c r="AC975" s="552"/>
      <c r="AD975" s="552"/>
      <c r="AE975" s="552"/>
      <c r="AF975" s="552"/>
      <c r="AG975" s="552"/>
      <c r="AH975" s="552"/>
      <c r="AI975" s="552"/>
      <c r="AJ975" s="552"/>
      <c r="AK975" s="552"/>
      <c r="AL975" s="552"/>
      <c r="AM975" s="552"/>
      <c r="AN975" s="552"/>
      <c r="AO975" s="552"/>
      <c r="AP975" s="552"/>
      <c r="AQ975" s="552" t="s">
        <v>1186</v>
      </c>
      <c r="AR975" s="552" t="s">
        <v>2875</v>
      </c>
      <c r="AS975" s="552" t="s">
        <v>6881</v>
      </c>
      <c r="AT975" s="552" t="s">
        <v>726</v>
      </c>
    </row>
    <row r="976" spans="1:46" ht="14.7" customHeight="1">
      <c r="A976" s="706"/>
      <c r="B976" s="556" t="s">
        <v>3697</v>
      </c>
      <c r="C976" s="539" t="s">
        <v>7753</v>
      </c>
      <c r="D976" s="709"/>
      <c r="E976" s="552"/>
      <c r="F976" s="552"/>
      <c r="G976" s="552"/>
      <c r="H976" s="552"/>
      <c r="I976" s="552"/>
      <c r="J976" s="552"/>
      <c r="K976" s="552"/>
      <c r="L976" s="552"/>
      <c r="M976" s="552"/>
      <c r="N976" s="552"/>
      <c r="O976" s="552"/>
      <c r="P976" s="552"/>
      <c r="Q976" s="552"/>
      <c r="R976" s="552"/>
      <c r="S976" s="552"/>
      <c r="T976" s="552"/>
      <c r="U976" s="552"/>
      <c r="V976" s="552"/>
      <c r="W976" s="552"/>
      <c r="X976" s="552"/>
      <c r="Y976" s="552"/>
      <c r="Z976" s="552"/>
      <c r="AA976" s="552"/>
      <c r="AB976" s="552"/>
      <c r="AC976" s="552"/>
      <c r="AD976" s="552"/>
      <c r="AE976" s="552"/>
      <c r="AF976" s="552"/>
      <c r="AG976" s="552"/>
      <c r="AH976" s="552"/>
      <c r="AI976" s="552"/>
      <c r="AJ976" s="552"/>
      <c r="AK976" s="552"/>
      <c r="AL976" s="552"/>
      <c r="AM976" s="552"/>
      <c r="AN976" s="552"/>
      <c r="AO976" s="552"/>
      <c r="AP976" s="552"/>
      <c r="AQ976" s="552" t="s">
        <v>1186</v>
      </c>
      <c r="AR976" s="552" t="s">
        <v>2875</v>
      </c>
      <c r="AS976" s="552" t="s">
        <v>6881</v>
      </c>
      <c r="AT976" s="552" t="s">
        <v>726</v>
      </c>
    </row>
    <row r="977" spans="1:46" ht="14.7" customHeight="1">
      <c r="A977" s="706"/>
      <c r="B977" s="556" t="s">
        <v>3697</v>
      </c>
      <c r="C977" s="539" t="s">
        <v>7753</v>
      </c>
      <c r="D977" s="709"/>
      <c r="E977" s="552"/>
      <c r="F977" s="552"/>
      <c r="G977" s="552"/>
      <c r="H977" s="552"/>
      <c r="I977" s="552"/>
      <c r="J977" s="552"/>
      <c r="K977" s="552"/>
      <c r="L977" s="552"/>
      <c r="M977" s="552"/>
      <c r="N977" s="552"/>
      <c r="O977" s="552"/>
      <c r="P977" s="552"/>
      <c r="Q977" s="552"/>
      <c r="R977" s="552"/>
      <c r="S977" s="552"/>
      <c r="T977" s="552"/>
      <c r="U977" s="552"/>
      <c r="V977" s="552"/>
      <c r="W977" s="552"/>
      <c r="X977" s="552"/>
      <c r="Y977" s="552"/>
      <c r="Z977" s="552"/>
      <c r="AA977" s="552"/>
      <c r="AB977" s="552"/>
      <c r="AC977" s="552"/>
      <c r="AD977" s="552"/>
      <c r="AE977" s="552"/>
      <c r="AF977" s="552"/>
      <c r="AG977" s="552"/>
      <c r="AH977" s="552"/>
      <c r="AI977" s="552"/>
      <c r="AJ977" s="552"/>
      <c r="AK977" s="552"/>
      <c r="AL977" s="552"/>
      <c r="AM977" s="552"/>
      <c r="AN977" s="552"/>
      <c r="AO977" s="552"/>
      <c r="AP977" s="552"/>
      <c r="AQ977" s="552" t="s">
        <v>1186</v>
      </c>
      <c r="AR977" s="552" t="s">
        <v>2875</v>
      </c>
      <c r="AS977" s="552" t="s">
        <v>6881</v>
      </c>
      <c r="AT977" s="552" t="s">
        <v>726</v>
      </c>
    </row>
    <row r="978" spans="1:46" ht="14.7" customHeight="1">
      <c r="A978" s="706" t="s">
        <v>6507</v>
      </c>
      <c r="B978" s="557" t="s">
        <v>3698</v>
      </c>
      <c r="C978" s="539" t="s">
        <v>7753</v>
      </c>
      <c r="D978" s="709" t="s">
        <v>8111</v>
      </c>
      <c r="E978" s="552" t="s">
        <v>8084</v>
      </c>
      <c r="F978" s="552"/>
      <c r="G978" s="552" t="s">
        <v>8112</v>
      </c>
      <c r="H978" s="717" t="s">
        <v>8113</v>
      </c>
      <c r="I978" s="552"/>
      <c r="J978" s="552"/>
      <c r="K978" s="552"/>
      <c r="L978" s="552"/>
      <c r="M978" s="552"/>
      <c r="N978" s="552"/>
      <c r="O978" s="552"/>
      <c r="P978" s="552"/>
      <c r="Q978" s="552"/>
      <c r="R978" s="552"/>
      <c r="S978" s="552"/>
      <c r="T978" s="552"/>
      <c r="U978" s="552"/>
      <c r="V978" s="552"/>
      <c r="W978" s="552"/>
      <c r="X978" s="552">
        <v>4</v>
      </c>
      <c r="Y978" s="552"/>
      <c r="Z978" s="552"/>
      <c r="AA978" s="552"/>
      <c r="AB978" s="552"/>
      <c r="AC978" s="552"/>
      <c r="AD978" s="552"/>
      <c r="AE978" s="552"/>
      <c r="AF978" s="552"/>
      <c r="AG978" s="552"/>
      <c r="AH978" s="552"/>
      <c r="AI978" s="552">
        <v>20</v>
      </c>
      <c r="AJ978" s="552"/>
      <c r="AK978" s="552"/>
      <c r="AL978" s="552"/>
      <c r="AM978" s="552"/>
      <c r="AN978" s="552"/>
      <c r="AO978" s="552"/>
      <c r="AP978" s="717" t="s">
        <v>8114</v>
      </c>
      <c r="AQ978" s="552" t="s">
        <v>1186</v>
      </c>
      <c r="AR978" s="552" t="s">
        <v>2998</v>
      </c>
      <c r="AS978" s="552" t="s">
        <v>6881</v>
      </c>
      <c r="AT978" s="552" t="s">
        <v>726</v>
      </c>
    </row>
    <row r="979" spans="1:46" ht="14.7" customHeight="1">
      <c r="A979" s="706"/>
      <c r="B979" s="557" t="s">
        <v>3698</v>
      </c>
      <c r="C979" s="539" t="s">
        <v>7753</v>
      </c>
      <c r="D979" s="709"/>
      <c r="E979" s="552"/>
      <c r="F979" s="552"/>
      <c r="G979" s="552"/>
      <c r="H979" s="552"/>
      <c r="I979" s="552"/>
      <c r="J979" s="552"/>
      <c r="K979" s="552"/>
      <c r="L979" s="552"/>
      <c r="M979" s="552"/>
      <c r="N979" s="552"/>
      <c r="O979" s="552"/>
      <c r="P979" s="552"/>
      <c r="Q979" s="552"/>
      <c r="R979" s="552"/>
      <c r="S979" s="552"/>
      <c r="T979" s="552"/>
      <c r="U979" s="552"/>
      <c r="V979" s="552"/>
      <c r="W979" s="552"/>
      <c r="X979" s="552"/>
      <c r="Y979" s="552"/>
      <c r="Z979" s="552"/>
      <c r="AA979" s="552"/>
      <c r="AB979" s="552"/>
      <c r="AC979" s="552"/>
      <c r="AD979" s="552"/>
      <c r="AE979" s="552"/>
      <c r="AF979" s="552"/>
      <c r="AG979" s="552"/>
      <c r="AH979" s="552"/>
      <c r="AI979" s="552"/>
      <c r="AJ979" s="552"/>
      <c r="AK979" s="552"/>
      <c r="AL979" s="552"/>
      <c r="AM979" s="552"/>
      <c r="AN979" s="552"/>
      <c r="AO979" s="552"/>
      <c r="AP979" s="552"/>
      <c r="AQ979" s="552" t="s">
        <v>1186</v>
      </c>
      <c r="AR979" s="552" t="s">
        <v>2998</v>
      </c>
      <c r="AS979" s="552" t="s">
        <v>6881</v>
      </c>
      <c r="AT979" s="552" t="s">
        <v>726</v>
      </c>
    </row>
    <row r="980" spans="1:46" ht="14.7" customHeight="1">
      <c r="A980" s="706"/>
      <c r="B980" s="557" t="s">
        <v>3698</v>
      </c>
      <c r="C980" s="539" t="s">
        <v>7753</v>
      </c>
      <c r="D980" s="709"/>
      <c r="E980" s="552"/>
      <c r="F980" s="552"/>
      <c r="G980" s="552"/>
      <c r="H980" s="552"/>
      <c r="I980" s="552"/>
      <c r="J980" s="552"/>
      <c r="K980" s="552"/>
      <c r="L980" s="552"/>
      <c r="M980" s="552"/>
      <c r="N980" s="552"/>
      <c r="O980" s="552"/>
      <c r="P980" s="552"/>
      <c r="Q980" s="552"/>
      <c r="R980" s="552"/>
      <c r="S980" s="552"/>
      <c r="T980" s="552"/>
      <c r="U980" s="552"/>
      <c r="V980" s="552"/>
      <c r="W980" s="552"/>
      <c r="X980" s="552"/>
      <c r="Y980" s="552"/>
      <c r="Z980" s="552"/>
      <c r="AA980" s="552"/>
      <c r="AB980" s="552"/>
      <c r="AC980" s="552"/>
      <c r="AD980" s="552"/>
      <c r="AE980" s="552"/>
      <c r="AF980" s="552"/>
      <c r="AG980" s="552"/>
      <c r="AH980" s="552"/>
      <c r="AI980" s="552"/>
      <c r="AJ980" s="552"/>
      <c r="AK980" s="552"/>
      <c r="AL980" s="552"/>
      <c r="AM980" s="552"/>
      <c r="AN980" s="552"/>
      <c r="AO980" s="552"/>
      <c r="AP980" s="552"/>
      <c r="AQ980" s="552" t="s">
        <v>1186</v>
      </c>
      <c r="AR980" s="552" t="s">
        <v>2998</v>
      </c>
      <c r="AS980" s="552" t="s">
        <v>6881</v>
      </c>
      <c r="AT980" s="552" t="s">
        <v>726</v>
      </c>
    </row>
    <row r="981" spans="1:46" ht="14.7" customHeight="1">
      <c r="A981" s="706"/>
      <c r="B981" s="557" t="s">
        <v>3698</v>
      </c>
      <c r="C981" s="539" t="s">
        <v>7753</v>
      </c>
      <c r="D981" s="709"/>
      <c r="E981" s="552"/>
      <c r="F981" s="552"/>
      <c r="G981" s="552"/>
      <c r="H981" s="552"/>
      <c r="I981" s="552"/>
      <c r="J981" s="552"/>
      <c r="K981" s="552"/>
      <c r="L981" s="552"/>
      <c r="M981" s="552"/>
      <c r="N981" s="552"/>
      <c r="O981" s="552"/>
      <c r="P981" s="552"/>
      <c r="Q981" s="552"/>
      <c r="R981" s="552"/>
      <c r="S981" s="552"/>
      <c r="T981" s="552"/>
      <c r="U981" s="552"/>
      <c r="V981" s="552"/>
      <c r="W981" s="552"/>
      <c r="X981" s="552"/>
      <c r="Y981" s="552"/>
      <c r="Z981" s="552"/>
      <c r="AA981" s="552"/>
      <c r="AB981" s="552"/>
      <c r="AC981" s="552"/>
      <c r="AD981" s="552"/>
      <c r="AE981" s="552"/>
      <c r="AF981" s="552"/>
      <c r="AG981" s="552"/>
      <c r="AH981" s="552"/>
      <c r="AI981" s="552"/>
      <c r="AJ981" s="552"/>
      <c r="AK981" s="552"/>
      <c r="AL981" s="552"/>
      <c r="AM981" s="552"/>
      <c r="AN981" s="552"/>
      <c r="AO981" s="552"/>
      <c r="AP981" s="552"/>
      <c r="AQ981" s="552" t="s">
        <v>1186</v>
      </c>
      <c r="AR981" s="552" t="s">
        <v>2998</v>
      </c>
      <c r="AS981" s="552" t="s">
        <v>6881</v>
      </c>
      <c r="AT981" s="552" t="s">
        <v>726</v>
      </c>
    </row>
    <row r="982" spans="1:46" ht="14.7" customHeight="1">
      <c r="A982" s="706" t="s">
        <v>8115</v>
      </c>
      <c r="B982" s="344" t="s">
        <v>3699</v>
      </c>
      <c r="C982" s="539" t="s">
        <v>7753</v>
      </c>
      <c r="D982" s="709" t="s">
        <v>8116</v>
      </c>
      <c r="E982" s="552" t="s">
        <v>8088</v>
      </c>
      <c r="F982" s="552"/>
      <c r="G982" s="552" t="s">
        <v>8108</v>
      </c>
      <c r="H982" s="552"/>
      <c r="I982" s="552"/>
      <c r="J982" s="552"/>
      <c r="K982" s="552"/>
      <c r="L982" s="552"/>
      <c r="M982" s="552"/>
      <c r="N982" s="552"/>
      <c r="O982" s="552"/>
      <c r="P982" s="552"/>
      <c r="Q982" s="552"/>
      <c r="R982" s="552"/>
      <c r="S982" s="552"/>
      <c r="T982" s="552"/>
      <c r="U982" s="552"/>
      <c r="V982" s="552"/>
      <c r="W982" s="552"/>
      <c r="X982" s="552">
        <v>3</v>
      </c>
      <c r="Y982" s="552">
        <v>3</v>
      </c>
      <c r="Z982" s="552"/>
      <c r="AA982" s="552"/>
      <c r="AB982" s="552"/>
      <c r="AC982" s="552"/>
      <c r="AD982" s="552">
        <v>30</v>
      </c>
      <c r="AE982" s="552"/>
      <c r="AF982" s="552"/>
      <c r="AG982" s="552"/>
      <c r="AH982" s="552"/>
      <c r="AI982" s="552"/>
      <c r="AJ982" s="552"/>
      <c r="AK982" s="552"/>
      <c r="AL982" s="552"/>
      <c r="AM982" s="552"/>
      <c r="AN982" s="552"/>
      <c r="AO982" s="717" t="s">
        <v>8117</v>
      </c>
      <c r="AP982" s="552"/>
      <c r="AQ982" s="552" t="s">
        <v>1186</v>
      </c>
      <c r="AR982" s="552" t="s">
        <v>2809</v>
      </c>
      <c r="AS982" s="552" t="s">
        <v>6881</v>
      </c>
      <c r="AT982" s="552" t="s">
        <v>726</v>
      </c>
    </row>
    <row r="983" spans="1:46" ht="14.7" customHeight="1">
      <c r="A983" s="706" t="s">
        <v>6508</v>
      </c>
      <c r="B983" s="344" t="s">
        <v>3699</v>
      </c>
      <c r="C983" s="539" t="s">
        <v>7753</v>
      </c>
      <c r="D983" s="539" t="s">
        <v>8118</v>
      </c>
      <c r="E983" s="539" t="s">
        <v>8088</v>
      </c>
      <c r="F983" s="539"/>
      <c r="G983" s="539" t="s">
        <v>8108</v>
      </c>
      <c r="H983" s="539"/>
      <c r="I983" s="552"/>
      <c r="J983" s="552"/>
      <c r="K983" s="552"/>
      <c r="L983" s="552"/>
      <c r="M983" s="552"/>
      <c r="N983" s="552"/>
      <c r="O983" s="552"/>
      <c r="P983" s="552">
        <v>4</v>
      </c>
      <c r="Q983" s="552"/>
      <c r="R983" s="552"/>
      <c r="S983" s="552"/>
      <c r="T983" s="552"/>
      <c r="U983" s="552"/>
      <c r="V983" s="552"/>
      <c r="W983" s="552"/>
      <c r="X983" s="552">
        <v>4</v>
      </c>
      <c r="Y983" s="552">
        <v>4</v>
      </c>
      <c r="Z983" s="552"/>
      <c r="AA983" s="552"/>
      <c r="AB983" s="552"/>
      <c r="AC983" s="552"/>
      <c r="AD983" s="552"/>
      <c r="AE983" s="552"/>
      <c r="AF983" s="552"/>
      <c r="AG983" s="552"/>
      <c r="AH983" s="552"/>
      <c r="AI983" s="552"/>
      <c r="AJ983" s="552"/>
      <c r="AK983" s="552"/>
      <c r="AL983" s="552"/>
      <c r="AM983" s="552"/>
      <c r="AN983" s="552"/>
      <c r="AO983" s="717" t="s">
        <v>8119</v>
      </c>
      <c r="AP983" s="552"/>
      <c r="AQ983" s="552" t="s">
        <v>1186</v>
      </c>
      <c r="AR983" s="552" t="s">
        <v>2809</v>
      </c>
      <c r="AS983" s="552" t="s">
        <v>6881</v>
      </c>
      <c r="AT983" s="552" t="s">
        <v>726</v>
      </c>
    </row>
    <row r="984" spans="1:46" ht="14.7" customHeight="1">
      <c r="A984" s="706"/>
      <c r="B984" s="344" t="s">
        <v>3699</v>
      </c>
      <c r="C984" s="539" t="s">
        <v>7753</v>
      </c>
      <c r="D984" s="709"/>
      <c r="E984" s="552"/>
      <c r="F984" s="552"/>
      <c r="G984" s="552"/>
      <c r="H984" s="552"/>
      <c r="I984" s="552"/>
      <c r="J984" s="552"/>
      <c r="K984" s="552"/>
      <c r="L984" s="552"/>
      <c r="M984" s="552"/>
      <c r="N984" s="552"/>
      <c r="O984" s="552"/>
      <c r="P984" s="552"/>
      <c r="Q984" s="552"/>
      <c r="R984" s="552"/>
      <c r="S984" s="552"/>
      <c r="T984" s="552"/>
      <c r="U984" s="552"/>
      <c r="V984" s="552"/>
      <c r="W984" s="552"/>
      <c r="X984" s="552"/>
      <c r="Y984" s="552"/>
      <c r="Z984" s="552"/>
      <c r="AA984" s="552"/>
      <c r="AB984" s="552"/>
      <c r="AC984" s="552"/>
      <c r="AD984" s="552"/>
      <c r="AE984" s="552"/>
      <c r="AF984" s="552"/>
      <c r="AG984" s="552"/>
      <c r="AH984" s="552"/>
      <c r="AI984" s="552"/>
      <c r="AJ984" s="552"/>
      <c r="AK984" s="552"/>
      <c r="AL984" s="552"/>
      <c r="AM984" s="552"/>
      <c r="AN984" s="552"/>
      <c r="AO984" s="552"/>
      <c r="AP984" s="552"/>
      <c r="AQ984" s="552" t="s">
        <v>1186</v>
      </c>
      <c r="AR984" s="552" t="s">
        <v>2809</v>
      </c>
      <c r="AS984" s="552" t="s">
        <v>6881</v>
      </c>
      <c r="AT984" s="552" t="s">
        <v>726</v>
      </c>
    </row>
    <row r="985" spans="1:46" ht="14.7" customHeight="1">
      <c r="A985" s="706"/>
      <c r="B985" s="344" t="s">
        <v>3699</v>
      </c>
      <c r="C985" s="539" t="s">
        <v>7753</v>
      </c>
      <c r="D985" s="709"/>
      <c r="E985" s="552"/>
      <c r="F985" s="552"/>
      <c r="G985" s="552"/>
      <c r="H985" s="552"/>
      <c r="I985" s="552"/>
      <c r="J985" s="552"/>
      <c r="K985" s="552"/>
      <c r="L985" s="552"/>
      <c r="M985" s="552"/>
      <c r="N985" s="552"/>
      <c r="O985" s="552"/>
      <c r="P985" s="552"/>
      <c r="Q985" s="552"/>
      <c r="R985" s="552"/>
      <c r="S985" s="552"/>
      <c r="T985" s="552"/>
      <c r="U985" s="552"/>
      <c r="V985" s="552"/>
      <c r="W985" s="552"/>
      <c r="X985" s="552"/>
      <c r="Y985" s="552"/>
      <c r="Z985" s="552"/>
      <c r="AA985" s="552"/>
      <c r="AB985" s="552"/>
      <c r="AC985" s="552"/>
      <c r="AD985" s="552"/>
      <c r="AE985" s="552"/>
      <c r="AF985" s="552"/>
      <c r="AG985" s="552"/>
      <c r="AH985" s="552"/>
      <c r="AI985" s="552"/>
      <c r="AJ985" s="552"/>
      <c r="AK985" s="552"/>
      <c r="AL985" s="552"/>
      <c r="AM985" s="552"/>
      <c r="AN985" s="552"/>
      <c r="AO985" s="552"/>
      <c r="AP985" s="552"/>
      <c r="AQ985" s="552" t="s">
        <v>1186</v>
      </c>
      <c r="AR985" s="552" t="s">
        <v>2809</v>
      </c>
      <c r="AS985" s="552" t="s">
        <v>6881</v>
      </c>
      <c r="AT985" s="552" t="s">
        <v>726</v>
      </c>
    </row>
    <row r="986" spans="1:46" ht="14.7" customHeight="1">
      <c r="A986" s="706"/>
      <c r="B986" s="344" t="s">
        <v>3699</v>
      </c>
      <c r="C986" s="539" t="s">
        <v>7753</v>
      </c>
      <c r="D986" s="709"/>
      <c r="E986" s="552"/>
      <c r="F986" s="552"/>
      <c r="G986" s="552"/>
      <c r="H986" s="552"/>
      <c r="I986" s="552"/>
      <c r="J986" s="552"/>
      <c r="K986" s="552"/>
      <c r="L986" s="552"/>
      <c r="M986" s="552"/>
      <c r="N986" s="552"/>
      <c r="O986" s="552"/>
      <c r="P986" s="552"/>
      <c r="Q986" s="552"/>
      <c r="R986" s="552"/>
      <c r="S986" s="552"/>
      <c r="T986" s="552"/>
      <c r="U986" s="552"/>
      <c r="V986" s="552"/>
      <c r="W986" s="552"/>
      <c r="X986" s="552"/>
      <c r="Y986" s="552"/>
      <c r="Z986" s="552"/>
      <c r="AA986" s="552"/>
      <c r="AB986" s="552"/>
      <c r="AC986" s="552"/>
      <c r="AD986" s="552"/>
      <c r="AE986" s="552"/>
      <c r="AF986" s="552"/>
      <c r="AG986" s="552"/>
      <c r="AH986" s="552"/>
      <c r="AI986" s="552"/>
      <c r="AJ986" s="552"/>
      <c r="AK986" s="552"/>
      <c r="AL986" s="552"/>
      <c r="AM986" s="552"/>
      <c r="AN986" s="552"/>
      <c r="AO986" s="552"/>
      <c r="AP986" s="552"/>
      <c r="AQ986" s="552" t="s">
        <v>1186</v>
      </c>
      <c r="AR986" s="552" t="s">
        <v>2809</v>
      </c>
      <c r="AS986" s="552" t="s">
        <v>6881</v>
      </c>
      <c r="AT986" s="552" t="s">
        <v>726</v>
      </c>
    </row>
    <row r="987" spans="1:46" ht="14.7" customHeight="1">
      <c r="A987" s="706" t="s">
        <v>8120</v>
      </c>
      <c r="B987" s="559" t="s">
        <v>3700</v>
      </c>
      <c r="C987" s="539" t="s">
        <v>7753</v>
      </c>
      <c r="D987" s="709" t="s">
        <v>8121</v>
      </c>
      <c r="E987" s="552" t="s">
        <v>8088</v>
      </c>
      <c r="F987" s="552"/>
      <c r="G987" s="552" t="s">
        <v>8108</v>
      </c>
      <c r="H987" s="552"/>
      <c r="I987" s="552"/>
      <c r="J987" s="552"/>
      <c r="K987" s="552"/>
      <c r="L987" s="552"/>
      <c r="M987" s="552"/>
      <c r="N987" s="552"/>
      <c r="O987" s="552"/>
      <c r="P987" s="552"/>
      <c r="Q987" s="552"/>
      <c r="R987" s="552"/>
      <c r="S987" s="552"/>
      <c r="T987" s="552"/>
      <c r="U987" s="552"/>
      <c r="V987" s="552"/>
      <c r="W987" s="552"/>
      <c r="X987" s="552">
        <v>6</v>
      </c>
      <c r="Y987" s="552">
        <v>6</v>
      </c>
      <c r="Z987" s="552"/>
      <c r="AA987" s="552"/>
      <c r="AB987" s="552"/>
      <c r="AC987" s="552"/>
      <c r="AD987" s="552">
        <v>60</v>
      </c>
      <c r="AE987" s="552"/>
      <c r="AF987" s="552"/>
      <c r="AG987" s="552"/>
      <c r="AH987" s="552"/>
      <c r="AI987" s="552"/>
      <c r="AJ987" s="552"/>
      <c r="AK987" s="552"/>
      <c r="AL987" s="552"/>
      <c r="AM987" s="552"/>
      <c r="AN987" s="552"/>
      <c r="AO987" s="552"/>
      <c r="AP987" s="717" t="s">
        <v>8122</v>
      </c>
      <c r="AQ987" s="552" t="s">
        <v>1186</v>
      </c>
      <c r="AR987" s="552" t="s">
        <v>2971</v>
      </c>
      <c r="AS987" s="552" t="s">
        <v>6881</v>
      </c>
      <c r="AT987" s="552" t="s">
        <v>726</v>
      </c>
    </row>
    <row r="988" spans="1:46" ht="14.7" customHeight="1">
      <c r="A988" s="706"/>
      <c r="B988" s="559" t="s">
        <v>3700</v>
      </c>
      <c r="C988" s="539" t="s">
        <v>7753</v>
      </c>
      <c r="D988" s="709"/>
      <c r="E988" s="552"/>
      <c r="F988" s="552"/>
      <c r="G988" s="552"/>
      <c r="H988" s="552"/>
      <c r="I988" s="552"/>
      <c r="J988" s="552"/>
      <c r="K988" s="552"/>
      <c r="L988" s="552"/>
      <c r="M988" s="552"/>
      <c r="N988" s="552"/>
      <c r="O988" s="552"/>
      <c r="P988" s="552"/>
      <c r="Q988" s="552"/>
      <c r="R988" s="552"/>
      <c r="S988" s="552"/>
      <c r="T988" s="552"/>
      <c r="U988" s="552"/>
      <c r="V988" s="552"/>
      <c r="W988" s="552"/>
      <c r="X988" s="552"/>
      <c r="Y988" s="552"/>
      <c r="Z988" s="552"/>
      <c r="AA988" s="552"/>
      <c r="AB988" s="552"/>
      <c r="AC988" s="552"/>
      <c r="AD988" s="552"/>
      <c r="AE988" s="552"/>
      <c r="AF988" s="552"/>
      <c r="AG988" s="552"/>
      <c r="AH988" s="552"/>
      <c r="AI988" s="552"/>
      <c r="AJ988" s="552"/>
      <c r="AK988" s="552"/>
      <c r="AL988" s="552"/>
      <c r="AM988" s="552"/>
      <c r="AN988" s="552"/>
      <c r="AO988" s="552"/>
      <c r="AP988" s="552"/>
      <c r="AQ988" s="552" t="s">
        <v>1186</v>
      </c>
      <c r="AR988" s="552" t="s">
        <v>2971</v>
      </c>
      <c r="AS988" s="552" t="s">
        <v>6881</v>
      </c>
      <c r="AT988" s="552" t="s">
        <v>726</v>
      </c>
    </row>
    <row r="989" spans="1:46" ht="14.7" customHeight="1">
      <c r="A989" s="706"/>
      <c r="B989" s="711" t="s">
        <v>6055</v>
      </c>
      <c r="C989" s="539" t="s">
        <v>7753</v>
      </c>
      <c r="D989" s="709"/>
      <c r="E989" s="552"/>
      <c r="F989" s="552"/>
      <c r="G989" s="552"/>
      <c r="H989" s="552"/>
      <c r="I989" s="552"/>
      <c r="J989" s="552"/>
      <c r="K989" s="552"/>
      <c r="L989" s="552"/>
      <c r="M989" s="552"/>
      <c r="N989" s="552"/>
      <c r="O989" s="552"/>
      <c r="P989" s="552"/>
      <c r="Q989" s="552"/>
      <c r="R989" s="552"/>
      <c r="S989" s="552"/>
      <c r="T989" s="552"/>
      <c r="U989" s="552"/>
      <c r="V989" s="552"/>
      <c r="W989" s="552"/>
      <c r="X989" s="552"/>
      <c r="Y989" s="552"/>
      <c r="Z989" s="552"/>
      <c r="AA989" s="552"/>
      <c r="AB989" s="552"/>
      <c r="AC989" s="552"/>
      <c r="AD989" s="552"/>
      <c r="AE989" s="552"/>
      <c r="AF989" s="552"/>
      <c r="AG989" s="552"/>
      <c r="AH989" s="552"/>
      <c r="AI989" s="552"/>
      <c r="AJ989" s="552"/>
      <c r="AK989" s="552"/>
      <c r="AL989" s="552"/>
      <c r="AM989" s="552"/>
      <c r="AN989" s="552"/>
      <c r="AO989" s="552"/>
      <c r="AP989" s="552"/>
      <c r="AQ989" s="552" t="s">
        <v>1186</v>
      </c>
      <c r="AR989" s="552" t="s">
        <v>6697</v>
      </c>
      <c r="AS989" s="552" t="s">
        <v>6881</v>
      </c>
      <c r="AT989" s="552" t="s">
        <v>726</v>
      </c>
    </row>
    <row r="990" spans="1:46" ht="14.7" customHeight="1">
      <c r="A990" s="706" t="s">
        <v>6509</v>
      </c>
      <c r="B990" s="540" t="s">
        <v>3695</v>
      </c>
      <c r="C990" s="539" t="s">
        <v>7753</v>
      </c>
      <c r="D990" s="709" t="s">
        <v>8123</v>
      </c>
      <c r="E990" s="552" t="s">
        <v>8084</v>
      </c>
      <c r="F990" s="552"/>
      <c r="G990" s="552" t="s">
        <v>8124</v>
      </c>
      <c r="H990" s="552"/>
      <c r="I990" s="552"/>
      <c r="J990" s="552"/>
      <c r="K990" s="552"/>
      <c r="L990" s="552"/>
      <c r="M990" s="552"/>
      <c r="N990" s="552"/>
      <c r="O990" s="552"/>
      <c r="P990" s="552"/>
      <c r="Q990" s="552">
        <v>2</v>
      </c>
      <c r="R990" s="552"/>
      <c r="S990" s="552"/>
      <c r="T990" s="552"/>
      <c r="U990" s="552"/>
      <c r="V990" s="552"/>
      <c r="W990" s="552"/>
      <c r="X990" s="552">
        <v>1</v>
      </c>
      <c r="Y990" s="552"/>
      <c r="Z990" s="552"/>
      <c r="AA990" s="552"/>
      <c r="AB990" s="552"/>
      <c r="AC990" s="552"/>
      <c r="AD990" s="552"/>
      <c r="AE990" s="552"/>
      <c r="AF990" s="552"/>
      <c r="AG990" s="552"/>
      <c r="AH990" s="552"/>
      <c r="AI990" s="552"/>
      <c r="AJ990" s="552"/>
      <c r="AK990" s="552"/>
      <c r="AL990" s="552"/>
      <c r="AM990" s="552"/>
      <c r="AN990" s="552"/>
      <c r="AO990" s="552"/>
      <c r="AP990" s="552"/>
      <c r="AQ990" s="552" t="s">
        <v>7715</v>
      </c>
      <c r="AR990" s="552" t="s">
        <v>2802</v>
      </c>
      <c r="AS990" s="552" t="s">
        <v>6967</v>
      </c>
      <c r="AT990" s="552" t="s">
        <v>726</v>
      </c>
    </row>
    <row r="991" spans="1:46" ht="14.7" customHeight="1">
      <c r="A991" s="706" t="s">
        <v>6510</v>
      </c>
      <c r="B991" s="540" t="s">
        <v>3695</v>
      </c>
      <c r="C991" s="539" t="s">
        <v>7753</v>
      </c>
      <c r="D991" s="709" t="s">
        <v>8125</v>
      </c>
      <c r="E991" s="552" t="s">
        <v>8088</v>
      </c>
      <c r="F991" s="552"/>
      <c r="G991" s="552" t="s">
        <v>8124</v>
      </c>
      <c r="H991" s="552"/>
      <c r="I991" s="552"/>
      <c r="J991" s="552"/>
      <c r="K991" s="552"/>
      <c r="L991" s="552"/>
      <c r="M991" s="552"/>
      <c r="N991" s="552">
        <v>15</v>
      </c>
      <c r="O991" s="552"/>
      <c r="P991" s="552"/>
      <c r="Q991" s="552">
        <v>1</v>
      </c>
      <c r="R991" s="552"/>
      <c r="S991" s="552"/>
      <c r="T991" s="552"/>
      <c r="U991" s="552"/>
      <c r="V991" s="552"/>
      <c r="W991" s="552"/>
      <c r="X991" s="552"/>
      <c r="Y991" s="552"/>
      <c r="Z991" s="552"/>
      <c r="AA991" s="552"/>
      <c r="AB991" s="552"/>
      <c r="AC991" s="552"/>
      <c r="AD991" s="552"/>
      <c r="AE991" s="552"/>
      <c r="AF991" s="552"/>
      <c r="AG991" s="552"/>
      <c r="AH991" s="552"/>
      <c r="AI991" s="552"/>
      <c r="AJ991" s="552"/>
      <c r="AK991" s="552"/>
      <c r="AL991" s="552"/>
      <c r="AM991" s="552"/>
      <c r="AN991" s="552"/>
      <c r="AO991" s="552"/>
      <c r="AP991" s="552"/>
      <c r="AQ991" s="552" t="s">
        <v>7715</v>
      </c>
      <c r="AR991" s="552" t="s">
        <v>2802</v>
      </c>
      <c r="AS991" s="552" t="s">
        <v>6967</v>
      </c>
      <c r="AT991" s="552" t="s">
        <v>726</v>
      </c>
    </row>
    <row r="992" spans="1:46" ht="14.7" customHeight="1">
      <c r="A992" s="706" t="s">
        <v>6511</v>
      </c>
      <c r="B992" s="707" t="s">
        <v>3696</v>
      </c>
      <c r="C992" s="539" t="s">
        <v>7753</v>
      </c>
      <c r="D992" s="709" t="s">
        <v>8126</v>
      </c>
      <c r="E992" s="552" t="s">
        <v>8088</v>
      </c>
      <c r="F992" s="552"/>
      <c r="G992" s="552" t="s">
        <v>8124</v>
      </c>
      <c r="H992" s="552"/>
      <c r="I992" s="552"/>
      <c r="J992" s="552"/>
      <c r="K992" s="552"/>
      <c r="L992" s="552"/>
      <c r="M992" s="552"/>
      <c r="N992" s="552"/>
      <c r="O992" s="552"/>
      <c r="P992" s="552"/>
      <c r="Q992" s="552">
        <v>2</v>
      </c>
      <c r="R992" s="552"/>
      <c r="S992" s="552"/>
      <c r="T992" s="552"/>
      <c r="U992" s="552"/>
      <c r="V992" s="552"/>
      <c r="W992" s="552"/>
      <c r="X992" s="552">
        <v>1</v>
      </c>
      <c r="Y992" s="552"/>
      <c r="Z992" s="552"/>
      <c r="AA992" s="552"/>
      <c r="AB992" s="552"/>
      <c r="AC992" s="552"/>
      <c r="AD992" s="552"/>
      <c r="AE992" s="552">
        <v>10</v>
      </c>
      <c r="AF992" s="552"/>
      <c r="AG992" s="552"/>
      <c r="AH992" s="552"/>
      <c r="AI992" s="552"/>
      <c r="AJ992" s="552"/>
      <c r="AK992" s="552"/>
      <c r="AL992" s="552"/>
      <c r="AM992" s="552"/>
      <c r="AN992" s="552"/>
      <c r="AO992" s="552"/>
      <c r="AP992" s="552"/>
      <c r="AQ992" s="552" t="s">
        <v>7715</v>
      </c>
      <c r="AR992" s="552" t="s">
        <v>2805</v>
      </c>
      <c r="AS992" s="552" t="s">
        <v>6967</v>
      </c>
      <c r="AT992" s="552" t="s">
        <v>726</v>
      </c>
    </row>
    <row r="993" spans="1:46" ht="14.7" customHeight="1">
      <c r="A993" s="706"/>
      <c r="B993" s="707" t="s">
        <v>3696</v>
      </c>
      <c r="C993" s="539" t="s">
        <v>7753</v>
      </c>
      <c r="D993" s="709"/>
      <c r="E993" s="552"/>
      <c r="F993" s="552"/>
      <c r="G993" s="552"/>
      <c r="H993" s="552"/>
      <c r="I993" s="552"/>
      <c r="J993" s="552"/>
      <c r="K993" s="552"/>
      <c r="L993" s="552"/>
      <c r="M993" s="552"/>
      <c r="N993" s="552"/>
      <c r="O993" s="552"/>
      <c r="P993" s="552"/>
      <c r="Q993" s="552"/>
      <c r="R993" s="552"/>
      <c r="S993" s="552"/>
      <c r="T993" s="552"/>
      <c r="U993" s="552"/>
      <c r="V993" s="552"/>
      <c r="W993" s="552"/>
      <c r="X993" s="552"/>
      <c r="Y993" s="552"/>
      <c r="Z993" s="552"/>
      <c r="AA993" s="552"/>
      <c r="AB993" s="552"/>
      <c r="AC993" s="552"/>
      <c r="AD993" s="552"/>
      <c r="AE993" s="552"/>
      <c r="AF993" s="552"/>
      <c r="AG993" s="552"/>
      <c r="AH993" s="552"/>
      <c r="AI993" s="552"/>
      <c r="AJ993" s="552"/>
      <c r="AK993" s="552"/>
      <c r="AL993" s="552"/>
      <c r="AM993" s="552"/>
      <c r="AN993" s="552"/>
      <c r="AO993" s="552"/>
      <c r="AP993" s="552"/>
      <c r="AQ993" s="552" t="s">
        <v>7715</v>
      </c>
      <c r="AR993" s="552" t="s">
        <v>2805</v>
      </c>
      <c r="AS993" s="552" t="s">
        <v>6967</v>
      </c>
      <c r="AT993" s="552" t="s">
        <v>726</v>
      </c>
    </row>
    <row r="994" spans="1:46" ht="14.7" customHeight="1">
      <c r="A994" s="706" t="s">
        <v>6512</v>
      </c>
      <c r="B994" s="556" t="s">
        <v>3697</v>
      </c>
      <c r="C994" s="539" t="s">
        <v>7753</v>
      </c>
      <c r="D994" s="709" t="s">
        <v>8127</v>
      </c>
      <c r="E994" s="552" t="s">
        <v>8084</v>
      </c>
      <c r="F994" s="552"/>
      <c r="G994" s="552" t="s">
        <v>8124</v>
      </c>
      <c r="H994" s="552"/>
      <c r="I994" s="552"/>
      <c r="J994" s="552"/>
      <c r="K994" s="552"/>
      <c r="L994" s="552"/>
      <c r="M994" s="552"/>
      <c r="N994" s="552">
        <v>50</v>
      </c>
      <c r="O994" s="552"/>
      <c r="P994" s="552"/>
      <c r="Q994" s="552"/>
      <c r="R994" s="552"/>
      <c r="S994" s="552"/>
      <c r="T994" s="552"/>
      <c r="U994" s="552"/>
      <c r="V994" s="552"/>
      <c r="W994" s="552"/>
      <c r="X994" s="552"/>
      <c r="Y994" s="552"/>
      <c r="Z994" s="552"/>
      <c r="AA994" s="552"/>
      <c r="AB994" s="552"/>
      <c r="AC994" s="552"/>
      <c r="AD994" s="552"/>
      <c r="AE994" s="552"/>
      <c r="AF994" s="552"/>
      <c r="AG994" s="552"/>
      <c r="AH994" s="552"/>
      <c r="AI994" s="552"/>
      <c r="AJ994" s="552"/>
      <c r="AK994" s="552"/>
      <c r="AL994" s="552"/>
      <c r="AM994" s="552"/>
      <c r="AN994" s="552"/>
      <c r="AO994" s="552"/>
      <c r="AP994" s="552"/>
      <c r="AQ994" s="552" t="s">
        <v>7715</v>
      </c>
      <c r="AR994" s="552" t="s">
        <v>2875</v>
      </c>
      <c r="AS994" s="552" t="s">
        <v>6967</v>
      </c>
      <c r="AT994" s="552" t="s">
        <v>726</v>
      </c>
    </row>
    <row r="995" spans="1:46" ht="14.7" customHeight="1">
      <c r="A995" s="706" t="s">
        <v>6513</v>
      </c>
      <c r="B995" s="556" t="s">
        <v>3697</v>
      </c>
      <c r="C995" s="539" t="s">
        <v>7753</v>
      </c>
      <c r="D995" s="709" t="s">
        <v>8128</v>
      </c>
      <c r="E995" s="552" t="s">
        <v>8084</v>
      </c>
      <c r="F995" s="552"/>
      <c r="G995" s="552" t="s">
        <v>8124</v>
      </c>
      <c r="H995" s="552"/>
      <c r="I995" s="552"/>
      <c r="J995" s="552"/>
      <c r="K995" s="552" t="s">
        <v>8129</v>
      </c>
      <c r="L995" s="552"/>
      <c r="M995" s="552"/>
      <c r="N995" s="552">
        <v>15</v>
      </c>
      <c r="O995" s="552"/>
      <c r="P995" s="552"/>
      <c r="Q995" s="552"/>
      <c r="R995" s="552"/>
      <c r="S995" s="552"/>
      <c r="T995" s="552"/>
      <c r="U995" s="552"/>
      <c r="V995" s="552"/>
      <c r="W995" s="552"/>
      <c r="X995" s="552"/>
      <c r="Y995" s="552"/>
      <c r="Z995" s="552"/>
      <c r="AA995" s="552"/>
      <c r="AB995" s="552"/>
      <c r="AC995" s="552"/>
      <c r="AD995" s="552"/>
      <c r="AE995" s="552"/>
      <c r="AF995" s="552"/>
      <c r="AG995" s="552"/>
      <c r="AH995" s="552"/>
      <c r="AI995" s="552"/>
      <c r="AJ995" s="552"/>
      <c r="AK995" s="552"/>
      <c r="AL995" s="552"/>
      <c r="AM995" s="552"/>
      <c r="AN995" s="552"/>
      <c r="AO995" s="552"/>
      <c r="AP995" s="552"/>
      <c r="AQ995" s="552" t="s">
        <v>7715</v>
      </c>
      <c r="AR995" s="552" t="s">
        <v>2875</v>
      </c>
      <c r="AS995" s="552" t="s">
        <v>6967</v>
      </c>
      <c r="AT995" s="552" t="s">
        <v>726</v>
      </c>
    </row>
    <row r="996" spans="1:46" ht="14.7" customHeight="1">
      <c r="A996" s="706" t="s">
        <v>6514</v>
      </c>
      <c r="B996" s="556" t="s">
        <v>3697</v>
      </c>
      <c r="C996" s="539" t="s">
        <v>7753</v>
      </c>
      <c r="D996" s="709" t="s">
        <v>8130</v>
      </c>
      <c r="E996" s="552" t="s">
        <v>8084</v>
      </c>
      <c r="F996" s="552"/>
      <c r="G996" s="552" t="s">
        <v>8124</v>
      </c>
      <c r="H996" s="552"/>
      <c r="I996" s="552"/>
      <c r="J996" s="552"/>
      <c r="K996" s="552"/>
      <c r="L996" s="552"/>
      <c r="M996" s="552"/>
      <c r="N996" s="552"/>
      <c r="O996" s="552"/>
      <c r="P996" s="552"/>
      <c r="Q996" s="552"/>
      <c r="R996" s="552">
        <v>2</v>
      </c>
      <c r="S996" s="552"/>
      <c r="T996" s="552"/>
      <c r="U996" s="552"/>
      <c r="V996" s="552"/>
      <c r="W996" s="552"/>
      <c r="X996" s="552">
        <v>2</v>
      </c>
      <c r="Y996" s="552"/>
      <c r="Z996" s="552"/>
      <c r="AA996" s="552"/>
      <c r="AB996" s="552"/>
      <c r="AC996" s="552"/>
      <c r="AD996" s="552"/>
      <c r="AE996" s="552">
        <v>40</v>
      </c>
      <c r="AF996" s="552"/>
      <c r="AG996" s="552"/>
      <c r="AH996" s="552"/>
      <c r="AI996" s="552"/>
      <c r="AJ996" s="552"/>
      <c r="AK996" s="552"/>
      <c r="AL996" s="552"/>
      <c r="AM996" s="552"/>
      <c r="AN996" s="552"/>
      <c r="AO996" s="552"/>
      <c r="AP996" s="552"/>
      <c r="AQ996" s="552" t="s">
        <v>7715</v>
      </c>
      <c r="AR996" s="552" t="s">
        <v>2875</v>
      </c>
      <c r="AS996" s="552" t="s">
        <v>6967</v>
      </c>
      <c r="AT996" s="552" t="s">
        <v>726</v>
      </c>
    </row>
    <row r="997" spans="1:46" ht="14.7" customHeight="1">
      <c r="A997" s="706"/>
      <c r="B997" s="557" t="s">
        <v>3698</v>
      </c>
      <c r="C997" s="539" t="s">
        <v>7753</v>
      </c>
      <c r="D997" s="709"/>
      <c r="E997" s="552"/>
      <c r="F997" s="552"/>
      <c r="G997" s="552"/>
      <c r="H997" s="552"/>
      <c r="I997" s="552"/>
      <c r="J997" s="552"/>
      <c r="K997" s="552"/>
      <c r="L997" s="552"/>
      <c r="M997" s="552"/>
      <c r="N997" s="552"/>
      <c r="O997" s="552"/>
      <c r="P997" s="552"/>
      <c r="Q997" s="552"/>
      <c r="R997" s="552"/>
      <c r="S997" s="552"/>
      <c r="T997" s="552"/>
      <c r="U997" s="552"/>
      <c r="V997" s="552"/>
      <c r="W997" s="552"/>
      <c r="X997" s="552"/>
      <c r="Y997" s="552"/>
      <c r="Z997" s="552"/>
      <c r="AA997" s="552"/>
      <c r="AB997" s="552"/>
      <c r="AC997" s="552"/>
      <c r="AD997" s="552"/>
      <c r="AE997" s="552"/>
      <c r="AF997" s="552"/>
      <c r="AG997" s="552"/>
      <c r="AH997" s="552"/>
      <c r="AI997" s="552"/>
      <c r="AJ997" s="552"/>
      <c r="AK997" s="552"/>
      <c r="AL997" s="552"/>
      <c r="AM997" s="552"/>
      <c r="AN997" s="552"/>
      <c r="AO997" s="552"/>
      <c r="AP997" s="552"/>
      <c r="AQ997" s="552" t="s">
        <v>7715</v>
      </c>
      <c r="AR997" s="552" t="s">
        <v>2998</v>
      </c>
      <c r="AS997" s="552" t="s">
        <v>6967</v>
      </c>
      <c r="AT997" s="552" t="s">
        <v>726</v>
      </c>
    </row>
    <row r="998" spans="1:46" ht="14.7" customHeight="1">
      <c r="A998" s="706" t="s">
        <v>6515</v>
      </c>
      <c r="B998" s="557" t="s">
        <v>3698</v>
      </c>
      <c r="C998" s="539" t="s">
        <v>7753</v>
      </c>
      <c r="D998" s="709" t="s">
        <v>8131</v>
      </c>
      <c r="E998" s="552" t="s">
        <v>8084</v>
      </c>
      <c r="F998" s="552"/>
      <c r="G998" s="552" t="s">
        <v>8124</v>
      </c>
      <c r="H998" s="552"/>
      <c r="I998" s="552"/>
      <c r="J998" s="552"/>
      <c r="K998" s="552"/>
      <c r="L998" s="552"/>
      <c r="M998" s="552"/>
      <c r="N998" s="552"/>
      <c r="O998" s="552">
        <v>50</v>
      </c>
      <c r="P998" s="552"/>
      <c r="Q998" s="552"/>
      <c r="R998" s="552">
        <v>3</v>
      </c>
      <c r="S998" s="552"/>
      <c r="T998" s="552"/>
      <c r="U998" s="552"/>
      <c r="V998" s="552"/>
      <c r="W998" s="552"/>
      <c r="X998" s="552"/>
      <c r="Y998" s="552">
        <v>2</v>
      </c>
      <c r="Z998" s="552"/>
      <c r="AA998" s="552"/>
      <c r="AB998" s="552"/>
      <c r="AC998" s="552"/>
      <c r="AD998" s="552"/>
      <c r="AE998" s="552">
        <v>20</v>
      </c>
      <c r="AF998" s="552"/>
      <c r="AG998" s="552"/>
      <c r="AH998" s="552"/>
      <c r="AI998" s="552"/>
      <c r="AJ998" s="552"/>
      <c r="AK998" s="552"/>
      <c r="AL998" s="552"/>
      <c r="AM998" s="552"/>
      <c r="AN998" s="552"/>
      <c r="AO998" s="552"/>
      <c r="AP998" s="552"/>
      <c r="AQ998" s="552" t="s">
        <v>7715</v>
      </c>
      <c r="AR998" s="552" t="s">
        <v>2998</v>
      </c>
      <c r="AS998" s="552" t="s">
        <v>6967</v>
      </c>
      <c r="AT998" s="552" t="s">
        <v>726</v>
      </c>
    </row>
    <row r="999" spans="1:46" ht="14.7" customHeight="1">
      <c r="A999" s="706" t="s">
        <v>6516</v>
      </c>
      <c r="B999" s="557" t="s">
        <v>3698</v>
      </c>
      <c r="C999" s="539" t="s">
        <v>7753</v>
      </c>
      <c r="D999" s="709" t="s">
        <v>8132</v>
      </c>
      <c r="E999" s="552" t="s">
        <v>8084</v>
      </c>
      <c r="F999" s="552"/>
      <c r="G999" s="552" t="s">
        <v>8124</v>
      </c>
      <c r="H999" s="552"/>
      <c r="I999" s="552"/>
      <c r="J999" s="552"/>
      <c r="K999" s="552"/>
      <c r="L999" s="552"/>
      <c r="M999" s="552"/>
      <c r="N999" s="552"/>
      <c r="O999" s="552"/>
      <c r="P999" s="552"/>
      <c r="Q999" s="552"/>
      <c r="R999" s="552"/>
      <c r="S999" s="552"/>
      <c r="T999" s="552"/>
      <c r="U999" s="552"/>
      <c r="V999" s="552"/>
      <c r="W999" s="552"/>
      <c r="X999" s="552"/>
      <c r="Y999" s="552"/>
      <c r="Z999" s="552"/>
      <c r="AA999" s="552"/>
      <c r="AB999" s="552"/>
      <c r="AC999" s="552"/>
      <c r="AD999" s="552"/>
      <c r="AE999" s="552"/>
      <c r="AF999" s="552"/>
      <c r="AG999" s="552"/>
      <c r="AH999" s="552"/>
      <c r="AI999" s="552"/>
      <c r="AJ999" s="552"/>
      <c r="AK999" s="552"/>
      <c r="AL999" s="552"/>
      <c r="AM999" s="552"/>
      <c r="AN999" s="552"/>
      <c r="AO999" s="717" t="s">
        <v>8133</v>
      </c>
      <c r="AP999" s="552"/>
      <c r="AQ999" s="552" t="s">
        <v>7715</v>
      </c>
      <c r="AR999" s="552" t="s">
        <v>2998</v>
      </c>
      <c r="AS999" s="552" t="s">
        <v>6967</v>
      </c>
      <c r="AT999" s="552" t="s">
        <v>726</v>
      </c>
    </row>
    <row r="1000" spans="1:46" ht="14.7" customHeight="1">
      <c r="A1000" s="706"/>
      <c r="B1000" s="557" t="s">
        <v>3698</v>
      </c>
      <c r="C1000" s="539" t="s">
        <v>7753</v>
      </c>
      <c r="D1000" s="709"/>
      <c r="E1000" s="552"/>
      <c r="F1000" s="552"/>
      <c r="G1000" s="552"/>
      <c r="H1000" s="552"/>
      <c r="I1000" s="552"/>
      <c r="J1000" s="552"/>
      <c r="K1000" s="552"/>
      <c r="L1000" s="552"/>
      <c r="M1000" s="552"/>
      <c r="N1000" s="552"/>
      <c r="O1000" s="552"/>
      <c r="P1000" s="552"/>
      <c r="Q1000" s="552"/>
      <c r="R1000" s="552"/>
      <c r="S1000" s="552"/>
      <c r="T1000" s="552"/>
      <c r="U1000" s="552"/>
      <c r="V1000" s="552"/>
      <c r="W1000" s="552"/>
      <c r="X1000" s="552"/>
      <c r="Y1000" s="552"/>
      <c r="Z1000" s="552"/>
      <c r="AA1000" s="552"/>
      <c r="AB1000" s="552"/>
      <c r="AC1000" s="552"/>
      <c r="AD1000" s="552"/>
      <c r="AE1000" s="552"/>
      <c r="AF1000" s="552"/>
      <c r="AG1000" s="552"/>
      <c r="AH1000" s="552"/>
      <c r="AI1000" s="552"/>
      <c r="AJ1000" s="552"/>
      <c r="AK1000" s="552"/>
      <c r="AL1000" s="552"/>
      <c r="AM1000" s="552"/>
      <c r="AN1000" s="552"/>
      <c r="AO1000" s="552"/>
      <c r="AP1000" s="552"/>
      <c r="AQ1000" s="552" t="s">
        <v>7715</v>
      </c>
      <c r="AR1000" s="552" t="s">
        <v>2998</v>
      </c>
      <c r="AS1000" s="552" t="s">
        <v>6967</v>
      </c>
      <c r="AT1000" s="552" t="s">
        <v>726</v>
      </c>
    </row>
    <row r="1001" spans="1:46" ht="14.7" customHeight="1">
      <c r="A1001" s="706"/>
      <c r="B1001" s="344" t="s">
        <v>3699</v>
      </c>
      <c r="C1001" s="539" t="s">
        <v>7753</v>
      </c>
      <c r="D1001" s="709"/>
      <c r="E1001" s="552"/>
      <c r="F1001" s="552"/>
      <c r="G1001" s="552"/>
      <c r="H1001" s="552"/>
      <c r="I1001" s="552"/>
      <c r="J1001" s="552"/>
      <c r="K1001" s="552"/>
      <c r="L1001" s="552"/>
      <c r="M1001" s="552"/>
      <c r="N1001" s="552"/>
      <c r="O1001" s="552"/>
      <c r="P1001" s="552"/>
      <c r="Q1001" s="552"/>
      <c r="R1001" s="552"/>
      <c r="S1001" s="552"/>
      <c r="T1001" s="552"/>
      <c r="U1001" s="552"/>
      <c r="V1001" s="552"/>
      <c r="W1001" s="552"/>
      <c r="X1001" s="552"/>
      <c r="Y1001" s="552"/>
      <c r="Z1001" s="552"/>
      <c r="AA1001" s="552"/>
      <c r="AB1001" s="552"/>
      <c r="AC1001" s="552"/>
      <c r="AD1001" s="552"/>
      <c r="AE1001" s="552"/>
      <c r="AF1001" s="552"/>
      <c r="AG1001" s="552"/>
      <c r="AH1001" s="552"/>
      <c r="AI1001" s="552"/>
      <c r="AJ1001" s="552"/>
      <c r="AK1001" s="552"/>
      <c r="AL1001" s="552"/>
      <c r="AM1001" s="552"/>
      <c r="AN1001" s="552"/>
      <c r="AO1001" s="552"/>
      <c r="AP1001" s="552"/>
      <c r="AQ1001" s="552" t="s">
        <v>7715</v>
      </c>
      <c r="AR1001" s="552" t="s">
        <v>2809</v>
      </c>
      <c r="AS1001" s="552" t="s">
        <v>6967</v>
      </c>
      <c r="AT1001" s="552" t="s">
        <v>726</v>
      </c>
    </row>
    <row r="1002" spans="1:46" ht="14.7" customHeight="1">
      <c r="A1002" s="706" t="s">
        <v>6517</v>
      </c>
      <c r="B1002" s="344" t="s">
        <v>3699</v>
      </c>
      <c r="C1002" s="539" t="s">
        <v>7753</v>
      </c>
      <c r="D1002" s="709" t="s">
        <v>8134</v>
      </c>
      <c r="E1002" s="552" t="s">
        <v>8088</v>
      </c>
      <c r="F1002" s="552"/>
      <c r="G1002" s="552" t="s">
        <v>8124</v>
      </c>
      <c r="H1002" s="552"/>
      <c r="I1002" s="552"/>
      <c r="J1002" s="552"/>
      <c r="K1002" s="552"/>
      <c r="L1002" s="552"/>
      <c r="M1002" s="552"/>
      <c r="N1002" s="552"/>
      <c r="O1002" s="552"/>
      <c r="P1002" s="552"/>
      <c r="Q1002" s="552"/>
      <c r="R1002" s="552"/>
      <c r="S1002" s="552"/>
      <c r="T1002" s="552"/>
      <c r="U1002" s="552"/>
      <c r="V1002" s="552"/>
      <c r="W1002" s="552"/>
      <c r="X1002" s="552">
        <v>2</v>
      </c>
      <c r="Y1002" s="552">
        <v>2</v>
      </c>
      <c r="Z1002" s="552"/>
      <c r="AA1002" s="552"/>
      <c r="AB1002" s="552">
        <v>20</v>
      </c>
      <c r="AC1002" s="552"/>
      <c r="AD1002" s="552"/>
      <c r="AE1002" s="552"/>
      <c r="AF1002" s="552"/>
      <c r="AG1002" s="552"/>
      <c r="AH1002" s="552"/>
      <c r="AI1002" s="552"/>
      <c r="AJ1002" s="552"/>
      <c r="AK1002" s="552"/>
      <c r="AL1002" s="552"/>
      <c r="AM1002" s="552"/>
      <c r="AN1002" s="552"/>
      <c r="AO1002" s="552"/>
      <c r="AP1002" s="717" t="s">
        <v>8135</v>
      </c>
      <c r="AQ1002" s="552" t="s">
        <v>7715</v>
      </c>
      <c r="AR1002" s="552" t="s">
        <v>2809</v>
      </c>
      <c r="AS1002" s="552" t="s">
        <v>6967</v>
      </c>
      <c r="AT1002" s="552" t="s">
        <v>726</v>
      </c>
    </row>
    <row r="1003" spans="1:46" ht="14.7" customHeight="1">
      <c r="A1003" s="706" t="s">
        <v>6518</v>
      </c>
      <c r="B1003" s="344" t="s">
        <v>3699</v>
      </c>
      <c r="C1003" s="539" t="s">
        <v>7753</v>
      </c>
      <c r="D1003" s="709" t="s">
        <v>8136</v>
      </c>
      <c r="E1003" s="552" t="s">
        <v>8088</v>
      </c>
      <c r="F1003" s="552"/>
      <c r="G1003" s="552" t="s">
        <v>8124</v>
      </c>
      <c r="H1003" s="552"/>
      <c r="I1003" s="552"/>
      <c r="J1003" s="552"/>
      <c r="K1003" s="552"/>
      <c r="L1003" s="552"/>
      <c r="M1003" s="552"/>
      <c r="N1003" s="552"/>
      <c r="O1003" s="552"/>
      <c r="P1003" s="552"/>
      <c r="Q1003" s="552"/>
      <c r="R1003" s="552"/>
      <c r="S1003" s="552"/>
      <c r="T1003" s="552"/>
      <c r="U1003" s="552"/>
      <c r="V1003" s="552"/>
      <c r="W1003" s="552"/>
      <c r="X1003" s="552"/>
      <c r="Y1003" s="552">
        <v>3</v>
      </c>
      <c r="Z1003" s="552"/>
      <c r="AA1003" s="552"/>
      <c r="AB1003" s="552"/>
      <c r="AC1003" s="552"/>
      <c r="AD1003" s="552"/>
      <c r="AE1003" s="552"/>
      <c r="AF1003" s="552"/>
      <c r="AG1003" s="552">
        <v>20</v>
      </c>
      <c r="AH1003" s="552"/>
      <c r="AI1003" s="552"/>
      <c r="AJ1003" s="552"/>
      <c r="AK1003" s="552"/>
      <c r="AL1003" s="552"/>
      <c r="AM1003" s="552"/>
      <c r="AN1003" s="552"/>
      <c r="AO1003" s="717" t="s">
        <v>8137</v>
      </c>
      <c r="AP1003" s="552"/>
      <c r="AQ1003" s="552" t="s">
        <v>7715</v>
      </c>
      <c r="AR1003" s="552" t="s">
        <v>2809</v>
      </c>
      <c r="AS1003" s="552" t="s">
        <v>6967</v>
      </c>
      <c r="AT1003" s="552" t="s">
        <v>726</v>
      </c>
    </row>
    <row r="1004" spans="1:46" ht="14.7" customHeight="1">
      <c r="A1004" s="706" t="s">
        <v>6519</v>
      </c>
      <c r="B1004" s="344" t="s">
        <v>3699</v>
      </c>
      <c r="C1004" s="539" t="s">
        <v>7753</v>
      </c>
      <c r="D1004" s="709" t="s">
        <v>8138</v>
      </c>
      <c r="E1004" s="552" t="s">
        <v>8088</v>
      </c>
      <c r="F1004" s="552"/>
      <c r="G1004" s="552" t="s">
        <v>8124</v>
      </c>
      <c r="H1004" s="552"/>
      <c r="I1004" s="552"/>
      <c r="J1004" s="552"/>
      <c r="K1004" s="552"/>
      <c r="L1004" s="552"/>
      <c r="M1004" s="552"/>
      <c r="N1004" s="552"/>
      <c r="O1004" s="552"/>
      <c r="P1004" s="552"/>
      <c r="Q1004" s="552"/>
      <c r="R1004" s="552"/>
      <c r="S1004" s="552"/>
      <c r="T1004" s="552"/>
      <c r="U1004" s="552"/>
      <c r="V1004" s="552"/>
      <c r="W1004" s="552"/>
      <c r="X1004" s="552">
        <v>3</v>
      </c>
      <c r="Y1004" s="552">
        <v>3</v>
      </c>
      <c r="Z1004" s="552"/>
      <c r="AA1004" s="552"/>
      <c r="AB1004" s="552"/>
      <c r="AC1004" s="552"/>
      <c r="AD1004" s="552"/>
      <c r="AE1004" s="552"/>
      <c r="AF1004" s="552"/>
      <c r="AG1004" s="552"/>
      <c r="AH1004" s="552"/>
      <c r="AI1004" s="552"/>
      <c r="AJ1004" s="552"/>
      <c r="AK1004" s="552"/>
      <c r="AL1004" s="552"/>
      <c r="AM1004" s="552"/>
      <c r="AN1004" s="552"/>
      <c r="AO1004" s="717" t="s">
        <v>8139</v>
      </c>
      <c r="AP1004" s="552"/>
      <c r="AQ1004" s="552" t="s">
        <v>7715</v>
      </c>
      <c r="AR1004" s="552" t="s">
        <v>2809</v>
      </c>
      <c r="AS1004" s="552" t="s">
        <v>6967</v>
      </c>
      <c r="AT1004" s="552" t="s">
        <v>726</v>
      </c>
    </row>
    <row r="1005" spans="1:46" ht="14.7" customHeight="1">
      <c r="A1005" s="706" t="s">
        <v>6520</v>
      </c>
      <c r="B1005" s="344" t="s">
        <v>3699</v>
      </c>
      <c r="C1005" s="539" t="s">
        <v>7753</v>
      </c>
      <c r="D1005" s="709" t="s">
        <v>8140</v>
      </c>
      <c r="E1005" s="552" t="s">
        <v>8088</v>
      </c>
      <c r="F1005" s="552"/>
      <c r="G1005" s="552" t="s">
        <v>8124</v>
      </c>
      <c r="H1005" s="552"/>
      <c r="I1005" s="552"/>
      <c r="J1005" s="552"/>
      <c r="K1005" s="552"/>
      <c r="L1005" s="552"/>
      <c r="M1005" s="552"/>
      <c r="N1005" s="552"/>
      <c r="O1005" s="552">
        <v>50</v>
      </c>
      <c r="P1005" s="552"/>
      <c r="Q1005" s="552"/>
      <c r="R1005" s="552">
        <v>5</v>
      </c>
      <c r="S1005" s="552"/>
      <c r="T1005" s="552"/>
      <c r="U1005" s="552">
        <v>1</v>
      </c>
      <c r="V1005" s="552"/>
      <c r="W1005" s="552"/>
      <c r="X1005" s="552"/>
      <c r="Y1005" s="552">
        <v>2</v>
      </c>
      <c r="Z1005" s="552"/>
      <c r="AA1005" s="552"/>
      <c r="AB1005" s="552"/>
      <c r="AC1005" s="552"/>
      <c r="AD1005" s="552"/>
      <c r="AE1005" s="552"/>
      <c r="AF1005" s="552"/>
      <c r="AG1005" s="552"/>
      <c r="AH1005" s="552"/>
      <c r="AI1005" s="552"/>
      <c r="AJ1005" s="552"/>
      <c r="AK1005" s="552"/>
      <c r="AL1005" s="552"/>
      <c r="AM1005" s="552"/>
      <c r="AN1005" s="552"/>
      <c r="AO1005" s="552"/>
      <c r="AP1005" s="717" t="s">
        <v>8141</v>
      </c>
      <c r="AQ1005" s="552" t="s">
        <v>7715</v>
      </c>
      <c r="AR1005" s="552" t="s">
        <v>2809</v>
      </c>
      <c r="AS1005" s="552" t="s">
        <v>6967</v>
      </c>
      <c r="AT1005" s="552" t="s">
        <v>726</v>
      </c>
    </row>
    <row r="1006" spans="1:46" ht="14.7" customHeight="1">
      <c r="A1006" s="706"/>
      <c r="B1006" s="559" t="s">
        <v>3700</v>
      </c>
      <c r="C1006" s="539" t="s">
        <v>7753</v>
      </c>
      <c r="D1006" s="709"/>
      <c r="E1006" s="552"/>
      <c r="F1006" s="552"/>
      <c r="G1006" s="552"/>
      <c r="H1006" s="552"/>
      <c r="I1006" s="552"/>
      <c r="J1006" s="552"/>
      <c r="K1006" s="552"/>
      <c r="L1006" s="552"/>
      <c r="M1006" s="552"/>
      <c r="N1006" s="552"/>
      <c r="O1006" s="552"/>
      <c r="P1006" s="552"/>
      <c r="Q1006" s="552"/>
      <c r="R1006" s="552"/>
      <c r="S1006" s="552"/>
      <c r="T1006" s="552"/>
      <c r="U1006" s="552"/>
      <c r="V1006" s="552"/>
      <c r="W1006" s="552"/>
      <c r="X1006" s="552"/>
      <c r="Y1006" s="552"/>
      <c r="Z1006" s="552"/>
      <c r="AA1006" s="552"/>
      <c r="AB1006" s="552"/>
      <c r="AC1006" s="552"/>
      <c r="AD1006" s="552"/>
      <c r="AE1006" s="552"/>
      <c r="AF1006" s="552"/>
      <c r="AG1006" s="552"/>
      <c r="AH1006" s="552"/>
      <c r="AI1006" s="552"/>
      <c r="AJ1006" s="552"/>
      <c r="AK1006" s="552"/>
      <c r="AL1006" s="552"/>
      <c r="AM1006" s="552"/>
      <c r="AN1006" s="552"/>
      <c r="AO1006" s="552"/>
      <c r="AP1006" s="552"/>
      <c r="AQ1006" s="552" t="s">
        <v>7715</v>
      </c>
      <c r="AR1006" s="552" t="s">
        <v>2971</v>
      </c>
      <c r="AS1006" s="552" t="s">
        <v>6967</v>
      </c>
      <c r="AT1006" s="552" t="s">
        <v>726</v>
      </c>
    </row>
    <row r="1007" spans="1:46" ht="14.7" customHeight="1">
      <c r="A1007" s="706" t="s">
        <v>8142</v>
      </c>
      <c r="B1007" s="559" t="s">
        <v>3700</v>
      </c>
      <c r="C1007" s="539" t="s">
        <v>7753</v>
      </c>
      <c r="D1007" s="709" t="s">
        <v>8143</v>
      </c>
      <c r="E1007" s="552" t="s">
        <v>8084</v>
      </c>
      <c r="F1007" s="552"/>
      <c r="G1007" s="552" t="s">
        <v>8124</v>
      </c>
      <c r="H1007" s="552"/>
      <c r="I1007" s="552"/>
      <c r="J1007" s="552"/>
      <c r="K1007" s="552"/>
      <c r="L1007" s="552"/>
      <c r="M1007" s="552"/>
      <c r="N1007" s="552"/>
      <c r="O1007" s="552"/>
      <c r="P1007" s="552"/>
      <c r="Q1007" s="552">
        <v>10</v>
      </c>
      <c r="R1007" s="552"/>
      <c r="S1007" s="552"/>
      <c r="T1007" s="552"/>
      <c r="U1007" s="552"/>
      <c r="V1007" s="552"/>
      <c r="W1007" s="552"/>
      <c r="X1007" s="552"/>
      <c r="Y1007" s="552"/>
      <c r="Z1007" s="552"/>
      <c r="AA1007" s="552"/>
      <c r="AB1007" s="552"/>
      <c r="AC1007" s="552"/>
      <c r="AD1007" s="552"/>
      <c r="AE1007" s="552"/>
      <c r="AF1007" s="552"/>
      <c r="AG1007" s="552"/>
      <c r="AH1007" s="552"/>
      <c r="AI1007" s="552"/>
      <c r="AJ1007" s="552"/>
      <c r="AK1007" s="552"/>
      <c r="AL1007" s="552"/>
      <c r="AM1007" s="552"/>
      <c r="AN1007" s="552"/>
      <c r="AO1007" s="717" t="s">
        <v>8144</v>
      </c>
      <c r="AP1007" s="717" t="s">
        <v>8145</v>
      </c>
      <c r="AQ1007" s="552" t="s">
        <v>7715</v>
      </c>
      <c r="AR1007" s="552" t="s">
        <v>2971</v>
      </c>
      <c r="AS1007" s="552" t="s">
        <v>6967</v>
      </c>
      <c r="AT1007" s="552" t="s">
        <v>726</v>
      </c>
    </row>
    <row r="1008" spans="1:46" ht="14.7" customHeight="1">
      <c r="A1008" s="706" t="s">
        <v>6521</v>
      </c>
      <c r="B1008" s="711" t="s">
        <v>6055</v>
      </c>
      <c r="C1008" s="539" t="s">
        <v>7753</v>
      </c>
      <c r="D1008" s="539" t="s">
        <v>8146</v>
      </c>
      <c r="E1008" s="539" t="s">
        <v>8088</v>
      </c>
      <c r="F1008" s="539"/>
      <c r="G1008" s="539" t="s">
        <v>8124</v>
      </c>
      <c r="H1008" s="539"/>
      <c r="I1008" s="539"/>
      <c r="J1008" s="539"/>
      <c r="K1008" s="539"/>
      <c r="L1008" s="539"/>
      <c r="M1008" s="539"/>
      <c r="N1008" s="539"/>
      <c r="O1008" s="539"/>
      <c r="P1008" s="539"/>
      <c r="Q1008" s="539"/>
      <c r="R1008" s="539"/>
      <c r="S1008" s="539"/>
      <c r="T1008" s="552"/>
      <c r="U1008" s="552"/>
      <c r="V1008" s="552"/>
      <c r="W1008" s="552"/>
      <c r="X1008" s="552">
        <v>10</v>
      </c>
      <c r="Y1008" s="552"/>
      <c r="Z1008" s="552"/>
      <c r="AA1008" s="552"/>
      <c r="AB1008" s="552"/>
      <c r="AC1008" s="552"/>
      <c r="AD1008" s="552"/>
      <c r="AE1008" s="552">
        <v>80</v>
      </c>
      <c r="AF1008" s="552"/>
      <c r="AG1008" s="552"/>
      <c r="AH1008" s="552"/>
      <c r="AI1008" s="552"/>
      <c r="AJ1008" s="552"/>
      <c r="AK1008" s="552"/>
      <c r="AL1008" s="552"/>
      <c r="AM1008" s="552"/>
      <c r="AN1008" s="552"/>
      <c r="AO1008" s="552"/>
      <c r="AP1008" s="717" t="s">
        <v>8147</v>
      </c>
      <c r="AQ1008" s="552" t="s">
        <v>7715</v>
      </c>
      <c r="AR1008" s="552" t="s">
        <v>6697</v>
      </c>
      <c r="AS1008" s="552" t="s">
        <v>6967</v>
      </c>
      <c r="AT1008" s="552" t="s">
        <v>726</v>
      </c>
    </row>
    <row r="1009" spans="1:46" ht="14.7" customHeight="1">
      <c r="A1009" s="706" t="s">
        <v>6522</v>
      </c>
      <c r="B1009" s="540" t="s">
        <v>3695</v>
      </c>
      <c r="C1009" s="539" t="s">
        <v>7753</v>
      </c>
      <c r="D1009" s="709" t="s">
        <v>8148</v>
      </c>
      <c r="E1009" s="552" t="s">
        <v>8088</v>
      </c>
      <c r="F1009" s="552"/>
      <c r="G1009" s="552" t="s">
        <v>8149</v>
      </c>
      <c r="H1009" s="552"/>
      <c r="I1009" s="552"/>
      <c r="J1009" s="552"/>
      <c r="K1009" s="552"/>
      <c r="L1009" s="552"/>
      <c r="M1009" s="552"/>
      <c r="N1009" s="552">
        <v>25</v>
      </c>
      <c r="O1009" s="552"/>
      <c r="P1009" s="552"/>
      <c r="Q1009" s="552"/>
      <c r="R1009" s="552"/>
      <c r="S1009" s="552"/>
      <c r="T1009" s="552"/>
      <c r="U1009" s="552"/>
      <c r="V1009" s="552"/>
      <c r="W1009" s="552"/>
      <c r="X1009" s="552"/>
      <c r="Y1009" s="552"/>
      <c r="Z1009" s="552"/>
      <c r="AA1009" s="552"/>
      <c r="AB1009" s="552"/>
      <c r="AC1009" s="552"/>
      <c r="AD1009" s="552"/>
      <c r="AE1009" s="552"/>
      <c r="AF1009" s="552"/>
      <c r="AG1009" s="552"/>
      <c r="AH1009" s="552"/>
      <c r="AI1009" s="552"/>
      <c r="AJ1009" s="552"/>
      <c r="AK1009" s="552"/>
      <c r="AL1009" s="552"/>
      <c r="AM1009" s="552"/>
      <c r="AN1009" s="552"/>
      <c r="AO1009" s="552"/>
      <c r="AP1009" s="552"/>
      <c r="AQ1009" s="552" t="s">
        <v>7715</v>
      </c>
      <c r="AR1009" s="552" t="s">
        <v>2802</v>
      </c>
      <c r="AS1009" s="552" t="s">
        <v>7484</v>
      </c>
      <c r="AT1009" s="552" t="s">
        <v>726</v>
      </c>
    </row>
    <row r="1010" spans="1:46" ht="14.7" customHeight="1">
      <c r="A1010" s="706" t="s">
        <v>6523</v>
      </c>
      <c r="B1010" s="540" t="s">
        <v>3695</v>
      </c>
      <c r="C1010" s="539" t="s">
        <v>7753</v>
      </c>
      <c r="D1010" s="709" t="s">
        <v>8150</v>
      </c>
      <c r="E1010" s="552" t="s">
        <v>8088</v>
      </c>
      <c r="F1010" s="552"/>
      <c r="G1010" s="552" t="s">
        <v>8149</v>
      </c>
      <c r="H1010" s="552"/>
      <c r="I1010" s="552"/>
      <c r="J1010" s="552"/>
      <c r="K1010" s="552"/>
      <c r="L1010" s="552"/>
      <c r="M1010" s="552"/>
      <c r="N1010" s="552">
        <v>10</v>
      </c>
      <c r="O1010" s="552"/>
      <c r="P1010" s="552"/>
      <c r="Q1010" s="552"/>
      <c r="R1010" s="552">
        <v>2</v>
      </c>
      <c r="S1010" s="552"/>
      <c r="T1010" s="552"/>
      <c r="U1010" s="552"/>
      <c r="V1010" s="552"/>
      <c r="W1010" s="552"/>
      <c r="X1010" s="552"/>
      <c r="Y1010" s="552"/>
      <c r="Z1010" s="552"/>
      <c r="AA1010" s="552"/>
      <c r="AB1010" s="552"/>
      <c r="AC1010" s="552"/>
      <c r="AD1010" s="552"/>
      <c r="AE1010" s="552"/>
      <c r="AF1010" s="552"/>
      <c r="AG1010" s="552"/>
      <c r="AH1010" s="552"/>
      <c r="AI1010" s="552"/>
      <c r="AJ1010" s="552"/>
      <c r="AK1010" s="552"/>
      <c r="AL1010" s="552"/>
      <c r="AM1010" s="552"/>
      <c r="AN1010" s="552"/>
      <c r="AO1010" s="552"/>
      <c r="AP1010" s="552"/>
      <c r="AQ1010" s="552" t="s">
        <v>7715</v>
      </c>
      <c r="AR1010" s="552" t="s">
        <v>2802</v>
      </c>
      <c r="AS1010" s="552" t="s">
        <v>7484</v>
      </c>
      <c r="AT1010" s="552" t="s">
        <v>726</v>
      </c>
    </row>
    <row r="1011" spans="1:46" ht="14.7" customHeight="1">
      <c r="A1011" s="706" t="s">
        <v>9100</v>
      </c>
      <c r="B1011" s="707" t="s">
        <v>3696</v>
      </c>
      <c r="C1011" s="539" t="s">
        <v>7753</v>
      </c>
      <c r="D1011" s="709" t="s">
        <v>8151</v>
      </c>
      <c r="E1011" s="552" t="s">
        <v>8088</v>
      </c>
      <c r="F1011" s="552"/>
      <c r="G1011" s="552" t="s">
        <v>8149</v>
      </c>
      <c r="H1011" s="552"/>
      <c r="I1011" s="552"/>
      <c r="J1011" s="552"/>
      <c r="K1011" s="552"/>
      <c r="L1011" s="552"/>
      <c r="M1011" s="552"/>
      <c r="N1011" s="552"/>
      <c r="O1011" s="552"/>
      <c r="P1011" s="552"/>
      <c r="Q1011" s="552"/>
      <c r="R1011" s="552"/>
      <c r="S1011" s="552"/>
      <c r="T1011" s="552"/>
      <c r="U1011" s="552"/>
      <c r="V1011" s="552"/>
      <c r="W1011" s="552"/>
      <c r="X1011" s="552"/>
      <c r="Y1011" s="552"/>
      <c r="Z1011" s="552"/>
      <c r="AA1011" s="552"/>
      <c r="AB1011" s="552"/>
      <c r="AC1011" s="552"/>
      <c r="AD1011" s="552"/>
      <c r="AE1011" s="552"/>
      <c r="AF1011" s="552"/>
      <c r="AG1011" s="552"/>
      <c r="AH1011" s="552"/>
      <c r="AI1011" s="552"/>
      <c r="AJ1011" s="552"/>
      <c r="AK1011" s="552"/>
      <c r="AL1011" s="552">
        <v>10</v>
      </c>
      <c r="AM1011" s="552"/>
      <c r="AN1011" s="552"/>
      <c r="AO1011" s="552"/>
      <c r="AP1011" s="552"/>
      <c r="AQ1011" s="552" t="s">
        <v>7715</v>
      </c>
      <c r="AR1011" s="552" t="s">
        <v>2805</v>
      </c>
      <c r="AS1011" s="552" t="s">
        <v>7484</v>
      </c>
      <c r="AT1011" s="552" t="s">
        <v>726</v>
      </c>
    </row>
    <row r="1012" spans="1:46" ht="14.7" customHeight="1">
      <c r="A1012" s="706"/>
      <c r="B1012" s="707" t="s">
        <v>3696</v>
      </c>
      <c r="C1012" s="539" t="s">
        <v>7753</v>
      </c>
      <c r="D1012" s="709"/>
      <c r="E1012" s="552"/>
      <c r="F1012" s="552"/>
      <c r="G1012" s="552"/>
      <c r="H1012" s="552"/>
      <c r="I1012" s="552"/>
      <c r="J1012" s="552"/>
      <c r="K1012" s="552"/>
      <c r="L1012" s="552"/>
      <c r="M1012" s="552"/>
      <c r="N1012" s="552"/>
      <c r="O1012" s="552"/>
      <c r="P1012" s="552"/>
      <c r="Q1012" s="552"/>
      <c r="R1012" s="552"/>
      <c r="S1012" s="552"/>
      <c r="T1012" s="552"/>
      <c r="U1012" s="552"/>
      <c r="V1012" s="552"/>
      <c r="W1012" s="552"/>
      <c r="X1012" s="552"/>
      <c r="Y1012" s="552"/>
      <c r="Z1012" s="552"/>
      <c r="AA1012" s="552"/>
      <c r="AB1012" s="552"/>
      <c r="AC1012" s="552"/>
      <c r="AD1012" s="552"/>
      <c r="AE1012" s="552"/>
      <c r="AF1012" s="552"/>
      <c r="AG1012" s="552"/>
      <c r="AH1012" s="552"/>
      <c r="AI1012" s="552"/>
      <c r="AJ1012" s="552"/>
      <c r="AK1012" s="552"/>
      <c r="AL1012" s="552"/>
      <c r="AM1012" s="552"/>
      <c r="AN1012" s="552"/>
      <c r="AO1012" s="552"/>
      <c r="AP1012" s="552"/>
      <c r="AQ1012" s="552" t="s">
        <v>7715</v>
      </c>
      <c r="AR1012" s="552" t="s">
        <v>2805</v>
      </c>
      <c r="AS1012" s="552" t="s">
        <v>7484</v>
      </c>
      <c r="AT1012" s="552" t="s">
        <v>726</v>
      </c>
    </row>
    <row r="1013" spans="1:46" ht="14.7" customHeight="1">
      <c r="A1013" s="706" t="s">
        <v>6524</v>
      </c>
      <c r="B1013" s="556" t="s">
        <v>3697</v>
      </c>
      <c r="C1013" s="539" t="s">
        <v>7753</v>
      </c>
      <c r="D1013" s="709" t="s">
        <v>8152</v>
      </c>
      <c r="E1013" s="552" t="s">
        <v>8088</v>
      </c>
      <c r="F1013" s="552"/>
      <c r="G1013" s="552" t="s">
        <v>8149</v>
      </c>
      <c r="H1013" s="552"/>
      <c r="I1013" s="552"/>
      <c r="J1013" s="552"/>
      <c r="K1013" s="552"/>
      <c r="L1013" s="552"/>
      <c r="M1013" s="552"/>
      <c r="N1013" s="552"/>
      <c r="O1013" s="552"/>
      <c r="P1013" s="552"/>
      <c r="Q1013" s="552">
        <v>1</v>
      </c>
      <c r="R1013" s="552">
        <v>1</v>
      </c>
      <c r="S1013" s="552"/>
      <c r="T1013" s="552"/>
      <c r="U1013" s="552"/>
      <c r="V1013" s="552"/>
      <c r="W1013" s="552"/>
      <c r="X1013" s="552">
        <v>1</v>
      </c>
      <c r="Y1013" s="552">
        <v>1</v>
      </c>
      <c r="Z1013" s="552"/>
      <c r="AA1013" s="552"/>
      <c r="AB1013" s="552"/>
      <c r="AC1013" s="552"/>
      <c r="AD1013" s="552"/>
      <c r="AE1013" s="552"/>
      <c r="AF1013" s="552">
        <v>20</v>
      </c>
      <c r="AG1013" s="552"/>
      <c r="AH1013" s="552"/>
      <c r="AI1013" s="552">
        <v>20</v>
      </c>
      <c r="AJ1013" s="552"/>
      <c r="AK1013" s="552"/>
      <c r="AL1013" s="552"/>
      <c r="AM1013" s="552"/>
      <c r="AN1013" s="552"/>
      <c r="AO1013" s="552"/>
      <c r="AP1013" s="552"/>
      <c r="AQ1013" s="552" t="s">
        <v>7715</v>
      </c>
      <c r="AR1013" s="552" t="s">
        <v>2875</v>
      </c>
      <c r="AS1013" s="552" t="s">
        <v>7484</v>
      </c>
      <c r="AT1013" s="552" t="s">
        <v>726</v>
      </c>
    </row>
    <row r="1014" spans="1:46" ht="14.7" customHeight="1">
      <c r="A1014" s="706"/>
      <c r="B1014" s="556" t="s">
        <v>3697</v>
      </c>
      <c r="C1014" s="539" t="s">
        <v>7753</v>
      </c>
      <c r="D1014" s="709"/>
      <c r="E1014" s="552"/>
      <c r="F1014" s="552"/>
      <c r="G1014" s="552"/>
      <c r="H1014" s="552"/>
      <c r="I1014" s="552"/>
      <c r="J1014" s="552"/>
      <c r="K1014" s="552"/>
      <c r="L1014" s="552"/>
      <c r="M1014" s="552"/>
      <c r="N1014" s="552"/>
      <c r="O1014" s="552"/>
      <c r="P1014" s="552"/>
      <c r="Q1014" s="552"/>
      <c r="R1014" s="552"/>
      <c r="S1014" s="552"/>
      <c r="T1014" s="552"/>
      <c r="U1014" s="552"/>
      <c r="V1014" s="552"/>
      <c r="W1014" s="552"/>
      <c r="X1014" s="552"/>
      <c r="Y1014" s="552"/>
      <c r="Z1014" s="552"/>
      <c r="AA1014" s="552"/>
      <c r="AB1014" s="552"/>
      <c r="AC1014" s="552"/>
      <c r="AD1014" s="552"/>
      <c r="AE1014" s="552"/>
      <c r="AF1014" s="552"/>
      <c r="AG1014" s="552"/>
      <c r="AH1014" s="552"/>
      <c r="AI1014" s="552"/>
      <c r="AJ1014" s="552"/>
      <c r="AK1014" s="552"/>
      <c r="AL1014" s="552"/>
      <c r="AM1014" s="552"/>
      <c r="AN1014" s="552"/>
      <c r="AO1014" s="552"/>
      <c r="AP1014" s="552"/>
      <c r="AQ1014" s="552" t="s">
        <v>7715</v>
      </c>
      <c r="AR1014" s="552" t="s">
        <v>2875</v>
      </c>
      <c r="AS1014" s="552" t="s">
        <v>7484</v>
      </c>
      <c r="AT1014" s="552" t="s">
        <v>726</v>
      </c>
    </row>
    <row r="1015" spans="1:46" ht="14.7" customHeight="1">
      <c r="A1015" s="706"/>
      <c r="B1015" s="556" t="s">
        <v>3697</v>
      </c>
      <c r="C1015" s="539" t="s">
        <v>7753</v>
      </c>
      <c r="D1015" s="709"/>
      <c r="E1015" s="552"/>
      <c r="F1015" s="552"/>
      <c r="G1015" s="552"/>
      <c r="H1015" s="552"/>
      <c r="I1015" s="552"/>
      <c r="J1015" s="552"/>
      <c r="K1015" s="552"/>
      <c r="L1015" s="552"/>
      <c r="M1015" s="552"/>
      <c r="N1015" s="552"/>
      <c r="O1015" s="552"/>
      <c r="P1015" s="552"/>
      <c r="Q1015" s="552"/>
      <c r="R1015" s="552"/>
      <c r="S1015" s="552"/>
      <c r="T1015" s="552"/>
      <c r="U1015" s="552"/>
      <c r="V1015" s="552"/>
      <c r="W1015" s="552"/>
      <c r="X1015" s="552"/>
      <c r="Y1015" s="552"/>
      <c r="Z1015" s="552"/>
      <c r="AA1015" s="552"/>
      <c r="AB1015" s="552"/>
      <c r="AC1015" s="552"/>
      <c r="AD1015" s="552"/>
      <c r="AE1015" s="552"/>
      <c r="AF1015" s="552"/>
      <c r="AG1015" s="552"/>
      <c r="AH1015" s="552"/>
      <c r="AI1015" s="552"/>
      <c r="AJ1015" s="552"/>
      <c r="AK1015" s="552"/>
      <c r="AL1015" s="552"/>
      <c r="AM1015" s="552"/>
      <c r="AN1015" s="552"/>
      <c r="AO1015" s="552"/>
      <c r="AP1015" s="552"/>
      <c r="AQ1015" s="552" t="s">
        <v>7715</v>
      </c>
      <c r="AR1015" s="552" t="s">
        <v>2875</v>
      </c>
      <c r="AS1015" s="552" t="s">
        <v>7484</v>
      </c>
      <c r="AT1015" s="552" t="s">
        <v>726</v>
      </c>
    </row>
    <row r="1016" spans="1:46" ht="14.7" customHeight="1">
      <c r="A1016" s="706" t="s">
        <v>6525</v>
      </c>
      <c r="B1016" s="557" t="s">
        <v>3698</v>
      </c>
      <c r="C1016" s="539" t="s">
        <v>7753</v>
      </c>
      <c r="D1016" s="709" t="s">
        <v>8058</v>
      </c>
      <c r="E1016" s="552" t="s">
        <v>8153</v>
      </c>
      <c r="F1016" s="552"/>
      <c r="G1016" s="552" t="s">
        <v>8149</v>
      </c>
      <c r="H1016" s="552"/>
      <c r="I1016" s="552"/>
      <c r="J1016" s="552"/>
      <c r="K1016" s="552"/>
      <c r="L1016" s="552"/>
      <c r="M1016" s="552"/>
      <c r="N1016" s="552"/>
      <c r="O1016" s="552"/>
      <c r="P1016" s="552"/>
      <c r="Q1016" s="552">
        <v>3</v>
      </c>
      <c r="R1016" s="552">
        <v>3</v>
      </c>
      <c r="S1016" s="552"/>
      <c r="T1016" s="552"/>
      <c r="U1016" s="552"/>
      <c r="V1016" s="552"/>
      <c r="W1016" s="552"/>
      <c r="X1016" s="552">
        <v>1</v>
      </c>
      <c r="Y1016" s="552"/>
      <c r="Z1016" s="552"/>
      <c r="AA1016" s="552"/>
      <c r="AB1016" s="552"/>
      <c r="AC1016" s="552">
        <v>30</v>
      </c>
      <c r="AD1016" s="552"/>
      <c r="AE1016" s="552"/>
      <c r="AF1016" s="552"/>
      <c r="AG1016" s="552"/>
      <c r="AH1016" s="552"/>
      <c r="AI1016" s="552"/>
      <c r="AJ1016" s="552"/>
      <c r="AK1016" s="552"/>
      <c r="AL1016" s="552"/>
      <c r="AM1016" s="552"/>
      <c r="AN1016" s="552"/>
      <c r="AO1016" s="552"/>
      <c r="AP1016" s="717" t="s">
        <v>8061</v>
      </c>
      <c r="AQ1016" s="552" t="s">
        <v>7715</v>
      </c>
      <c r="AR1016" s="552" t="s">
        <v>2998</v>
      </c>
      <c r="AS1016" s="552" t="s">
        <v>7484</v>
      </c>
      <c r="AT1016" s="552" t="s">
        <v>726</v>
      </c>
    </row>
    <row r="1017" spans="1:46" ht="14.7" customHeight="1">
      <c r="A1017" s="706"/>
      <c r="B1017" s="557" t="s">
        <v>3698</v>
      </c>
      <c r="C1017" s="539" t="s">
        <v>7753</v>
      </c>
      <c r="D1017" s="709"/>
      <c r="E1017" s="552"/>
      <c r="F1017" s="552"/>
      <c r="G1017" s="552"/>
      <c r="H1017" s="552"/>
      <c r="I1017" s="552"/>
      <c r="J1017" s="552"/>
      <c r="K1017" s="552"/>
      <c r="L1017" s="552"/>
      <c r="M1017" s="552"/>
      <c r="N1017" s="552"/>
      <c r="O1017" s="552"/>
      <c r="P1017" s="552"/>
      <c r="Q1017" s="552"/>
      <c r="R1017" s="552"/>
      <c r="S1017" s="552"/>
      <c r="T1017" s="552"/>
      <c r="U1017" s="552"/>
      <c r="V1017" s="552"/>
      <c r="W1017" s="552"/>
      <c r="X1017" s="552"/>
      <c r="Y1017" s="552"/>
      <c r="Z1017" s="552"/>
      <c r="AA1017" s="552"/>
      <c r="AB1017" s="552"/>
      <c r="AC1017" s="552"/>
      <c r="AD1017" s="552"/>
      <c r="AE1017" s="552"/>
      <c r="AF1017" s="552"/>
      <c r="AG1017" s="552"/>
      <c r="AH1017" s="552"/>
      <c r="AI1017" s="552"/>
      <c r="AJ1017" s="552"/>
      <c r="AK1017" s="552"/>
      <c r="AL1017" s="552"/>
      <c r="AM1017" s="552"/>
      <c r="AN1017" s="552"/>
      <c r="AO1017" s="552"/>
      <c r="AP1017" s="552"/>
      <c r="AQ1017" s="552" t="s">
        <v>7715</v>
      </c>
      <c r="AR1017" s="552" t="s">
        <v>2998</v>
      </c>
      <c r="AS1017" s="552" t="s">
        <v>7484</v>
      </c>
      <c r="AT1017" s="552" t="s">
        <v>726</v>
      </c>
    </row>
    <row r="1018" spans="1:46" ht="14.7" customHeight="1">
      <c r="A1018" s="706" t="s">
        <v>6526</v>
      </c>
      <c r="B1018" s="557" t="s">
        <v>3698</v>
      </c>
      <c r="C1018" s="539" t="s">
        <v>7753</v>
      </c>
      <c r="D1018" s="539" t="s">
        <v>8154</v>
      </c>
      <c r="E1018" s="539" t="s">
        <v>8088</v>
      </c>
      <c r="F1018" s="539"/>
      <c r="G1018" s="539" t="s">
        <v>8149</v>
      </c>
      <c r="H1018" s="539"/>
      <c r="I1018" s="552"/>
      <c r="J1018" s="552"/>
      <c r="K1018" s="552"/>
      <c r="L1018" s="552"/>
      <c r="M1018" s="552"/>
      <c r="N1018" s="552"/>
      <c r="O1018" s="552">
        <v>20</v>
      </c>
      <c r="P1018" s="552"/>
      <c r="Q1018" s="552"/>
      <c r="R1018" s="552"/>
      <c r="S1018" s="552"/>
      <c r="T1018" s="552"/>
      <c r="U1018" s="552"/>
      <c r="V1018" s="552"/>
      <c r="W1018" s="552"/>
      <c r="X1018" s="552"/>
      <c r="Y1018" s="552"/>
      <c r="Z1018" s="552"/>
      <c r="AA1018" s="552"/>
      <c r="AB1018" s="552"/>
      <c r="AC1018" s="552"/>
      <c r="AD1018" s="552"/>
      <c r="AE1018" s="552"/>
      <c r="AF1018" s="552"/>
      <c r="AG1018" s="552"/>
      <c r="AH1018" s="552"/>
      <c r="AI1018" s="552"/>
      <c r="AJ1018" s="552"/>
      <c r="AK1018" s="552"/>
      <c r="AL1018" s="552"/>
      <c r="AM1018" s="552"/>
      <c r="AN1018" s="552"/>
      <c r="AO1018" s="717" t="s">
        <v>8155</v>
      </c>
      <c r="AP1018" s="552"/>
      <c r="AQ1018" s="552" t="s">
        <v>7715</v>
      </c>
      <c r="AR1018" s="552" t="s">
        <v>2998</v>
      </c>
      <c r="AS1018" s="552" t="s">
        <v>7484</v>
      </c>
      <c r="AT1018" s="552" t="s">
        <v>726</v>
      </c>
    </row>
    <row r="1019" spans="1:46" ht="14.7" customHeight="1">
      <c r="A1019" s="706"/>
      <c r="B1019" s="557" t="s">
        <v>3698</v>
      </c>
      <c r="C1019" s="539" t="s">
        <v>7753</v>
      </c>
      <c r="D1019" s="709"/>
      <c r="E1019" s="552"/>
      <c r="F1019" s="552"/>
      <c r="G1019" s="552"/>
      <c r="H1019" s="552"/>
      <c r="I1019" s="552"/>
      <c r="J1019" s="552"/>
      <c r="K1019" s="552"/>
      <c r="L1019" s="552"/>
      <c r="M1019" s="552"/>
      <c r="N1019" s="552"/>
      <c r="O1019" s="552"/>
      <c r="P1019" s="552"/>
      <c r="Q1019" s="552"/>
      <c r="R1019" s="552"/>
      <c r="S1019" s="552"/>
      <c r="T1019" s="552"/>
      <c r="U1019" s="552"/>
      <c r="V1019" s="552"/>
      <c r="W1019" s="552"/>
      <c r="X1019" s="552"/>
      <c r="Y1019" s="552"/>
      <c r="Z1019" s="552"/>
      <c r="AA1019" s="552"/>
      <c r="AB1019" s="552"/>
      <c r="AC1019" s="552"/>
      <c r="AD1019" s="552"/>
      <c r="AE1019" s="552"/>
      <c r="AF1019" s="552"/>
      <c r="AG1019" s="552"/>
      <c r="AH1019" s="552"/>
      <c r="AI1019" s="552"/>
      <c r="AJ1019" s="552"/>
      <c r="AK1019" s="552"/>
      <c r="AL1019" s="552"/>
      <c r="AM1019" s="552"/>
      <c r="AN1019" s="552"/>
      <c r="AO1019" s="552"/>
      <c r="AP1019" s="552"/>
      <c r="AQ1019" s="552" t="s">
        <v>7715</v>
      </c>
      <c r="AR1019" s="552" t="s">
        <v>2998</v>
      </c>
      <c r="AS1019" s="552" t="s">
        <v>7484</v>
      </c>
      <c r="AT1019" s="552" t="s">
        <v>726</v>
      </c>
    </row>
    <row r="1020" spans="1:46" ht="14.7" customHeight="1">
      <c r="A1020" s="706" t="s">
        <v>8156</v>
      </c>
      <c r="B1020" s="344" t="s">
        <v>3699</v>
      </c>
      <c r="C1020" s="539" t="s">
        <v>7753</v>
      </c>
      <c r="D1020" s="709" t="s">
        <v>8157</v>
      </c>
      <c r="E1020" s="552" t="s">
        <v>8088</v>
      </c>
      <c r="F1020" s="552"/>
      <c r="G1020" s="552" t="s">
        <v>8149</v>
      </c>
      <c r="H1020" s="552"/>
      <c r="I1020" s="552"/>
      <c r="J1020" s="552"/>
      <c r="K1020" s="552"/>
      <c r="L1020" s="552"/>
      <c r="M1020" s="552"/>
      <c r="N1020" s="552">
        <v>100</v>
      </c>
      <c r="O1020" s="552"/>
      <c r="P1020" s="552"/>
      <c r="Q1020" s="552">
        <v>2</v>
      </c>
      <c r="R1020" s="552">
        <v>4</v>
      </c>
      <c r="S1020" s="552"/>
      <c r="T1020" s="552"/>
      <c r="U1020" s="552"/>
      <c r="V1020" s="552"/>
      <c r="W1020" s="552"/>
      <c r="X1020" s="552"/>
      <c r="Y1020" s="552"/>
      <c r="Z1020" s="552"/>
      <c r="AA1020" s="552"/>
      <c r="AB1020" s="552"/>
      <c r="AC1020" s="552"/>
      <c r="AD1020" s="552"/>
      <c r="AE1020" s="552"/>
      <c r="AF1020" s="552"/>
      <c r="AG1020" s="552"/>
      <c r="AH1020" s="552"/>
      <c r="AI1020" s="552"/>
      <c r="AJ1020" s="552"/>
      <c r="AK1020" s="552"/>
      <c r="AL1020" s="552"/>
      <c r="AM1020" s="552"/>
      <c r="AN1020" s="552"/>
      <c r="AO1020" s="552"/>
      <c r="AP1020" s="717" t="s">
        <v>8158</v>
      </c>
      <c r="AQ1020" s="552" t="s">
        <v>7715</v>
      </c>
      <c r="AR1020" s="552" t="s">
        <v>2809</v>
      </c>
      <c r="AS1020" s="552" t="s">
        <v>7484</v>
      </c>
      <c r="AT1020" s="552" t="s">
        <v>726</v>
      </c>
    </row>
    <row r="1021" spans="1:46" ht="14.7" customHeight="1">
      <c r="A1021" s="706" t="s">
        <v>8159</v>
      </c>
      <c r="B1021" s="344" t="s">
        <v>3699</v>
      </c>
      <c r="C1021" s="539" t="s">
        <v>7753</v>
      </c>
      <c r="D1021" s="709" t="s">
        <v>8160</v>
      </c>
      <c r="E1021" s="552" t="s">
        <v>8088</v>
      </c>
      <c r="F1021" s="552"/>
      <c r="G1021" s="552" t="s">
        <v>8149</v>
      </c>
      <c r="H1021" s="552"/>
      <c r="I1021" s="552"/>
      <c r="J1021" s="552"/>
      <c r="K1021" s="552"/>
      <c r="L1021" s="552"/>
      <c r="M1021" s="552"/>
      <c r="N1021" s="552"/>
      <c r="O1021" s="552"/>
      <c r="P1021" s="552">
        <v>2</v>
      </c>
      <c r="Q1021" s="552">
        <v>2</v>
      </c>
      <c r="R1021" s="552"/>
      <c r="S1021" s="552"/>
      <c r="T1021" s="552">
        <v>1</v>
      </c>
      <c r="U1021" s="552"/>
      <c r="V1021" s="552"/>
      <c r="W1021" s="552"/>
      <c r="X1021" s="552">
        <v>2</v>
      </c>
      <c r="Y1021" s="552">
        <v>2</v>
      </c>
      <c r="Z1021" s="552"/>
      <c r="AA1021" s="552"/>
      <c r="AB1021" s="552"/>
      <c r="AC1021" s="552"/>
      <c r="AD1021" s="552"/>
      <c r="AE1021" s="552"/>
      <c r="AF1021" s="552"/>
      <c r="AG1021" s="552"/>
      <c r="AH1021" s="552"/>
      <c r="AI1021" s="552"/>
      <c r="AJ1021" s="552"/>
      <c r="AK1021" s="552">
        <v>10</v>
      </c>
      <c r="AL1021" s="552"/>
      <c r="AM1021" s="552"/>
      <c r="AN1021" s="552"/>
      <c r="AO1021" s="552"/>
      <c r="AP1021" s="717" t="s">
        <v>8161</v>
      </c>
      <c r="AQ1021" s="552" t="s">
        <v>7715</v>
      </c>
      <c r="AR1021" s="552" t="s">
        <v>2809</v>
      </c>
      <c r="AS1021" s="552" t="s">
        <v>7484</v>
      </c>
      <c r="AT1021" s="552" t="s">
        <v>726</v>
      </c>
    </row>
    <row r="1022" spans="1:46" ht="14.7" customHeight="1">
      <c r="A1022" s="706" t="s">
        <v>8162</v>
      </c>
      <c r="B1022" s="344" t="s">
        <v>3699</v>
      </c>
      <c r="C1022" s="539" t="s">
        <v>7753</v>
      </c>
      <c r="D1022" s="709" t="s">
        <v>8163</v>
      </c>
      <c r="E1022" s="552" t="s">
        <v>8088</v>
      </c>
      <c r="F1022" s="552"/>
      <c r="G1022" s="552" t="s">
        <v>8149</v>
      </c>
      <c r="H1022" s="552"/>
      <c r="I1022" s="552"/>
      <c r="J1022" s="552"/>
      <c r="K1022" s="552"/>
      <c r="L1022" s="552"/>
      <c r="M1022" s="552"/>
      <c r="N1022" s="552"/>
      <c r="O1022" s="552"/>
      <c r="P1022" s="552"/>
      <c r="Q1022" s="552"/>
      <c r="R1022" s="552"/>
      <c r="S1022" s="552"/>
      <c r="T1022" s="552"/>
      <c r="U1022" s="552"/>
      <c r="V1022" s="552"/>
      <c r="W1022" s="552"/>
      <c r="X1022" s="552">
        <v>3</v>
      </c>
      <c r="Y1022" s="552">
        <v>3</v>
      </c>
      <c r="Z1022" s="552"/>
      <c r="AA1022" s="552"/>
      <c r="AB1022" s="552"/>
      <c r="AC1022" s="552"/>
      <c r="AD1022" s="552"/>
      <c r="AE1022" s="552"/>
      <c r="AF1022" s="552"/>
      <c r="AG1022" s="552"/>
      <c r="AH1022" s="552"/>
      <c r="AI1022" s="552">
        <v>50</v>
      </c>
      <c r="AJ1022" s="552"/>
      <c r="AK1022" s="552"/>
      <c r="AL1022" s="552"/>
      <c r="AM1022" s="552"/>
      <c r="AN1022" s="552"/>
      <c r="AO1022" s="552"/>
      <c r="AP1022" s="717" t="s">
        <v>8164</v>
      </c>
      <c r="AQ1022" s="552" t="s">
        <v>7715</v>
      </c>
      <c r="AR1022" s="552" t="s">
        <v>2809</v>
      </c>
      <c r="AS1022" s="552" t="s">
        <v>7484</v>
      </c>
      <c r="AT1022" s="552" t="s">
        <v>726</v>
      </c>
    </row>
    <row r="1023" spans="1:46" ht="14.7" customHeight="1">
      <c r="A1023" s="706" t="s">
        <v>6527</v>
      </c>
      <c r="B1023" s="344" t="s">
        <v>3699</v>
      </c>
      <c r="C1023" s="539" t="s">
        <v>7753</v>
      </c>
      <c r="D1023" s="709" t="s">
        <v>8165</v>
      </c>
      <c r="E1023" s="552" t="s">
        <v>8088</v>
      </c>
      <c r="F1023" s="552"/>
      <c r="G1023" s="552" t="s">
        <v>8149</v>
      </c>
      <c r="H1023" s="552"/>
      <c r="I1023" s="552"/>
      <c r="J1023" s="552"/>
      <c r="K1023" s="552"/>
      <c r="L1023" s="552"/>
      <c r="M1023" s="552"/>
      <c r="N1023" s="552"/>
      <c r="O1023" s="552"/>
      <c r="P1023" s="552"/>
      <c r="Q1023" s="552"/>
      <c r="R1023" s="552">
        <v>2</v>
      </c>
      <c r="S1023" s="552"/>
      <c r="T1023" s="552"/>
      <c r="U1023" s="552"/>
      <c r="V1023" s="552"/>
      <c r="W1023" s="552"/>
      <c r="X1023" s="552"/>
      <c r="Y1023" s="552">
        <v>2</v>
      </c>
      <c r="Z1023" s="552"/>
      <c r="AA1023" s="552"/>
      <c r="AB1023" s="552"/>
      <c r="AC1023" s="552"/>
      <c r="AD1023" s="552"/>
      <c r="AE1023" s="552"/>
      <c r="AF1023" s="552"/>
      <c r="AG1023" s="552"/>
      <c r="AH1023" s="552"/>
      <c r="AI1023" s="552"/>
      <c r="AJ1023" s="552"/>
      <c r="AK1023" s="552"/>
      <c r="AL1023" s="552"/>
      <c r="AM1023" s="552"/>
      <c r="AN1023" s="552"/>
      <c r="AO1023" s="717" t="s">
        <v>8166</v>
      </c>
      <c r="AP1023" s="552"/>
      <c r="AQ1023" s="552" t="s">
        <v>7715</v>
      </c>
      <c r="AR1023" s="552" t="s">
        <v>2809</v>
      </c>
      <c r="AS1023" s="552" t="s">
        <v>7484</v>
      </c>
      <c r="AT1023" s="552" t="s">
        <v>726</v>
      </c>
    </row>
    <row r="1024" spans="1:46" ht="14.7" customHeight="1">
      <c r="A1024" s="706"/>
      <c r="B1024" s="344" t="s">
        <v>3699</v>
      </c>
      <c r="C1024" s="539" t="s">
        <v>7753</v>
      </c>
      <c r="D1024" s="709"/>
      <c r="E1024" s="552"/>
      <c r="F1024" s="552"/>
      <c r="G1024" s="552"/>
      <c r="H1024" s="552"/>
      <c r="I1024" s="552"/>
      <c r="J1024" s="552"/>
      <c r="K1024" s="552"/>
      <c r="L1024" s="552"/>
      <c r="M1024" s="552"/>
      <c r="N1024" s="552"/>
      <c r="O1024" s="552"/>
      <c r="P1024" s="552"/>
      <c r="Q1024" s="552"/>
      <c r="R1024" s="552"/>
      <c r="S1024" s="552"/>
      <c r="T1024" s="552"/>
      <c r="U1024" s="552"/>
      <c r="V1024" s="552"/>
      <c r="W1024" s="552"/>
      <c r="X1024" s="552"/>
      <c r="Y1024" s="552"/>
      <c r="Z1024" s="552"/>
      <c r="AA1024" s="552"/>
      <c r="AB1024" s="552"/>
      <c r="AC1024" s="552"/>
      <c r="AD1024" s="552"/>
      <c r="AE1024" s="552"/>
      <c r="AF1024" s="552"/>
      <c r="AG1024" s="552"/>
      <c r="AH1024" s="552"/>
      <c r="AI1024" s="552"/>
      <c r="AJ1024" s="552"/>
      <c r="AK1024" s="552"/>
      <c r="AL1024" s="552"/>
      <c r="AM1024" s="552"/>
      <c r="AN1024" s="552"/>
      <c r="AO1024" s="552"/>
      <c r="AP1024" s="552"/>
      <c r="AQ1024" s="552" t="s">
        <v>7715</v>
      </c>
      <c r="AR1024" s="552" t="s">
        <v>2809</v>
      </c>
      <c r="AS1024" s="552" t="s">
        <v>7484</v>
      </c>
      <c r="AT1024" s="552" t="s">
        <v>726</v>
      </c>
    </row>
    <row r="1025" spans="1:46" ht="14.7" customHeight="1">
      <c r="A1025" s="706" t="s">
        <v>6528</v>
      </c>
      <c r="B1025" s="559" t="s">
        <v>3700</v>
      </c>
      <c r="C1025" s="539" t="s">
        <v>7753</v>
      </c>
      <c r="D1025" s="709" t="s">
        <v>8167</v>
      </c>
      <c r="E1025" s="552" t="s">
        <v>8088</v>
      </c>
      <c r="F1025" s="552"/>
      <c r="G1025" s="552" t="s">
        <v>8149</v>
      </c>
      <c r="H1025" s="552"/>
      <c r="I1025" s="552"/>
      <c r="J1025" s="552"/>
      <c r="K1025" s="552"/>
      <c r="L1025" s="552"/>
      <c r="M1025" s="552"/>
      <c r="N1025" s="552"/>
      <c r="O1025" s="552"/>
      <c r="P1025" s="552"/>
      <c r="Q1025" s="552"/>
      <c r="R1025" s="552">
        <v>5</v>
      </c>
      <c r="S1025" s="552"/>
      <c r="T1025" s="552"/>
      <c r="U1025" s="552"/>
      <c r="V1025" s="552"/>
      <c r="W1025" s="552"/>
      <c r="X1025" s="552"/>
      <c r="Y1025" s="552">
        <v>5</v>
      </c>
      <c r="Z1025" s="552"/>
      <c r="AA1025" s="552"/>
      <c r="AB1025" s="552"/>
      <c r="AC1025" s="552"/>
      <c r="AD1025" s="552"/>
      <c r="AE1025" s="552"/>
      <c r="AF1025" s="552"/>
      <c r="AG1025" s="552"/>
      <c r="AH1025" s="552"/>
      <c r="AI1025" s="552"/>
      <c r="AJ1025" s="552"/>
      <c r="AK1025" s="552"/>
      <c r="AL1025" s="552"/>
      <c r="AM1025" s="552"/>
      <c r="AN1025" s="552"/>
      <c r="AO1025" s="552"/>
      <c r="AP1025" s="717" t="s">
        <v>8168</v>
      </c>
      <c r="AQ1025" s="552" t="s">
        <v>7715</v>
      </c>
      <c r="AR1025" s="552" t="s">
        <v>2971</v>
      </c>
      <c r="AS1025" s="552" t="s">
        <v>7484</v>
      </c>
      <c r="AT1025" s="552" t="s">
        <v>726</v>
      </c>
    </row>
    <row r="1026" spans="1:46" ht="14.7" customHeight="1">
      <c r="A1026" s="706" t="s">
        <v>6529</v>
      </c>
      <c r="B1026" s="559" t="s">
        <v>3700</v>
      </c>
      <c r="C1026" s="539" t="s">
        <v>7753</v>
      </c>
      <c r="D1026" s="709" t="s">
        <v>8169</v>
      </c>
      <c r="E1026" s="552" t="s">
        <v>8088</v>
      </c>
      <c r="F1026" s="552"/>
      <c r="G1026" s="552" t="s">
        <v>8149</v>
      </c>
      <c r="H1026" s="552"/>
      <c r="I1026" s="552"/>
      <c r="J1026" s="552"/>
      <c r="K1026" s="552"/>
      <c r="L1026" s="552"/>
      <c r="M1026" s="552"/>
      <c r="N1026" s="552">
        <v>100</v>
      </c>
      <c r="O1026" s="552">
        <v>100</v>
      </c>
      <c r="P1026" s="552"/>
      <c r="Q1026" s="552">
        <v>10</v>
      </c>
      <c r="R1026" s="552"/>
      <c r="S1026" s="552"/>
      <c r="T1026" s="552"/>
      <c r="U1026" s="552">
        <v>1</v>
      </c>
      <c r="V1026" s="552"/>
      <c r="W1026" s="552"/>
      <c r="X1026" s="552"/>
      <c r="Y1026" s="552"/>
      <c r="Z1026" s="552"/>
      <c r="AA1026" s="552"/>
      <c r="AB1026" s="552"/>
      <c r="AC1026" s="552"/>
      <c r="AD1026" s="552"/>
      <c r="AE1026" s="552"/>
      <c r="AF1026" s="552"/>
      <c r="AG1026" s="552"/>
      <c r="AH1026" s="552"/>
      <c r="AI1026" s="552"/>
      <c r="AJ1026" s="552"/>
      <c r="AK1026" s="552">
        <v>10</v>
      </c>
      <c r="AL1026" s="552"/>
      <c r="AM1026" s="552"/>
      <c r="AN1026" s="552"/>
      <c r="AO1026" s="717" t="s">
        <v>8170</v>
      </c>
      <c r="AP1026" s="552"/>
      <c r="AQ1026" s="552" t="s">
        <v>7715</v>
      </c>
      <c r="AR1026" s="552" t="s">
        <v>2971</v>
      </c>
      <c r="AS1026" s="552" t="s">
        <v>7484</v>
      </c>
      <c r="AT1026" s="552" t="s">
        <v>726</v>
      </c>
    </row>
    <row r="1027" spans="1:46" ht="14.7" customHeight="1">
      <c r="A1027" s="706"/>
      <c r="B1027" s="711" t="s">
        <v>6055</v>
      </c>
      <c r="C1027" s="539" t="s">
        <v>7753</v>
      </c>
      <c r="D1027" s="709"/>
      <c r="E1027" s="552"/>
      <c r="F1027" s="552"/>
      <c r="G1027" s="552"/>
      <c r="H1027" s="552"/>
      <c r="I1027" s="552"/>
      <c r="J1027" s="552"/>
      <c r="K1027" s="552"/>
      <c r="L1027" s="552"/>
      <c r="M1027" s="552"/>
      <c r="N1027" s="552"/>
      <c r="O1027" s="552"/>
      <c r="P1027" s="552"/>
      <c r="Q1027" s="552"/>
      <c r="R1027" s="552"/>
      <c r="S1027" s="552"/>
      <c r="T1027" s="552"/>
      <c r="U1027" s="552"/>
      <c r="V1027" s="552"/>
      <c r="W1027" s="552"/>
      <c r="X1027" s="552"/>
      <c r="Y1027" s="552"/>
      <c r="Z1027" s="552"/>
      <c r="AA1027" s="552"/>
      <c r="AB1027" s="552"/>
      <c r="AC1027" s="552"/>
      <c r="AD1027" s="552"/>
      <c r="AE1027" s="552"/>
      <c r="AF1027" s="552"/>
      <c r="AG1027" s="552"/>
      <c r="AH1027" s="552"/>
      <c r="AI1027" s="552"/>
      <c r="AJ1027" s="552"/>
      <c r="AK1027" s="552"/>
      <c r="AL1027" s="552"/>
      <c r="AM1027" s="552"/>
      <c r="AN1027" s="552"/>
      <c r="AO1027" s="552"/>
      <c r="AP1027" s="552"/>
      <c r="AQ1027" s="552" t="s">
        <v>7715</v>
      </c>
      <c r="AR1027" s="552" t="s">
        <v>6697</v>
      </c>
      <c r="AS1027" s="552" t="s">
        <v>7484</v>
      </c>
      <c r="AT1027" s="552" t="s">
        <v>726</v>
      </c>
    </row>
    <row r="1028" spans="1:46" ht="14.7" customHeight="1">
      <c r="A1028" s="706" t="s">
        <v>6530</v>
      </c>
      <c r="B1028" s="540" t="s">
        <v>3695</v>
      </c>
      <c r="C1028" s="539" t="s">
        <v>7753</v>
      </c>
      <c r="D1028" s="709" t="s">
        <v>8171</v>
      </c>
      <c r="E1028" s="552" t="s">
        <v>8172</v>
      </c>
      <c r="F1028" s="552"/>
      <c r="G1028" s="552" t="s">
        <v>8173</v>
      </c>
      <c r="H1028" s="552"/>
      <c r="I1028" s="552"/>
      <c r="J1028" s="552"/>
      <c r="K1028" s="552"/>
      <c r="L1028" s="552"/>
      <c r="M1028" s="552"/>
      <c r="N1028" s="552"/>
      <c r="O1028" s="552"/>
      <c r="P1028" s="552">
        <v>1</v>
      </c>
      <c r="Q1028" s="552"/>
      <c r="R1028" s="552"/>
      <c r="S1028" s="552"/>
      <c r="T1028" s="552"/>
      <c r="U1028" s="552"/>
      <c r="V1028" s="552"/>
      <c r="W1028" s="552"/>
      <c r="X1028" s="552">
        <v>2</v>
      </c>
      <c r="Y1028" s="552"/>
      <c r="Z1028" s="552"/>
      <c r="AA1028" s="552"/>
      <c r="AB1028" s="552"/>
      <c r="AC1028" s="552"/>
      <c r="AD1028" s="552"/>
      <c r="AE1028" s="552"/>
      <c r="AF1028" s="552"/>
      <c r="AG1028" s="552"/>
      <c r="AH1028" s="552"/>
      <c r="AI1028" s="552"/>
      <c r="AJ1028" s="552"/>
      <c r="AK1028" s="552"/>
      <c r="AL1028" s="552"/>
      <c r="AM1028" s="552"/>
      <c r="AN1028" s="552"/>
      <c r="AO1028" s="552"/>
      <c r="AP1028" s="552"/>
      <c r="AQ1028" s="552" t="s">
        <v>1186</v>
      </c>
      <c r="AR1028" s="552" t="s">
        <v>2802</v>
      </c>
      <c r="AS1028" s="552" t="s">
        <v>6881</v>
      </c>
      <c r="AT1028" s="552" t="s">
        <v>726</v>
      </c>
    </row>
    <row r="1029" spans="1:46" ht="14.7" customHeight="1">
      <c r="A1029" s="706"/>
      <c r="B1029" s="540" t="s">
        <v>3695</v>
      </c>
      <c r="C1029" s="539" t="s">
        <v>7753</v>
      </c>
      <c r="D1029" s="709"/>
      <c r="E1029" s="552"/>
      <c r="F1029" s="552"/>
      <c r="G1029" s="552"/>
      <c r="H1029" s="552"/>
      <c r="I1029" s="552"/>
      <c r="J1029" s="552"/>
      <c r="K1029" s="552"/>
      <c r="L1029" s="552"/>
      <c r="M1029" s="552"/>
      <c r="N1029" s="552"/>
      <c r="O1029" s="552"/>
      <c r="P1029" s="552"/>
      <c r="Q1029" s="552"/>
      <c r="R1029" s="552"/>
      <c r="S1029" s="552"/>
      <c r="T1029" s="552"/>
      <c r="U1029" s="552"/>
      <c r="V1029" s="552"/>
      <c r="W1029" s="552"/>
      <c r="X1029" s="552"/>
      <c r="Y1029" s="552"/>
      <c r="Z1029" s="552"/>
      <c r="AA1029" s="552"/>
      <c r="AB1029" s="552"/>
      <c r="AC1029" s="552"/>
      <c r="AD1029" s="552"/>
      <c r="AE1029" s="552"/>
      <c r="AF1029" s="552"/>
      <c r="AG1029" s="552"/>
      <c r="AH1029" s="552"/>
      <c r="AI1029" s="552"/>
      <c r="AJ1029" s="552"/>
      <c r="AK1029" s="552"/>
      <c r="AL1029" s="552"/>
      <c r="AM1029" s="552"/>
      <c r="AN1029" s="552"/>
      <c r="AO1029" s="552"/>
      <c r="AP1029" s="552"/>
      <c r="AQ1029" s="552" t="s">
        <v>1186</v>
      </c>
      <c r="AR1029" s="552" t="s">
        <v>2802</v>
      </c>
      <c r="AS1029" s="552" t="s">
        <v>6881</v>
      </c>
      <c r="AT1029" s="552" t="s">
        <v>726</v>
      </c>
    </row>
    <row r="1030" spans="1:46" ht="14.7" customHeight="1">
      <c r="A1030" s="706" t="s">
        <v>6531</v>
      </c>
      <c r="B1030" s="707" t="s">
        <v>3696</v>
      </c>
      <c r="C1030" s="539" t="s">
        <v>7753</v>
      </c>
      <c r="D1030" s="709" t="s">
        <v>8174</v>
      </c>
      <c r="E1030" s="552" t="s">
        <v>8172</v>
      </c>
      <c r="F1030" s="552"/>
      <c r="G1030" s="552" t="s">
        <v>8173</v>
      </c>
      <c r="H1030" s="552"/>
      <c r="I1030" s="552"/>
      <c r="J1030" s="552"/>
      <c r="K1030" s="552"/>
      <c r="L1030" s="552"/>
      <c r="M1030" s="552"/>
      <c r="N1030" s="552"/>
      <c r="O1030" s="552"/>
      <c r="P1030" s="552">
        <v>2</v>
      </c>
      <c r="Q1030" s="552"/>
      <c r="R1030" s="552"/>
      <c r="S1030" s="552"/>
      <c r="T1030" s="552"/>
      <c r="U1030" s="552"/>
      <c r="V1030" s="552"/>
      <c r="W1030" s="552"/>
      <c r="X1030" s="552">
        <v>2</v>
      </c>
      <c r="Y1030" s="552"/>
      <c r="Z1030" s="552"/>
      <c r="AA1030" s="552"/>
      <c r="AB1030" s="552"/>
      <c r="AC1030" s="552"/>
      <c r="AD1030" s="552"/>
      <c r="AE1030" s="552"/>
      <c r="AF1030" s="552"/>
      <c r="AG1030" s="552"/>
      <c r="AH1030" s="552"/>
      <c r="AI1030" s="552"/>
      <c r="AJ1030" s="552"/>
      <c r="AK1030" s="552"/>
      <c r="AL1030" s="552"/>
      <c r="AM1030" s="552"/>
      <c r="AN1030" s="552"/>
      <c r="AO1030" s="552"/>
      <c r="AP1030" s="552"/>
      <c r="AQ1030" s="552" t="s">
        <v>1186</v>
      </c>
      <c r="AR1030" s="552" t="s">
        <v>2805</v>
      </c>
      <c r="AS1030" s="552" t="s">
        <v>6881</v>
      </c>
      <c r="AT1030" s="552" t="s">
        <v>726</v>
      </c>
    </row>
    <row r="1031" spans="1:46" ht="14.7" customHeight="1">
      <c r="A1031" s="706"/>
      <c r="B1031" s="707" t="s">
        <v>3696</v>
      </c>
      <c r="C1031" s="539" t="s">
        <v>7753</v>
      </c>
      <c r="D1031" s="709"/>
      <c r="E1031" s="552"/>
      <c r="F1031" s="552"/>
      <c r="G1031" s="552"/>
      <c r="H1031" s="552"/>
      <c r="I1031" s="552"/>
      <c r="J1031" s="552"/>
      <c r="K1031" s="552"/>
      <c r="L1031" s="552"/>
      <c r="M1031" s="552"/>
      <c r="N1031" s="552"/>
      <c r="O1031" s="552"/>
      <c r="P1031" s="552"/>
      <c r="Q1031" s="552"/>
      <c r="R1031" s="552"/>
      <c r="S1031" s="552"/>
      <c r="T1031" s="552"/>
      <c r="U1031" s="552"/>
      <c r="V1031" s="552"/>
      <c r="W1031" s="552"/>
      <c r="X1031" s="552"/>
      <c r="Y1031" s="552"/>
      <c r="Z1031" s="552"/>
      <c r="AA1031" s="552"/>
      <c r="AB1031" s="552"/>
      <c r="AC1031" s="552"/>
      <c r="AD1031" s="552"/>
      <c r="AE1031" s="552"/>
      <c r="AF1031" s="552"/>
      <c r="AG1031" s="552"/>
      <c r="AH1031" s="552"/>
      <c r="AI1031" s="552"/>
      <c r="AJ1031" s="552"/>
      <c r="AK1031" s="552"/>
      <c r="AL1031" s="552"/>
      <c r="AM1031" s="552"/>
      <c r="AN1031" s="552"/>
      <c r="AO1031" s="552"/>
      <c r="AP1031" s="552"/>
      <c r="AQ1031" s="552" t="s">
        <v>1186</v>
      </c>
      <c r="AR1031" s="552" t="s">
        <v>2805</v>
      </c>
      <c r="AS1031" s="552" t="s">
        <v>6881</v>
      </c>
      <c r="AT1031" s="552" t="s">
        <v>726</v>
      </c>
    </row>
    <row r="1032" spans="1:46" ht="14.7" customHeight="1">
      <c r="A1032" s="706" t="s">
        <v>6532</v>
      </c>
      <c r="B1032" s="556" t="s">
        <v>3697</v>
      </c>
      <c r="C1032" s="539" t="s">
        <v>7753</v>
      </c>
      <c r="D1032" s="709" t="s">
        <v>8175</v>
      </c>
      <c r="E1032" s="552" t="s">
        <v>8172</v>
      </c>
      <c r="F1032" s="552"/>
      <c r="G1032" s="552" t="s">
        <v>8173</v>
      </c>
      <c r="H1032" s="552"/>
      <c r="I1032" s="552"/>
      <c r="J1032" s="552"/>
      <c r="K1032" s="552"/>
      <c r="L1032" s="552"/>
      <c r="M1032" s="552"/>
      <c r="N1032" s="552"/>
      <c r="O1032" s="552"/>
      <c r="P1032" s="552">
        <v>2</v>
      </c>
      <c r="Q1032" s="552"/>
      <c r="R1032" s="552"/>
      <c r="S1032" s="552"/>
      <c r="T1032" s="552"/>
      <c r="U1032" s="552"/>
      <c r="V1032" s="552"/>
      <c r="W1032" s="552"/>
      <c r="X1032" s="552">
        <v>3</v>
      </c>
      <c r="Y1032" s="552"/>
      <c r="Z1032" s="552"/>
      <c r="AA1032" s="552"/>
      <c r="AB1032" s="552"/>
      <c r="AC1032" s="552"/>
      <c r="AD1032" s="552"/>
      <c r="AE1032" s="552"/>
      <c r="AF1032" s="552"/>
      <c r="AG1032" s="552"/>
      <c r="AH1032" s="552"/>
      <c r="AI1032" s="552"/>
      <c r="AJ1032" s="552"/>
      <c r="AK1032" s="552"/>
      <c r="AL1032" s="552"/>
      <c r="AM1032" s="552"/>
      <c r="AN1032" s="552"/>
      <c r="AO1032" s="552"/>
      <c r="AP1032" s="552"/>
      <c r="AQ1032" s="552" t="s">
        <v>1186</v>
      </c>
      <c r="AR1032" s="552" t="s">
        <v>2875</v>
      </c>
      <c r="AS1032" s="552" t="s">
        <v>6881</v>
      </c>
      <c r="AT1032" s="552" t="s">
        <v>726</v>
      </c>
    </row>
    <row r="1033" spans="1:46" ht="14.7" customHeight="1">
      <c r="A1033" s="706"/>
      <c r="B1033" s="556" t="s">
        <v>3697</v>
      </c>
      <c r="C1033" s="539" t="s">
        <v>7753</v>
      </c>
      <c r="D1033" s="709"/>
      <c r="E1033" s="552"/>
      <c r="F1033" s="552"/>
      <c r="G1033" s="552"/>
      <c r="H1033" s="552"/>
      <c r="I1033" s="552"/>
      <c r="J1033" s="552"/>
      <c r="K1033" s="552"/>
      <c r="L1033" s="552"/>
      <c r="M1033" s="552"/>
      <c r="N1033" s="552"/>
      <c r="O1033" s="552"/>
      <c r="P1033" s="552"/>
      <c r="Q1033" s="552"/>
      <c r="R1033" s="552"/>
      <c r="S1033" s="552"/>
      <c r="T1033" s="552"/>
      <c r="U1033" s="552"/>
      <c r="V1033" s="552"/>
      <c r="W1033" s="552"/>
      <c r="X1033" s="552"/>
      <c r="Y1033" s="552"/>
      <c r="Z1033" s="552"/>
      <c r="AA1033" s="552"/>
      <c r="AB1033" s="552"/>
      <c r="AC1033" s="552"/>
      <c r="AD1033" s="552"/>
      <c r="AE1033" s="552"/>
      <c r="AF1033" s="552"/>
      <c r="AG1033" s="552"/>
      <c r="AH1033" s="552"/>
      <c r="AI1033" s="552"/>
      <c r="AJ1033" s="552"/>
      <c r="AK1033" s="552"/>
      <c r="AL1033" s="552"/>
      <c r="AM1033" s="552"/>
      <c r="AN1033" s="552"/>
      <c r="AO1033" s="552"/>
      <c r="AP1033" s="552"/>
      <c r="AQ1033" s="552" t="s">
        <v>1186</v>
      </c>
      <c r="AR1033" s="552" t="s">
        <v>2875</v>
      </c>
      <c r="AS1033" s="552" t="s">
        <v>6881</v>
      </c>
      <c r="AT1033" s="552" t="s">
        <v>726</v>
      </c>
    </row>
    <row r="1034" spans="1:46" ht="14.7" customHeight="1">
      <c r="A1034" s="706"/>
      <c r="B1034" s="556" t="s">
        <v>3697</v>
      </c>
      <c r="C1034" s="539" t="s">
        <v>7753</v>
      </c>
      <c r="D1034" s="709"/>
      <c r="E1034" s="552"/>
      <c r="F1034" s="552"/>
      <c r="G1034" s="552"/>
      <c r="H1034" s="552"/>
      <c r="I1034" s="552"/>
      <c r="J1034" s="552"/>
      <c r="K1034" s="552"/>
      <c r="L1034" s="552"/>
      <c r="M1034" s="552"/>
      <c r="N1034" s="552"/>
      <c r="O1034" s="552"/>
      <c r="P1034" s="552"/>
      <c r="Q1034" s="552"/>
      <c r="R1034" s="552"/>
      <c r="S1034" s="552"/>
      <c r="T1034" s="552"/>
      <c r="U1034" s="552"/>
      <c r="V1034" s="552"/>
      <c r="W1034" s="552"/>
      <c r="X1034" s="552"/>
      <c r="Y1034" s="552"/>
      <c r="Z1034" s="552"/>
      <c r="AA1034" s="552"/>
      <c r="AB1034" s="552"/>
      <c r="AC1034" s="552"/>
      <c r="AD1034" s="552"/>
      <c r="AE1034" s="552"/>
      <c r="AF1034" s="552"/>
      <c r="AG1034" s="552"/>
      <c r="AH1034" s="552"/>
      <c r="AI1034" s="552"/>
      <c r="AJ1034" s="552"/>
      <c r="AK1034" s="552"/>
      <c r="AL1034" s="552"/>
      <c r="AM1034" s="552"/>
      <c r="AN1034" s="552"/>
      <c r="AO1034" s="552"/>
      <c r="AP1034" s="552"/>
      <c r="AQ1034" s="552" t="s">
        <v>1186</v>
      </c>
      <c r="AR1034" s="552" t="s">
        <v>2875</v>
      </c>
      <c r="AS1034" s="552" t="s">
        <v>6881</v>
      </c>
      <c r="AT1034" s="552" t="s">
        <v>726</v>
      </c>
    </row>
    <row r="1035" spans="1:46" ht="14.7" customHeight="1">
      <c r="A1035" s="706" t="s">
        <v>6533</v>
      </c>
      <c r="B1035" s="557" t="s">
        <v>3698</v>
      </c>
      <c r="C1035" s="539" t="s">
        <v>7753</v>
      </c>
      <c r="D1035" s="709" t="s">
        <v>8176</v>
      </c>
      <c r="E1035" s="552" t="s">
        <v>8172</v>
      </c>
      <c r="F1035" s="552"/>
      <c r="G1035" s="552" t="s">
        <v>8173</v>
      </c>
      <c r="H1035" s="552"/>
      <c r="I1035" s="552"/>
      <c r="J1035" s="552"/>
      <c r="K1035" s="552"/>
      <c r="L1035" s="552"/>
      <c r="M1035" s="552"/>
      <c r="N1035" s="552"/>
      <c r="O1035" s="552"/>
      <c r="P1035" s="552">
        <v>3</v>
      </c>
      <c r="Q1035" s="552"/>
      <c r="R1035" s="552"/>
      <c r="S1035" s="552"/>
      <c r="T1035" s="552"/>
      <c r="U1035" s="552"/>
      <c r="V1035" s="552"/>
      <c r="W1035" s="552"/>
      <c r="X1035" s="552">
        <v>5</v>
      </c>
      <c r="Y1035" s="552"/>
      <c r="Z1035" s="552"/>
      <c r="AA1035" s="552"/>
      <c r="AB1035" s="552"/>
      <c r="AC1035" s="552"/>
      <c r="AD1035" s="552"/>
      <c r="AE1035" s="552"/>
      <c r="AF1035" s="552"/>
      <c r="AG1035" s="552"/>
      <c r="AH1035" s="552"/>
      <c r="AI1035" s="552"/>
      <c r="AJ1035" s="552"/>
      <c r="AK1035" s="552"/>
      <c r="AL1035" s="552"/>
      <c r="AM1035" s="552"/>
      <c r="AN1035" s="552"/>
      <c r="AO1035" s="725" t="s">
        <v>8177</v>
      </c>
      <c r="AP1035" s="552"/>
      <c r="AQ1035" s="552" t="s">
        <v>1186</v>
      </c>
      <c r="AR1035" s="552" t="s">
        <v>2998</v>
      </c>
      <c r="AS1035" s="552" t="s">
        <v>6881</v>
      </c>
      <c r="AT1035" s="552" t="s">
        <v>726</v>
      </c>
    </row>
    <row r="1036" spans="1:46" ht="14.7" customHeight="1">
      <c r="A1036" s="706"/>
      <c r="B1036" s="557" t="s">
        <v>3698</v>
      </c>
      <c r="C1036" s="539" t="s">
        <v>7753</v>
      </c>
      <c r="D1036" s="709"/>
      <c r="E1036" s="552"/>
      <c r="F1036" s="552"/>
      <c r="G1036" s="552"/>
      <c r="H1036" s="552"/>
      <c r="I1036" s="552"/>
      <c r="J1036" s="552"/>
      <c r="K1036" s="552"/>
      <c r="L1036" s="552"/>
      <c r="M1036" s="552"/>
      <c r="N1036" s="552"/>
      <c r="O1036" s="552"/>
      <c r="P1036" s="552"/>
      <c r="Q1036" s="552"/>
      <c r="R1036" s="552"/>
      <c r="S1036" s="552"/>
      <c r="T1036" s="552"/>
      <c r="U1036" s="552"/>
      <c r="V1036" s="552"/>
      <c r="W1036" s="552"/>
      <c r="X1036" s="552"/>
      <c r="Y1036" s="552"/>
      <c r="Z1036" s="552"/>
      <c r="AA1036" s="552"/>
      <c r="AB1036" s="552"/>
      <c r="AC1036" s="552"/>
      <c r="AD1036" s="552"/>
      <c r="AE1036" s="552"/>
      <c r="AF1036" s="552"/>
      <c r="AG1036" s="552"/>
      <c r="AH1036" s="552"/>
      <c r="AI1036" s="552"/>
      <c r="AJ1036" s="552"/>
      <c r="AK1036" s="552"/>
      <c r="AL1036" s="552"/>
      <c r="AM1036" s="552"/>
      <c r="AN1036" s="552"/>
      <c r="AO1036" s="552"/>
      <c r="AP1036" s="552"/>
      <c r="AQ1036" s="552" t="s">
        <v>1186</v>
      </c>
      <c r="AR1036" s="552" t="s">
        <v>2998</v>
      </c>
      <c r="AS1036" s="552" t="s">
        <v>6881</v>
      </c>
      <c r="AT1036" s="552" t="s">
        <v>726</v>
      </c>
    </row>
    <row r="1037" spans="1:46" ht="14.7" customHeight="1">
      <c r="A1037" s="706" t="s">
        <v>6534</v>
      </c>
      <c r="B1037" s="557" t="s">
        <v>3698</v>
      </c>
      <c r="C1037" s="539" t="s">
        <v>7753</v>
      </c>
      <c r="D1037" s="709" t="s">
        <v>8178</v>
      </c>
      <c r="E1037" s="552" t="s">
        <v>8172</v>
      </c>
      <c r="F1037" s="552"/>
      <c r="G1037" s="552" t="s">
        <v>8173</v>
      </c>
      <c r="H1037" s="552"/>
      <c r="I1037" s="552"/>
      <c r="J1037" s="552"/>
      <c r="K1037" s="552"/>
      <c r="L1037" s="552"/>
      <c r="M1037" s="552"/>
      <c r="N1037" s="552">
        <v>40</v>
      </c>
      <c r="O1037" s="552">
        <v>-40</v>
      </c>
      <c r="P1037" s="552"/>
      <c r="Q1037" s="552">
        <v>-2</v>
      </c>
      <c r="R1037" s="552">
        <v>-2</v>
      </c>
      <c r="S1037" s="552">
        <v>-2</v>
      </c>
      <c r="T1037" s="552">
        <v>4</v>
      </c>
      <c r="U1037" s="552"/>
      <c r="V1037" s="552"/>
      <c r="W1037" s="552"/>
      <c r="X1037" s="552">
        <v>4</v>
      </c>
      <c r="Y1037" s="552"/>
      <c r="Z1037" s="552"/>
      <c r="AA1037" s="552"/>
      <c r="AB1037" s="552"/>
      <c r="AC1037" s="552"/>
      <c r="AD1037" s="552"/>
      <c r="AE1037" s="552"/>
      <c r="AF1037" s="552"/>
      <c r="AG1037" s="552"/>
      <c r="AH1037" s="552"/>
      <c r="AI1037" s="552"/>
      <c r="AJ1037" s="552"/>
      <c r="AK1037" s="552"/>
      <c r="AL1037" s="552"/>
      <c r="AM1037" s="552"/>
      <c r="AN1037" s="552"/>
      <c r="AO1037" s="552"/>
      <c r="AP1037" s="552"/>
      <c r="AQ1037" s="552" t="s">
        <v>1186</v>
      </c>
      <c r="AR1037" s="552" t="s">
        <v>2998</v>
      </c>
      <c r="AS1037" s="552" t="s">
        <v>6881</v>
      </c>
      <c r="AT1037" s="552" t="s">
        <v>726</v>
      </c>
    </row>
    <row r="1038" spans="1:46" ht="14.7" customHeight="1">
      <c r="A1038" s="706"/>
      <c r="B1038" s="557" t="s">
        <v>3698</v>
      </c>
      <c r="C1038" s="539" t="s">
        <v>7753</v>
      </c>
      <c r="D1038" s="709"/>
      <c r="E1038" s="552"/>
      <c r="F1038" s="552"/>
      <c r="G1038" s="552"/>
      <c r="H1038" s="552"/>
      <c r="I1038" s="552"/>
      <c r="J1038" s="552"/>
      <c r="K1038" s="552"/>
      <c r="L1038" s="552"/>
      <c r="M1038" s="552"/>
      <c r="N1038" s="552"/>
      <c r="O1038" s="552"/>
      <c r="P1038" s="552"/>
      <c r="Q1038" s="552"/>
      <c r="R1038" s="552"/>
      <c r="S1038" s="552"/>
      <c r="T1038" s="552"/>
      <c r="U1038" s="552"/>
      <c r="V1038" s="552"/>
      <c r="W1038" s="552"/>
      <c r="X1038" s="552"/>
      <c r="Y1038" s="552"/>
      <c r="Z1038" s="552"/>
      <c r="AA1038" s="552"/>
      <c r="AB1038" s="552"/>
      <c r="AC1038" s="552"/>
      <c r="AD1038" s="552"/>
      <c r="AE1038" s="552"/>
      <c r="AF1038" s="552"/>
      <c r="AG1038" s="552"/>
      <c r="AH1038" s="552"/>
      <c r="AI1038" s="552"/>
      <c r="AJ1038" s="552"/>
      <c r="AK1038" s="552"/>
      <c r="AL1038" s="552"/>
      <c r="AM1038" s="552"/>
      <c r="AN1038" s="552"/>
      <c r="AO1038" s="552"/>
      <c r="AP1038" s="552"/>
      <c r="AQ1038" s="552" t="s">
        <v>1186</v>
      </c>
      <c r="AR1038" s="552" t="s">
        <v>2998</v>
      </c>
      <c r="AS1038" s="552" t="s">
        <v>6881</v>
      </c>
      <c r="AT1038" s="552" t="s">
        <v>726</v>
      </c>
    </row>
    <row r="1039" spans="1:46" ht="14.7" customHeight="1">
      <c r="A1039" s="706" t="s">
        <v>6535</v>
      </c>
      <c r="B1039" s="344" t="s">
        <v>3699</v>
      </c>
      <c r="C1039" s="539" t="s">
        <v>7753</v>
      </c>
      <c r="D1039" s="709" t="s">
        <v>8179</v>
      </c>
      <c r="E1039" s="552" t="s">
        <v>8180</v>
      </c>
      <c r="F1039" s="552"/>
      <c r="G1039" s="552" t="s">
        <v>8173</v>
      </c>
      <c r="H1039" s="552"/>
      <c r="I1039" s="552"/>
      <c r="J1039" s="552"/>
      <c r="K1039" s="552"/>
      <c r="L1039" s="552"/>
      <c r="M1039" s="552"/>
      <c r="N1039" s="552">
        <v>40</v>
      </c>
      <c r="O1039" s="552"/>
      <c r="P1039" s="552"/>
      <c r="Q1039" s="552"/>
      <c r="R1039" s="552"/>
      <c r="S1039" s="552"/>
      <c r="T1039" s="552"/>
      <c r="U1039" s="552"/>
      <c r="V1039" s="552"/>
      <c r="W1039" s="552"/>
      <c r="X1039" s="552">
        <v>4</v>
      </c>
      <c r="Y1039" s="552">
        <v>4</v>
      </c>
      <c r="Z1039" s="552"/>
      <c r="AA1039" s="552"/>
      <c r="AB1039" s="552">
        <v>20</v>
      </c>
      <c r="AC1039" s="552">
        <v>20</v>
      </c>
      <c r="AD1039" s="552">
        <v>20</v>
      </c>
      <c r="AE1039" s="552">
        <v>20</v>
      </c>
      <c r="AF1039" s="552">
        <v>20</v>
      </c>
      <c r="AG1039" s="552">
        <v>20</v>
      </c>
      <c r="AH1039" s="552">
        <v>20</v>
      </c>
      <c r="AI1039" s="552">
        <v>20</v>
      </c>
      <c r="AJ1039" s="552">
        <v>20</v>
      </c>
      <c r="AK1039" s="552"/>
      <c r="AL1039" s="552"/>
      <c r="AM1039" s="552"/>
      <c r="AN1039" s="552"/>
      <c r="AO1039" s="552"/>
      <c r="AP1039" s="552"/>
      <c r="AQ1039" s="552" t="s">
        <v>1186</v>
      </c>
      <c r="AR1039" s="552" t="s">
        <v>2809</v>
      </c>
      <c r="AS1039" s="552" t="s">
        <v>6881</v>
      </c>
      <c r="AT1039" s="552" t="s">
        <v>726</v>
      </c>
    </row>
    <row r="1040" spans="1:46" ht="14.7" customHeight="1">
      <c r="A1040" s="706" t="s">
        <v>9101</v>
      </c>
      <c r="B1040" s="344" t="s">
        <v>3699</v>
      </c>
      <c r="C1040" s="539" t="s">
        <v>7753</v>
      </c>
      <c r="D1040" s="709" t="s">
        <v>8181</v>
      </c>
      <c r="E1040" s="552" t="s">
        <v>8180</v>
      </c>
      <c r="F1040" s="552"/>
      <c r="G1040" s="552" t="s">
        <v>8173</v>
      </c>
      <c r="H1040" s="552"/>
      <c r="I1040" s="552"/>
      <c r="J1040" s="552"/>
      <c r="K1040" s="552"/>
      <c r="L1040" s="552"/>
      <c r="M1040" s="552"/>
      <c r="N1040" s="552"/>
      <c r="O1040" s="552"/>
      <c r="P1040" s="552"/>
      <c r="Q1040" s="552"/>
      <c r="R1040" s="552"/>
      <c r="S1040" s="552"/>
      <c r="T1040" s="552"/>
      <c r="U1040" s="552"/>
      <c r="V1040" s="552"/>
      <c r="W1040" s="552"/>
      <c r="X1040" s="552">
        <v>2</v>
      </c>
      <c r="Y1040" s="552">
        <v>4</v>
      </c>
      <c r="Z1040" s="552"/>
      <c r="AA1040" s="552"/>
      <c r="AB1040" s="552">
        <v>10</v>
      </c>
      <c r="AC1040" s="552">
        <v>10</v>
      </c>
      <c r="AD1040" s="552">
        <v>10</v>
      </c>
      <c r="AE1040" s="552">
        <v>10</v>
      </c>
      <c r="AF1040" s="552">
        <v>10</v>
      </c>
      <c r="AG1040" s="552">
        <v>10</v>
      </c>
      <c r="AH1040" s="552">
        <v>10</v>
      </c>
      <c r="AI1040" s="552">
        <v>10</v>
      </c>
      <c r="AJ1040" s="552">
        <v>10</v>
      </c>
      <c r="AK1040" s="552"/>
      <c r="AL1040" s="552">
        <v>10</v>
      </c>
      <c r="AM1040" s="552"/>
      <c r="AN1040" s="552"/>
      <c r="AO1040" s="552"/>
      <c r="AP1040" s="717" t="s">
        <v>8182</v>
      </c>
      <c r="AQ1040" s="552" t="s">
        <v>1186</v>
      </c>
      <c r="AR1040" s="552" t="s">
        <v>2809</v>
      </c>
      <c r="AS1040" s="552" t="s">
        <v>6881</v>
      </c>
      <c r="AT1040" s="552" t="s">
        <v>726</v>
      </c>
    </row>
    <row r="1041" spans="1:46" ht="14.7" customHeight="1">
      <c r="A1041" s="706" t="s">
        <v>8183</v>
      </c>
      <c r="B1041" s="344" t="s">
        <v>3699</v>
      </c>
      <c r="C1041" s="539" t="s">
        <v>7753</v>
      </c>
      <c r="D1041" s="709" t="s">
        <v>8184</v>
      </c>
      <c r="E1041" s="552" t="s">
        <v>8172</v>
      </c>
      <c r="F1041" s="552"/>
      <c r="G1041" s="552" t="s">
        <v>8173</v>
      </c>
      <c r="H1041" s="552"/>
      <c r="I1041" s="552"/>
      <c r="J1041" s="552"/>
      <c r="K1041" s="552"/>
      <c r="L1041" s="552"/>
      <c r="M1041" s="552"/>
      <c r="N1041" s="552"/>
      <c r="O1041" s="552"/>
      <c r="P1041" s="552"/>
      <c r="Q1041" s="552"/>
      <c r="R1041" s="552"/>
      <c r="S1041" s="552"/>
      <c r="T1041" s="552"/>
      <c r="U1041" s="552"/>
      <c r="V1041" s="552"/>
      <c r="W1041" s="552"/>
      <c r="X1041" s="552"/>
      <c r="Y1041" s="552"/>
      <c r="Z1041" s="552"/>
      <c r="AA1041" s="552"/>
      <c r="AB1041" s="552"/>
      <c r="AC1041" s="552"/>
      <c r="AD1041" s="552"/>
      <c r="AE1041" s="552"/>
      <c r="AF1041" s="552"/>
      <c r="AG1041" s="552"/>
      <c r="AH1041" s="552"/>
      <c r="AI1041" s="552"/>
      <c r="AJ1041" s="552"/>
      <c r="AK1041" s="552"/>
      <c r="AL1041" s="552"/>
      <c r="AM1041" s="552"/>
      <c r="AN1041" s="552"/>
      <c r="AO1041" s="552"/>
      <c r="AP1041" s="725" t="s">
        <v>8185</v>
      </c>
      <c r="AQ1041" s="552" t="s">
        <v>1186</v>
      </c>
      <c r="AR1041" s="552" t="s">
        <v>2809</v>
      </c>
      <c r="AS1041" s="552" t="s">
        <v>6881</v>
      </c>
      <c r="AT1041" s="552" t="s">
        <v>726</v>
      </c>
    </row>
    <row r="1042" spans="1:46" ht="14.7" customHeight="1">
      <c r="A1042" s="706"/>
      <c r="B1042" s="344" t="s">
        <v>3699</v>
      </c>
      <c r="C1042" s="539" t="s">
        <v>7753</v>
      </c>
      <c r="D1042" s="709"/>
      <c r="E1042" s="552"/>
      <c r="F1042" s="552"/>
      <c r="G1042" s="552"/>
      <c r="H1042" s="552"/>
      <c r="I1042" s="552"/>
      <c r="J1042" s="552"/>
      <c r="K1042" s="552"/>
      <c r="L1042" s="552"/>
      <c r="M1042" s="552"/>
      <c r="N1042" s="552"/>
      <c r="O1042" s="552"/>
      <c r="P1042" s="552"/>
      <c r="Q1042" s="552"/>
      <c r="R1042" s="552"/>
      <c r="S1042" s="552"/>
      <c r="T1042" s="552"/>
      <c r="U1042" s="552"/>
      <c r="V1042" s="552"/>
      <c r="W1042" s="552"/>
      <c r="X1042" s="552"/>
      <c r="Y1042" s="552"/>
      <c r="Z1042" s="552"/>
      <c r="AA1042" s="552"/>
      <c r="AB1042" s="552"/>
      <c r="AC1042" s="552"/>
      <c r="AD1042" s="552"/>
      <c r="AE1042" s="552"/>
      <c r="AF1042" s="552"/>
      <c r="AG1042" s="552"/>
      <c r="AH1042" s="552"/>
      <c r="AI1042" s="552"/>
      <c r="AJ1042" s="552"/>
      <c r="AK1042" s="552"/>
      <c r="AL1042" s="552"/>
      <c r="AM1042" s="552"/>
      <c r="AN1042" s="552"/>
      <c r="AO1042" s="552"/>
      <c r="AP1042" s="552"/>
      <c r="AQ1042" s="552" t="s">
        <v>1186</v>
      </c>
      <c r="AR1042" s="552" t="s">
        <v>2809</v>
      </c>
      <c r="AS1042" s="552" t="s">
        <v>6881</v>
      </c>
      <c r="AT1042" s="552" t="s">
        <v>726</v>
      </c>
    </row>
    <row r="1043" spans="1:46" ht="14.7" customHeight="1">
      <c r="A1043" s="706"/>
      <c r="B1043" s="344" t="s">
        <v>3699</v>
      </c>
      <c r="C1043" s="539" t="s">
        <v>7753</v>
      </c>
      <c r="D1043" s="709"/>
      <c r="E1043" s="552"/>
      <c r="F1043" s="552"/>
      <c r="G1043" s="552"/>
      <c r="H1043" s="552"/>
      <c r="I1043" s="552"/>
      <c r="J1043" s="552"/>
      <c r="K1043" s="552"/>
      <c r="L1043" s="552"/>
      <c r="M1043" s="552"/>
      <c r="N1043" s="552"/>
      <c r="O1043" s="552"/>
      <c r="P1043" s="552"/>
      <c r="Q1043" s="552"/>
      <c r="R1043" s="552"/>
      <c r="S1043" s="552"/>
      <c r="T1043" s="552"/>
      <c r="U1043" s="552"/>
      <c r="V1043" s="552"/>
      <c r="W1043" s="552"/>
      <c r="X1043" s="552"/>
      <c r="Y1043" s="552"/>
      <c r="Z1043" s="552"/>
      <c r="AA1043" s="552"/>
      <c r="AB1043" s="552"/>
      <c r="AC1043" s="552"/>
      <c r="AD1043" s="552"/>
      <c r="AE1043" s="552"/>
      <c r="AF1043" s="552"/>
      <c r="AG1043" s="552"/>
      <c r="AH1043" s="552"/>
      <c r="AI1043" s="552"/>
      <c r="AJ1043" s="552"/>
      <c r="AK1043" s="552"/>
      <c r="AL1043" s="552"/>
      <c r="AM1043" s="552"/>
      <c r="AN1043" s="552"/>
      <c r="AO1043" s="552"/>
      <c r="AP1043" s="552"/>
      <c r="AQ1043" s="552" t="s">
        <v>1186</v>
      </c>
      <c r="AR1043" s="552" t="s">
        <v>2809</v>
      </c>
      <c r="AS1043" s="552" t="s">
        <v>6881</v>
      </c>
      <c r="AT1043" s="552" t="s">
        <v>726</v>
      </c>
    </row>
    <row r="1044" spans="1:46" ht="14.7" customHeight="1">
      <c r="A1044" s="706" t="s">
        <v>6536</v>
      </c>
      <c r="B1044" s="559" t="s">
        <v>3700</v>
      </c>
      <c r="C1044" s="539" t="s">
        <v>7753</v>
      </c>
      <c r="D1044" s="709" t="s">
        <v>8186</v>
      </c>
      <c r="E1044" s="552" t="s">
        <v>8172</v>
      </c>
      <c r="F1044" s="552"/>
      <c r="G1044" s="552" t="s">
        <v>8173</v>
      </c>
      <c r="H1044" s="552"/>
      <c r="I1044" s="552"/>
      <c r="J1044" s="552"/>
      <c r="K1044" s="552"/>
      <c r="L1044" s="552"/>
      <c r="M1044" s="552"/>
      <c r="N1044" s="552"/>
      <c r="O1044" s="552"/>
      <c r="P1044" s="552"/>
      <c r="Q1044" s="552"/>
      <c r="R1044" s="552"/>
      <c r="S1044" s="552"/>
      <c r="T1044" s="552"/>
      <c r="U1044" s="552"/>
      <c r="V1044" s="552"/>
      <c r="W1044" s="552"/>
      <c r="X1044" s="552">
        <v>4</v>
      </c>
      <c r="Y1044" s="552">
        <v>4</v>
      </c>
      <c r="Z1044" s="552"/>
      <c r="AA1044" s="552"/>
      <c r="AB1044" s="552">
        <v>20</v>
      </c>
      <c r="AC1044" s="552"/>
      <c r="AD1044" s="552"/>
      <c r="AE1044" s="552"/>
      <c r="AF1044" s="552">
        <v>20</v>
      </c>
      <c r="AG1044" s="552"/>
      <c r="AH1044" s="552"/>
      <c r="AI1044" s="552"/>
      <c r="AJ1044" s="552"/>
      <c r="AK1044" s="552"/>
      <c r="AL1044" s="552"/>
      <c r="AM1044" s="552"/>
      <c r="AN1044" s="552"/>
      <c r="AO1044" s="552"/>
      <c r="AP1044" s="713" t="s">
        <v>8187</v>
      </c>
      <c r="AQ1044" s="552" t="s">
        <v>1186</v>
      </c>
      <c r="AR1044" s="552" t="s">
        <v>2971</v>
      </c>
      <c r="AS1044" s="552" t="s">
        <v>6881</v>
      </c>
      <c r="AT1044" s="552" t="s">
        <v>726</v>
      </c>
    </row>
    <row r="1045" spans="1:46" ht="14.7" customHeight="1">
      <c r="A1045" s="706"/>
      <c r="B1045" s="559" t="s">
        <v>3700</v>
      </c>
      <c r="C1045" s="539" t="s">
        <v>7753</v>
      </c>
      <c r="D1045" s="709"/>
      <c r="E1045" s="552"/>
      <c r="F1045" s="552"/>
      <c r="G1045" s="552"/>
      <c r="H1045" s="552"/>
      <c r="I1045" s="552"/>
      <c r="J1045" s="552"/>
      <c r="K1045" s="552"/>
      <c r="L1045" s="552"/>
      <c r="M1045" s="552"/>
      <c r="N1045" s="552"/>
      <c r="O1045" s="552"/>
      <c r="P1045" s="552"/>
      <c r="Q1045" s="552"/>
      <c r="R1045" s="552"/>
      <c r="S1045" s="552"/>
      <c r="T1045" s="552"/>
      <c r="U1045" s="552"/>
      <c r="V1045" s="552"/>
      <c r="W1045" s="552"/>
      <c r="X1045" s="552"/>
      <c r="Y1045" s="552"/>
      <c r="Z1045" s="552"/>
      <c r="AA1045" s="552"/>
      <c r="AB1045" s="552"/>
      <c r="AC1045" s="552"/>
      <c r="AD1045" s="552"/>
      <c r="AE1045" s="552"/>
      <c r="AF1045" s="552"/>
      <c r="AG1045" s="552"/>
      <c r="AH1045" s="552"/>
      <c r="AI1045" s="552"/>
      <c r="AJ1045" s="552"/>
      <c r="AK1045" s="552"/>
      <c r="AL1045" s="552"/>
      <c r="AM1045" s="552"/>
      <c r="AN1045" s="552"/>
      <c r="AO1045" s="552"/>
      <c r="AP1045" s="552"/>
      <c r="AQ1045" s="552" t="s">
        <v>1186</v>
      </c>
      <c r="AR1045" s="552" t="s">
        <v>2971</v>
      </c>
      <c r="AS1045" s="552" t="s">
        <v>6881</v>
      </c>
      <c r="AT1045" s="552" t="s">
        <v>726</v>
      </c>
    </row>
    <row r="1046" spans="1:46" ht="14.7" customHeight="1">
      <c r="A1046" s="706"/>
      <c r="B1046" s="711" t="s">
        <v>6055</v>
      </c>
      <c r="C1046" s="539" t="s">
        <v>7753</v>
      </c>
      <c r="D1046" s="709"/>
      <c r="E1046" s="552"/>
      <c r="F1046" s="552"/>
      <c r="G1046" s="552"/>
      <c r="H1046" s="552"/>
      <c r="I1046" s="552"/>
      <c r="J1046" s="552"/>
      <c r="K1046" s="552"/>
      <c r="L1046" s="552"/>
      <c r="M1046" s="552"/>
      <c r="N1046" s="552"/>
      <c r="O1046" s="552"/>
      <c r="P1046" s="552"/>
      <c r="Q1046" s="552"/>
      <c r="R1046" s="552"/>
      <c r="S1046" s="552"/>
      <c r="T1046" s="552"/>
      <c r="U1046" s="552"/>
      <c r="V1046" s="552"/>
      <c r="W1046" s="552"/>
      <c r="X1046" s="552"/>
      <c r="Y1046" s="552"/>
      <c r="Z1046" s="552"/>
      <c r="AA1046" s="552"/>
      <c r="AB1046" s="552"/>
      <c r="AC1046" s="552"/>
      <c r="AD1046" s="552"/>
      <c r="AE1046" s="552"/>
      <c r="AF1046" s="552"/>
      <c r="AG1046" s="552"/>
      <c r="AH1046" s="552"/>
      <c r="AI1046" s="552"/>
      <c r="AJ1046" s="552"/>
      <c r="AK1046" s="552"/>
      <c r="AL1046" s="552"/>
      <c r="AM1046" s="552"/>
      <c r="AN1046" s="552"/>
      <c r="AO1046" s="552"/>
      <c r="AP1046" s="552"/>
      <c r="AQ1046" s="552" t="s">
        <v>1186</v>
      </c>
      <c r="AR1046" s="552" t="s">
        <v>6697</v>
      </c>
      <c r="AS1046" s="552" t="s">
        <v>6881</v>
      </c>
      <c r="AT1046" s="552" t="s">
        <v>726</v>
      </c>
    </row>
    <row r="1047" spans="1:46" ht="14.7" customHeight="1">
      <c r="A1047" s="706" t="s">
        <v>6537</v>
      </c>
      <c r="B1047" s="540" t="s">
        <v>3695</v>
      </c>
      <c r="C1047" s="539" t="s">
        <v>7753</v>
      </c>
      <c r="D1047" s="709" t="s">
        <v>8188</v>
      </c>
      <c r="E1047" s="552" t="s">
        <v>8180</v>
      </c>
      <c r="F1047" s="552"/>
      <c r="G1047" s="552" t="s">
        <v>8189</v>
      </c>
      <c r="H1047" s="552"/>
      <c r="I1047" s="552"/>
      <c r="J1047" s="552"/>
      <c r="K1047" s="552"/>
      <c r="L1047" s="552"/>
      <c r="M1047" s="552"/>
      <c r="N1047" s="552"/>
      <c r="O1047" s="552"/>
      <c r="P1047" s="552"/>
      <c r="Q1047" s="552"/>
      <c r="R1047" s="552"/>
      <c r="S1047" s="552"/>
      <c r="T1047" s="552"/>
      <c r="U1047" s="552"/>
      <c r="V1047" s="552"/>
      <c r="W1047" s="552"/>
      <c r="X1047" s="552">
        <v>2</v>
      </c>
      <c r="Y1047" s="552"/>
      <c r="Z1047" s="552"/>
      <c r="AA1047" s="552"/>
      <c r="AB1047" s="552"/>
      <c r="AC1047" s="552"/>
      <c r="AD1047" s="552"/>
      <c r="AE1047" s="552"/>
      <c r="AF1047" s="552"/>
      <c r="AG1047" s="552"/>
      <c r="AH1047" s="552">
        <v>10</v>
      </c>
      <c r="AI1047" s="552"/>
      <c r="AJ1047" s="552"/>
      <c r="AK1047" s="552"/>
      <c r="AL1047" s="552"/>
      <c r="AM1047" s="552"/>
      <c r="AN1047" s="552"/>
      <c r="AO1047" s="552"/>
      <c r="AP1047" s="552"/>
      <c r="AQ1047" s="552" t="s">
        <v>1186</v>
      </c>
      <c r="AR1047" s="552" t="s">
        <v>2802</v>
      </c>
      <c r="AS1047" s="552" t="s">
        <v>6881</v>
      </c>
      <c r="AT1047" s="552" t="s">
        <v>726</v>
      </c>
    </row>
    <row r="1048" spans="1:46" ht="14.7" customHeight="1">
      <c r="A1048" s="706"/>
      <c r="B1048" s="540" t="s">
        <v>3695</v>
      </c>
      <c r="C1048" s="539" t="s">
        <v>7753</v>
      </c>
      <c r="D1048" s="709"/>
      <c r="E1048" s="552"/>
      <c r="F1048" s="552"/>
      <c r="G1048" s="552"/>
      <c r="H1048" s="552"/>
      <c r="I1048" s="552"/>
      <c r="J1048" s="552"/>
      <c r="K1048" s="552"/>
      <c r="L1048" s="552"/>
      <c r="M1048" s="552"/>
      <c r="N1048" s="552"/>
      <c r="O1048" s="552"/>
      <c r="P1048" s="552"/>
      <c r="Q1048" s="552"/>
      <c r="R1048" s="552"/>
      <c r="S1048" s="552"/>
      <c r="T1048" s="552"/>
      <c r="U1048" s="552"/>
      <c r="V1048" s="552"/>
      <c r="W1048" s="552"/>
      <c r="X1048" s="552"/>
      <c r="Y1048" s="552"/>
      <c r="Z1048" s="552"/>
      <c r="AA1048" s="552"/>
      <c r="AB1048" s="552"/>
      <c r="AC1048" s="552"/>
      <c r="AD1048" s="552"/>
      <c r="AE1048" s="552"/>
      <c r="AF1048" s="552"/>
      <c r="AG1048" s="552"/>
      <c r="AH1048" s="552"/>
      <c r="AI1048" s="552"/>
      <c r="AJ1048" s="552"/>
      <c r="AK1048" s="552"/>
      <c r="AL1048" s="552"/>
      <c r="AM1048" s="552"/>
      <c r="AN1048" s="552"/>
      <c r="AO1048" s="552"/>
      <c r="AP1048" s="552"/>
      <c r="AQ1048" s="552" t="s">
        <v>1186</v>
      </c>
      <c r="AR1048" s="552" t="s">
        <v>2802</v>
      </c>
      <c r="AS1048" s="552" t="s">
        <v>6881</v>
      </c>
      <c r="AT1048" s="552" t="s">
        <v>726</v>
      </c>
    </row>
    <row r="1049" spans="1:46" ht="14.7" customHeight="1">
      <c r="A1049" s="706" t="s">
        <v>6538</v>
      </c>
      <c r="B1049" s="707" t="s">
        <v>3696</v>
      </c>
      <c r="C1049" s="539" t="s">
        <v>7753</v>
      </c>
      <c r="D1049" s="709" t="s">
        <v>8190</v>
      </c>
      <c r="E1049" s="552" t="s">
        <v>8172</v>
      </c>
      <c r="F1049" s="552"/>
      <c r="G1049" s="552" t="s">
        <v>8189</v>
      </c>
      <c r="H1049" s="552"/>
      <c r="I1049" s="552"/>
      <c r="J1049" s="552"/>
      <c r="K1049" s="552"/>
      <c r="L1049" s="552"/>
      <c r="M1049" s="552"/>
      <c r="N1049" s="552"/>
      <c r="O1049" s="552"/>
      <c r="P1049" s="552"/>
      <c r="Q1049" s="552"/>
      <c r="R1049" s="552"/>
      <c r="S1049" s="552"/>
      <c r="T1049" s="552"/>
      <c r="U1049" s="552"/>
      <c r="V1049" s="552"/>
      <c r="W1049" s="552"/>
      <c r="X1049" s="552">
        <v>2</v>
      </c>
      <c r="Y1049" s="552">
        <v>2</v>
      </c>
      <c r="Z1049" s="552"/>
      <c r="AA1049" s="552"/>
      <c r="AB1049" s="552"/>
      <c r="AC1049" s="552"/>
      <c r="AD1049" s="552"/>
      <c r="AE1049" s="552"/>
      <c r="AF1049" s="552"/>
      <c r="AG1049" s="552"/>
      <c r="AH1049" s="552"/>
      <c r="AI1049" s="552"/>
      <c r="AJ1049" s="552"/>
      <c r="AK1049" s="552"/>
      <c r="AL1049" s="552"/>
      <c r="AM1049" s="552"/>
      <c r="AN1049" s="552"/>
      <c r="AO1049" s="552"/>
      <c r="AP1049" s="552"/>
      <c r="AQ1049" s="552" t="s">
        <v>1186</v>
      </c>
      <c r="AR1049" s="552" t="s">
        <v>2805</v>
      </c>
      <c r="AS1049" s="552" t="s">
        <v>6881</v>
      </c>
      <c r="AT1049" s="552" t="s">
        <v>726</v>
      </c>
    </row>
    <row r="1050" spans="1:46" ht="14.7" customHeight="1">
      <c r="A1050" s="706"/>
      <c r="B1050" s="707" t="s">
        <v>3696</v>
      </c>
      <c r="C1050" s="539" t="s">
        <v>7753</v>
      </c>
      <c r="D1050" s="709"/>
      <c r="E1050" s="552"/>
      <c r="F1050" s="552"/>
      <c r="G1050" s="552"/>
      <c r="H1050" s="552"/>
      <c r="I1050" s="552"/>
      <c r="J1050" s="552"/>
      <c r="K1050" s="552"/>
      <c r="L1050" s="552"/>
      <c r="M1050" s="552"/>
      <c r="N1050" s="552"/>
      <c r="O1050" s="552"/>
      <c r="P1050" s="552"/>
      <c r="Q1050" s="552"/>
      <c r="R1050" s="552"/>
      <c r="S1050" s="552"/>
      <c r="T1050" s="552"/>
      <c r="U1050" s="552"/>
      <c r="V1050" s="552"/>
      <c r="W1050" s="552"/>
      <c r="X1050" s="552"/>
      <c r="Y1050" s="552"/>
      <c r="Z1050" s="552"/>
      <c r="AA1050" s="552"/>
      <c r="AB1050" s="552"/>
      <c r="AC1050" s="552"/>
      <c r="AD1050" s="552"/>
      <c r="AE1050" s="552"/>
      <c r="AF1050" s="552"/>
      <c r="AG1050" s="552"/>
      <c r="AH1050" s="552"/>
      <c r="AI1050" s="552"/>
      <c r="AJ1050" s="552"/>
      <c r="AK1050" s="552"/>
      <c r="AL1050" s="552"/>
      <c r="AM1050" s="552"/>
      <c r="AN1050" s="552"/>
      <c r="AO1050" s="552"/>
      <c r="AP1050" s="552"/>
      <c r="AQ1050" s="552" t="s">
        <v>1186</v>
      </c>
      <c r="AR1050" s="552" t="s">
        <v>2805</v>
      </c>
      <c r="AS1050" s="552" t="s">
        <v>6881</v>
      </c>
      <c r="AT1050" s="552" t="s">
        <v>726</v>
      </c>
    </row>
    <row r="1051" spans="1:46" ht="14.7" customHeight="1">
      <c r="A1051" s="706" t="s">
        <v>6539</v>
      </c>
      <c r="B1051" s="556" t="s">
        <v>3697</v>
      </c>
      <c r="C1051" s="539" t="s">
        <v>7753</v>
      </c>
      <c r="D1051" s="709" t="s">
        <v>8191</v>
      </c>
      <c r="E1051" s="552" t="s">
        <v>8180</v>
      </c>
      <c r="F1051" s="552"/>
      <c r="G1051" s="552" t="s">
        <v>8189</v>
      </c>
      <c r="H1051" s="552"/>
      <c r="I1051" s="552"/>
      <c r="J1051" s="552"/>
      <c r="K1051" s="552"/>
      <c r="L1051" s="552"/>
      <c r="M1051" s="552"/>
      <c r="N1051" s="552"/>
      <c r="O1051" s="552"/>
      <c r="P1051" s="552">
        <v>1</v>
      </c>
      <c r="Q1051" s="552"/>
      <c r="R1051" s="552"/>
      <c r="S1051" s="552"/>
      <c r="T1051" s="552"/>
      <c r="U1051" s="552"/>
      <c r="V1051" s="552"/>
      <c r="W1051" s="552"/>
      <c r="X1051" s="552">
        <v>4</v>
      </c>
      <c r="Y1051" s="552"/>
      <c r="Z1051" s="552"/>
      <c r="AA1051" s="552"/>
      <c r="AB1051" s="552"/>
      <c r="AC1051" s="552"/>
      <c r="AD1051" s="552"/>
      <c r="AE1051" s="552"/>
      <c r="AF1051" s="552"/>
      <c r="AG1051" s="552"/>
      <c r="AH1051" s="552">
        <v>-10</v>
      </c>
      <c r="AI1051" s="552">
        <v>10</v>
      </c>
      <c r="AJ1051" s="552"/>
      <c r="AK1051" s="552"/>
      <c r="AL1051" s="552"/>
      <c r="AM1051" s="552"/>
      <c r="AN1051" s="552"/>
      <c r="AO1051" s="552"/>
      <c r="AP1051" s="552"/>
      <c r="AQ1051" s="552" t="s">
        <v>1186</v>
      </c>
      <c r="AR1051" s="552" t="s">
        <v>2875</v>
      </c>
      <c r="AS1051" s="552" t="s">
        <v>6881</v>
      </c>
      <c r="AT1051" s="552" t="s">
        <v>726</v>
      </c>
    </row>
    <row r="1052" spans="1:46" ht="14.7" customHeight="1">
      <c r="A1052" s="706" t="s">
        <v>6540</v>
      </c>
      <c r="B1052" s="556" t="s">
        <v>3697</v>
      </c>
      <c r="C1052" s="539" t="s">
        <v>7753</v>
      </c>
      <c r="D1052" s="709" t="s">
        <v>8192</v>
      </c>
      <c r="E1052" s="552" t="s">
        <v>8180</v>
      </c>
      <c r="F1052" s="552"/>
      <c r="G1052" s="552" t="s">
        <v>8189</v>
      </c>
      <c r="H1052" s="552"/>
      <c r="I1052" s="552"/>
      <c r="J1052" s="552"/>
      <c r="K1052" s="552"/>
      <c r="L1052" s="552"/>
      <c r="M1052" s="552"/>
      <c r="N1052" s="552"/>
      <c r="O1052" s="552"/>
      <c r="P1052" s="552"/>
      <c r="Q1052" s="552"/>
      <c r="R1052" s="552"/>
      <c r="S1052" s="552"/>
      <c r="T1052" s="552"/>
      <c r="U1052" s="552"/>
      <c r="V1052" s="552"/>
      <c r="W1052" s="552"/>
      <c r="X1052" s="552">
        <v>1</v>
      </c>
      <c r="Y1052" s="552"/>
      <c r="Z1052" s="552"/>
      <c r="AA1052" s="552"/>
      <c r="AB1052" s="552">
        <v>10</v>
      </c>
      <c r="AC1052" s="552">
        <v>10</v>
      </c>
      <c r="AD1052" s="552">
        <v>10</v>
      </c>
      <c r="AE1052" s="552">
        <v>10</v>
      </c>
      <c r="AF1052" s="552">
        <v>10</v>
      </c>
      <c r="AG1052" s="552">
        <v>10</v>
      </c>
      <c r="AH1052" s="552">
        <v>10</v>
      </c>
      <c r="AI1052" s="552">
        <v>10</v>
      </c>
      <c r="AJ1052" s="552">
        <v>10</v>
      </c>
      <c r="AK1052" s="552"/>
      <c r="AL1052" s="552"/>
      <c r="AM1052" s="552"/>
      <c r="AN1052" s="552"/>
      <c r="AO1052" s="552"/>
      <c r="AP1052" s="552"/>
      <c r="AQ1052" s="552" t="s">
        <v>1186</v>
      </c>
      <c r="AR1052" s="552" t="s">
        <v>2875</v>
      </c>
      <c r="AS1052" s="552" t="s">
        <v>6881</v>
      </c>
      <c r="AT1052" s="552" t="s">
        <v>726</v>
      </c>
    </row>
    <row r="1053" spans="1:46" ht="14.7" customHeight="1">
      <c r="A1053" s="706"/>
      <c r="B1053" s="556" t="s">
        <v>3697</v>
      </c>
      <c r="C1053" s="539" t="s">
        <v>7753</v>
      </c>
      <c r="D1053" s="709"/>
      <c r="E1053" s="552"/>
      <c r="F1053" s="552"/>
      <c r="G1053" s="552"/>
      <c r="H1053" s="552"/>
      <c r="I1053" s="552"/>
      <c r="J1053" s="552"/>
      <c r="K1053" s="552"/>
      <c r="L1053" s="552"/>
      <c r="M1053" s="552"/>
      <c r="N1053" s="552"/>
      <c r="O1053" s="552"/>
      <c r="P1053" s="552"/>
      <c r="Q1053" s="552"/>
      <c r="R1053" s="552"/>
      <c r="S1053" s="552"/>
      <c r="T1053" s="552"/>
      <c r="U1053" s="552"/>
      <c r="V1053" s="552"/>
      <c r="W1053" s="552"/>
      <c r="X1053" s="552"/>
      <c r="Y1053" s="552"/>
      <c r="Z1053" s="552"/>
      <c r="AA1053" s="552"/>
      <c r="AB1053" s="552"/>
      <c r="AC1053" s="552"/>
      <c r="AD1053" s="552"/>
      <c r="AE1053" s="552"/>
      <c r="AF1053" s="552"/>
      <c r="AG1053" s="552"/>
      <c r="AH1053" s="552"/>
      <c r="AI1053" s="552"/>
      <c r="AJ1053" s="552"/>
      <c r="AK1053" s="552"/>
      <c r="AL1053" s="552"/>
      <c r="AM1053" s="552"/>
      <c r="AN1053" s="552"/>
      <c r="AO1053" s="552"/>
      <c r="AP1053" s="552"/>
      <c r="AQ1053" s="552" t="s">
        <v>1186</v>
      </c>
      <c r="AR1053" s="552" t="s">
        <v>2875</v>
      </c>
      <c r="AS1053" s="552" t="s">
        <v>6881</v>
      </c>
      <c r="AT1053" s="552" t="s">
        <v>726</v>
      </c>
    </row>
    <row r="1054" spans="1:46" ht="14.7" customHeight="1">
      <c r="A1054" s="706"/>
      <c r="B1054" s="557" t="s">
        <v>3698</v>
      </c>
      <c r="C1054" s="539" t="s">
        <v>7753</v>
      </c>
      <c r="D1054" s="709"/>
      <c r="E1054" s="552"/>
      <c r="F1054" s="552"/>
      <c r="G1054" s="552"/>
      <c r="H1054" s="552"/>
      <c r="I1054" s="552"/>
      <c r="J1054" s="552"/>
      <c r="K1054" s="552"/>
      <c r="L1054" s="552"/>
      <c r="M1054" s="552"/>
      <c r="N1054" s="552"/>
      <c r="O1054" s="552"/>
      <c r="P1054" s="552"/>
      <c r="Q1054" s="552"/>
      <c r="R1054" s="552"/>
      <c r="S1054" s="552"/>
      <c r="T1054" s="552"/>
      <c r="U1054" s="552"/>
      <c r="V1054" s="552"/>
      <c r="W1054" s="552"/>
      <c r="X1054" s="552"/>
      <c r="Y1054" s="552"/>
      <c r="Z1054" s="552"/>
      <c r="AA1054" s="552"/>
      <c r="AB1054" s="552"/>
      <c r="AC1054" s="552"/>
      <c r="AD1054" s="552"/>
      <c r="AE1054" s="552"/>
      <c r="AF1054" s="552"/>
      <c r="AG1054" s="552"/>
      <c r="AH1054" s="552"/>
      <c r="AI1054" s="552"/>
      <c r="AJ1054" s="552"/>
      <c r="AK1054" s="552"/>
      <c r="AL1054" s="552"/>
      <c r="AM1054" s="552"/>
      <c r="AN1054" s="552"/>
      <c r="AO1054" s="552"/>
      <c r="AP1054" s="552"/>
      <c r="AQ1054" s="552" t="s">
        <v>1186</v>
      </c>
      <c r="AR1054" s="552" t="s">
        <v>2998</v>
      </c>
      <c r="AS1054" s="552" t="s">
        <v>6881</v>
      </c>
      <c r="AT1054" s="552" t="s">
        <v>726</v>
      </c>
    </row>
    <row r="1055" spans="1:46" ht="14.7" customHeight="1">
      <c r="A1055" s="706" t="s">
        <v>8193</v>
      </c>
      <c r="B1055" s="557" t="s">
        <v>3698</v>
      </c>
      <c r="C1055" s="539" t="s">
        <v>7753</v>
      </c>
      <c r="D1055" s="709" t="s">
        <v>8194</v>
      </c>
      <c r="E1055" s="552" t="s">
        <v>8172</v>
      </c>
      <c r="F1055" s="552"/>
      <c r="G1055" s="552" t="s">
        <v>8189</v>
      </c>
      <c r="H1055" s="552"/>
      <c r="I1055" s="552"/>
      <c r="J1055" s="552"/>
      <c r="K1055" s="552"/>
      <c r="L1055" s="552"/>
      <c r="M1055" s="552"/>
      <c r="N1055" s="552">
        <v>30</v>
      </c>
      <c r="O1055" s="552"/>
      <c r="P1055" s="552"/>
      <c r="Q1055" s="552"/>
      <c r="R1055" s="552"/>
      <c r="S1055" s="552"/>
      <c r="T1055" s="552"/>
      <c r="U1055" s="552"/>
      <c r="V1055" s="552"/>
      <c r="W1055" s="552"/>
      <c r="X1055" s="552">
        <v>4</v>
      </c>
      <c r="Y1055" s="552"/>
      <c r="Z1055" s="552"/>
      <c r="AA1055" s="552"/>
      <c r="AB1055" s="552"/>
      <c r="AC1055" s="552"/>
      <c r="AD1055" s="552"/>
      <c r="AE1055" s="552"/>
      <c r="AF1055" s="552"/>
      <c r="AG1055" s="552"/>
      <c r="AH1055" s="552"/>
      <c r="AI1055" s="552"/>
      <c r="AJ1055" s="552"/>
      <c r="AK1055" s="552"/>
      <c r="AL1055" s="552"/>
      <c r="AM1055" s="552"/>
      <c r="AN1055" s="552"/>
      <c r="AO1055" s="552"/>
      <c r="AP1055" s="709" t="s">
        <v>8195</v>
      </c>
      <c r="AQ1055" s="552" t="s">
        <v>1186</v>
      </c>
      <c r="AR1055" s="552" t="s">
        <v>2998</v>
      </c>
      <c r="AS1055" s="552" t="s">
        <v>6881</v>
      </c>
      <c r="AT1055" s="552" t="s">
        <v>726</v>
      </c>
    </row>
    <row r="1056" spans="1:46" ht="14.7" customHeight="1">
      <c r="A1056" s="706" t="s">
        <v>9102</v>
      </c>
      <c r="B1056" s="557" t="s">
        <v>3698</v>
      </c>
      <c r="C1056" s="539" t="s">
        <v>7753</v>
      </c>
      <c r="D1056" s="709" t="s">
        <v>8196</v>
      </c>
      <c r="E1056" s="552" t="s">
        <v>8180</v>
      </c>
      <c r="F1056" s="552"/>
      <c r="G1056" s="552" t="s">
        <v>8189</v>
      </c>
      <c r="H1056" s="552"/>
      <c r="I1056" s="552"/>
      <c r="J1056" s="552"/>
      <c r="K1056" s="552"/>
      <c r="L1056" s="552"/>
      <c r="M1056" s="552"/>
      <c r="N1056" s="552"/>
      <c r="O1056" s="552">
        <v>50</v>
      </c>
      <c r="P1056" s="552"/>
      <c r="Q1056" s="552"/>
      <c r="R1056" s="552"/>
      <c r="S1056" s="552"/>
      <c r="T1056" s="552"/>
      <c r="U1056" s="552"/>
      <c r="V1056" s="552"/>
      <c r="W1056" s="552"/>
      <c r="X1056" s="552"/>
      <c r="Y1056" s="552">
        <v>3</v>
      </c>
      <c r="Z1056" s="552"/>
      <c r="AA1056" s="552"/>
      <c r="AB1056" s="552"/>
      <c r="AC1056" s="552"/>
      <c r="AD1056" s="552"/>
      <c r="AE1056" s="552"/>
      <c r="AF1056" s="552"/>
      <c r="AG1056" s="552"/>
      <c r="AH1056" s="552"/>
      <c r="AI1056" s="552"/>
      <c r="AJ1056" s="552"/>
      <c r="AK1056" s="552"/>
      <c r="AL1056" s="552">
        <v>10</v>
      </c>
      <c r="AM1056" s="552"/>
      <c r="AN1056" s="552"/>
      <c r="AO1056" s="552"/>
      <c r="AP1056" s="552"/>
      <c r="AQ1056" s="552" t="s">
        <v>1186</v>
      </c>
      <c r="AR1056" s="552" t="s">
        <v>2998</v>
      </c>
      <c r="AS1056" s="552" t="s">
        <v>6881</v>
      </c>
      <c r="AT1056" s="552" t="s">
        <v>726</v>
      </c>
    </row>
    <row r="1057" spans="1:46" ht="14.7" customHeight="1">
      <c r="A1057" s="706"/>
      <c r="B1057" s="557" t="s">
        <v>3698</v>
      </c>
      <c r="C1057" s="539" t="s">
        <v>7753</v>
      </c>
      <c r="D1057" s="709"/>
      <c r="E1057" s="552"/>
      <c r="F1057" s="552"/>
      <c r="G1057" s="552"/>
      <c r="H1057" s="552"/>
      <c r="I1057" s="552"/>
      <c r="J1057" s="552"/>
      <c r="K1057" s="552"/>
      <c r="L1057" s="552"/>
      <c r="M1057" s="552"/>
      <c r="N1057" s="552"/>
      <c r="O1057" s="552"/>
      <c r="P1057" s="552"/>
      <c r="Q1057" s="552"/>
      <c r="R1057" s="552"/>
      <c r="S1057" s="552"/>
      <c r="T1057" s="552"/>
      <c r="U1057" s="552"/>
      <c r="V1057" s="552"/>
      <c r="W1057" s="552"/>
      <c r="X1057" s="552"/>
      <c r="Y1057" s="552"/>
      <c r="Z1057" s="552"/>
      <c r="AA1057" s="552"/>
      <c r="AB1057" s="552"/>
      <c r="AC1057" s="552"/>
      <c r="AD1057" s="552"/>
      <c r="AE1057" s="552"/>
      <c r="AF1057" s="552"/>
      <c r="AG1057" s="552"/>
      <c r="AH1057" s="552"/>
      <c r="AI1057" s="552"/>
      <c r="AJ1057" s="552"/>
      <c r="AK1057" s="552"/>
      <c r="AL1057" s="552"/>
      <c r="AM1057" s="552"/>
      <c r="AN1057" s="552"/>
      <c r="AO1057" s="552"/>
      <c r="AP1057" s="552"/>
      <c r="AQ1057" s="552" t="s">
        <v>1186</v>
      </c>
      <c r="AR1057" s="552" t="s">
        <v>2998</v>
      </c>
      <c r="AS1057" s="552" t="s">
        <v>6881</v>
      </c>
      <c r="AT1057" s="552" t="s">
        <v>726</v>
      </c>
    </row>
    <row r="1058" spans="1:46" ht="14.7" customHeight="1">
      <c r="A1058" s="706"/>
      <c r="B1058" s="344" t="s">
        <v>3699</v>
      </c>
      <c r="C1058" s="539" t="s">
        <v>7753</v>
      </c>
      <c r="D1058" s="709"/>
      <c r="E1058" s="552"/>
      <c r="F1058" s="552"/>
      <c r="G1058" s="552"/>
      <c r="H1058" s="552"/>
      <c r="I1058" s="552"/>
      <c r="J1058" s="552"/>
      <c r="K1058" s="552"/>
      <c r="L1058" s="552"/>
      <c r="M1058" s="552"/>
      <c r="N1058" s="552"/>
      <c r="O1058" s="552"/>
      <c r="P1058" s="552"/>
      <c r="Q1058" s="552"/>
      <c r="R1058" s="552"/>
      <c r="S1058" s="552"/>
      <c r="T1058" s="552"/>
      <c r="U1058" s="552"/>
      <c r="V1058" s="552"/>
      <c r="W1058" s="552"/>
      <c r="X1058" s="552"/>
      <c r="Y1058" s="552"/>
      <c r="Z1058" s="552"/>
      <c r="AA1058" s="552"/>
      <c r="AB1058" s="552"/>
      <c r="AC1058" s="552"/>
      <c r="AD1058" s="552"/>
      <c r="AE1058" s="552"/>
      <c r="AF1058" s="552"/>
      <c r="AG1058" s="552"/>
      <c r="AH1058" s="552"/>
      <c r="AI1058" s="552"/>
      <c r="AJ1058" s="552"/>
      <c r="AK1058" s="552"/>
      <c r="AL1058" s="552"/>
      <c r="AM1058" s="552"/>
      <c r="AN1058" s="552"/>
      <c r="AO1058" s="552"/>
      <c r="AP1058" s="552"/>
      <c r="AQ1058" s="552" t="s">
        <v>1186</v>
      </c>
      <c r="AR1058" s="552" t="s">
        <v>2809</v>
      </c>
      <c r="AS1058" s="552" t="s">
        <v>6881</v>
      </c>
      <c r="AT1058" s="552" t="s">
        <v>726</v>
      </c>
    </row>
    <row r="1059" spans="1:46" ht="14.7" customHeight="1">
      <c r="A1059" s="706" t="s">
        <v>6541</v>
      </c>
      <c r="B1059" s="344" t="s">
        <v>3699</v>
      </c>
      <c r="C1059" s="539" t="s">
        <v>7753</v>
      </c>
      <c r="D1059" s="709" t="s">
        <v>8197</v>
      </c>
      <c r="E1059" s="552" t="s">
        <v>8180</v>
      </c>
      <c r="F1059" s="552"/>
      <c r="G1059" s="552" t="s">
        <v>8189</v>
      </c>
      <c r="H1059" s="552"/>
      <c r="I1059" s="552"/>
      <c r="J1059" s="552"/>
      <c r="K1059" s="552"/>
      <c r="L1059" s="552"/>
      <c r="M1059" s="552"/>
      <c r="N1059" s="552">
        <v>10</v>
      </c>
      <c r="O1059" s="552"/>
      <c r="P1059" s="552"/>
      <c r="Q1059" s="552"/>
      <c r="R1059" s="552"/>
      <c r="S1059" s="552"/>
      <c r="T1059" s="552"/>
      <c r="U1059" s="552"/>
      <c r="V1059" s="552"/>
      <c r="W1059" s="552"/>
      <c r="X1059" s="552">
        <v>1</v>
      </c>
      <c r="Y1059" s="552">
        <v>1</v>
      </c>
      <c r="Z1059" s="552"/>
      <c r="AA1059" s="552"/>
      <c r="AB1059" s="552"/>
      <c r="AC1059" s="552"/>
      <c r="AD1059" s="552"/>
      <c r="AE1059" s="552"/>
      <c r="AF1059" s="552"/>
      <c r="AG1059" s="552"/>
      <c r="AH1059" s="552"/>
      <c r="AI1059" s="552"/>
      <c r="AJ1059" s="552"/>
      <c r="AK1059" s="552"/>
      <c r="AL1059" s="552"/>
      <c r="AM1059" s="552"/>
      <c r="AN1059" s="552"/>
      <c r="AO1059" s="717" t="s">
        <v>8198</v>
      </c>
      <c r="AP1059" s="552"/>
      <c r="AQ1059" s="552" t="s">
        <v>1186</v>
      </c>
      <c r="AR1059" s="552" t="s">
        <v>2809</v>
      </c>
      <c r="AS1059" s="552" t="s">
        <v>6881</v>
      </c>
      <c r="AT1059" s="552" t="s">
        <v>726</v>
      </c>
    </row>
    <row r="1060" spans="1:46" ht="14.7" customHeight="1">
      <c r="A1060" s="706"/>
      <c r="B1060" s="344" t="s">
        <v>3699</v>
      </c>
      <c r="C1060" s="539" t="s">
        <v>7753</v>
      </c>
      <c r="D1060" s="709"/>
      <c r="E1060" s="552"/>
      <c r="F1060" s="552"/>
      <c r="G1060" s="552"/>
      <c r="H1060" s="552"/>
      <c r="I1060" s="552"/>
      <c r="J1060" s="552"/>
      <c r="K1060" s="552"/>
      <c r="L1060" s="552"/>
      <c r="M1060" s="552"/>
      <c r="N1060" s="552"/>
      <c r="O1060" s="552"/>
      <c r="P1060" s="552"/>
      <c r="Q1060" s="552"/>
      <c r="R1060" s="552"/>
      <c r="S1060" s="552"/>
      <c r="T1060" s="552"/>
      <c r="U1060" s="552"/>
      <c r="V1060" s="552"/>
      <c r="W1060" s="552"/>
      <c r="X1060" s="552"/>
      <c r="Y1060" s="552"/>
      <c r="Z1060" s="552"/>
      <c r="AA1060" s="552"/>
      <c r="AB1060" s="552"/>
      <c r="AC1060" s="552"/>
      <c r="AD1060" s="552"/>
      <c r="AE1060" s="552"/>
      <c r="AF1060" s="552"/>
      <c r="AG1060" s="552"/>
      <c r="AH1060" s="552"/>
      <c r="AI1060" s="552"/>
      <c r="AJ1060" s="552"/>
      <c r="AK1060" s="552"/>
      <c r="AL1060" s="552"/>
      <c r="AM1060" s="552"/>
      <c r="AN1060" s="552"/>
      <c r="AO1060" s="552"/>
      <c r="AP1060" s="552"/>
      <c r="AQ1060" s="552" t="s">
        <v>1186</v>
      </c>
      <c r="AR1060" s="552" t="s">
        <v>2809</v>
      </c>
      <c r="AS1060" s="552" t="s">
        <v>6881</v>
      </c>
      <c r="AT1060" s="552" t="s">
        <v>726</v>
      </c>
    </row>
    <row r="1061" spans="1:46" ht="14.7" customHeight="1">
      <c r="A1061" s="706" t="s">
        <v>6542</v>
      </c>
      <c r="B1061" s="344" t="s">
        <v>3699</v>
      </c>
      <c r="C1061" s="539" t="s">
        <v>7753</v>
      </c>
      <c r="D1061" s="709" t="s">
        <v>8199</v>
      </c>
      <c r="E1061" s="552" t="s">
        <v>8172</v>
      </c>
      <c r="F1061" s="552"/>
      <c r="G1061" s="552" t="s">
        <v>8189</v>
      </c>
      <c r="H1061" s="552"/>
      <c r="I1061" s="552"/>
      <c r="J1061" s="552"/>
      <c r="K1061" s="552"/>
      <c r="L1061" s="552"/>
      <c r="M1061" s="552"/>
      <c r="N1061" s="552">
        <v>-40</v>
      </c>
      <c r="O1061" s="552">
        <v>-40</v>
      </c>
      <c r="P1061" s="552"/>
      <c r="Q1061" s="552"/>
      <c r="R1061" s="552"/>
      <c r="S1061" s="552">
        <v>-2</v>
      </c>
      <c r="T1061" s="552"/>
      <c r="U1061" s="552"/>
      <c r="V1061" s="552"/>
      <c r="W1061" s="552"/>
      <c r="X1061" s="552">
        <v>-4</v>
      </c>
      <c r="Y1061" s="552">
        <v>-4</v>
      </c>
      <c r="Z1061" s="552"/>
      <c r="AA1061" s="552"/>
      <c r="AB1061" s="552"/>
      <c r="AC1061" s="552"/>
      <c r="AD1061" s="552"/>
      <c r="AE1061" s="552"/>
      <c r="AF1061" s="552"/>
      <c r="AG1061" s="552"/>
      <c r="AH1061" s="552"/>
      <c r="AI1061" s="552"/>
      <c r="AJ1061" s="552"/>
      <c r="AK1061" s="552"/>
      <c r="AL1061" s="552"/>
      <c r="AM1061" s="552"/>
      <c r="AN1061" s="552"/>
      <c r="AO1061" s="713" t="s">
        <v>8200</v>
      </c>
      <c r="AP1061" s="552"/>
      <c r="AQ1061" s="552" t="s">
        <v>1186</v>
      </c>
      <c r="AR1061" s="552" t="s">
        <v>2809</v>
      </c>
      <c r="AS1061" s="552" t="s">
        <v>6881</v>
      </c>
      <c r="AT1061" s="552" t="s">
        <v>726</v>
      </c>
    </row>
    <row r="1062" spans="1:46" ht="14.7" customHeight="1">
      <c r="A1062" s="706"/>
      <c r="B1062" s="344" t="s">
        <v>3699</v>
      </c>
      <c r="C1062" s="539" t="s">
        <v>7753</v>
      </c>
      <c r="D1062" s="709"/>
      <c r="E1062" s="552"/>
      <c r="F1062" s="552"/>
      <c r="G1062" s="552"/>
      <c r="H1062" s="552"/>
      <c r="I1062" s="552"/>
      <c r="J1062" s="552"/>
      <c r="K1062" s="552"/>
      <c r="L1062" s="552"/>
      <c r="M1062" s="552"/>
      <c r="N1062" s="552"/>
      <c r="O1062" s="552"/>
      <c r="P1062" s="552"/>
      <c r="Q1062" s="552"/>
      <c r="R1062" s="552"/>
      <c r="S1062" s="552"/>
      <c r="T1062" s="552"/>
      <c r="U1062" s="552"/>
      <c r="V1062" s="552"/>
      <c r="W1062" s="552"/>
      <c r="X1062" s="552"/>
      <c r="Y1062" s="552"/>
      <c r="Z1062" s="552"/>
      <c r="AA1062" s="552"/>
      <c r="AB1062" s="552"/>
      <c r="AC1062" s="552"/>
      <c r="AD1062" s="552"/>
      <c r="AE1062" s="552"/>
      <c r="AF1062" s="552"/>
      <c r="AG1062" s="552"/>
      <c r="AH1062" s="552"/>
      <c r="AI1062" s="552"/>
      <c r="AJ1062" s="552"/>
      <c r="AK1062" s="552"/>
      <c r="AL1062" s="552"/>
      <c r="AM1062" s="552"/>
      <c r="AN1062" s="552"/>
      <c r="AO1062" s="552"/>
      <c r="AP1062" s="552"/>
      <c r="AQ1062" s="552" t="s">
        <v>1186</v>
      </c>
      <c r="AR1062" s="552" t="s">
        <v>2809</v>
      </c>
      <c r="AS1062" s="552" t="s">
        <v>6881</v>
      </c>
      <c r="AT1062" s="552" t="s">
        <v>726</v>
      </c>
    </row>
    <row r="1063" spans="1:46" ht="14.7" customHeight="1">
      <c r="A1063" s="706" t="s">
        <v>6543</v>
      </c>
      <c r="B1063" s="559" t="s">
        <v>3700</v>
      </c>
      <c r="C1063" s="539" t="s">
        <v>7753</v>
      </c>
      <c r="D1063" s="709" t="s">
        <v>8201</v>
      </c>
      <c r="E1063" s="552" t="s">
        <v>8180</v>
      </c>
      <c r="F1063" s="552"/>
      <c r="G1063" s="552" t="s">
        <v>8189</v>
      </c>
      <c r="H1063" s="552"/>
      <c r="I1063" s="552"/>
      <c r="J1063" s="552"/>
      <c r="K1063" s="552"/>
      <c r="L1063" s="552"/>
      <c r="M1063" s="552"/>
      <c r="N1063" s="552"/>
      <c r="O1063" s="552"/>
      <c r="P1063" s="552"/>
      <c r="Q1063" s="552"/>
      <c r="R1063" s="552"/>
      <c r="S1063" s="552">
        <v>2</v>
      </c>
      <c r="T1063" s="552"/>
      <c r="U1063" s="552"/>
      <c r="V1063" s="552"/>
      <c r="W1063" s="552"/>
      <c r="X1063" s="552">
        <v>7</v>
      </c>
      <c r="Y1063" s="552">
        <v>7</v>
      </c>
      <c r="Z1063" s="552"/>
      <c r="AA1063" s="552"/>
      <c r="AB1063" s="552"/>
      <c r="AC1063" s="552"/>
      <c r="AD1063" s="552"/>
      <c r="AE1063" s="552">
        <v>50</v>
      </c>
      <c r="AF1063" s="552"/>
      <c r="AG1063" s="552"/>
      <c r="AH1063" s="552"/>
      <c r="AI1063" s="552"/>
      <c r="AJ1063" s="552"/>
      <c r="AK1063" s="552"/>
      <c r="AL1063" s="552"/>
      <c r="AM1063" s="552"/>
      <c r="AN1063" s="552"/>
      <c r="AO1063" s="552"/>
      <c r="AP1063" s="717" t="s">
        <v>8202</v>
      </c>
      <c r="AQ1063" s="552" t="s">
        <v>1186</v>
      </c>
      <c r="AR1063" s="552" t="s">
        <v>2971</v>
      </c>
      <c r="AS1063" s="552" t="s">
        <v>6881</v>
      </c>
      <c r="AT1063" s="552" t="s">
        <v>726</v>
      </c>
    </row>
    <row r="1064" spans="1:46" ht="14.7" customHeight="1">
      <c r="A1064" s="706" t="s">
        <v>6544</v>
      </c>
      <c r="B1064" s="559" t="s">
        <v>3700</v>
      </c>
      <c r="C1064" s="539" t="s">
        <v>7753</v>
      </c>
      <c r="D1064" s="709" t="s">
        <v>8203</v>
      </c>
      <c r="E1064" s="552" t="s">
        <v>8172</v>
      </c>
      <c r="F1064" s="552"/>
      <c r="G1064" s="552" t="s">
        <v>8189</v>
      </c>
      <c r="H1064" s="552"/>
      <c r="I1064" s="552"/>
      <c r="J1064" s="552"/>
      <c r="K1064" s="552"/>
      <c r="L1064" s="552"/>
      <c r="M1064" s="552"/>
      <c r="N1064" s="552"/>
      <c r="O1064" s="552"/>
      <c r="P1064" s="552">
        <v>6</v>
      </c>
      <c r="Q1064" s="552"/>
      <c r="R1064" s="552"/>
      <c r="S1064" s="552"/>
      <c r="T1064" s="552"/>
      <c r="U1064" s="552"/>
      <c r="V1064" s="552"/>
      <c r="W1064" s="552"/>
      <c r="X1064" s="552">
        <v>4</v>
      </c>
      <c r="Y1064" s="552">
        <v>4</v>
      </c>
      <c r="Z1064" s="552"/>
      <c r="AA1064" s="552"/>
      <c r="AB1064" s="552">
        <v>10</v>
      </c>
      <c r="AC1064" s="552">
        <v>10</v>
      </c>
      <c r="AD1064" s="552">
        <v>10</v>
      </c>
      <c r="AE1064" s="552">
        <v>10</v>
      </c>
      <c r="AF1064" s="552">
        <v>10</v>
      </c>
      <c r="AG1064" s="552">
        <v>10</v>
      </c>
      <c r="AH1064" s="552">
        <v>10</v>
      </c>
      <c r="AI1064" s="552">
        <v>10</v>
      </c>
      <c r="AJ1064" s="552">
        <v>10</v>
      </c>
      <c r="AK1064" s="552"/>
      <c r="AL1064" s="552"/>
      <c r="AM1064" s="552"/>
      <c r="AN1064" s="552"/>
      <c r="AO1064" s="552"/>
      <c r="AP1064" s="709" t="s">
        <v>8204</v>
      </c>
      <c r="AQ1064" s="552" t="s">
        <v>1186</v>
      </c>
      <c r="AR1064" s="552" t="s">
        <v>2971</v>
      </c>
      <c r="AS1064" s="552" t="s">
        <v>6881</v>
      </c>
      <c r="AT1064" s="552" t="s">
        <v>726</v>
      </c>
    </row>
    <row r="1065" spans="1:46" ht="14.7" customHeight="1">
      <c r="A1065" s="706"/>
      <c r="B1065" s="711" t="s">
        <v>6055</v>
      </c>
      <c r="C1065" s="539" t="s">
        <v>7753</v>
      </c>
      <c r="D1065" s="709"/>
      <c r="E1065" s="552"/>
      <c r="F1065" s="552"/>
      <c r="G1065" s="552"/>
      <c r="H1065" s="552"/>
      <c r="I1065" s="552"/>
      <c r="J1065" s="552"/>
      <c r="K1065" s="552"/>
      <c r="L1065" s="552"/>
      <c r="M1065" s="552"/>
      <c r="N1065" s="552"/>
      <c r="O1065" s="552"/>
      <c r="P1065" s="552"/>
      <c r="Q1065" s="552"/>
      <c r="R1065" s="552"/>
      <c r="S1065" s="552"/>
      <c r="T1065" s="552"/>
      <c r="U1065" s="552"/>
      <c r="V1065" s="552"/>
      <c r="W1065" s="552"/>
      <c r="X1065" s="552"/>
      <c r="Y1065" s="552"/>
      <c r="Z1065" s="552"/>
      <c r="AA1065" s="552"/>
      <c r="AB1065" s="552"/>
      <c r="AC1065" s="552"/>
      <c r="AD1065" s="552"/>
      <c r="AE1065" s="552"/>
      <c r="AF1065" s="552"/>
      <c r="AG1065" s="552"/>
      <c r="AH1065" s="552"/>
      <c r="AI1065" s="552"/>
      <c r="AJ1065" s="552"/>
      <c r="AK1065" s="552"/>
      <c r="AL1065" s="552"/>
      <c r="AM1065" s="552"/>
      <c r="AN1065" s="552"/>
      <c r="AO1065" s="552"/>
      <c r="AP1065" s="552"/>
      <c r="AQ1065" s="552" t="s">
        <v>1186</v>
      </c>
      <c r="AR1065" s="552" t="s">
        <v>6697</v>
      </c>
      <c r="AS1065" s="552" t="s">
        <v>6881</v>
      </c>
      <c r="AT1065" s="552" t="s">
        <v>726</v>
      </c>
    </row>
    <row r="1066" spans="1:46" ht="14.7" customHeight="1">
      <c r="A1066" s="706" t="s">
        <v>6545</v>
      </c>
      <c r="B1066" s="540" t="s">
        <v>3695</v>
      </c>
      <c r="C1066" s="539" t="s">
        <v>7753</v>
      </c>
      <c r="D1066" s="709" t="s">
        <v>8205</v>
      </c>
      <c r="E1066" s="552" t="s">
        <v>8180</v>
      </c>
      <c r="F1066" s="552"/>
      <c r="G1066" s="552" t="s">
        <v>8206</v>
      </c>
      <c r="H1066" s="552"/>
      <c r="I1066" s="552"/>
      <c r="J1066" s="552"/>
      <c r="K1066" s="552"/>
      <c r="L1066" s="552"/>
      <c r="M1066" s="552"/>
      <c r="N1066" s="552">
        <v>15</v>
      </c>
      <c r="O1066" s="552"/>
      <c r="P1066" s="552"/>
      <c r="Q1066" s="552">
        <v>1</v>
      </c>
      <c r="R1066" s="552"/>
      <c r="S1066" s="552"/>
      <c r="T1066" s="552"/>
      <c r="U1066" s="552"/>
      <c r="V1066" s="552"/>
      <c r="W1066" s="552"/>
      <c r="X1066" s="552"/>
      <c r="Y1066" s="552"/>
      <c r="Z1066" s="552"/>
      <c r="AA1066" s="552"/>
      <c r="AB1066" s="552"/>
      <c r="AC1066" s="552"/>
      <c r="AD1066" s="552"/>
      <c r="AE1066" s="552"/>
      <c r="AF1066" s="552"/>
      <c r="AG1066" s="552"/>
      <c r="AH1066" s="552"/>
      <c r="AI1066" s="552"/>
      <c r="AJ1066" s="552"/>
      <c r="AK1066" s="552"/>
      <c r="AL1066" s="552"/>
      <c r="AM1066" s="552"/>
      <c r="AN1066" s="552"/>
      <c r="AO1066" s="552"/>
      <c r="AP1066" s="552"/>
      <c r="AQ1066" s="552" t="s">
        <v>7715</v>
      </c>
      <c r="AR1066" s="552" t="s">
        <v>2802</v>
      </c>
      <c r="AS1066" s="552" t="s">
        <v>6967</v>
      </c>
      <c r="AT1066" s="552" t="s">
        <v>726</v>
      </c>
    </row>
    <row r="1067" spans="1:46" ht="14.7" customHeight="1">
      <c r="A1067" s="706" t="s">
        <v>6546</v>
      </c>
      <c r="B1067" s="540" t="s">
        <v>3695</v>
      </c>
      <c r="C1067" s="539" t="s">
        <v>7753</v>
      </c>
      <c r="D1067" s="709" t="s">
        <v>8207</v>
      </c>
      <c r="E1067" s="552" t="s">
        <v>8180</v>
      </c>
      <c r="F1067" s="552"/>
      <c r="G1067" s="552" t="s">
        <v>8206</v>
      </c>
      <c r="H1067" s="552"/>
      <c r="I1067" s="552"/>
      <c r="J1067" s="552"/>
      <c r="K1067" s="552"/>
      <c r="L1067" s="552"/>
      <c r="M1067" s="552"/>
      <c r="N1067" s="552"/>
      <c r="O1067" s="552"/>
      <c r="P1067" s="552"/>
      <c r="Q1067" s="552"/>
      <c r="R1067" s="552"/>
      <c r="S1067" s="552"/>
      <c r="T1067" s="552"/>
      <c r="U1067" s="552">
        <v>-1</v>
      </c>
      <c r="V1067" s="552"/>
      <c r="W1067" s="552"/>
      <c r="X1067" s="552"/>
      <c r="Y1067" s="552"/>
      <c r="Z1067" s="552"/>
      <c r="AA1067" s="552"/>
      <c r="AB1067" s="552"/>
      <c r="AC1067" s="552"/>
      <c r="AD1067" s="552"/>
      <c r="AE1067" s="552"/>
      <c r="AF1067" s="552"/>
      <c r="AG1067" s="552"/>
      <c r="AH1067" s="552"/>
      <c r="AI1067" s="552"/>
      <c r="AJ1067" s="552"/>
      <c r="AK1067" s="552"/>
      <c r="AL1067" s="552"/>
      <c r="AM1067" s="552"/>
      <c r="AN1067" s="552"/>
      <c r="AO1067" s="709" t="s">
        <v>7814</v>
      </c>
      <c r="AP1067" s="552"/>
      <c r="AQ1067" s="552" t="s">
        <v>7715</v>
      </c>
      <c r="AR1067" s="552" t="s">
        <v>2802</v>
      </c>
      <c r="AS1067" s="552" t="s">
        <v>6967</v>
      </c>
      <c r="AT1067" s="552" t="s">
        <v>726</v>
      </c>
    </row>
    <row r="1068" spans="1:46" ht="14.7" customHeight="1">
      <c r="A1068" s="706" t="s">
        <v>6547</v>
      </c>
      <c r="B1068" s="707" t="s">
        <v>3696</v>
      </c>
      <c r="C1068" s="539" t="s">
        <v>7753</v>
      </c>
      <c r="D1068" s="709" t="s">
        <v>8208</v>
      </c>
      <c r="E1068" s="552" t="s">
        <v>8172</v>
      </c>
      <c r="F1068" s="552"/>
      <c r="G1068" s="552" t="s">
        <v>8206</v>
      </c>
      <c r="H1068" s="552"/>
      <c r="I1068" s="552"/>
      <c r="J1068" s="552"/>
      <c r="K1068" s="552"/>
      <c r="L1068" s="552"/>
      <c r="M1068" s="552"/>
      <c r="N1068" s="552"/>
      <c r="O1068" s="552"/>
      <c r="P1068" s="552"/>
      <c r="Q1068" s="552">
        <v>1</v>
      </c>
      <c r="R1068" s="552"/>
      <c r="S1068" s="552"/>
      <c r="T1068" s="552"/>
      <c r="U1068" s="552"/>
      <c r="V1068" s="552"/>
      <c r="W1068" s="552"/>
      <c r="X1068" s="552">
        <v>1</v>
      </c>
      <c r="Y1068" s="552"/>
      <c r="Z1068" s="552"/>
      <c r="AA1068" s="552"/>
      <c r="AB1068" s="552"/>
      <c r="AC1068" s="552"/>
      <c r="AD1068" s="552"/>
      <c r="AE1068" s="552"/>
      <c r="AF1068" s="552"/>
      <c r="AG1068" s="552"/>
      <c r="AH1068" s="552"/>
      <c r="AI1068" s="552"/>
      <c r="AJ1068" s="552"/>
      <c r="AK1068" s="552"/>
      <c r="AL1068" s="552"/>
      <c r="AM1068" s="552"/>
      <c r="AN1068" s="552"/>
      <c r="AO1068" s="552"/>
      <c r="AP1068" s="552"/>
      <c r="AQ1068" s="552" t="s">
        <v>7715</v>
      </c>
      <c r="AR1068" s="552" t="s">
        <v>2805</v>
      </c>
      <c r="AS1068" s="552" t="s">
        <v>6967</v>
      </c>
      <c r="AT1068" s="552" t="s">
        <v>726</v>
      </c>
    </row>
    <row r="1069" spans="1:46" ht="14.7" customHeight="1">
      <c r="A1069" s="706"/>
      <c r="B1069" s="707" t="s">
        <v>3696</v>
      </c>
      <c r="C1069" s="539" t="s">
        <v>7753</v>
      </c>
      <c r="D1069" s="709"/>
      <c r="E1069" s="552"/>
      <c r="F1069" s="552"/>
      <c r="G1069" s="552"/>
      <c r="H1069" s="552"/>
      <c r="I1069" s="552"/>
      <c r="J1069" s="552"/>
      <c r="K1069" s="552"/>
      <c r="L1069" s="552"/>
      <c r="M1069" s="552"/>
      <c r="N1069" s="552"/>
      <c r="O1069" s="552"/>
      <c r="P1069" s="552"/>
      <c r="Q1069" s="552"/>
      <c r="R1069" s="552"/>
      <c r="S1069" s="552"/>
      <c r="T1069" s="552"/>
      <c r="U1069" s="552"/>
      <c r="V1069" s="552"/>
      <c r="W1069" s="552"/>
      <c r="X1069" s="552"/>
      <c r="Y1069" s="552"/>
      <c r="Z1069" s="552"/>
      <c r="AA1069" s="552"/>
      <c r="AB1069" s="552"/>
      <c r="AC1069" s="552"/>
      <c r="AD1069" s="552"/>
      <c r="AE1069" s="552"/>
      <c r="AF1069" s="552"/>
      <c r="AG1069" s="552"/>
      <c r="AH1069" s="552"/>
      <c r="AI1069" s="552"/>
      <c r="AJ1069" s="552"/>
      <c r="AK1069" s="552"/>
      <c r="AL1069" s="552"/>
      <c r="AM1069" s="552"/>
      <c r="AN1069" s="552"/>
      <c r="AO1069" s="552"/>
      <c r="AP1069" s="552"/>
      <c r="AQ1069" s="552" t="s">
        <v>7715</v>
      </c>
      <c r="AR1069" s="552" t="s">
        <v>2805</v>
      </c>
      <c r="AS1069" s="552" t="s">
        <v>6967</v>
      </c>
      <c r="AT1069" s="552" t="s">
        <v>726</v>
      </c>
    </row>
    <row r="1070" spans="1:46" ht="14.7" customHeight="1">
      <c r="A1070" s="706" t="s">
        <v>6548</v>
      </c>
      <c r="B1070" s="556" t="s">
        <v>3697</v>
      </c>
      <c r="C1070" s="539" t="s">
        <v>7753</v>
      </c>
      <c r="D1070" s="709" t="s">
        <v>8209</v>
      </c>
      <c r="E1070" s="552" t="s">
        <v>8180</v>
      </c>
      <c r="F1070" s="552"/>
      <c r="G1070" s="552" t="s">
        <v>8206</v>
      </c>
      <c r="H1070" s="552"/>
      <c r="I1070" s="552"/>
      <c r="J1070" s="552"/>
      <c r="K1070" s="552"/>
      <c r="L1070" s="552"/>
      <c r="M1070" s="552"/>
      <c r="N1070" s="552">
        <v>25</v>
      </c>
      <c r="O1070" s="552"/>
      <c r="P1070" s="552"/>
      <c r="Q1070" s="552"/>
      <c r="R1070" s="552"/>
      <c r="S1070" s="552"/>
      <c r="T1070" s="552"/>
      <c r="U1070" s="552"/>
      <c r="V1070" s="552"/>
      <c r="W1070" s="552"/>
      <c r="X1070" s="552"/>
      <c r="Y1070" s="552"/>
      <c r="Z1070" s="552"/>
      <c r="AA1070" s="552"/>
      <c r="AB1070" s="552"/>
      <c r="AC1070" s="552"/>
      <c r="AD1070" s="552"/>
      <c r="AE1070" s="552"/>
      <c r="AF1070" s="552"/>
      <c r="AG1070" s="552"/>
      <c r="AH1070" s="552"/>
      <c r="AI1070" s="552"/>
      <c r="AJ1070" s="552"/>
      <c r="AK1070" s="552"/>
      <c r="AL1070" s="552"/>
      <c r="AM1070" s="552"/>
      <c r="AN1070" s="552"/>
      <c r="AO1070" s="717" t="s">
        <v>8210</v>
      </c>
      <c r="AP1070" s="552"/>
      <c r="AQ1070" s="552" t="s">
        <v>7715</v>
      </c>
      <c r="AR1070" s="552" t="s">
        <v>2875</v>
      </c>
      <c r="AS1070" s="552" t="s">
        <v>6967</v>
      </c>
      <c r="AT1070" s="552" t="s">
        <v>726</v>
      </c>
    </row>
    <row r="1071" spans="1:46" ht="14.7" customHeight="1">
      <c r="A1071" s="706" t="s">
        <v>6549</v>
      </c>
      <c r="B1071" s="556" t="s">
        <v>3697</v>
      </c>
      <c r="C1071" s="539" t="s">
        <v>7753</v>
      </c>
      <c r="D1071" s="709" t="s">
        <v>8211</v>
      </c>
      <c r="E1071" s="552" t="s">
        <v>8180</v>
      </c>
      <c r="F1071" s="552"/>
      <c r="G1071" s="552" t="s">
        <v>8206</v>
      </c>
      <c r="H1071" s="552"/>
      <c r="I1071" s="552"/>
      <c r="J1071" s="552"/>
      <c r="K1071" s="552"/>
      <c r="L1071" s="552"/>
      <c r="M1071" s="552"/>
      <c r="N1071" s="552">
        <v>50</v>
      </c>
      <c r="O1071" s="552"/>
      <c r="P1071" s="552"/>
      <c r="Q1071" s="552"/>
      <c r="R1071" s="552"/>
      <c r="S1071" s="552"/>
      <c r="T1071" s="552"/>
      <c r="U1071" s="552"/>
      <c r="V1071" s="552"/>
      <c r="W1071" s="552"/>
      <c r="X1071" s="552"/>
      <c r="Y1071" s="552"/>
      <c r="Z1071" s="552"/>
      <c r="AA1071" s="552"/>
      <c r="AB1071" s="552"/>
      <c r="AC1071" s="552"/>
      <c r="AD1071" s="552"/>
      <c r="AE1071" s="552"/>
      <c r="AF1071" s="552"/>
      <c r="AG1071" s="552"/>
      <c r="AH1071" s="552"/>
      <c r="AI1071" s="552"/>
      <c r="AJ1071" s="552"/>
      <c r="AK1071" s="552"/>
      <c r="AL1071" s="552"/>
      <c r="AM1071" s="552"/>
      <c r="AN1071" s="552"/>
      <c r="AO1071" s="552"/>
      <c r="AP1071" s="552"/>
      <c r="AQ1071" s="552" t="s">
        <v>7715</v>
      </c>
      <c r="AR1071" s="552" t="s">
        <v>2875</v>
      </c>
      <c r="AS1071" s="552" t="s">
        <v>6967</v>
      </c>
      <c r="AT1071" s="552" t="s">
        <v>726</v>
      </c>
    </row>
    <row r="1072" spans="1:46" ht="14.7" customHeight="1">
      <c r="A1072" s="706" t="s">
        <v>6550</v>
      </c>
      <c r="B1072" s="556" t="s">
        <v>3697</v>
      </c>
      <c r="C1072" s="539" t="s">
        <v>7753</v>
      </c>
      <c r="D1072" s="709" t="s">
        <v>8212</v>
      </c>
      <c r="E1072" s="552" t="s">
        <v>8172</v>
      </c>
      <c r="F1072" s="552"/>
      <c r="G1072" s="552" t="s">
        <v>8206</v>
      </c>
      <c r="H1072" s="552"/>
      <c r="I1072" s="552"/>
      <c r="J1072" s="552"/>
      <c r="K1072" s="552"/>
      <c r="L1072" s="552"/>
      <c r="M1072" s="552"/>
      <c r="N1072" s="552"/>
      <c r="O1072" s="552"/>
      <c r="P1072" s="552"/>
      <c r="Q1072" s="552"/>
      <c r="R1072" s="552"/>
      <c r="S1072" s="552"/>
      <c r="T1072" s="552"/>
      <c r="U1072" s="552"/>
      <c r="V1072" s="552"/>
      <c r="W1072" s="552"/>
      <c r="X1072" s="552">
        <v>10</v>
      </c>
      <c r="Y1072" s="552"/>
      <c r="Z1072" s="552"/>
      <c r="AA1072" s="552"/>
      <c r="AB1072" s="552"/>
      <c r="AC1072" s="552"/>
      <c r="AD1072" s="552"/>
      <c r="AE1072" s="552"/>
      <c r="AF1072" s="552"/>
      <c r="AG1072" s="552"/>
      <c r="AH1072" s="552"/>
      <c r="AI1072" s="552"/>
      <c r="AJ1072" s="552"/>
      <c r="AK1072" s="552"/>
      <c r="AL1072" s="552"/>
      <c r="AM1072" s="552"/>
      <c r="AN1072" s="552"/>
      <c r="AO1072" s="717" t="s">
        <v>8213</v>
      </c>
      <c r="AP1072" s="552"/>
      <c r="AQ1072" s="552" t="s">
        <v>7715</v>
      </c>
      <c r="AR1072" s="552" t="s">
        <v>2875</v>
      </c>
      <c r="AS1072" s="552" t="s">
        <v>6967</v>
      </c>
      <c r="AT1072" s="552" t="s">
        <v>726</v>
      </c>
    </row>
    <row r="1073" spans="1:46" ht="14.7" customHeight="1">
      <c r="A1073" s="706" t="s">
        <v>6551</v>
      </c>
      <c r="B1073" s="557" t="s">
        <v>3698</v>
      </c>
      <c r="C1073" s="539" t="s">
        <v>7753</v>
      </c>
      <c r="D1073" s="709" t="s">
        <v>8214</v>
      </c>
      <c r="E1073" s="552" t="s">
        <v>8180</v>
      </c>
      <c r="F1073" s="552"/>
      <c r="G1073" s="552" t="s">
        <v>8206</v>
      </c>
      <c r="H1073" s="552"/>
      <c r="I1073" s="552"/>
      <c r="J1073" s="552"/>
      <c r="K1073" s="552"/>
      <c r="L1073" s="552"/>
      <c r="M1073" s="552"/>
      <c r="N1073" s="552">
        <v>25</v>
      </c>
      <c r="O1073" s="552"/>
      <c r="P1073" s="552"/>
      <c r="Q1073" s="552">
        <v>2</v>
      </c>
      <c r="R1073" s="552"/>
      <c r="S1073" s="552"/>
      <c r="T1073" s="552"/>
      <c r="U1073" s="552"/>
      <c r="V1073" s="552"/>
      <c r="W1073" s="552"/>
      <c r="X1073" s="552"/>
      <c r="Y1073" s="552"/>
      <c r="Z1073" s="552"/>
      <c r="AA1073" s="552"/>
      <c r="AB1073" s="552"/>
      <c r="AC1073" s="552"/>
      <c r="AD1073" s="552"/>
      <c r="AE1073" s="552"/>
      <c r="AF1073" s="552"/>
      <c r="AG1073" s="552"/>
      <c r="AH1073" s="552"/>
      <c r="AI1073" s="552"/>
      <c r="AJ1073" s="552"/>
      <c r="AK1073" s="552"/>
      <c r="AL1073" s="552"/>
      <c r="AM1073" s="552"/>
      <c r="AN1073" s="552"/>
      <c r="AO1073" s="717" t="s">
        <v>8215</v>
      </c>
      <c r="AP1073" s="552"/>
      <c r="AQ1073" s="552" t="s">
        <v>7715</v>
      </c>
      <c r="AR1073" s="552" t="s">
        <v>2998</v>
      </c>
      <c r="AS1073" s="552" t="s">
        <v>6967</v>
      </c>
      <c r="AT1073" s="552" t="s">
        <v>726</v>
      </c>
    </row>
    <row r="1074" spans="1:46" ht="14.7" customHeight="1">
      <c r="A1074" s="706" t="s">
        <v>9103</v>
      </c>
      <c r="B1074" s="557" t="s">
        <v>3698</v>
      </c>
      <c r="C1074" s="539" t="s">
        <v>7753</v>
      </c>
      <c r="D1074" s="709" t="s">
        <v>8216</v>
      </c>
      <c r="E1074" s="552" t="s">
        <v>8172</v>
      </c>
      <c r="F1074" s="552"/>
      <c r="G1074" s="552" t="s">
        <v>8206</v>
      </c>
      <c r="H1074" s="552"/>
      <c r="I1074" s="552"/>
      <c r="J1074" s="552"/>
      <c r="K1074" s="552"/>
      <c r="L1074" s="552"/>
      <c r="M1074" s="552"/>
      <c r="N1074" s="552"/>
      <c r="O1074" s="552"/>
      <c r="P1074" s="552"/>
      <c r="Q1074" s="552"/>
      <c r="R1074" s="552">
        <v>3</v>
      </c>
      <c r="S1074" s="552">
        <v>1</v>
      </c>
      <c r="T1074" s="552"/>
      <c r="U1074" s="552"/>
      <c r="V1074" s="552"/>
      <c r="W1074" s="552"/>
      <c r="X1074" s="552"/>
      <c r="Y1074" s="552">
        <v>1</v>
      </c>
      <c r="Z1074" s="552"/>
      <c r="AA1074" s="552"/>
      <c r="AB1074" s="552"/>
      <c r="AC1074" s="552"/>
      <c r="AD1074" s="552"/>
      <c r="AE1074" s="552"/>
      <c r="AF1074" s="552"/>
      <c r="AG1074" s="552"/>
      <c r="AH1074" s="552"/>
      <c r="AI1074" s="552"/>
      <c r="AJ1074" s="552"/>
      <c r="AK1074" s="552"/>
      <c r="AL1074" s="552">
        <v>20</v>
      </c>
      <c r="AM1074" s="552"/>
      <c r="AN1074" s="552"/>
      <c r="AO1074" s="552"/>
      <c r="AP1074" s="552"/>
      <c r="AQ1074" s="552" t="s">
        <v>7715</v>
      </c>
      <c r="AR1074" s="552" t="s">
        <v>2998</v>
      </c>
      <c r="AS1074" s="552" t="s">
        <v>6967</v>
      </c>
      <c r="AT1074" s="552" t="s">
        <v>726</v>
      </c>
    </row>
    <row r="1075" spans="1:46" ht="14.7" customHeight="1">
      <c r="A1075" s="706" t="s">
        <v>8217</v>
      </c>
      <c r="B1075" s="557" t="s">
        <v>3698</v>
      </c>
      <c r="C1075" s="539" t="s">
        <v>7753</v>
      </c>
      <c r="D1075" s="709" t="s">
        <v>8218</v>
      </c>
      <c r="E1075" s="552" t="s">
        <v>8172</v>
      </c>
      <c r="F1075" s="552"/>
      <c r="G1075" s="552" t="s">
        <v>8206</v>
      </c>
      <c r="H1075" s="552"/>
      <c r="I1075" s="552"/>
      <c r="J1075" s="552"/>
      <c r="K1075" s="552"/>
      <c r="L1075" s="552"/>
      <c r="M1075" s="552"/>
      <c r="N1075" s="552"/>
      <c r="O1075" s="552"/>
      <c r="P1075" s="552"/>
      <c r="Q1075" s="552"/>
      <c r="R1075" s="552"/>
      <c r="S1075" s="552">
        <v>2</v>
      </c>
      <c r="T1075" s="552"/>
      <c r="U1075" s="552"/>
      <c r="V1075" s="552"/>
      <c r="W1075" s="552"/>
      <c r="X1075" s="552"/>
      <c r="Y1075" s="552">
        <v>2</v>
      </c>
      <c r="Z1075" s="552"/>
      <c r="AA1075" s="552"/>
      <c r="AB1075" s="552"/>
      <c r="AC1075" s="552"/>
      <c r="AD1075" s="552"/>
      <c r="AE1075" s="552"/>
      <c r="AF1075" s="552"/>
      <c r="AG1075" s="552"/>
      <c r="AH1075" s="552"/>
      <c r="AI1075" s="552"/>
      <c r="AJ1075" s="552"/>
      <c r="AK1075" s="552"/>
      <c r="AL1075" s="552"/>
      <c r="AM1075" s="552"/>
      <c r="AN1075" s="552"/>
      <c r="AO1075" s="552"/>
      <c r="AP1075" s="713" t="s">
        <v>8219</v>
      </c>
      <c r="AQ1075" s="552" t="s">
        <v>7715</v>
      </c>
      <c r="AR1075" s="552" t="s">
        <v>2998</v>
      </c>
      <c r="AS1075" s="552" t="s">
        <v>6967</v>
      </c>
      <c r="AT1075" s="552" t="s">
        <v>726</v>
      </c>
    </row>
    <row r="1076" spans="1:46" ht="14.7" customHeight="1">
      <c r="A1076" s="706"/>
      <c r="B1076" s="557" t="s">
        <v>3698</v>
      </c>
      <c r="C1076" s="539" t="s">
        <v>7753</v>
      </c>
      <c r="D1076" s="709"/>
      <c r="E1076" s="552"/>
      <c r="F1076" s="552"/>
      <c r="G1076" s="552"/>
      <c r="H1076" s="552"/>
      <c r="I1076" s="552"/>
      <c r="J1076" s="552"/>
      <c r="K1076" s="552"/>
      <c r="L1076" s="552"/>
      <c r="M1076" s="552"/>
      <c r="N1076" s="552"/>
      <c r="O1076" s="552"/>
      <c r="P1076" s="552"/>
      <c r="Q1076" s="552"/>
      <c r="R1076" s="552"/>
      <c r="S1076" s="552"/>
      <c r="T1076" s="552"/>
      <c r="U1076" s="552"/>
      <c r="V1076" s="552"/>
      <c r="W1076" s="552"/>
      <c r="X1076" s="552"/>
      <c r="Y1076" s="552"/>
      <c r="Z1076" s="552"/>
      <c r="AA1076" s="552"/>
      <c r="AB1076" s="552"/>
      <c r="AC1076" s="552"/>
      <c r="AD1076" s="552"/>
      <c r="AE1076" s="552"/>
      <c r="AF1076" s="552"/>
      <c r="AG1076" s="552"/>
      <c r="AH1076" s="552"/>
      <c r="AI1076" s="552"/>
      <c r="AJ1076" s="552"/>
      <c r="AK1076" s="552"/>
      <c r="AL1076" s="552"/>
      <c r="AM1076" s="552"/>
      <c r="AN1076" s="552"/>
      <c r="AO1076" s="552"/>
      <c r="AP1076" s="552"/>
      <c r="AQ1076" s="552" t="s">
        <v>7715</v>
      </c>
      <c r="AR1076" s="552" t="s">
        <v>2998</v>
      </c>
      <c r="AS1076" s="552" t="s">
        <v>6967</v>
      </c>
      <c r="AT1076" s="552" t="s">
        <v>726</v>
      </c>
    </row>
    <row r="1077" spans="1:46" ht="14.7" customHeight="1">
      <c r="A1077" s="706" t="s">
        <v>6552</v>
      </c>
      <c r="B1077" s="344" t="s">
        <v>3699</v>
      </c>
      <c r="C1077" s="539" t="s">
        <v>7753</v>
      </c>
      <c r="D1077" s="709" t="s">
        <v>8220</v>
      </c>
      <c r="E1077" s="552" t="s">
        <v>8180</v>
      </c>
      <c r="F1077" s="552"/>
      <c r="G1077" s="552" t="s">
        <v>8206</v>
      </c>
      <c r="H1077" s="552"/>
      <c r="I1077" s="552"/>
      <c r="J1077" s="552"/>
      <c r="K1077" s="552"/>
      <c r="L1077" s="552"/>
      <c r="M1077" s="552"/>
      <c r="N1077" s="552"/>
      <c r="O1077" s="552"/>
      <c r="P1077" s="552"/>
      <c r="Q1077" s="552">
        <v>2</v>
      </c>
      <c r="R1077" s="552">
        <v>2</v>
      </c>
      <c r="S1077" s="552">
        <v>2</v>
      </c>
      <c r="T1077" s="552"/>
      <c r="U1077" s="552"/>
      <c r="V1077" s="552"/>
      <c r="W1077" s="552"/>
      <c r="X1077" s="552"/>
      <c r="Y1077" s="552"/>
      <c r="Z1077" s="552"/>
      <c r="AA1077" s="552"/>
      <c r="AB1077" s="552"/>
      <c r="AC1077" s="552"/>
      <c r="AD1077" s="552"/>
      <c r="AE1077" s="552"/>
      <c r="AF1077" s="552"/>
      <c r="AG1077" s="552"/>
      <c r="AH1077" s="552"/>
      <c r="AI1077" s="552"/>
      <c r="AJ1077" s="552"/>
      <c r="AK1077" s="552"/>
      <c r="AL1077" s="552"/>
      <c r="AM1077" s="552"/>
      <c r="AN1077" s="552"/>
      <c r="AO1077" s="717" t="s">
        <v>8221</v>
      </c>
      <c r="AP1077" s="552"/>
      <c r="AQ1077" s="552" t="s">
        <v>7715</v>
      </c>
      <c r="AR1077" s="552" t="s">
        <v>2809</v>
      </c>
      <c r="AS1077" s="552" t="s">
        <v>6967</v>
      </c>
      <c r="AT1077" s="552" t="s">
        <v>726</v>
      </c>
    </row>
    <row r="1078" spans="1:46" ht="14.7" customHeight="1">
      <c r="A1078" s="706"/>
      <c r="B1078" s="344" t="s">
        <v>3699</v>
      </c>
      <c r="C1078" s="539" t="s">
        <v>7753</v>
      </c>
      <c r="D1078" s="709"/>
      <c r="E1078" s="552"/>
      <c r="F1078" s="552"/>
      <c r="G1078" s="552"/>
      <c r="H1078" s="552"/>
      <c r="I1078" s="552"/>
      <c r="J1078" s="552"/>
      <c r="K1078" s="552"/>
      <c r="L1078" s="552"/>
      <c r="M1078" s="552"/>
      <c r="N1078" s="552"/>
      <c r="O1078" s="552"/>
      <c r="P1078" s="552"/>
      <c r="Q1078" s="552"/>
      <c r="R1078" s="552"/>
      <c r="S1078" s="552"/>
      <c r="T1078" s="552"/>
      <c r="U1078" s="552"/>
      <c r="V1078" s="552"/>
      <c r="W1078" s="552"/>
      <c r="X1078" s="552"/>
      <c r="Y1078" s="552"/>
      <c r="Z1078" s="552"/>
      <c r="AA1078" s="552"/>
      <c r="AB1078" s="552"/>
      <c r="AC1078" s="552"/>
      <c r="AD1078" s="552"/>
      <c r="AE1078" s="552"/>
      <c r="AF1078" s="552"/>
      <c r="AG1078" s="552"/>
      <c r="AH1078" s="552"/>
      <c r="AI1078" s="552"/>
      <c r="AJ1078" s="552"/>
      <c r="AK1078" s="552"/>
      <c r="AL1078" s="552"/>
      <c r="AM1078" s="552"/>
      <c r="AN1078" s="552"/>
      <c r="AO1078" s="552"/>
      <c r="AP1078" s="552"/>
      <c r="AQ1078" s="552" t="s">
        <v>7715</v>
      </c>
      <c r="AR1078" s="552" t="s">
        <v>2809</v>
      </c>
      <c r="AS1078" s="552" t="s">
        <v>6967</v>
      </c>
      <c r="AT1078" s="552" t="s">
        <v>726</v>
      </c>
    </row>
    <row r="1079" spans="1:46" ht="14.7" customHeight="1">
      <c r="A1079" s="706" t="s">
        <v>8222</v>
      </c>
      <c r="B1079" s="344" t="s">
        <v>3699</v>
      </c>
      <c r="C1079" s="539" t="s">
        <v>7753</v>
      </c>
      <c r="D1079" s="709" t="s">
        <v>8223</v>
      </c>
      <c r="E1079" s="552" t="s">
        <v>8172</v>
      </c>
      <c r="F1079" s="552"/>
      <c r="G1079" s="552" t="s">
        <v>8206</v>
      </c>
      <c r="H1079" s="552"/>
      <c r="I1079" s="552"/>
      <c r="J1079" s="552"/>
      <c r="K1079" s="552"/>
      <c r="L1079" s="552"/>
      <c r="M1079" s="552"/>
      <c r="N1079" s="552"/>
      <c r="O1079" s="552"/>
      <c r="P1079" s="552"/>
      <c r="Q1079" s="552"/>
      <c r="R1079" s="552"/>
      <c r="S1079" s="552"/>
      <c r="T1079" s="552"/>
      <c r="U1079" s="552"/>
      <c r="V1079" s="552"/>
      <c r="W1079" s="552"/>
      <c r="X1079" s="552"/>
      <c r="Y1079" s="552"/>
      <c r="Z1079" s="552"/>
      <c r="AA1079" s="552"/>
      <c r="AB1079" s="552"/>
      <c r="AC1079" s="552"/>
      <c r="AD1079" s="552"/>
      <c r="AE1079" s="552"/>
      <c r="AF1079" s="552"/>
      <c r="AG1079" s="552"/>
      <c r="AH1079" s="552"/>
      <c r="AI1079" s="552"/>
      <c r="AJ1079" s="552"/>
      <c r="AK1079" s="552"/>
      <c r="AL1079" s="552"/>
      <c r="AM1079" s="552"/>
      <c r="AN1079" s="552"/>
      <c r="AO1079" s="717" t="s">
        <v>8224</v>
      </c>
      <c r="AP1079" s="709" t="s">
        <v>8225</v>
      </c>
      <c r="AQ1079" s="552" t="s">
        <v>7715</v>
      </c>
      <c r="AR1079" s="552" t="s">
        <v>2809</v>
      </c>
      <c r="AS1079" s="552" t="s">
        <v>6967</v>
      </c>
      <c r="AT1079" s="552" t="s">
        <v>726</v>
      </c>
    </row>
    <row r="1080" spans="1:46" ht="14.7" customHeight="1">
      <c r="A1080" s="706"/>
      <c r="B1080" s="344" t="s">
        <v>3699</v>
      </c>
      <c r="C1080" s="539" t="s">
        <v>7753</v>
      </c>
      <c r="D1080" s="709"/>
      <c r="E1080" s="552"/>
      <c r="F1080" s="552"/>
      <c r="G1080" s="552"/>
      <c r="H1080" s="552"/>
      <c r="I1080" s="552"/>
      <c r="J1080" s="552"/>
      <c r="K1080" s="552"/>
      <c r="L1080" s="552"/>
      <c r="M1080" s="552"/>
      <c r="N1080" s="552"/>
      <c r="O1080" s="552"/>
      <c r="P1080" s="552"/>
      <c r="Q1080" s="552"/>
      <c r="R1080" s="552"/>
      <c r="S1080" s="552"/>
      <c r="T1080" s="552"/>
      <c r="U1080" s="552"/>
      <c r="V1080" s="552"/>
      <c r="W1080" s="552"/>
      <c r="X1080" s="552"/>
      <c r="Y1080" s="552"/>
      <c r="Z1080" s="552"/>
      <c r="AA1080" s="552"/>
      <c r="AB1080" s="552"/>
      <c r="AC1080" s="552"/>
      <c r="AD1080" s="552"/>
      <c r="AE1080" s="552"/>
      <c r="AF1080" s="552"/>
      <c r="AG1080" s="552"/>
      <c r="AH1080" s="552"/>
      <c r="AI1080" s="552"/>
      <c r="AJ1080" s="552"/>
      <c r="AK1080" s="552"/>
      <c r="AL1080" s="552"/>
      <c r="AM1080" s="552"/>
      <c r="AN1080" s="552"/>
      <c r="AO1080" s="552"/>
      <c r="AP1080" s="552"/>
      <c r="AQ1080" s="552" t="s">
        <v>7715</v>
      </c>
      <c r="AR1080" s="552" t="s">
        <v>2809</v>
      </c>
      <c r="AS1080" s="552" t="s">
        <v>6967</v>
      </c>
      <c r="AT1080" s="552" t="s">
        <v>726</v>
      </c>
    </row>
    <row r="1081" spans="1:46" ht="14.7" customHeight="1">
      <c r="A1081" s="706"/>
      <c r="B1081" s="344" t="s">
        <v>3699</v>
      </c>
      <c r="C1081" s="539" t="s">
        <v>7753</v>
      </c>
      <c r="D1081" s="709"/>
      <c r="E1081" s="552"/>
      <c r="F1081" s="552"/>
      <c r="G1081" s="552"/>
      <c r="H1081" s="552"/>
      <c r="I1081" s="552"/>
      <c r="J1081" s="552"/>
      <c r="K1081" s="552"/>
      <c r="L1081" s="552"/>
      <c r="M1081" s="552"/>
      <c r="N1081" s="552"/>
      <c r="O1081" s="552"/>
      <c r="P1081" s="552"/>
      <c r="Q1081" s="552"/>
      <c r="R1081" s="552"/>
      <c r="S1081" s="552"/>
      <c r="T1081" s="552"/>
      <c r="U1081" s="552"/>
      <c r="V1081" s="552"/>
      <c r="W1081" s="552"/>
      <c r="X1081" s="552"/>
      <c r="Y1081" s="552"/>
      <c r="Z1081" s="552"/>
      <c r="AA1081" s="552"/>
      <c r="AB1081" s="552"/>
      <c r="AC1081" s="552"/>
      <c r="AD1081" s="552"/>
      <c r="AE1081" s="552"/>
      <c r="AF1081" s="552"/>
      <c r="AG1081" s="552"/>
      <c r="AH1081" s="552"/>
      <c r="AI1081" s="552"/>
      <c r="AJ1081" s="552"/>
      <c r="AK1081" s="552"/>
      <c r="AL1081" s="552"/>
      <c r="AM1081" s="552"/>
      <c r="AN1081" s="552"/>
      <c r="AO1081" s="552"/>
      <c r="AP1081" s="552"/>
      <c r="AQ1081" s="552" t="s">
        <v>7715</v>
      </c>
      <c r="AR1081" s="552" t="s">
        <v>2809</v>
      </c>
      <c r="AS1081" s="552" t="s">
        <v>6967</v>
      </c>
      <c r="AT1081" s="552" t="s">
        <v>726</v>
      </c>
    </row>
    <row r="1082" spans="1:46" ht="14.7" customHeight="1">
      <c r="A1082" s="706" t="s">
        <v>6553</v>
      </c>
      <c r="B1082" s="559" t="s">
        <v>3700</v>
      </c>
      <c r="C1082" s="539" t="s">
        <v>7753</v>
      </c>
      <c r="D1082" s="709" t="s">
        <v>8226</v>
      </c>
      <c r="E1082" s="552" t="s">
        <v>8180</v>
      </c>
      <c r="F1082" s="552"/>
      <c r="G1082" s="552" t="s">
        <v>8206</v>
      </c>
      <c r="H1082" s="552"/>
      <c r="I1082" s="552"/>
      <c r="J1082" s="552"/>
      <c r="K1082" s="552"/>
      <c r="L1082" s="552"/>
      <c r="M1082" s="552"/>
      <c r="N1082" s="552"/>
      <c r="O1082" s="552"/>
      <c r="P1082" s="552"/>
      <c r="Q1082" s="552">
        <v>4</v>
      </c>
      <c r="R1082" s="552"/>
      <c r="S1082" s="552">
        <v>4</v>
      </c>
      <c r="T1082" s="552"/>
      <c r="U1082" s="552"/>
      <c r="V1082" s="552"/>
      <c r="W1082" s="552"/>
      <c r="X1082" s="552"/>
      <c r="Y1082" s="552"/>
      <c r="Z1082" s="552"/>
      <c r="AA1082" s="552"/>
      <c r="AB1082" s="552"/>
      <c r="AC1082" s="552">
        <v>50</v>
      </c>
      <c r="AD1082" s="552"/>
      <c r="AE1082" s="552"/>
      <c r="AF1082" s="552"/>
      <c r="AG1082" s="552"/>
      <c r="AH1082" s="552"/>
      <c r="AI1082" s="552"/>
      <c r="AJ1082" s="552"/>
      <c r="AK1082" s="552"/>
      <c r="AL1082" s="552"/>
      <c r="AM1082" s="552"/>
      <c r="AN1082" s="552"/>
      <c r="AO1082" s="709" t="s">
        <v>8227</v>
      </c>
      <c r="AP1082" s="717" t="s">
        <v>8228</v>
      </c>
      <c r="AQ1082" s="552" t="s">
        <v>7715</v>
      </c>
      <c r="AR1082" s="552" t="s">
        <v>2971</v>
      </c>
      <c r="AS1082" s="552" t="s">
        <v>6967</v>
      </c>
      <c r="AT1082" s="552" t="s">
        <v>726</v>
      </c>
    </row>
    <row r="1083" spans="1:46" ht="14.7" customHeight="1">
      <c r="A1083" s="706"/>
      <c r="B1083" s="559" t="s">
        <v>3700</v>
      </c>
      <c r="C1083" s="539" t="s">
        <v>7753</v>
      </c>
      <c r="D1083" s="709"/>
      <c r="E1083" s="552"/>
      <c r="F1083" s="552"/>
      <c r="G1083" s="552"/>
      <c r="H1083" s="552"/>
      <c r="I1083" s="552"/>
      <c r="J1083" s="552"/>
      <c r="K1083" s="552"/>
      <c r="L1083" s="552"/>
      <c r="M1083" s="552"/>
      <c r="N1083" s="552"/>
      <c r="O1083" s="552"/>
      <c r="P1083" s="552"/>
      <c r="Q1083" s="552"/>
      <c r="R1083" s="552"/>
      <c r="S1083" s="552"/>
      <c r="T1083" s="552"/>
      <c r="U1083" s="552"/>
      <c r="V1083" s="552"/>
      <c r="W1083" s="552"/>
      <c r="X1083" s="552"/>
      <c r="Y1083" s="552"/>
      <c r="Z1083" s="552"/>
      <c r="AA1083" s="552"/>
      <c r="AB1083" s="552"/>
      <c r="AC1083" s="552"/>
      <c r="AD1083" s="552"/>
      <c r="AE1083" s="552"/>
      <c r="AF1083" s="552"/>
      <c r="AG1083" s="552"/>
      <c r="AH1083" s="552"/>
      <c r="AI1083" s="552"/>
      <c r="AJ1083" s="552"/>
      <c r="AK1083" s="552"/>
      <c r="AL1083" s="552"/>
      <c r="AM1083" s="552"/>
      <c r="AN1083" s="552"/>
      <c r="AO1083" s="552"/>
      <c r="AP1083" s="552"/>
      <c r="AQ1083" s="552" t="s">
        <v>7715</v>
      </c>
      <c r="AR1083" s="552" t="s">
        <v>2971</v>
      </c>
      <c r="AS1083" s="552" t="s">
        <v>6967</v>
      </c>
      <c r="AT1083" s="552" t="s">
        <v>726</v>
      </c>
    </row>
    <row r="1084" spans="1:46" ht="14.7" customHeight="1">
      <c r="A1084" s="706"/>
      <c r="B1084" s="711" t="s">
        <v>6055</v>
      </c>
      <c r="C1084" s="539" t="s">
        <v>7753</v>
      </c>
      <c r="D1084" s="709"/>
      <c r="E1084" s="552"/>
      <c r="F1084" s="552"/>
      <c r="G1084" s="552"/>
      <c r="H1084" s="552"/>
      <c r="I1084" s="552"/>
      <c r="J1084" s="552"/>
      <c r="K1084" s="552"/>
      <c r="L1084" s="552"/>
      <c r="M1084" s="552"/>
      <c r="N1084" s="552"/>
      <c r="O1084" s="552"/>
      <c r="P1084" s="552"/>
      <c r="Q1084" s="552"/>
      <c r="R1084" s="552"/>
      <c r="S1084" s="552"/>
      <c r="T1084" s="552"/>
      <c r="U1084" s="552"/>
      <c r="V1084" s="552"/>
      <c r="W1084" s="552"/>
      <c r="X1084" s="552"/>
      <c r="Y1084" s="552"/>
      <c r="Z1084" s="552"/>
      <c r="AA1084" s="552"/>
      <c r="AB1084" s="552"/>
      <c r="AC1084" s="552"/>
      <c r="AD1084" s="552"/>
      <c r="AE1084" s="552"/>
      <c r="AF1084" s="552"/>
      <c r="AG1084" s="552"/>
      <c r="AH1084" s="552"/>
      <c r="AI1084" s="552"/>
      <c r="AJ1084" s="552"/>
      <c r="AK1084" s="552"/>
      <c r="AL1084" s="552"/>
      <c r="AM1084" s="552"/>
      <c r="AN1084" s="552"/>
      <c r="AO1084" s="552"/>
      <c r="AP1084" s="552"/>
      <c r="AQ1084" s="552" t="s">
        <v>7715</v>
      </c>
      <c r="AR1084" s="552" t="s">
        <v>6697</v>
      </c>
      <c r="AS1084" s="552" t="s">
        <v>6967</v>
      </c>
      <c r="AT1084" s="552" t="s">
        <v>726</v>
      </c>
    </row>
    <row r="1085" spans="1:46" ht="14.7" customHeight="1">
      <c r="A1085" s="706"/>
      <c r="B1085" s="540" t="s">
        <v>3695</v>
      </c>
      <c r="C1085" s="539" t="s">
        <v>7753</v>
      </c>
      <c r="D1085" s="709"/>
      <c r="E1085" s="552"/>
      <c r="F1085" s="552"/>
      <c r="G1085" s="552" t="s">
        <v>8229</v>
      </c>
      <c r="H1085" s="552"/>
      <c r="I1085" s="552"/>
      <c r="J1085" s="552"/>
      <c r="K1085" s="552"/>
      <c r="L1085" s="552"/>
      <c r="M1085" s="552"/>
      <c r="N1085" s="552"/>
      <c r="O1085" s="552"/>
      <c r="P1085" s="552"/>
      <c r="Q1085" s="552"/>
      <c r="R1085" s="552">
        <v>1</v>
      </c>
      <c r="S1085" s="552"/>
      <c r="T1085" s="552"/>
      <c r="U1085" s="552"/>
      <c r="V1085" s="552"/>
      <c r="W1085" s="552"/>
      <c r="X1085" s="552"/>
      <c r="Y1085" s="552">
        <v>2</v>
      </c>
      <c r="Z1085" s="552"/>
      <c r="AA1085" s="552"/>
      <c r="AB1085" s="552"/>
      <c r="AC1085" s="552"/>
      <c r="AD1085" s="552"/>
      <c r="AE1085" s="552"/>
      <c r="AF1085" s="552"/>
      <c r="AG1085" s="552"/>
      <c r="AH1085" s="552"/>
      <c r="AI1085" s="552"/>
      <c r="AJ1085" s="552"/>
      <c r="AK1085" s="552"/>
      <c r="AL1085" s="552"/>
      <c r="AM1085" s="552"/>
      <c r="AN1085" s="552"/>
      <c r="AO1085" s="552"/>
      <c r="AP1085" s="552"/>
      <c r="AQ1085" s="552" t="s">
        <v>7715</v>
      </c>
      <c r="AR1085" s="552" t="s">
        <v>2802</v>
      </c>
      <c r="AS1085" s="552" t="s">
        <v>6967</v>
      </c>
      <c r="AT1085" s="552" t="s">
        <v>726</v>
      </c>
    </row>
    <row r="1086" spans="1:46" ht="14.7" customHeight="1">
      <c r="A1086" s="706"/>
      <c r="B1086" s="540" t="s">
        <v>3695</v>
      </c>
      <c r="C1086" s="539" t="s">
        <v>7753</v>
      </c>
      <c r="D1086" s="709"/>
      <c r="E1086" s="552"/>
      <c r="F1086" s="552"/>
      <c r="G1086" s="552"/>
      <c r="H1086" s="552"/>
      <c r="I1086" s="552"/>
      <c r="J1086" s="552"/>
      <c r="K1086" s="552"/>
      <c r="L1086" s="552"/>
      <c r="M1086" s="552"/>
      <c r="N1086" s="552"/>
      <c r="O1086" s="552"/>
      <c r="P1086" s="552"/>
      <c r="Q1086" s="552"/>
      <c r="R1086" s="552"/>
      <c r="S1086" s="552"/>
      <c r="T1086" s="552"/>
      <c r="U1086" s="552"/>
      <c r="V1086" s="552"/>
      <c r="W1086" s="552"/>
      <c r="X1086" s="552"/>
      <c r="Y1086" s="552"/>
      <c r="Z1086" s="552"/>
      <c r="AA1086" s="552"/>
      <c r="AB1086" s="552"/>
      <c r="AC1086" s="552"/>
      <c r="AD1086" s="552"/>
      <c r="AE1086" s="552"/>
      <c r="AF1086" s="552"/>
      <c r="AG1086" s="552"/>
      <c r="AH1086" s="552"/>
      <c r="AI1086" s="552"/>
      <c r="AJ1086" s="552"/>
      <c r="AK1086" s="552"/>
      <c r="AL1086" s="552"/>
      <c r="AM1086" s="552"/>
      <c r="AN1086" s="552"/>
      <c r="AO1086" s="552"/>
      <c r="AP1086" s="552"/>
      <c r="AQ1086" s="552" t="s">
        <v>7715</v>
      </c>
      <c r="AR1086" s="552" t="s">
        <v>2802</v>
      </c>
      <c r="AS1086" s="552" t="s">
        <v>6967</v>
      </c>
      <c r="AT1086" s="552" t="s">
        <v>726</v>
      </c>
    </row>
    <row r="1087" spans="1:46" ht="14.7" customHeight="1">
      <c r="A1087" s="706" t="s">
        <v>6554</v>
      </c>
      <c r="B1087" s="707" t="s">
        <v>3696</v>
      </c>
      <c r="C1087" s="539" t="s">
        <v>7753</v>
      </c>
      <c r="D1087" s="709" t="s">
        <v>8230</v>
      </c>
      <c r="E1087" s="552" t="s">
        <v>8172</v>
      </c>
      <c r="F1087" s="552"/>
      <c r="G1087" s="552" t="s">
        <v>8229</v>
      </c>
      <c r="H1087" s="552"/>
      <c r="I1087" s="552"/>
      <c r="J1087" s="552"/>
      <c r="K1087" s="552"/>
      <c r="L1087" s="552"/>
      <c r="M1087" s="552"/>
      <c r="N1087" s="552">
        <v>20</v>
      </c>
      <c r="O1087" s="552"/>
      <c r="P1087" s="552"/>
      <c r="Q1087" s="552"/>
      <c r="R1087" s="552"/>
      <c r="S1087" s="552"/>
      <c r="T1087" s="552"/>
      <c r="U1087" s="552"/>
      <c r="V1087" s="552"/>
      <c r="W1087" s="552"/>
      <c r="X1087" s="552"/>
      <c r="Y1087" s="552"/>
      <c r="Z1087" s="552"/>
      <c r="AA1087" s="552"/>
      <c r="AB1087" s="552"/>
      <c r="AC1087" s="552"/>
      <c r="AD1087" s="552"/>
      <c r="AE1087" s="552"/>
      <c r="AF1087" s="552"/>
      <c r="AG1087" s="552"/>
      <c r="AH1087" s="552"/>
      <c r="AI1087" s="552"/>
      <c r="AJ1087" s="552"/>
      <c r="AK1087" s="552"/>
      <c r="AL1087" s="552"/>
      <c r="AM1087" s="552"/>
      <c r="AN1087" s="552"/>
      <c r="AO1087" s="552"/>
      <c r="AP1087" s="552"/>
      <c r="AQ1087" s="552" t="s">
        <v>7715</v>
      </c>
      <c r="AR1087" s="552" t="s">
        <v>2805</v>
      </c>
      <c r="AS1087" s="552" t="s">
        <v>6967</v>
      </c>
      <c r="AT1087" s="552" t="s">
        <v>726</v>
      </c>
    </row>
    <row r="1088" spans="1:46" ht="14.7" customHeight="1">
      <c r="A1088" s="706"/>
      <c r="B1088" s="707" t="s">
        <v>3696</v>
      </c>
      <c r="C1088" s="539" t="s">
        <v>7753</v>
      </c>
      <c r="D1088" s="709"/>
      <c r="E1088" s="552"/>
      <c r="F1088" s="552"/>
      <c r="G1088" s="552"/>
      <c r="H1088" s="552"/>
      <c r="I1088" s="552"/>
      <c r="J1088" s="552"/>
      <c r="K1088" s="552"/>
      <c r="L1088" s="552"/>
      <c r="M1088" s="552"/>
      <c r="N1088" s="552"/>
      <c r="O1088" s="552"/>
      <c r="P1088" s="552"/>
      <c r="Q1088" s="552"/>
      <c r="R1088" s="552"/>
      <c r="S1088" s="552"/>
      <c r="T1088" s="552"/>
      <c r="U1088" s="552"/>
      <c r="V1088" s="552"/>
      <c r="W1088" s="552"/>
      <c r="X1088" s="552"/>
      <c r="Y1088" s="552">
        <v>2</v>
      </c>
      <c r="Z1088" s="552"/>
      <c r="AA1088" s="552"/>
      <c r="AB1088" s="552"/>
      <c r="AC1088" s="552"/>
      <c r="AD1088" s="552"/>
      <c r="AE1088" s="552"/>
      <c r="AF1088" s="552"/>
      <c r="AG1088" s="552"/>
      <c r="AH1088" s="552"/>
      <c r="AI1088" s="552"/>
      <c r="AJ1088" s="552"/>
      <c r="AK1088" s="552"/>
      <c r="AL1088" s="552"/>
      <c r="AM1088" s="552"/>
      <c r="AN1088" s="552"/>
      <c r="AO1088" s="552"/>
      <c r="AP1088" s="552"/>
      <c r="AQ1088" s="552" t="s">
        <v>7715</v>
      </c>
      <c r="AR1088" s="552" t="s">
        <v>2805</v>
      </c>
      <c r="AS1088" s="552" t="s">
        <v>6967</v>
      </c>
      <c r="AT1088" s="552" t="s">
        <v>726</v>
      </c>
    </row>
    <row r="1089" spans="1:46" ht="14.7" customHeight="1">
      <c r="A1089" s="706" t="s">
        <v>6555</v>
      </c>
      <c r="B1089" s="556" t="s">
        <v>3697</v>
      </c>
      <c r="C1089" s="539" t="s">
        <v>7753</v>
      </c>
      <c r="D1089" s="709" t="s">
        <v>8231</v>
      </c>
      <c r="E1089" s="552" t="s">
        <v>8172</v>
      </c>
      <c r="F1089" s="552"/>
      <c r="G1089" s="552" t="s">
        <v>8229</v>
      </c>
      <c r="H1089" s="552"/>
      <c r="I1089" s="552"/>
      <c r="J1089" s="552"/>
      <c r="K1089" s="552"/>
      <c r="L1089" s="552"/>
      <c r="M1089" s="552"/>
      <c r="N1089" s="552"/>
      <c r="O1089" s="552"/>
      <c r="P1089" s="552"/>
      <c r="Q1089" s="552">
        <v>2</v>
      </c>
      <c r="R1089" s="552"/>
      <c r="S1089" s="552"/>
      <c r="T1089" s="552"/>
      <c r="U1089" s="552"/>
      <c r="V1089" s="552"/>
      <c r="W1089" s="552"/>
      <c r="X1089" s="552">
        <v>2</v>
      </c>
      <c r="Y1089" s="552"/>
      <c r="Z1089" s="552"/>
      <c r="AA1089" s="552"/>
      <c r="AB1089" s="552"/>
      <c r="AC1089" s="552"/>
      <c r="AD1089" s="552"/>
      <c r="AE1089" s="552"/>
      <c r="AF1089" s="552"/>
      <c r="AG1089" s="552"/>
      <c r="AH1089" s="552"/>
      <c r="AI1089" s="552"/>
      <c r="AJ1089" s="552">
        <v>20</v>
      </c>
      <c r="AK1089" s="552"/>
      <c r="AL1089" s="552"/>
      <c r="AM1089" s="552"/>
      <c r="AN1089" s="552"/>
      <c r="AO1089" s="552"/>
      <c r="AP1089" s="552"/>
      <c r="AQ1089" s="552" t="s">
        <v>7715</v>
      </c>
      <c r="AR1089" s="552" t="s">
        <v>2875</v>
      </c>
      <c r="AS1089" s="552" t="s">
        <v>6967</v>
      </c>
      <c r="AT1089" s="552" t="s">
        <v>726</v>
      </c>
    </row>
    <row r="1090" spans="1:46" ht="14.7" customHeight="1">
      <c r="A1090" s="706" t="s">
        <v>6556</v>
      </c>
      <c r="B1090" s="556" t="s">
        <v>3697</v>
      </c>
      <c r="C1090" s="539" t="s">
        <v>7753</v>
      </c>
      <c r="D1090" s="709" t="s">
        <v>8232</v>
      </c>
      <c r="E1090" s="552" t="s">
        <v>8172</v>
      </c>
      <c r="F1090" s="552"/>
      <c r="G1090" s="552" t="s">
        <v>8229</v>
      </c>
      <c r="H1090" s="552"/>
      <c r="I1090" s="552"/>
      <c r="J1090" s="552"/>
      <c r="K1090" s="552" t="s">
        <v>8233</v>
      </c>
      <c r="L1090" s="552"/>
      <c r="M1090" s="552"/>
      <c r="N1090" s="552"/>
      <c r="O1090" s="552"/>
      <c r="P1090" s="552"/>
      <c r="Q1090" s="552"/>
      <c r="R1090" s="552"/>
      <c r="S1090" s="552"/>
      <c r="T1090" s="552"/>
      <c r="U1090" s="552"/>
      <c r="V1090" s="552"/>
      <c r="W1090" s="552"/>
      <c r="X1090" s="552"/>
      <c r="Y1090" s="552"/>
      <c r="Z1090" s="552"/>
      <c r="AA1090" s="552"/>
      <c r="AB1090" s="552"/>
      <c r="AC1090" s="552"/>
      <c r="AD1090" s="552"/>
      <c r="AE1090" s="552"/>
      <c r="AF1090" s="552"/>
      <c r="AG1090" s="552"/>
      <c r="AH1090" s="552"/>
      <c r="AI1090" s="552"/>
      <c r="AJ1090" s="552">
        <v>10</v>
      </c>
      <c r="AK1090" s="552"/>
      <c r="AL1090" s="552"/>
      <c r="AM1090" s="552"/>
      <c r="AN1090" s="552"/>
      <c r="AO1090" s="552"/>
      <c r="AP1090" s="709" t="s">
        <v>8234</v>
      </c>
      <c r="AQ1090" s="552" t="s">
        <v>7715</v>
      </c>
      <c r="AR1090" s="552" t="s">
        <v>2875</v>
      </c>
      <c r="AS1090" s="552" t="s">
        <v>6967</v>
      </c>
      <c r="AT1090" s="552" t="s">
        <v>726</v>
      </c>
    </row>
    <row r="1091" spans="1:46" ht="14.7" customHeight="1">
      <c r="A1091" s="706"/>
      <c r="B1091" s="556" t="s">
        <v>3697</v>
      </c>
      <c r="C1091" s="539" t="s">
        <v>7753</v>
      </c>
      <c r="D1091" s="709"/>
      <c r="E1091" s="552"/>
      <c r="F1091" s="552"/>
      <c r="G1091" s="552"/>
      <c r="H1091" s="552"/>
      <c r="I1091" s="552"/>
      <c r="J1091" s="552"/>
      <c r="K1091" s="552"/>
      <c r="L1091" s="552"/>
      <c r="M1091" s="552"/>
      <c r="N1091" s="552"/>
      <c r="O1091" s="552"/>
      <c r="P1091" s="552"/>
      <c r="Q1091" s="552"/>
      <c r="R1091" s="552"/>
      <c r="S1091" s="552"/>
      <c r="T1091" s="552"/>
      <c r="U1091" s="552"/>
      <c r="V1091" s="552"/>
      <c r="W1091" s="552"/>
      <c r="X1091" s="552"/>
      <c r="Y1091" s="552"/>
      <c r="Z1091" s="552"/>
      <c r="AA1091" s="552"/>
      <c r="AB1091" s="552"/>
      <c r="AC1091" s="552"/>
      <c r="AD1091" s="552"/>
      <c r="AE1091" s="552"/>
      <c r="AF1091" s="552"/>
      <c r="AG1091" s="552"/>
      <c r="AH1091" s="552"/>
      <c r="AI1091" s="552"/>
      <c r="AJ1091" s="552"/>
      <c r="AK1091" s="552"/>
      <c r="AL1091" s="552"/>
      <c r="AM1091" s="552"/>
      <c r="AN1091" s="552"/>
      <c r="AO1091" s="552"/>
      <c r="AP1091" s="552"/>
      <c r="AQ1091" s="552" t="s">
        <v>7715</v>
      </c>
      <c r="AR1091" s="552" t="s">
        <v>2875</v>
      </c>
      <c r="AS1091" s="552" t="s">
        <v>6967</v>
      </c>
      <c r="AT1091" s="552" t="s">
        <v>726</v>
      </c>
    </row>
    <row r="1092" spans="1:46" ht="14.7" customHeight="1">
      <c r="A1092" s="706" t="s">
        <v>6557</v>
      </c>
      <c r="B1092" s="557" t="s">
        <v>3698</v>
      </c>
      <c r="C1092" s="539" t="s">
        <v>7753</v>
      </c>
      <c r="D1092" s="709" t="s">
        <v>8235</v>
      </c>
      <c r="E1092" s="552" t="s">
        <v>8172</v>
      </c>
      <c r="F1092" s="552"/>
      <c r="G1092" s="552" t="s">
        <v>8229</v>
      </c>
      <c r="H1092" s="552"/>
      <c r="I1092" s="552"/>
      <c r="J1092" s="552"/>
      <c r="K1092" s="552"/>
      <c r="L1092" s="552"/>
      <c r="M1092" s="552"/>
      <c r="N1092" s="552">
        <v>25</v>
      </c>
      <c r="O1092" s="552"/>
      <c r="P1092" s="552"/>
      <c r="Q1092" s="552"/>
      <c r="R1092" s="552">
        <v>2</v>
      </c>
      <c r="S1092" s="552">
        <v>1</v>
      </c>
      <c r="T1092" s="552"/>
      <c r="U1092" s="552">
        <v>1</v>
      </c>
      <c r="V1092" s="552"/>
      <c r="W1092" s="552"/>
      <c r="X1092" s="552">
        <v>2</v>
      </c>
      <c r="Y1092" s="552"/>
      <c r="Z1092" s="552"/>
      <c r="AA1092" s="552"/>
      <c r="AB1092" s="552"/>
      <c r="AC1092" s="552"/>
      <c r="AD1092" s="552"/>
      <c r="AE1092" s="552"/>
      <c r="AF1092" s="552"/>
      <c r="AG1092" s="552"/>
      <c r="AH1092" s="552"/>
      <c r="AI1092" s="552"/>
      <c r="AJ1092" s="552"/>
      <c r="AK1092" s="552"/>
      <c r="AL1092" s="552"/>
      <c r="AM1092" s="552"/>
      <c r="AN1092" s="552"/>
      <c r="AO1092" s="552"/>
      <c r="AP1092" s="552"/>
      <c r="AQ1092" s="552" t="s">
        <v>7715</v>
      </c>
      <c r="AR1092" s="552" t="s">
        <v>2998</v>
      </c>
      <c r="AS1092" s="552" t="s">
        <v>6967</v>
      </c>
      <c r="AT1092" s="552" t="s">
        <v>726</v>
      </c>
    </row>
    <row r="1093" spans="1:46" ht="14.7" customHeight="1">
      <c r="A1093" s="706" t="s">
        <v>6558</v>
      </c>
      <c r="B1093" s="557" t="s">
        <v>3698</v>
      </c>
      <c r="C1093" s="539" t="s">
        <v>7753</v>
      </c>
      <c r="D1093" s="709" t="s">
        <v>8236</v>
      </c>
      <c r="E1093" s="552" t="s">
        <v>8172</v>
      </c>
      <c r="F1093" s="552"/>
      <c r="G1093" s="552" t="s">
        <v>8229</v>
      </c>
      <c r="H1093" s="552"/>
      <c r="I1093" s="552"/>
      <c r="J1093" s="552"/>
      <c r="K1093" s="552"/>
      <c r="L1093" s="552"/>
      <c r="M1093" s="552"/>
      <c r="N1093" s="552"/>
      <c r="O1093" s="552"/>
      <c r="P1093" s="552"/>
      <c r="Q1093" s="552">
        <v>2</v>
      </c>
      <c r="R1093" s="552"/>
      <c r="S1093" s="552"/>
      <c r="T1093" s="552"/>
      <c r="U1093" s="552"/>
      <c r="V1093" s="552"/>
      <c r="W1093" s="552"/>
      <c r="X1093" s="552"/>
      <c r="Y1093" s="552"/>
      <c r="Z1093" s="552"/>
      <c r="AA1093" s="552"/>
      <c r="AB1093" s="552"/>
      <c r="AC1093" s="552"/>
      <c r="AD1093" s="552"/>
      <c r="AE1093" s="552"/>
      <c r="AF1093" s="552"/>
      <c r="AG1093" s="552"/>
      <c r="AH1093" s="552"/>
      <c r="AI1093" s="552"/>
      <c r="AJ1093" s="552"/>
      <c r="AK1093" s="552"/>
      <c r="AL1093" s="552"/>
      <c r="AM1093" s="552"/>
      <c r="AN1093" s="552"/>
      <c r="AO1093" s="717" t="s">
        <v>8237</v>
      </c>
      <c r="AP1093" s="552"/>
      <c r="AQ1093" s="552" t="s">
        <v>7715</v>
      </c>
      <c r="AR1093" s="552" t="s">
        <v>2998</v>
      </c>
      <c r="AS1093" s="552" t="s">
        <v>6967</v>
      </c>
      <c r="AT1093" s="552" t="s">
        <v>726</v>
      </c>
    </row>
    <row r="1094" spans="1:46" ht="14.7" customHeight="1">
      <c r="A1094" s="706" t="s">
        <v>6559</v>
      </c>
      <c r="B1094" s="557" t="s">
        <v>3698</v>
      </c>
      <c r="C1094" s="539" t="s">
        <v>7753</v>
      </c>
      <c r="D1094" s="709" t="s">
        <v>8238</v>
      </c>
      <c r="E1094" s="552" t="s">
        <v>8172</v>
      </c>
      <c r="F1094" s="552"/>
      <c r="G1094" s="552" t="s">
        <v>8229</v>
      </c>
      <c r="H1094" s="552"/>
      <c r="I1094" s="552"/>
      <c r="J1094" s="552"/>
      <c r="K1094" s="552"/>
      <c r="L1094" s="552"/>
      <c r="M1094" s="552"/>
      <c r="N1094" s="552"/>
      <c r="O1094" s="552"/>
      <c r="P1094" s="552"/>
      <c r="Q1094" s="552"/>
      <c r="R1094" s="552"/>
      <c r="S1094" s="552"/>
      <c r="T1094" s="552"/>
      <c r="U1094" s="552"/>
      <c r="V1094" s="552"/>
      <c r="W1094" s="552"/>
      <c r="X1094" s="552"/>
      <c r="Y1094" s="552"/>
      <c r="Z1094" s="552"/>
      <c r="AA1094" s="552"/>
      <c r="AB1094" s="552"/>
      <c r="AC1094" s="552"/>
      <c r="AD1094" s="552"/>
      <c r="AE1094" s="552"/>
      <c r="AF1094" s="552"/>
      <c r="AG1094" s="552"/>
      <c r="AH1094" s="552"/>
      <c r="AI1094" s="552"/>
      <c r="AJ1094" s="552"/>
      <c r="AK1094" s="552"/>
      <c r="AL1094" s="552"/>
      <c r="AM1094" s="552"/>
      <c r="AN1094" s="552"/>
      <c r="AO1094" s="717" t="s">
        <v>8239</v>
      </c>
      <c r="AP1094" s="552"/>
      <c r="AQ1094" s="552" t="s">
        <v>7715</v>
      </c>
      <c r="AR1094" s="552" t="s">
        <v>2998</v>
      </c>
      <c r="AS1094" s="552" t="s">
        <v>6967</v>
      </c>
      <c r="AT1094" s="552" t="s">
        <v>726</v>
      </c>
    </row>
    <row r="1095" spans="1:46" ht="14.7" customHeight="1">
      <c r="A1095" s="706"/>
      <c r="B1095" s="557" t="s">
        <v>3698</v>
      </c>
      <c r="C1095" s="539" t="s">
        <v>7753</v>
      </c>
      <c r="D1095" s="709"/>
      <c r="E1095" s="552"/>
      <c r="F1095" s="552"/>
      <c r="G1095" s="552"/>
      <c r="H1095" s="552"/>
      <c r="I1095" s="552"/>
      <c r="J1095" s="552"/>
      <c r="K1095" s="552"/>
      <c r="L1095" s="552"/>
      <c r="M1095" s="552"/>
      <c r="N1095" s="552"/>
      <c r="O1095" s="552"/>
      <c r="P1095" s="552"/>
      <c r="Q1095" s="552"/>
      <c r="R1095" s="552"/>
      <c r="S1095" s="552"/>
      <c r="T1095" s="552"/>
      <c r="U1095" s="552"/>
      <c r="V1095" s="552"/>
      <c r="W1095" s="552"/>
      <c r="X1095" s="552"/>
      <c r="Y1095" s="552"/>
      <c r="Z1095" s="552"/>
      <c r="AA1095" s="552"/>
      <c r="AB1095" s="552"/>
      <c r="AC1095" s="552"/>
      <c r="AD1095" s="552"/>
      <c r="AE1095" s="552"/>
      <c r="AF1095" s="552"/>
      <c r="AG1095" s="552"/>
      <c r="AH1095" s="552"/>
      <c r="AI1095" s="552"/>
      <c r="AJ1095" s="552"/>
      <c r="AK1095" s="552"/>
      <c r="AL1095" s="552"/>
      <c r="AM1095" s="552"/>
      <c r="AN1095" s="552"/>
      <c r="AO1095" s="552"/>
      <c r="AP1095" s="552"/>
      <c r="AQ1095" s="552" t="s">
        <v>7715</v>
      </c>
      <c r="AR1095" s="552" t="s">
        <v>2998</v>
      </c>
      <c r="AS1095" s="552" t="s">
        <v>6967</v>
      </c>
      <c r="AT1095" s="552" t="s">
        <v>726</v>
      </c>
    </row>
    <row r="1096" spans="1:46" ht="14.7" customHeight="1">
      <c r="A1096" s="706" t="s">
        <v>6560</v>
      </c>
      <c r="B1096" s="344" t="s">
        <v>3699</v>
      </c>
      <c r="C1096" s="539" t="s">
        <v>7753</v>
      </c>
      <c r="D1096" s="709" t="s">
        <v>8240</v>
      </c>
      <c r="E1096" s="552" t="s">
        <v>8172</v>
      </c>
      <c r="F1096" s="552"/>
      <c r="G1096" s="552" t="s">
        <v>8229</v>
      </c>
      <c r="H1096" s="552"/>
      <c r="I1096" s="552"/>
      <c r="J1096" s="552"/>
      <c r="K1096" s="552"/>
      <c r="L1096" s="552"/>
      <c r="M1096" s="552"/>
      <c r="N1096" s="552"/>
      <c r="O1096" s="552"/>
      <c r="P1096" s="552"/>
      <c r="Q1096" s="552"/>
      <c r="R1096" s="552"/>
      <c r="S1096" s="552"/>
      <c r="T1096" s="552"/>
      <c r="U1096" s="552"/>
      <c r="V1096" s="552"/>
      <c r="W1096" s="552"/>
      <c r="X1096" s="552"/>
      <c r="Y1096" s="552"/>
      <c r="Z1096" s="552"/>
      <c r="AA1096" s="552"/>
      <c r="AB1096" s="552"/>
      <c r="AC1096" s="552"/>
      <c r="AD1096" s="552"/>
      <c r="AE1096" s="552"/>
      <c r="AF1096" s="552"/>
      <c r="AG1096" s="552"/>
      <c r="AH1096" s="552"/>
      <c r="AI1096" s="552"/>
      <c r="AJ1096" s="552"/>
      <c r="AK1096" s="552"/>
      <c r="AL1096" s="552"/>
      <c r="AM1096" s="552"/>
      <c r="AN1096" s="552"/>
      <c r="AO1096" s="717" t="s">
        <v>8241</v>
      </c>
      <c r="AP1096" s="552"/>
      <c r="AQ1096" s="552" t="s">
        <v>7715</v>
      </c>
      <c r="AR1096" s="552" t="s">
        <v>2809</v>
      </c>
      <c r="AS1096" s="552" t="s">
        <v>6967</v>
      </c>
      <c r="AT1096" s="552" t="s">
        <v>726</v>
      </c>
    </row>
    <row r="1097" spans="1:46" ht="14.7" customHeight="1">
      <c r="A1097" s="706" t="s">
        <v>9104</v>
      </c>
      <c r="B1097" s="344" t="s">
        <v>3699</v>
      </c>
      <c r="C1097" s="539" t="s">
        <v>7753</v>
      </c>
      <c r="D1097" s="709" t="s">
        <v>8242</v>
      </c>
      <c r="E1097" s="552" t="s">
        <v>8172</v>
      </c>
      <c r="F1097" s="552"/>
      <c r="G1097" s="552" t="s">
        <v>8229</v>
      </c>
      <c r="H1097" s="552"/>
      <c r="I1097" s="552"/>
      <c r="J1097" s="552"/>
      <c r="K1097" s="552"/>
      <c r="L1097" s="552"/>
      <c r="M1097" s="552"/>
      <c r="N1097" s="552"/>
      <c r="O1097" s="552"/>
      <c r="P1097" s="552"/>
      <c r="Q1097" s="552">
        <v>4</v>
      </c>
      <c r="R1097" s="552"/>
      <c r="S1097" s="552"/>
      <c r="T1097" s="552"/>
      <c r="U1097" s="552"/>
      <c r="V1097" s="552"/>
      <c r="W1097" s="552"/>
      <c r="X1097" s="552"/>
      <c r="Y1097" s="552">
        <v>4</v>
      </c>
      <c r="Z1097" s="552"/>
      <c r="AA1097" s="552"/>
      <c r="AB1097" s="552"/>
      <c r="AC1097" s="552"/>
      <c r="AD1097" s="552"/>
      <c r="AE1097" s="552"/>
      <c r="AF1097" s="552"/>
      <c r="AG1097" s="552"/>
      <c r="AH1097" s="552"/>
      <c r="AI1097" s="552"/>
      <c r="AJ1097" s="552"/>
      <c r="AK1097" s="552"/>
      <c r="AL1097" s="552">
        <v>20</v>
      </c>
      <c r="AM1097" s="552"/>
      <c r="AN1097" s="552"/>
      <c r="AO1097" s="713" t="s">
        <v>9118</v>
      </c>
      <c r="AP1097" s="552"/>
      <c r="AQ1097" s="552" t="s">
        <v>7715</v>
      </c>
      <c r="AR1097" s="552" t="s">
        <v>2809</v>
      </c>
      <c r="AS1097" s="552" t="s">
        <v>6967</v>
      </c>
      <c r="AT1097" s="552" t="s">
        <v>726</v>
      </c>
    </row>
    <row r="1098" spans="1:46" ht="14.7" customHeight="1">
      <c r="A1098" s="706"/>
      <c r="B1098" s="344" t="s">
        <v>3699</v>
      </c>
      <c r="C1098" s="539" t="s">
        <v>7753</v>
      </c>
      <c r="D1098" s="709"/>
      <c r="E1098" s="552"/>
      <c r="F1098" s="552"/>
      <c r="G1098" s="552"/>
      <c r="H1098" s="552"/>
      <c r="I1098" s="552"/>
      <c r="J1098" s="552"/>
      <c r="K1098" s="552"/>
      <c r="L1098" s="552"/>
      <c r="M1098" s="552"/>
      <c r="N1098" s="552"/>
      <c r="O1098" s="552"/>
      <c r="P1098" s="552"/>
      <c r="Q1098" s="552"/>
      <c r="R1098" s="552"/>
      <c r="S1098" s="552"/>
      <c r="T1098" s="552"/>
      <c r="U1098" s="552"/>
      <c r="V1098" s="552"/>
      <c r="W1098" s="552"/>
      <c r="X1098" s="552"/>
      <c r="Y1098" s="552"/>
      <c r="Z1098" s="552"/>
      <c r="AA1098" s="552"/>
      <c r="AB1098" s="552"/>
      <c r="AC1098" s="552"/>
      <c r="AD1098" s="552"/>
      <c r="AE1098" s="552"/>
      <c r="AF1098" s="552"/>
      <c r="AG1098" s="552"/>
      <c r="AH1098" s="552"/>
      <c r="AI1098" s="552"/>
      <c r="AJ1098" s="552"/>
      <c r="AK1098" s="552"/>
      <c r="AL1098" s="552"/>
      <c r="AM1098" s="552"/>
      <c r="AN1098" s="552"/>
      <c r="AO1098" s="552"/>
      <c r="AP1098" s="552"/>
      <c r="AQ1098" s="552" t="s">
        <v>7715</v>
      </c>
      <c r="AR1098" s="552" t="s">
        <v>2809</v>
      </c>
      <c r="AS1098" s="552" t="s">
        <v>6967</v>
      </c>
      <c r="AT1098" s="552" t="s">
        <v>726</v>
      </c>
    </row>
    <row r="1099" spans="1:46" ht="14.7" customHeight="1">
      <c r="A1099" s="706"/>
      <c r="B1099" s="344" t="s">
        <v>3699</v>
      </c>
      <c r="C1099" s="539" t="s">
        <v>7753</v>
      </c>
      <c r="D1099" s="709"/>
      <c r="E1099" s="552"/>
      <c r="F1099" s="552"/>
      <c r="G1099" s="552"/>
      <c r="H1099" s="552"/>
      <c r="I1099" s="552"/>
      <c r="J1099" s="552"/>
      <c r="K1099" s="552"/>
      <c r="L1099" s="552"/>
      <c r="M1099" s="552"/>
      <c r="N1099" s="552"/>
      <c r="O1099" s="552"/>
      <c r="P1099" s="552"/>
      <c r="Q1099" s="552"/>
      <c r="R1099" s="552"/>
      <c r="S1099" s="552"/>
      <c r="T1099" s="552"/>
      <c r="U1099" s="552"/>
      <c r="V1099" s="552"/>
      <c r="W1099" s="552"/>
      <c r="X1099" s="552"/>
      <c r="Y1099" s="552"/>
      <c r="Z1099" s="552"/>
      <c r="AA1099" s="552"/>
      <c r="AB1099" s="552"/>
      <c r="AC1099" s="552"/>
      <c r="AD1099" s="552"/>
      <c r="AE1099" s="552"/>
      <c r="AF1099" s="552"/>
      <c r="AG1099" s="552"/>
      <c r="AH1099" s="552"/>
      <c r="AI1099" s="552"/>
      <c r="AJ1099" s="552"/>
      <c r="AK1099" s="552"/>
      <c r="AL1099" s="552"/>
      <c r="AM1099" s="552"/>
      <c r="AN1099" s="552"/>
      <c r="AO1099" s="552"/>
      <c r="AP1099" s="552"/>
      <c r="AQ1099" s="552" t="s">
        <v>7715</v>
      </c>
      <c r="AR1099" s="552" t="s">
        <v>2809</v>
      </c>
      <c r="AS1099" s="552" t="s">
        <v>6967</v>
      </c>
      <c r="AT1099" s="552" t="s">
        <v>726</v>
      </c>
    </row>
    <row r="1100" spans="1:46" ht="14.7" customHeight="1">
      <c r="A1100" s="706"/>
      <c r="B1100" s="344" t="s">
        <v>3699</v>
      </c>
      <c r="C1100" s="539" t="s">
        <v>7753</v>
      </c>
      <c r="D1100" s="709"/>
      <c r="E1100" s="552"/>
      <c r="F1100" s="552"/>
      <c r="G1100" s="552"/>
      <c r="H1100" s="552"/>
      <c r="I1100" s="552"/>
      <c r="J1100" s="552"/>
      <c r="K1100" s="552"/>
      <c r="L1100" s="552"/>
      <c r="M1100" s="552"/>
      <c r="N1100" s="552"/>
      <c r="O1100" s="552"/>
      <c r="P1100" s="552"/>
      <c r="Q1100" s="552"/>
      <c r="R1100" s="552"/>
      <c r="S1100" s="552"/>
      <c r="T1100" s="552"/>
      <c r="U1100" s="552"/>
      <c r="V1100" s="552"/>
      <c r="W1100" s="552"/>
      <c r="X1100" s="552"/>
      <c r="Y1100" s="552"/>
      <c r="Z1100" s="552"/>
      <c r="AA1100" s="552"/>
      <c r="AB1100" s="552"/>
      <c r="AC1100" s="552"/>
      <c r="AD1100" s="552"/>
      <c r="AE1100" s="552"/>
      <c r="AF1100" s="552"/>
      <c r="AG1100" s="552"/>
      <c r="AH1100" s="552"/>
      <c r="AI1100" s="552"/>
      <c r="AJ1100" s="552"/>
      <c r="AK1100" s="552"/>
      <c r="AL1100" s="552"/>
      <c r="AM1100" s="552"/>
      <c r="AN1100" s="552"/>
      <c r="AO1100" s="552"/>
      <c r="AP1100" s="552"/>
      <c r="AQ1100" s="552" t="s">
        <v>7715</v>
      </c>
      <c r="AR1100" s="552" t="s">
        <v>2809</v>
      </c>
      <c r="AS1100" s="552" t="s">
        <v>6967</v>
      </c>
      <c r="AT1100" s="552" t="s">
        <v>726</v>
      </c>
    </row>
    <row r="1101" spans="1:46" ht="14.7" customHeight="1">
      <c r="A1101" s="706" t="s">
        <v>6561</v>
      </c>
      <c r="B1101" s="559" t="s">
        <v>3700</v>
      </c>
      <c r="C1101" s="539" t="s">
        <v>7753</v>
      </c>
      <c r="D1101" s="709" t="s">
        <v>8243</v>
      </c>
      <c r="E1101" s="552" t="s">
        <v>8172</v>
      </c>
      <c r="F1101" s="552"/>
      <c r="G1101" s="552" t="s">
        <v>8229</v>
      </c>
      <c r="H1101" s="552"/>
      <c r="I1101" s="552"/>
      <c r="J1101" s="552"/>
      <c r="K1101" s="552"/>
      <c r="L1101" s="552"/>
      <c r="M1101" s="552"/>
      <c r="N1101" s="552"/>
      <c r="O1101" s="552"/>
      <c r="P1101" s="552"/>
      <c r="Q1101" s="552">
        <v>5</v>
      </c>
      <c r="R1101" s="552"/>
      <c r="S1101" s="552"/>
      <c r="T1101" s="552"/>
      <c r="U1101" s="552"/>
      <c r="V1101" s="552"/>
      <c r="W1101" s="552"/>
      <c r="X1101" s="552"/>
      <c r="Y1101" s="552">
        <v>5</v>
      </c>
      <c r="Z1101" s="552"/>
      <c r="AA1101" s="552"/>
      <c r="AB1101" s="552"/>
      <c r="AC1101" s="552"/>
      <c r="AD1101" s="552"/>
      <c r="AE1101" s="552"/>
      <c r="AF1101" s="552"/>
      <c r="AG1101" s="552"/>
      <c r="AH1101" s="552"/>
      <c r="AI1101" s="552"/>
      <c r="AJ1101" s="552"/>
      <c r="AK1101" s="552"/>
      <c r="AL1101" s="552"/>
      <c r="AM1101" s="552"/>
      <c r="AN1101" s="552"/>
      <c r="AO1101" s="713" t="s">
        <v>8244</v>
      </c>
      <c r="AP1101" s="552"/>
      <c r="AQ1101" s="552" t="s">
        <v>7715</v>
      </c>
      <c r="AR1101" s="552" t="s">
        <v>2971</v>
      </c>
      <c r="AS1101" s="552" t="s">
        <v>6967</v>
      </c>
      <c r="AT1101" s="552" t="s">
        <v>726</v>
      </c>
    </row>
    <row r="1102" spans="1:46" ht="14.7" customHeight="1">
      <c r="A1102" s="706"/>
      <c r="B1102" s="559" t="s">
        <v>3700</v>
      </c>
      <c r="C1102" s="539" t="s">
        <v>7753</v>
      </c>
      <c r="D1102" s="709"/>
      <c r="E1102" s="552"/>
      <c r="F1102" s="552"/>
      <c r="G1102" s="552"/>
      <c r="H1102" s="552"/>
      <c r="I1102" s="552"/>
      <c r="J1102" s="552"/>
      <c r="K1102" s="552"/>
      <c r="L1102" s="552"/>
      <c r="M1102" s="552"/>
      <c r="N1102" s="552"/>
      <c r="O1102" s="552"/>
      <c r="P1102" s="552"/>
      <c r="Q1102" s="552"/>
      <c r="R1102" s="552"/>
      <c r="S1102" s="552"/>
      <c r="T1102" s="552"/>
      <c r="U1102" s="552"/>
      <c r="V1102" s="552"/>
      <c r="W1102" s="552"/>
      <c r="X1102" s="552"/>
      <c r="Y1102" s="552"/>
      <c r="Z1102" s="552"/>
      <c r="AA1102" s="552"/>
      <c r="AB1102" s="552"/>
      <c r="AC1102" s="552"/>
      <c r="AD1102" s="552"/>
      <c r="AE1102" s="552"/>
      <c r="AF1102" s="552"/>
      <c r="AG1102" s="552"/>
      <c r="AH1102" s="552"/>
      <c r="AI1102" s="552"/>
      <c r="AJ1102" s="552"/>
      <c r="AK1102" s="552"/>
      <c r="AL1102" s="552"/>
      <c r="AM1102" s="552"/>
      <c r="AN1102" s="552"/>
      <c r="AO1102" s="552"/>
      <c r="AP1102" s="552"/>
      <c r="AQ1102" s="552" t="s">
        <v>7715</v>
      </c>
      <c r="AR1102" s="552" t="s">
        <v>2971</v>
      </c>
      <c r="AS1102" s="552" t="s">
        <v>6967</v>
      </c>
      <c r="AT1102" s="552" t="s">
        <v>726</v>
      </c>
    </row>
    <row r="1103" spans="1:46" ht="14.7" customHeight="1">
      <c r="A1103" s="706"/>
      <c r="B1103" s="711" t="s">
        <v>6055</v>
      </c>
      <c r="C1103" s="539" t="s">
        <v>7753</v>
      </c>
      <c r="D1103" s="709"/>
      <c r="E1103" s="552"/>
      <c r="F1103" s="552"/>
      <c r="G1103" s="552"/>
      <c r="H1103" s="552"/>
      <c r="I1103" s="552"/>
      <c r="J1103" s="552"/>
      <c r="K1103" s="552"/>
      <c r="L1103" s="552"/>
      <c r="M1103" s="552"/>
      <c r="N1103" s="552"/>
      <c r="O1103" s="552"/>
      <c r="P1103" s="552"/>
      <c r="Q1103" s="552"/>
      <c r="R1103" s="552"/>
      <c r="S1103" s="552"/>
      <c r="T1103" s="552"/>
      <c r="U1103" s="552"/>
      <c r="V1103" s="552"/>
      <c r="W1103" s="552"/>
      <c r="X1103" s="552"/>
      <c r="Y1103" s="552"/>
      <c r="Z1103" s="552"/>
      <c r="AA1103" s="552"/>
      <c r="AB1103" s="552"/>
      <c r="AC1103" s="552"/>
      <c r="AD1103" s="552"/>
      <c r="AE1103" s="552"/>
      <c r="AF1103" s="552"/>
      <c r="AG1103" s="552"/>
      <c r="AH1103" s="552"/>
      <c r="AI1103" s="552"/>
      <c r="AJ1103" s="552"/>
      <c r="AK1103" s="552"/>
      <c r="AL1103" s="552"/>
      <c r="AM1103" s="552"/>
      <c r="AN1103" s="552"/>
      <c r="AO1103" s="552"/>
      <c r="AP1103" s="552"/>
      <c r="AQ1103" s="552" t="s">
        <v>7715</v>
      </c>
      <c r="AR1103" s="552" t="s">
        <v>6697</v>
      </c>
      <c r="AS1103" s="552" t="s">
        <v>6967</v>
      </c>
      <c r="AT1103" s="552" t="s">
        <v>726</v>
      </c>
    </row>
    <row r="1104" spans="1:46" ht="14.7" customHeight="1">
      <c r="A1104" s="706" t="s">
        <v>6562</v>
      </c>
      <c r="B1104" s="540" t="s">
        <v>3695</v>
      </c>
      <c r="C1104" s="539" t="s">
        <v>7753</v>
      </c>
      <c r="D1104" s="709" t="s">
        <v>8245</v>
      </c>
      <c r="E1104" s="552" t="s">
        <v>8246</v>
      </c>
      <c r="F1104" s="552"/>
      <c r="G1104" s="552" t="s">
        <v>8247</v>
      </c>
      <c r="H1104" s="552"/>
      <c r="I1104" s="552"/>
      <c r="J1104" s="552"/>
      <c r="K1104" s="552"/>
      <c r="L1104" s="552"/>
      <c r="M1104" s="552"/>
      <c r="N1104" s="552"/>
      <c r="O1104" s="552"/>
      <c r="P1104" s="552"/>
      <c r="Q1104" s="552"/>
      <c r="R1104" s="552"/>
      <c r="S1104" s="552"/>
      <c r="T1104" s="552"/>
      <c r="U1104" s="552"/>
      <c r="V1104" s="552"/>
      <c r="W1104" s="552"/>
      <c r="X1104" s="552">
        <v>2</v>
      </c>
      <c r="Y1104" s="552"/>
      <c r="Z1104" s="552"/>
      <c r="AA1104" s="552"/>
      <c r="AB1104" s="552"/>
      <c r="AC1104" s="552"/>
      <c r="AD1104" s="552">
        <v>10</v>
      </c>
      <c r="AE1104" s="552"/>
      <c r="AF1104" s="552"/>
      <c r="AG1104" s="552">
        <v>10</v>
      </c>
      <c r="AH1104" s="552">
        <v>-10</v>
      </c>
      <c r="AI1104" s="552"/>
      <c r="AJ1104" s="552"/>
      <c r="AK1104" s="552"/>
      <c r="AL1104" s="552"/>
      <c r="AM1104" s="552"/>
      <c r="AN1104" s="552"/>
      <c r="AO1104" s="552"/>
      <c r="AP1104" s="552"/>
      <c r="AQ1104" s="552" t="s">
        <v>1186</v>
      </c>
      <c r="AR1104" s="552" t="s">
        <v>2802</v>
      </c>
      <c r="AS1104" s="552" t="s">
        <v>6881</v>
      </c>
      <c r="AT1104" s="552" t="s">
        <v>726</v>
      </c>
    </row>
    <row r="1105" spans="1:46" ht="14.7" customHeight="1">
      <c r="A1105" s="706"/>
      <c r="B1105" s="540" t="s">
        <v>3695</v>
      </c>
      <c r="C1105" s="539" t="s">
        <v>7753</v>
      </c>
      <c r="D1105" s="709"/>
      <c r="E1105" s="552"/>
      <c r="F1105" s="552"/>
      <c r="G1105" s="552"/>
      <c r="H1105" s="552"/>
      <c r="I1105" s="552"/>
      <c r="J1105" s="552"/>
      <c r="K1105" s="552"/>
      <c r="L1105" s="552"/>
      <c r="M1105" s="552"/>
      <c r="N1105" s="552"/>
      <c r="O1105" s="552"/>
      <c r="P1105" s="552"/>
      <c r="Q1105" s="552"/>
      <c r="R1105" s="552"/>
      <c r="S1105" s="552"/>
      <c r="T1105" s="552"/>
      <c r="U1105" s="552"/>
      <c r="V1105" s="552"/>
      <c r="W1105" s="552"/>
      <c r="X1105" s="552"/>
      <c r="Y1105" s="552"/>
      <c r="Z1105" s="552"/>
      <c r="AA1105" s="552"/>
      <c r="AB1105" s="552"/>
      <c r="AC1105" s="552"/>
      <c r="AD1105" s="552"/>
      <c r="AE1105" s="552"/>
      <c r="AF1105" s="552"/>
      <c r="AG1105" s="552"/>
      <c r="AH1105" s="552"/>
      <c r="AI1105" s="552"/>
      <c r="AJ1105" s="552"/>
      <c r="AK1105" s="552"/>
      <c r="AL1105" s="552"/>
      <c r="AM1105" s="552"/>
      <c r="AN1105" s="552"/>
      <c r="AO1105" s="552"/>
      <c r="AP1105" s="552"/>
      <c r="AQ1105" s="552" t="s">
        <v>1186</v>
      </c>
      <c r="AR1105" s="552" t="s">
        <v>2802</v>
      </c>
      <c r="AS1105" s="552" t="s">
        <v>6881</v>
      </c>
      <c r="AT1105" s="552" t="s">
        <v>726</v>
      </c>
    </row>
    <row r="1106" spans="1:46" ht="14.7" customHeight="1">
      <c r="A1106" s="706" t="s">
        <v>6563</v>
      </c>
      <c r="B1106" s="707" t="s">
        <v>3696</v>
      </c>
      <c r="C1106" s="539" t="s">
        <v>7753</v>
      </c>
      <c r="D1106" s="709" t="s">
        <v>8248</v>
      </c>
      <c r="E1106" s="552" t="s">
        <v>8249</v>
      </c>
      <c r="F1106" s="552"/>
      <c r="G1106" s="552" t="s">
        <v>8247</v>
      </c>
      <c r="H1106" s="552"/>
      <c r="I1106" s="552"/>
      <c r="J1106" s="552"/>
      <c r="K1106" s="552"/>
      <c r="L1106" s="552"/>
      <c r="M1106" s="552"/>
      <c r="N1106" s="552"/>
      <c r="O1106" s="552"/>
      <c r="P1106" s="552"/>
      <c r="Q1106" s="552"/>
      <c r="R1106" s="552"/>
      <c r="S1106" s="552"/>
      <c r="T1106" s="552"/>
      <c r="U1106" s="552"/>
      <c r="V1106" s="552"/>
      <c r="W1106" s="552"/>
      <c r="X1106" s="552">
        <v>3</v>
      </c>
      <c r="Y1106" s="552"/>
      <c r="Z1106" s="552"/>
      <c r="AA1106" s="552"/>
      <c r="AB1106" s="552"/>
      <c r="AC1106" s="552"/>
      <c r="AD1106" s="552"/>
      <c r="AE1106" s="552"/>
      <c r="AF1106" s="552"/>
      <c r="AG1106" s="552"/>
      <c r="AH1106" s="552"/>
      <c r="AI1106" s="552">
        <v>10</v>
      </c>
      <c r="AJ1106" s="552"/>
      <c r="AK1106" s="552"/>
      <c r="AL1106" s="552"/>
      <c r="AM1106" s="552"/>
      <c r="AN1106" s="552"/>
      <c r="AO1106" s="552"/>
      <c r="AP1106" s="552"/>
      <c r="AQ1106" s="552" t="s">
        <v>1186</v>
      </c>
      <c r="AR1106" s="552" t="s">
        <v>2805</v>
      </c>
      <c r="AS1106" s="552" t="s">
        <v>6881</v>
      </c>
      <c r="AT1106" s="552" t="s">
        <v>726</v>
      </c>
    </row>
    <row r="1107" spans="1:46" ht="14.7" customHeight="1">
      <c r="A1107" s="706"/>
      <c r="B1107" s="707" t="s">
        <v>3696</v>
      </c>
      <c r="C1107" s="539" t="s">
        <v>7753</v>
      </c>
      <c r="D1107" s="709"/>
      <c r="E1107" s="552"/>
      <c r="F1107" s="552"/>
      <c r="G1107" s="552"/>
      <c r="H1107" s="552"/>
      <c r="I1107" s="552"/>
      <c r="J1107" s="552"/>
      <c r="K1107" s="552"/>
      <c r="L1107" s="552"/>
      <c r="M1107" s="552"/>
      <c r="N1107" s="552"/>
      <c r="O1107" s="552"/>
      <c r="P1107" s="552"/>
      <c r="Q1107" s="552"/>
      <c r="R1107" s="552"/>
      <c r="S1107" s="552"/>
      <c r="T1107" s="552"/>
      <c r="U1107" s="552"/>
      <c r="V1107" s="552"/>
      <c r="W1107" s="552"/>
      <c r="X1107" s="552"/>
      <c r="Y1107" s="552"/>
      <c r="Z1107" s="552"/>
      <c r="AA1107" s="552"/>
      <c r="AB1107" s="552"/>
      <c r="AC1107" s="552"/>
      <c r="AD1107" s="552"/>
      <c r="AE1107" s="552"/>
      <c r="AF1107" s="552"/>
      <c r="AG1107" s="552"/>
      <c r="AH1107" s="552"/>
      <c r="AI1107" s="552"/>
      <c r="AJ1107" s="552"/>
      <c r="AK1107" s="552"/>
      <c r="AL1107" s="552"/>
      <c r="AM1107" s="552"/>
      <c r="AN1107" s="552"/>
      <c r="AO1107" s="552"/>
      <c r="AP1107" s="552"/>
      <c r="AQ1107" s="552" t="s">
        <v>1186</v>
      </c>
      <c r="AR1107" s="552" t="s">
        <v>2805</v>
      </c>
      <c r="AS1107" s="552" t="s">
        <v>6881</v>
      </c>
      <c r="AT1107" s="552" t="s">
        <v>726</v>
      </c>
    </row>
    <row r="1108" spans="1:46" ht="14.7" customHeight="1">
      <c r="A1108" s="706" t="s">
        <v>6564</v>
      </c>
      <c r="B1108" s="556" t="s">
        <v>3697</v>
      </c>
      <c r="C1108" s="539" t="s">
        <v>7753</v>
      </c>
      <c r="D1108" s="709" t="s">
        <v>8250</v>
      </c>
      <c r="E1108" s="552" t="s">
        <v>8249</v>
      </c>
      <c r="F1108" s="552"/>
      <c r="G1108" s="552" t="s">
        <v>8247</v>
      </c>
      <c r="H1108" s="552"/>
      <c r="I1108" s="552"/>
      <c r="J1108" s="552"/>
      <c r="K1108" s="552"/>
      <c r="L1108" s="552"/>
      <c r="M1108" s="552"/>
      <c r="N1108" s="552"/>
      <c r="O1108" s="552"/>
      <c r="P1108" s="552">
        <v>1</v>
      </c>
      <c r="Q1108" s="552"/>
      <c r="R1108" s="552"/>
      <c r="S1108" s="552"/>
      <c r="T1108" s="552"/>
      <c r="U1108" s="552"/>
      <c r="V1108" s="552"/>
      <c r="W1108" s="552"/>
      <c r="X1108" s="552">
        <v>4</v>
      </c>
      <c r="Y1108" s="552"/>
      <c r="Z1108" s="552"/>
      <c r="AA1108" s="552"/>
      <c r="AB1108" s="552"/>
      <c r="AC1108" s="552"/>
      <c r="AD1108" s="552"/>
      <c r="AE1108" s="552"/>
      <c r="AF1108" s="552"/>
      <c r="AG1108" s="552"/>
      <c r="AH1108" s="552">
        <v>-10</v>
      </c>
      <c r="AI1108" s="552">
        <v>10</v>
      </c>
      <c r="AJ1108" s="552"/>
      <c r="AK1108" s="552"/>
      <c r="AL1108" s="552"/>
      <c r="AM1108" s="552"/>
      <c r="AN1108" s="552"/>
      <c r="AO1108" s="552"/>
      <c r="AP1108" s="552"/>
      <c r="AQ1108" s="552" t="s">
        <v>1186</v>
      </c>
      <c r="AR1108" s="552" t="s">
        <v>2875</v>
      </c>
      <c r="AS1108" s="552" t="s">
        <v>6881</v>
      </c>
      <c r="AT1108" s="552" t="s">
        <v>726</v>
      </c>
    </row>
    <row r="1109" spans="1:46" ht="14.7" customHeight="1">
      <c r="A1109" s="706" t="s">
        <v>6565</v>
      </c>
      <c r="B1109" s="556" t="s">
        <v>3697</v>
      </c>
      <c r="C1109" s="539" t="s">
        <v>7753</v>
      </c>
      <c r="D1109" s="709" t="s">
        <v>8251</v>
      </c>
      <c r="E1109" s="552" t="s">
        <v>8249</v>
      </c>
      <c r="F1109" s="552"/>
      <c r="G1109" s="552" t="s">
        <v>8247</v>
      </c>
      <c r="H1109" s="552"/>
      <c r="I1109" s="552"/>
      <c r="J1109" s="552"/>
      <c r="K1109" s="552"/>
      <c r="L1109" s="552"/>
      <c r="M1109" s="552"/>
      <c r="N1109" s="552"/>
      <c r="O1109" s="552"/>
      <c r="P1109" s="552"/>
      <c r="Q1109" s="552"/>
      <c r="R1109" s="552"/>
      <c r="S1109" s="552"/>
      <c r="T1109" s="552"/>
      <c r="U1109" s="552"/>
      <c r="V1109" s="552"/>
      <c r="W1109" s="552"/>
      <c r="X1109" s="552">
        <v>1</v>
      </c>
      <c r="Y1109" s="552"/>
      <c r="Z1109" s="552"/>
      <c r="AA1109" s="552"/>
      <c r="AB1109" s="552">
        <v>10</v>
      </c>
      <c r="AC1109" s="552">
        <v>10</v>
      </c>
      <c r="AD1109" s="552">
        <v>10</v>
      </c>
      <c r="AE1109" s="552">
        <v>10</v>
      </c>
      <c r="AF1109" s="552">
        <v>10</v>
      </c>
      <c r="AG1109" s="552">
        <v>10</v>
      </c>
      <c r="AH1109" s="552">
        <v>10</v>
      </c>
      <c r="AI1109" s="552">
        <v>10</v>
      </c>
      <c r="AJ1109" s="552">
        <v>10</v>
      </c>
      <c r="AK1109" s="552"/>
      <c r="AL1109" s="552"/>
      <c r="AM1109" s="552"/>
      <c r="AN1109" s="552"/>
      <c r="AO1109" s="552"/>
      <c r="AP1109" s="552"/>
      <c r="AQ1109" s="552" t="s">
        <v>1186</v>
      </c>
      <c r="AR1109" s="552" t="s">
        <v>2875</v>
      </c>
      <c r="AS1109" s="552" t="s">
        <v>6881</v>
      </c>
      <c r="AT1109" s="552" t="s">
        <v>726</v>
      </c>
    </row>
    <row r="1110" spans="1:46" ht="14.7" customHeight="1">
      <c r="A1110" s="706" t="s">
        <v>6566</v>
      </c>
      <c r="B1110" s="556" t="s">
        <v>3697</v>
      </c>
      <c r="C1110" s="539" t="s">
        <v>7753</v>
      </c>
      <c r="D1110" s="709" t="s">
        <v>8252</v>
      </c>
      <c r="E1110" s="552" t="s">
        <v>8246</v>
      </c>
      <c r="F1110" s="552"/>
      <c r="G1110" s="552" t="s">
        <v>8247</v>
      </c>
      <c r="H1110" s="552"/>
      <c r="I1110" s="552"/>
      <c r="J1110" s="552"/>
      <c r="K1110" s="552"/>
      <c r="L1110" s="552"/>
      <c r="M1110" s="552"/>
      <c r="N1110" s="552"/>
      <c r="O1110" s="552"/>
      <c r="P1110" s="552"/>
      <c r="Q1110" s="552"/>
      <c r="R1110" s="552"/>
      <c r="S1110" s="552"/>
      <c r="T1110" s="552"/>
      <c r="U1110" s="552"/>
      <c r="V1110" s="552"/>
      <c r="W1110" s="552"/>
      <c r="X1110" s="552">
        <v>4</v>
      </c>
      <c r="Y1110" s="552"/>
      <c r="Z1110" s="552"/>
      <c r="AA1110" s="552"/>
      <c r="AB1110" s="552"/>
      <c r="AC1110" s="552"/>
      <c r="AD1110" s="552">
        <v>10</v>
      </c>
      <c r="AE1110" s="552">
        <v>10</v>
      </c>
      <c r="AF1110" s="552"/>
      <c r="AG1110" s="552"/>
      <c r="AH1110" s="552"/>
      <c r="AI1110" s="552"/>
      <c r="AJ1110" s="552"/>
      <c r="AK1110" s="552"/>
      <c r="AL1110" s="552"/>
      <c r="AM1110" s="552"/>
      <c r="AN1110" s="552"/>
      <c r="AO1110" s="552"/>
      <c r="AP1110" s="552"/>
      <c r="AQ1110" s="552" t="s">
        <v>1186</v>
      </c>
      <c r="AR1110" s="552" t="s">
        <v>2875</v>
      </c>
      <c r="AS1110" s="552" t="s">
        <v>6881</v>
      </c>
      <c r="AT1110" s="552" t="s">
        <v>726</v>
      </c>
    </row>
    <row r="1111" spans="1:46" ht="14.7" customHeight="1">
      <c r="A1111" s="706" t="s">
        <v>6567</v>
      </c>
      <c r="B1111" s="557" t="s">
        <v>3698</v>
      </c>
      <c r="C1111" s="539" t="s">
        <v>7753</v>
      </c>
      <c r="D1111" s="709" t="s">
        <v>8253</v>
      </c>
      <c r="E1111" s="552" t="s">
        <v>8246</v>
      </c>
      <c r="F1111" s="552"/>
      <c r="G1111" s="552" t="s">
        <v>8247</v>
      </c>
      <c r="H1111" s="552"/>
      <c r="I1111" s="552"/>
      <c r="J1111" s="552"/>
      <c r="K1111" s="552"/>
      <c r="L1111" s="552"/>
      <c r="M1111" s="552"/>
      <c r="N1111" s="552"/>
      <c r="O1111" s="552"/>
      <c r="P1111" s="552">
        <v>5</v>
      </c>
      <c r="Q1111" s="552"/>
      <c r="R1111" s="552"/>
      <c r="S1111" s="552"/>
      <c r="T1111" s="552"/>
      <c r="U1111" s="552"/>
      <c r="V1111" s="552"/>
      <c r="W1111" s="552"/>
      <c r="X1111" s="552">
        <v>5</v>
      </c>
      <c r="Y1111" s="552"/>
      <c r="Z1111" s="552"/>
      <c r="AA1111" s="552"/>
      <c r="AB1111" s="552"/>
      <c r="AC1111" s="552"/>
      <c r="AD1111" s="552"/>
      <c r="AE1111" s="552"/>
      <c r="AF1111" s="552"/>
      <c r="AG1111" s="552"/>
      <c r="AH1111" s="552"/>
      <c r="AI1111" s="552"/>
      <c r="AJ1111" s="552"/>
      <c r="AK1111" s="552"/>
      <c r="AL1111" s="552"/>
      <c r="AM1111" s="552"/>
      <c r="AN1111" s="552"/>
      <c r="AO1111" s="709" t="s">
        <v>8254</v>
      </c>
      <c r="AP1111" s="709"/>
      <c r="AQ1111" s="552" t="s">
        <v>1186</v>
      </c>
      <c r="AR1111" s="552" t="s">
        <v>2998</v>
      </c>
      <c r="AS1111" s="552" t="s">
        <v>6881</v>
      </c>
      <c r="AT1111" s="552" t="s">
        <v>726</v>
      </c>
    </row>
    <row r="1112" spans="1:46" ht="14.7" customHeight="1">
      <c r="A1112" s="706" t="s">
        <v>6568</v>
      </c>
      <c r="B1112" s="557" t="s">
        <v>3698</v>
      </c>
      <c r="C1112" s="539" t="s">
        <v>7753</v>
      </c>
      <c r="D1112" s="709" t="s">
        <v>8255</v>
      </c>
      <c r="E1112" s="552" t="s">
        <v>8246</v>
      </c>
      <c r="F1112" s="552"/>
      <c r="G1112" s="552" t="s">
        <v>8247</v>
      </c>
      <c r="H1112" s="552"/>
      <c r="I1112" s="552"/>
      <c r="J1112" s="552"/>
      <c r="K1112" s="552"/>
      <c r="L1112" s="552"/>
      <c r="M1112" s="552"/>
      <c r="N1112" s="552"/>
      <c r="O1112" s="552"/>
      <c r="P1112" s="552"/>
      <c r="Q1112" s="552"/>
      <c r="R1112" s="552"/>
      <c r="S1112" s="552"/>
      <c r="T1112" s="552"/>
      <c r="U1112" s="552"/>
      <c r="V1112" s="552"/>
      <c r="W1112" s="552"/>
      <c r="X1112" s="552">
        <v>4</v>
      </c>
      <c r="Y1112" s="552">
        <v>2</v>
      </c>
      <c r="Z1112" s="552"/>
      <c r="AA1112" s="552"/>
      <c r="AB1112" s="552"/>
      <c r="AC1112" s="552"/>
      <c r="AD1112" s="552">
        <v>20</v>
      </c>
      <c r="AE1112" s="552">
        <v>20</v>
      </c>
      <c r="AF1112" s="552"/>
      <c r="AG1112" s="552"/>
      <c r="AH1112" s="552"/>
      <c r="AI1112" s="552"/>
      <c r="AJ1112" s="552">
        <v>20</v>
      </c>
      <c r="AK1112" s="552"/>
      <c r="AL1112" s="552"/>
      <c r="AM1112" s="552"/>
      <c r="AN1112" s="552"/>
      <c r="AO1112" s="709" t="s">
        <v>8256</v>
      </c>
      <c r="AP1112" s="709"/>
      <c r="AQ1112" s="552" t="s">
        <v>1186</v>
      </c>
      <c r="AR1112" s="552" t="s">
        <v>2998</v>
      </c>
      <c r="AS1112" s="552" t="s">
        <v>6881</v>
      </c>
      <c r="AT1112" s="552" t="s">
        <v>726</v>
      </c>
    </row>
    <row r="1113" spans="1:46" ht="14.7" customHeight="1">
      <c r="A1113" s="706"/>
      <c r="B1113" s="557" t="s">
        <v>3698</v>
      </c>
      <c r="C1113" s="539" t="s">
        <v>7753</v>
      </c>
      <c r="D1113" s="709"/>
      <c r="E1113" s="552"/>
      <c r="F1113" s="552"/>
      <c r="G1113" s="552"/>
      <c r="H1113" s="552"/>
      <c r="I1113" s="552"/>
      <c r="J1113" s="552"/>
      <c r="K1113" s="552"/>
      <c r="L1113" s="552"/>
      <c r="M1113" s="552"/>
      <c r="N1113" s="552"/>
      <c r="O1113" s="552"/>
      <c r="P1113" s="552"/>
      <c r="Q1113" s="552"/>
      <c r="R1113" s="552"/>
      <c r="S1113" s="552"/>
      <c r="T1113" s="552"/>
      <c r="U1113" s="552"/>
      <c r="V1113" s="552"/>
      <c r="W1113" s="552"/>
      <c r="X1113" s="552"/>
      <c r="Y1113" s="552"/>
      <c r="Z1113" s="552"/>
      <c r="AA1113" s="552"/>
      <c r="AB1113" s="552"/>
      <c r="AC1113" s="552"/>
      <c r="AD1113" s="552"/>
      <c r="AE1113" s="552"/>
      <c r="AF1113" s="552"/>
      <c r="AG1113" s="552"/>
      <c r="AH1113" s="552"/>
      <c r="AI1113" s="552"/>
      <c r="AJ1113" s="552"/>
      <c r="AK1113" s="552"/>
      <c r="AL1113" s="552"/>
      <c r="AM1113" s="552"/>
      <c r="AN1113" s="552"/>
      <c r="AO1113" s="552"/>
      <c r="AP1113" s="552"/>
      <c r="AQ1113" s="552" t="s">
        <v>1186</v>
      </c>
      <c r="AR1113" s="552" t="s">
        <v>2998</v>
      </c>
      <c r="AS1113" s="552" t="s">
        <v>6881</v>
      </c>
      <c r="AT1113" s="552" t="s">
        <v>726</v>
      </c>
    </row>
    <row r="1114" spans="1:46" ht="14.7" customHeight="1">
      <c r="A1114" s="706"/>
      <c r="B1114" s="557" t="s">
        <v>3698</v>
      </c>
      <c r="C1114" s="539" t="s">
        <v>7753</v>
      </c>
      <c r="D1114" s="709"/>
      <c r="E1114" s="552"/>
      <c r="F1114" s="552"/>
      <c r="G1114" s="552"/>
      <c r="H1114" s="552"/>
      <c r="I1114" s="552"/>
      <c r="J1114" s="552"/>
      <c r="K1114" s="552"/>
      <c r="L1114" s="552"/>
      <c r="M1114" s="552"/>
      <c r="N1114" s="552"/>
      <c r="O1114" s="552"/>
      <c r="P1114" s="552"/>
      <c r="Q1114" s="552"/>
      <c r="R1114" s="552"/>
      <c r="S1114" s="552"/>
      <c r="T1114" s="552"/>
      <c r="U1114" s="552"/>
      <c r="V1114" s="552"/>
      <c r="W1114" s="552"/>
      <c r="X1114" s="552"/>
      <c r="Y1114" s="552"/>
      <c r="Z1114" s="552"/>
      <c r="AA1114" s="552"/>
      <c r="AB1114" s="552"/>
      <c r="AC1114" s="552"/>
      <c r="AD1114" s="552"/>
      <c r="AE1114" s="552"/>
      <c r="AF1114" s="552"/>
      <c r="AG1114" s="552"/>
      <c r="AH1114" s="552"/>
      <c r="AI1114" s="552"/>
      <c r="AJ1114" s="552"/>
      <c r="AK1114" s="552"/>
      <c r="AL1114" s="552"/>
      <c r="AM1114" s="552"/>
      <c r="AN1114" s="552"/>
      <c r="AO1114" s="552"/>
      <c r="AP1114" s="552"/>
      <c r="AQ1114" s="552" t="s">
        <v>1186</v>
      </c>
      <c r="AR1114" s="552" t="s">
        <v>2998</v>
      </c>
      <c r="AS1114" s="552" t="s">
        <v>6881</v>
      </c>
      <c r="AT1114" s="552" t="s">
        <v>726</v>
      </c>
    </row>
    <row r="1115" spans="1:46" ht="14.7" customHeight="1">
      <c r="A1115" s="706" t="s">
        <v>6569</v>
      </c>
      <c r="B1115" s="344" t="s">
        <v>3699</v>
      </c>
      <c r="C1115" s="539" t="s">
        <v>7753</v>
      </c>
      <c r="D1115" s="709" t="s">
        <v>8257</v>
      </c>
      <c r="E1115" s="552" t="s">
        <v>8249</v>
      </c>
      <c r="F1115" s="552"/>
      <c r="G1115" s="552" t="s">
        <v>8247</v>
      </c>
      <c r="H1115" s="552"/>
      <c r="I1115" s="552"/>
      <c r="J1115" s="552"/>
      <c r="K1115" s="552"/>
      <c r="L1115" s="552"/>
      <c r="M1115" s="552"/>
      <c r="N1115" s="552"/>
      <c r="O1115" s="552"/>
      <c r="P1115" s="552"/>
      <c r="Q1115" s="552"/>
      <c r="R1115" s="552"/>
      <c r="S1115" s="552"/>
      <c r="T1115" s="552"/>
      <c r="U1115" s="552"/>
      <c r="V1115" s="552"/>
      <c r="W1115" s="552"/>
      <c r="X1115" s="552">
        <v>7</v>
      </c>
      <c r="Y1115" s="552">
        <v>7</v>
      </c>
      <c r="Z1115" s="552"/>
      <c r="AA1115" s="552"/>
      <c r="AB1115" s="552"/>
      <c r="AC1115" s="552"/>
      <c r="AD1115" s="552"/>
      <c r="AE1115" s="552"/>
      <c r="AF1115" s="552"/>
      <c r="AG1115" s="552"/>
      <c r="AH1115" s="552"/>
      <c r="AI1115" s="552"/>
      <c r="AJ1115" s="552"/>
      <c r="AK1115" s="552"/>
      <c r="AL1115" s="552"/>
      <c r="AM1115" s="552"/>
      <c r="AN1115" s="552"/>
      <c r="AO1115" s="713" t="s">
        <v>8258</v>
      </c>
      <c r="AP1115" s="552"/>
      <c r="AQ1115" s="552" t="s">
        <v>1186</v>
      </c>
      <c r="AR1115" s="552" t="s">
        <v>2809</v>
      </c>
      <c r="AS1115" s="552" t="s">
        <v>6881</v>
      </c>
      <c r="AT1115" s="552" t="s">
        <v>726</v>
      </c>
    </row>
    <row r="1116" spans="1:46" ht="14.7" customHeight="1">
      <c r="A1116" s="706" t="s">
        <v>6570</v>
      </c>
      <c r="B1116" s="344" t="s">
        <v>3699</v>
      </c>
      <c r="C1116" s="539" t="s">
        <v>7753</v>
      </c>
      <c r="D1116" s="709" t="s">
        <v>8259</v>
      </c>
      <c r="E1116" s="552" t="s">
        <v>8246</v>
      </c>
      <c r="F1116" s="552"/>
      <c r="G1116" s="552" t="s">
        <v>8247</v>
      </c>
      <c r="H1116" s="552"/>
      <c r="I1116" s="552"/>
      <c r="J1116" s="552"/>
      <c r="K1116" s="552"/>
      <c r="L1116" s="552"/>
      <c r="M1116" s="552"/>
      <c r="N1116" s="552"/>
      <c r="O1116" s="552"/>
      <c r="P1116" s="552"/>
      <c r="Q1116" s="552"/>
      <c r="R1116" s="552"/>
      <c r="S1116" s="552"/>
      <c r="T1116" s="552">
        <v>1</v>
      </c>
      <c r="U1116" s="552"/>
      <c r="V1116" s="552"/>
      <c r="W1116" s="552"/>
      <c r="X1116" s="552">
        <v>3</v>
      </c>
      <c r="Y1116" s="552"/>
      <c r="Z1116" s="552"/>
      <c r="AA1116" s="552"/>
      <c r="AB1116" s="552"/>
      <c r="AC1116" s="552"/>
      <c r="AD1116" s="552">
        <v>30</v>
      </c>
      <c r="AE1116" s="552"/>
      <c r="AF1116" s="552"/>
      <c r="AG1116" s="552">
        <v>30</v>
      </c>
      <c r="AH1116" s="552"/>
      <c r="AI1116" s="552"/>
      <c r="AJ1116" s="552"/>
      <c r="AK1116" s="552"/>
      <c r="AL1116" s="552"/>
      <c r="AM1116" s="552"/>
      <c r="AN1116" s="552"/>
      <c r="AO1116" s="709" t="s">
        <v>8260</v>
      </c>
      <c r="AP1116" s="709"/>
      <c r="AQ1116" s="552" t="s">
        <v>1186</v>
      </c>
      <c r="AR1116" s="552" t="s">
        <v>2809</v>
      </c>
      <c r="AS1116" s="552" t="s">
        <v>6881</v>
      </c>
      <c r="AT1116" s="552" t="s">
        <v>726</v>
      </c>
    </row>
    <row r="1117" spans="1:46" ht="14.7" customHeight="1">
      <c r="A1117" s="706" t="s">
        <v>9105</v>
      </c>
      <c r="B1117" s="344" t="s">
        <v>3699</v>
      </c>
      <c r="C1117" s="539" t="s">
        <v>7753</v>
      </c>
      <c r="D1117" s="709" t="s">
        <v>8261</v>
      </c>
      <c r="E1117" s="552" t="s">
        <v>8246</v>
      </c>
      <c r="F1117" s="552"/>
      <c r="G1117" s="552" t="s">
        <v>8247</v>
      </c>
      <c r="H1117" s="552"/>
      <c r="I1117" s="552"/>
      <c r="J1117" s="552"/>
      <c r="K1117" s="552"/>
      <c r="L1117" s="552"/>
      <c r="M1117" s="552"/>
      <c r="N1117" s="552"/>
      <c r="O1117" s="552"/>
      <c r="P1117" s="552"/>
      <c r="Q1117" s="552"/>
      <c r="R1117" s="552"/>
      <c r="S1117" s="552">
        <v>1</v>
      </c>
      <c r="T1117" s="552"/>
      <c r="U1117" s="552"/>
      <c r="V1117" s="552"/>
      <c r="W1117" s="552"/>
      <c r="X1117" s="552">
        <v>3</v>
      </c>
      <c r="Y1117" s="552">
        <v>3</v>
      </c>
      <c r="Z1117" s="552"/>
      <c r="AA1117" s="552"/>
      <c r="AB1117" s="552"/>
      <c r="AC1117" s="552"/>
      <c r="AD1117" s="552"/>
      <c r="AE1117" s="552">
        <v>30</v>
      </c>
      <c r="AF1117" s="552"/>
      <c r="AG1117" s="552"/>
      <c r="AH1117" s="552"/>
      <c r="AI1117" s="552"/>
      <c r="AJ1117" s="552"/>
      <c r="AK1117" s="552"/>
      <c r="AL1117" s="552">
        <v>20</v>
      </c>
      <c r="AM1117" s="552"/>
      <c r="AN1117" s="552"/>
      <c r="AO1117" s="709" t="s">
        <v>8262</v>
      </c>
      <c r="AP1117" s="709"/>
      <c r="AQ1117" s="552" t="s">
        <v>1186</v>
      </c>
      <c r="AR1117" s="552" t="s">
        <v>2809</v>
      </c>
      <c r="AS1117" s="552" t="s">
        <v>6881</v>
      </c>
      <c r="AT1117" s="552" t="s">
        <v>726</v>
      </c>
    </row>
    <row r="1118" spans="1:46" ht="14.7" customHeight="1">
      <c r="A1118" s="706" t="s">
        <v>6571</v>
      </c>
      <c r="B1118" s="344" t="s">
        <v>3699</v>
      </c>
      <c r="C1118" s="539" t="s">
        <v>7753</v>
      </c>
      <c r="D1118" s="709" t="s">
        <v>8263</v>
      </c>
      <c r="E1118" s="552" t="s">
        <v>8249</v>
      </c>
      <c r="F1118" s="552"/>
      <c r="G1118" s="552" t="s">
        <v>8247</v>
      </c>
      <c r="H1118" s="552"/>
      <c r="I1118" s="552"/>
      <c r="J1118" s="552"/>
      <c r="K1118" s="552"/>
      <c r="L1118" s="552"/>
      <c r="M1118" s="552"/>
      <c r="N1118" s="552"/>
      <c r="O1118" s="552"/>
      <c r="P1118" s="552">
        <v>4</v>
      </c>
      <c r="Q1118" s="552"/>
      <c r="R1118" s="552">
        <v>4</v>
      </c>
      <c r="S1118" s="552"/>
      <c r="T1118" s="552"/>
      <c r="U1118" s="552"/>
      <c r="V1118" s="552"/>
      <c r="W1118" s="552"/>
      <c r="X1118" s="552">
        <v>4</v>
      </c>
      <c r="Y1118" s="552">
        <v>4</v>
      </c>
      <c r="Z1118" s="552">
        <v>1</v>
      </c>
      <c r="AA1118" s="552"/>
      <c r="AB1118" s="552"/>
      <c r="AC1118" s="552"/>
      <c r="AD1118" s="552"/>
      <c r="AE1118" s="552"/>
      <c r="AF1118" s="552"/>
      <c r="AG1118" s="552"/>
      <c r="AH1118" s="552"/>
      <c r="AI1118" s="552"/>
      <c r="AJ1118" s="552"/>
      <c r="AK1118" s="552"/>
      <c r="AL1118" s="552"/>
      <c r="AM1118" s="552"/>
      <c r="AN1118" s="552"/>
      <c r="AO1118" s="552"/>
      <c r="AP1118" s="552"/>
      <c r="AQ1118" s="552" t="s">
        <v>1186</v>
      </c>
      <c r="AR1118" s="552" t="s">
        <v>2809</v>
      </c>
      <c r="AS1118" s="552" t="s">
        <v>6881</v>
      </c>
      <c r="AT1118" s="552" t="s">
        <v>726</v>
      </c>
    </row>
    <row r="1119" spans="1:46" ht="14.7" customHeight="1">
      <c r="A1119" s="706" t="s">
        <v>6572</v>
      </c>
      <c r="B1119" s="344" t="s">
        <v>3699</v>
      </c>
      <c r="C1119" s="539" t="s">
        <v>7753</v>
      </c>
      <c r="D1119" s="709" t="s">
        <v>8264</v>
      </c>
      <c r="E1119" s="552" t="s">
        <v>8246</v>
      </c>
      <c r="F1119" s="552"/>
      <c r="G1119" s="552" t="s">
        <v>8247</v>
      </c>
      <c r="H1119" s="552"/>
      <c r="I1119" s="552"/>
      <c r="J1119" s="552"/>
      <c r="K1119" s="552"/>
      <c r="L1119" s="552"/>
      <c r="M1119" s="552"/>
      <c r="N1119" s="552"/>
      <c r="O1119" s="552"/>
      <c r="P1119" s="552"/>
      <c r="Q1119" s="552">
        <v>5</v>
      </c>
      <c r="R1119" s="552"/>
      <c r="S1119" s="552"/>
      <c r="T1119" s="552"/>
      <c r="U1119" s="552"/>
      <c r="V1119" s="552"/>
      <c r="W1119" s="552"/>
      <c r="X1119" s="552"/>
      <c r="Y1119" s="552">
        <v>5</v>
      </c>
      <c r="Z1119" s="552"/>
      <c r="AA1119" s="552"/>
      <c r="AB1119" s="552"/>
      <c r="AC1119" s="552"/>
      <c r="AD1119" s="552"/>
      <c r="AE1119" s="552"/>
      <c r="AF1119" s="552"/>
      <c r="AG1119" s="552"/>
      <c r="AH1119" s="552"/>
      <c r="AI1119" s="552"/>
      <c r="AJ1119" s="552"/>
      <c r="AK1119" s="552"/>
      <c r="AL1119" s="552"/>
      <c r="AM1119" s="552"/>
      <c r="AN1119" s="552"/>
      <c r="AO1119" s="552" t="s">
        <v>8265</v>
      </c>
      <c r="AP1119" s="552"/>
      <c r="AQ1119" s="552" t="s">
        <v>1186</v>
      </c>
      <c r="AR1119" s="552" t="s">
        <v>2809</v>
      </c>
      <c r="AS1119" s="552" t="s">
        <v>6881</v>
      </c>
      <c r="AT1119" s="552" t="s">
        <v>726</v>
      </c>
    </row>
    <row r="1120" spans="1:46" ht="14.7" customHeight="1">
      <c r="A1120" s="706" t="s">
        <v>6573</v>
      </c>
      <c r="B1120" s="559" t="s">
        <v>3700</v>
      </c>
      <c r="C1120" s="539" t="s">
        <v>7753</v>
      </c>
      <c r="D1120" s="709" t="s">
        <v>8266</v>
      </c>
      <c r="E1120" s="552" t="s">
        <v>8249</v>
      </c>
      <c r="F1120" s="552"/>
      <c r="G1120" s="552" t="s">
        <v>8247</v>
      </c>
      <c r="H1120" s="552"/>
      <c r="I1120" s="552"/>
      <c r="J1120" s="552"/>
      <c r="K1120" s="552"/>
      <c r="L1120" s="552"/>
      <c r="M1120" s="552"/>
      <c r="N1120" s="552"/>
      <c r="O1120" s="552"/>
      <c r="P1120" s="552"/>
      <c r="Q1120" s="552"/>
      <c r="R1120" s="552"/>
      <c r="S1120" s="552"/>
      <c r="T1120" s="552"/>
      <c r="U1120" s="552"/>
      <c r="V1120" s="552"/>
      <c r="W1120" s="552"/>
      <c r="X1120" s="552">
        <v>4</v>
      </c>
      <c r="Y1120" s="552">
        <v>4</v>
      </c>
      <c r="Z1120" s="552">
        <v>2</v>
      </c>
      <c r="AA1120" s="552"/>
      <c r="AB1120" s="552"/>
      <c r="AC1120" s="552"/>
      <c r="AD1120" s="552"/>
      <c r="AE1120" s="552"/>
      <c r="AF1120" s="552"/>
      <c r="AG1120" s="552">
        <v>50</v>
      </c>
      <c r="AH1120" s="552"/>
      <c r="AI1120" s="552"/>
      <c r="AJ1120" s="552"/>
      <c r="AK1120" s="552"/>
      <c r="AL1120" s="552"/>
      <c r="AM1120" s="552"/>
      <c r="AN1120" s="552"/>
      <c r="AO1120" s="552"/>
      <c r="AP1120" s="709" t="s">
        <v>8267</v>
      </c>
      <c r="AQ1120" s="552" t="s">
        <v>1186</v>
      </c>
      <c r="AR1120" s="552" t="s">
        <v>2971</v>
      </c>
      <c r="AS1120" s="552" t="s">
        <v>6881</v>
      </c>
      <c r="AT1120" s="552" t="s">
        <v>726</v>
      </c>
    </row>
    <row r="1121" spans="1:46" ht="14.7" customHeight="1">
      <c r="A1121" s="706"/>
      <c r="B1121" s="559" t="s">
        <v>3700</v>
      </c>
      <c r="C1121" s="539" t="s">
        <v>7753</v>
      </c>
      <c r="D1121" s="709"/>
      <c r="E1121" s="552"/>
      <c r="F1121" s="552"/>
      <c r="G1121" s="552"/>
      <c r="H1121" s="552"/>
      <c r="I1121" s="552"/>
      <c r="J1121" s="552"/>
      <c r="K1121" s="552"/>
      <c r="L1121" s="552"/>
      <c r="M1121" s="552"/>
      <c r="N1121" s="552"/>
      <c r="O1121" s="552"/>
      <c r="P1121" s="552"/>
      <c r="Q1121" s="552"/>
      <c r="R1121" s="552"/>
      <c r="S1121" s="552"/>
      <c r="T1121" s="552"/>
      <c r="U1121" s="552"/>
      <c r="V1121" s="552"/>
      <c r="W1121" s="552"/>
      <c r="X1121" s="552"/>
      <c r="Y1121" s="552"/>
      <c r="Z1121" s="552"/>
      <c r="AA1121" s="552"/>
      <c r="AB1121" s="552"/>
      <c r="AC1121" s="552"/>
      <c r="AD1121" s="552"/>
      <c r="AE1121" s="552"/>
      <c r="AF1121" s="552"/>
      <c r="AG1121" s="552"/>
      <c r="AH1121" s="552"/>
      <c r="AI1121" s="552"/>
      <c r="AJ1121" s="552"/>
      <c r="AK1121" s="552"/>
      <c r="AL1121" s="552"/>
      <c r="AM1121" s="552"/>
      <c r="AN1121" s="552"/>
      <c r="AO1121" s="552"/>
      <c r="AP1121" s="552"/>
      <c r="AQ1121" s="552" t="s">
        <v>1186</v>
      </c>
      <c r="AR1121" s="552" t="s">
        <v>2971</v>
      </c>
      <c r="AS1121" s="552" t="s">
        <v>6881</v>
      </c>
      <c r="AT1121" s="552" t="s">
        <v>726</v>
      </c>
    </row>
    <row r="1122" spans="1:46" ht="14.7" customHeight="1">
      <c r="A1122" s="706"/>
      <c r="B1122" s="711" t="s">
        <v>6055</v>
      </c>
      <c r="C1122" s="539" t="s">
        <v>7753</v>
      </c>
      <c r="D1122" s="709"/>
      <c r="E1122" s="552"/>
      <c r="F1122" s="552"/>
      <c r="G1122" s="552"/>
      <c r="H1122" s="552"/>
      <c r="I1122" s="552"/>
      <c r="J1122" s="552"/>
      <c r="K1122" s="552"/>
      <c r="L1122" s="552"/>
      <c r="M1122" s="552"/>
      <c r="N1122" s="552"/>
      <c r="O1122" s="552"/>
      <c r="P1122" s="552"/>
      <c r="Q1122" s="552"/>
      <c r="R1122" s="552"/>
      <c r="S1122" s="552"/>
      <c r="T1122" s="552"/>
      <c r="U1122" s="552"/>
      <c r="V1122" s="552"/>
      <c r="W1122" s="552"/>
      <c r="X1122" s="552"/>
      <c r="Y1122" s="552"/>
      <c r="Z1122" s="552"/>
      <c r="AA1122" s="552"/>
      <c r="AB1122" s="552"/>
      <c r="AC1122" s="552"/>
      <c r="AD1122" s="552"/>
      <c r="AE1122" s="552"/>
      <c r="AF1122" s="552"/>
      <c r="AG1122" s="552"/>
      <c r="AH1122" s="552"/>
      <c r="AI1122" s="552"/>
      <c r="AJ1122" s="552"/>
      <c r="AK1122" s="552"/>
      <c r="AL1122" s="552"/>
      <c r="AM1122" s="552"/>
      <c r="AN1122" s="552"/>
      <c r="AO1122" s="552"/>
      <c r="AP1122" s="552"/>
      <c r="AQ1122" s="552" t="s">
        <v>1186</v>
      </c>
      <c r="AR1122" s="552" t="s">
        <v>6697</v>
      </c>
      <c r="AS1122" s="552" t="s">
        <v>6881</v>
      </c>
      <c r="AT1122" s="552" t="s">
        <v>726</v>
      </c>
    </row>
    <row r="1123" spans="1:46" ht="14.7" customHeight="1">
      <c r="A1123" s="706" t="s">
        <v>6574</v>
      </c>
      <c r="B1123" s="540" t="s">
        <v>3695</v>
      </c>
      <c r="C1123" s="539" t="s">
        <v>7753</v>
      </c>
      <c r="D1123" s="709" t="s">
        <v>8268</v>
      </c>
      <c r="E1123" s="552" t="s">
        <v>8246</v>
      </c>
      <c r="F1123" s="552"/>
      <c r="G1123" s="552" t="s">
        <v>8269</v>
      </c>
      <c r="H1123" s="552"/>
      <c r="I1123" s="552"/>
      <c r="J1123" s="552"/>
      <c r="K1123" s="552"/>
      <c r="L1123" s="552"/>
      <c r="M1123" s="552"/>
      <c r="N1123" s="552"/>
      <c r="O1123" s="552"/>
      <c r="P1123" s="552">
        <v>1</v>
      </c>
      <c r="Q1123" s="552"/>
      <c r="R1123" s="552"/>
      <c r="S1123" s="552"/>
      <c r="T1123" s="552"/>
      <c r="U1123" s="552"/>
      <c r="V1123" s="552"/>
      <c r="W1123" s="552"/>
      <c r="X1123" s="552">
        <v>2</v>
      </c>
      <c r="Y1123" s="552"/>
      <c r="Z1123" s="552"/>
      <c r="AA1123" s="552"/>
      <c r="AB1123" s="552"/>
      <c r="AC1123" s="552"/>
      <c r="AD1123" s="552"/>
      <c r="AE1123" s="552"/>
      <c r="AF1123" s="552"/>
      <c r="AG1123" s="552"/>
      <c r="AH1123" s="552"/>
      <c r="AI1123" s="552"/>
      <c r="AJ1123" s="552"/>
      <c r="AK1123" s="552"/>
      <c r="AL1123" s="552"/>
      <c r="AM1123" s="552"/>
      <c r="AN1123" s="552"/>
      <c r="AO1123" s="552"/>
      <c r="AP1123" s="552"/>
      <c r="AQ1123" s="552" t="s">
        <v>1186</v>
      </c>
      <c r="AR1123" s="552" t="s">
        <v>2802</v>
      </c>
      <c r="AS1123" s="552" t="s">
        <v>6881</v>
      </c>
      <c r="AT1123" s="552" t="s">
        <v>726</v>
      </c>
    </row>
    <row r="1124" spans="1:46" ht="14.7" customHeight="1">
      <c r="A1124" s="706"/>
      <c r="B1124" s="540" t="s">
        <v>3695</v>
      </c>
      <c r="C1124" s="539" t="s">
        <v>7753</v>
      </c>
      <c r="D1124" s="709"/>
      <c r="E1124" s="552"/>
      <c r="F1124" s="552"/>
      <c r="G1124" s="552"/>
      <c r="H1124" s="552"/>
      <c r="I1124" s="552"/>
      <c r="J1124" s="552"/>
      <c r="K1124" s="552"/>
      <c r="L1124" s="552"/>
      <c r="M1124" s="552"/>
      <c r="N1124" s="552"/>
      <c r="O1124" s="552"/>
      <c r="P1124" s="552"/>
      <c r="Q1124" s="552"/>
      <c r="R1124" s="552"/>
      <c r="S1124" s="552"/>
      <c r="T1124" s="552"/>
      <c r="U1124" s="552"/>
      <c r="V1124" s="552"/>
      <c r="W1124" s="552"/>
      <c r="X1124" s="552"/>
      <c r="Y1124" s="552"/>
      <c r="Z1124" s="552"/>
      <c r="AA1124" s="552"/>
      <c r="AB1124" s="552"/>
      <c r="AC1124" s="552"/>
      <c r="AD1124" s="552"/>
      <c r="AE1124" s="552"/>
      <c r="AF1124" s="552"/>
      <c r="AG1124" s="552"/>
      <c r="AH1124" s="552"/>
      <c r="AI1124" s="552"/>
      <c r="AJ1124" s="552"/>
      <c r="AK1124" s="552"/>
      <c r="AL1124" s="552"/>
      <c r="AM1124" s="552"/>
      <c r="AN1124" s="552"/>
      <c r="AO1124" s="552"/>
      <c r="AP1124" s="552"/>
      <c r="AQ1124" s="552" t="s">
        <v>1186</v>
      </c>
      <c r="AR1124" s="552" t="s">
        <v>2802</v>
      </c>
      <c r="AS1124" s="552" t="s">
        <v>6881</v>
      </c>
      <c r="AT1124" s="552" t="s">
        <v>726</v>
      </c>
    </row>
    <row r="1125" spans="1:46" ht="14.7" customHeight="1">
      <c r="A1125" s="706"/>
      <c r="B1125" s="707" t="s">
        <v>3696</v>
      </c>
      <c r="C1125" s="539" t="s">
        <v>7753</v>
      </c>
      <c r="D1125" s="709"/>
      <c r="E1125" s="552"/>
      <c r="F1125" s="552"/>
      <c r="G1125" s="552" t="s">
        <v>8269</v>
      </c>
      <c r="H1125" s="552"/>
      <c r="I1125" s="552"/>
      <c r="J1125" s="552"/>
      <c r="K1125" s="552"/>
      <c r="L1125" s="552"/>
      <c r="M1125" s="552"/>
      <c r="N1125" s="552"/>
      <c r="O1125" s="552"/>
      <c r="P1125" s="552">
        <v>2</v>
      </c>
      <c r="Q1125" s="552"/>
      <c r="R1125" s="552"/>
      <c r="S1125" s="552"/>
      <c r="T1125" s="552"/>
      <c r="U1125" s="552"/>
      <c r="V1125" s="552"/>
      <c r="W1125" s="552"/>
      <c r="X1125" s="552">
        <v>2</v>
      </c>
      <c r="Y1125" s="552"/>
      <c r="Z1125" s="552"/>
      <c r="AA1125" s="552"/>
      <c r="AB1125" s="552"/>
      <c r="AC1125" s="552"/>
      <c r="AD1125" s="552"/>
      <c r="AE1125" s="552"/>
      <c r="AF1125" s="552"/>
      <c r="AG1125" s="552"/>
      <c r="AH1125" s="552"/>
      <c r="AI1125" s="552"/>
      <c r="AJ1125" s="552"/>
      <c r="AK1125" s="552"/>
      <c r="AL1125" s="552"/>
      <c r="AM1125" s="552"/>
      <c r="AN1125" s="552"/>
      <c r="AO1125" s="552"/>
      <c r="AP1125" s="552"/>
      <c r="AQ1125" s="552" t="s">
        <v>1186</v>
      </c>
      <c r="AR1125" s="552" t="s">
        <v>2805</v>
      </c>
      <c r="AS1125" s="552" t="s">
        <v>6881</v>
      </c>
      <c r="AT1125" s="552" t="s">
        <v>726</v>
      </c>
    </row>
    <row r="1126" spans="1:46" ht="14.7" customHeight="1">
      <c r="A1126" s="706"/>
      <c r="B1126" s="707" t="s">
        <v>3696</v>
      </c>
      <c r="C1126" s="539" t="s">
        <v>7753</v>
      </c>
      <c r="D1126" s="709"/>
      <c r="E1126" s="552"/>
      <c r="F1126" s="552"/>
      <c r="G1126" s="552"/>
      <c r="H1126" s="552"/>
      <c r="I1126" s="552"/>
      <c r="J1126" s="552"/>
      <c r="K1126" s="552"/>
      <c r="L1126" s="552"/>
      <c r="M1126" s="552"/>
      <c r="N1126" s="552"/>
      <c r="O1126" s="552"/>
      <c r="P1126" s="552"/>
      <c r="Q1126" s="552"/>
      <c r="R1126" s="552"/>
      <c r="S1126" s="552"/>
      <c r="T1126" s="552"/>
      <c r="U1126" s="552"/>
      <c r="V1126" s="552"/>
      <c r="W1126" s="552"/>
      <c r="X1126" s="552"/>
      <c r="Y1126" s="552"/>
      <c r="Z1126" s="552"/>
      <c r="AA1126" s="552"/>
      <c r="AB1126" s="552"/>
      <c r="AC1126" s="552"/>
      <c r="AD1126" s="552"/>
      <c r="AE1126" s="552"/>
      <c r="AF1126" s="552"/>
      <c r="AG1126" s="552"/>
      <c r="AH1126" s="552"/>
      <c r="AI1126" s="552"/>
      <c r="AJ1126" s="552"/>
      <c r="AK1126" s="552"/>
      <c r="AL1126" s="552"/>
      <c r="AM1126" s="552"/>
      <c r="AN1126" s="552"/>
      <c r="AO1126" s="552"/>
      <c r="AP1126" s="552"/>
      <c r="AQ1126" s="552" t="s">
        <v>1186</v>
      </c>
      <c r="AR1126" s="552" t="s">
        <v>2805</v>
      </c>
      <c r="AS1126" s="552" t="s">
        <v>6881</v>
      </c>
      <c r="AT1126" s="552" t="s">
        <v>726</v>
      </c>
    </row>
    <row r="1127" spans="1:46" ht="14.7" customHeight="1">
      <c r="A1127" s="706" t="s">
        <v>6575</v>
      </c>
      <c r="B1127" s="556" t="s">
        <v>3697</v>
      </c>
      <c r="C1127" s="539" t="s">
        <v>7753</v>
      </c>
      <c r="D1127" s="709" t="s">
        <v>8270</v>
      </c>
      <c r="E1127" s="552" t="s">
        <v>8246</v>
      </c>
      <c r="F1127" s="552"/>
      <c r="G1127" s="552" t="s">
        <v>8269</v>
      </c>
      <c r="H1127" s="552"/>
      <c r="I1127" s="552"/>
      <c r="J1127" s="552"/>
      <c r="K1127" s="552"/>
      <c r="L1127" s="552"/>
      <c r="M1127" s="552"/>
      <c r="N1127" s="552"/>
      <c r="O1127" s="552"/>
      <c r="P1127" s="552"/>
      <c r="Q1127" s="552"/>
      <c r="R1127" s="552"/>
      <c r="S1127" s="552"/>
      <c r="T1127" s="552"/>
      <c r="U1127" s="552"/>
      <c r="V1127" s="552"/>
      <c r="W1127" s="552"/>
      <c r="X1127" s="552">
        <v>3</v>
      </c>
      <c r="Y1127" s="552">
        <v>2</v>
      </c>
      <c r="Z1127" s="552"/>
      <c r="AA1127" s="552"/>
      <c r="AB1127" s="552"/>
      <c r="AC1127" s="552"/>
      <c r="AD1127" s="552"/>
      <c r="AE1127" s="552"/>
      <c r="AF1127" s="552"/>
      <c r="AG1127" s="552"/>
      <c r="AH1127" s="552"/>
      <c r="AI1127" s="552"/>
      <c r="AJ1127" s="552"/>
      <c r="AK1127" s="552"/>
      <c r="AL1127" s="552"/>
      <c r="AM1127" s="552"/>
      <c r="AN1127" s="552"/>
      <c r="AO1127" s="552"/>
      <c r="AP1127" s="552"/>
      <c r="AQ1127" s="552" t="s">
        <v>1186</v>
      </c>
      <c r="AR1127" s="552" t="s">
        <v>2875</v>
      </c>
      <c r="AS1127" s="552" t="s">
        <v>6881</v>
      </c>
      <c r="AT1127" s="552" t="s">
        <v>726</v>
      </c>
    </row>
    <row r="1128" spans="1:46" ht="14.7" customHeight="1">
      <c r="A1128" s="706"/>
      <c r="B1128" s="556" t="s">
        <v>3697</v>
      </c>
      <c r="C1128" s="539" t="s">
        <v>7753</v>
      </c>
      <c r="D1128" s="709"/>
      <c r="E1128" s="552"/>
      <c r="F1128" s="552"/>
      <c r="G1128" s="552"/>
      <c r="H1128" s="552"/>
      <c r="I1128" s="552"/>
      <c r="J1128" s="552"/>
      <c r="K1128" s="552"/>
      <c r="L1128" s="552"/>
      <c r="M1128" s="552"/>
      <c r="N1128" s="552"/>
      <c r="O1128" s="552"/>
      <c r="P1128" s="552"/>
      <c r="Q1128" s="552"/>
      <c r="R1128" s="552"/>
      <c r="S1128" s="552"/>
      <c r="T1128" s="552"/>
      <c r="U1128" s="552"/>
      <c r="V1128" s="552"/>
      <c r="W1128" s="552"/>
      <c r="X1128" s="552"/>
      <c r="Y1128" s="552"/>
      <c r="Z1128" s="552"/>
      <c r="AA1128" s="552"/>
      <c r="AB1128" s="552"/>
      <c r="AC1128" s="552"/>
      <c r="AD1128" s="552"/>
      <c r="AE1128" s="552"/>
      <c r="AF1128" s="552"/>
      <c r="AG1128" s="552"/>
      <c r="AH1128" s="552"/>
      <c r="AI1128" s="552"/>
      <c r="AJ1128" s="552"/>
      <c r="AK1128" s="552"/>
      <c r="AL1128" s="552"/>
      <c r="AM1128" s="552"/>
      <c r="AN1128" s="552"/>
      <c r="AO1128" s="552"/>
      <c r="AP1128" s="552"/>
      <c r="AQ1128" s="552" t="s">
        <v>1186</v>
      </c>
      <c r="AR1128" s="552" t="s">
        <v>2875</v>
      </c>
      <c r="AS1128" s="552" t="s">
        <v>6881</v>
      </c>
      <c r="AT1128" s="552" t="s">
        <v>726</v>
      </c>
    </row>
    <row r="1129" spans="1:46" ht="14.7" customHeight="1">
      <c r="A1129" s="706"/>
      <c r="B1129" s="556" t="s">
        <v>3697</v>
      </c>
      <c r="C1129" s="539" t="s">
        <v>7753</v>
      </c>
      <c r="D1129" s="709"/>
      <c r="E1129" s="552"/>
      <c r="F1129" s="552"/>
      <c r="G1129" s="552"/>
      <c r="H1129" s="552"/>
      <c r="I1129" s="552"/>
      <c r="J1129" s="552"/>
      <c r="K1129" s="552"/>
      <c r="L1129" s="552"/>
      <c r="M1129" s="552"/>
      <c r="N1129" s="552"/>
      <c r="O1129" s="552"/>
      <c r="P1129" s="552"/>
      <c r="Q1129" s="552"/>
      <c r="R1129" s="552"/>
      <c r="S1129" s="552"/>
      <c r="T1129" s="552"/>
      <c r="U1129" s="552"/>
      <c r="V1129" s="552"/>
      <c r="W1129" s="552"/>
      <c r="X1129" s="552"/>
      <c r="Y1129" s="552"/>
      <c r="Z1129" s="552"/>
      <c r="AA1129" s="552"/>
      <c r="AB1129" s="552"/>
      <c r="AC1129" s="552"/>
      <c r="AD1129" s="552"/>
      <c r="AE1129" s="552"/>
      <c r="AF1129" s="552"/>
      <c r="AG1129" s="552"/>
      <c r="AH1129" s="552"/>
      <c r="AI1129" s="552"/>
      <c r="AJ1129" s="552"/>
      <c r="AK1129" s="552"/>
      <c r="AL1129" s="552"/>
      <c r="AM1129" s="552"/>
      <c r="AN1129" s="552"/>
      <c r="AO1129" s="552"/>
      <c r="AP1129" s="552"/>
      <c r="AQ1129" s="552" t="s">
        <v>1186</v>
      </c>
      <c r="AR1129" s="552" t="s">
        <v>2875</v>
      </c>
      <c r="AS1129" s="552" t="s">
        <v>6881</v>
      </c>
      <c r="AT1129" s="552" t="s">
        <v>726</v>
      </c>
    </row>
    <row r="1130" spans="1:46" ht="14.7" customHeight="1">
      <c r="A1130" s="706" t="s">
        <v>6576</v>
      </c>
      <c r="B1130" s="557" t="s">
        <v>3698</v>
      </c>
      <c r="C1130" s="539" t="s">
        <v>7753</v>
      </c>
      <c r="D1130" s="709" t="s">
        <v>8271</v>
      </c>
      <c r="E1130" s="552" t="s">
        <v>8246</v>
      </c>
      <c r="F1130" s="552"/>
      <c r="G1130" s="552" t="s">
        <v>8269</v>
      </c>
      <c r="H1130" s="552"/>
      <c r="I1130" s="552"/>
      <c r="J1130" s="552"/>
      <c r="K1130" s="552"/>
      <c r="L1130" s="552"/>
      <c r="M1130" s="552"/>
      <c r="N1130" s="552"/>
      <c r="O1130" s="552"/>
      <c r="P1130" s="552">
        <v>5</v>
      </c>
      <c r="Q1130" s="552"/>
      <c r="R1130" s="552"/>
      <c r="S1130" s="552">
        <v>-2</v>
      </c>
      <c r="T1130" s="552"/>
      <c r="U1130" s="552"/>
      <c r="V1130" s="552"/>
      <c r="W1130" s="552"/>
      <c r="X1130" s="552">
        <v>5</v>
      </c>
      <c r="Y1130" s="552">
        <v>5</v>
      </c>
      <c r="Z1130" s="552"/>
      <c r="AA1130" s="552"/>
      <c r="AB1130" s="552"/>
      <c r="AC1130" s="552"/>
      <c r="AD1130" s="552"/>
      <c r="AE1130" s="552"/>
      <c r="AF1130" s="552"/>
      <c r="AG1130" s="552"/>
      <c r="AH1130" s="552"/>
      <c r="AI1130" s="552"/>
      <c r="AJ1130" s="552"/>
      <c r="AK1130" s="552"/>
      <c r="AL1130" s="552"/>
      <c r="AM1130" s="552"/>
      <c r="AN1130" s="552"/>
      <c r="AO1130" s="552"/>
      <c r="AP1130" s="552"/>
      <c r="AQ1130" s="552" t="s">
        <v>1186</v>
      </c>
      <c r="AR1130" s="552" t="s">
        <v>2998</v>
      </c>
      <c r="AS1130" s="552" t="s">
        <v>6881</v>
      </c>
      <c r="AT1130" s="552" t="s">
        <v>726</v>
      </c>
    </row>
    <row r="1131" spans="1:46" ht="14.7" customHeight="1">
      <c r="A1131" s="706"/>
      <c r="B1131" s="557" t="s">
        <v>3698</v>
      </c>
      <c r="C1131" s="539" t="s">
        <v>7753</v>
      </c>
      <c r="D1131" s="709"/>
      <c r="E1131" s="552"/>
      <c r="F1131" s="552"/>
      <c r="G1131" s="552"/>
      <c r="H1131" s="552"/>
      <c r="I1131" s="552"/>
      <c r="J1131" s="552"/>
      <c r="K1131" s="552"/>
      <c r="L1131" s="552"/>
      <c r="M1131" s="552"/>
      <c r="N1131" s="552"/>
      <c r="O1131" s="552"/>
      <c r="P1131" s="552"/>
      <c r="Q1131" s="552"/>
      <c r="R1131" s="552"/>
      <c r="S1131" s="552"/>
      <c r="T1131" s="552"/>
      <c r="U1131" s="552"/>
      <c r="V1131" s="552"/>
      <c r="W1131" s="552"/>
      <c r="X1131" s="552"/>
      <c r="Y1131" s="552"/>
      <c r="Z1131" s="552"/>
      <c r="AA1131" s="552"/>
      <c r="AB1131" s="552"/>
      <c r="AC1131" s="552"/>
      <c r="AD1131" s="552"/>
      <c r="AE1131" s="552"/>
      <c r="AF1131" s="552"/>
      <c r="AG1131" s="552"/>
      <c r="AH1131" s="552"/>
      <c r="AI1131" s="552"/>
      <c r="AJ1131" s="552"/>
      <c r="AK1131" s="552"/>
      <c r="AL1131" s="552"/>
      <c r="AM1131" s="552"/>
      <c r="AN1131" s="552"/>
      <c r="AO1131" s="552"/>
      <c r="AP1131" s="552"/>
      <c r="AQ1131" s="552" t="s">
        <v>1186</v>
      </c>
      <c r="AR1131" s="552" t="s">
        <v>2998</v>
      </c>
      <c r="AS1131" s="552" t="s">
        <v>6881</v>
      </c>
      <c r="AT1131" s="552" t="s">
        <v>726</v>
      </c>
    </row>
    <row r="1132" spans="1:46" ht="14.7" customHeight="1">
      <c r="A1132" s="706"/>
      <c r="B1132" s="557" t="s">
        <v>3698</v>
      </c>
      <c r="C1132" s="539" t="s">
        <v>7753</v>
      </c>
      <c r="D1132" s="552"/>
      <c r="E1132" s="552"/>
      <c r="F1132" s="552"/>
      <c r="G1132" s="552"/>
      <c r="H1132" s="552"/>
      <c r="I1132" s="552"/>
      <c r="J1132" s="552"/>
      <c r="K1132" s="552"/>
      <c r="L1132" s="552"/>
      <c r="M1132" s="552"/>
      <c r="N1132" s="552"/>
      <c r="O1132" s="552"/>
      <c r="P1132" s="552"/>
      <c r="Q1132" s="552"/>
      <c r="R1132" s="552"/>
      <c r="S1132" s="552"/>
      <c r="T1132" s="552"/>
      <c r="U1132" s="552"/>
      <c r="V1132" s="552"/>
      <c r="W1132" s="552"/>
      <c r="X1132" s="552"/>
      <c r="Y1132" s="552"/>
      <c r="Z1132" s="552"/>
      <c r="AA1132" s="552"/>
      <c r="AB1132" s="552"/>
      <c r="AC1132" s="552"/>
      <c r="AD1132" s="552"/>
      <c r="AE1132" s="552"/>
      <c r="AF1132" s="552"/>
      <c r="AG1132" s="552"/>
      <c r="AH1132" s="552"/>
      <c r="AI1132" s="552"/>
      <c r="AJ1132" s="552"/>
      <c r="AK1132" s="552"/>
      <c r="AL1132" s="552"/>
      <c r="AM1132" s="552"/>
      <c r="AN1132" s="552"/>
      <c r="AO1132" s="552"/>
      <c r="AP1132" s="552"/>
      <c r="AQ1132" s="552" t="s">
        <v>1186</v>
      </c>
      <c r="AR1132" s="552" t="s">
        <v>2998</v>
      </c>
      <c r="AS1132" s="552" t="s">
        <v>6881</v>
      </c>
      <c r="AT1132" s="552" t="s">
        <v>726</v>
      </c>
    </row>
    <row r="1133" spans="1:46" ht="14.7" customHeight="1">
      <c r="A1133" s="706"/>
      <c r="B1133" s="557" t="s">
        <v>3698</v>
      </c>
      <c r="C1133" s="539" t="s">
        <v>7753</v>
      </c>
      <c r="D1133" s="552"/>
      <c r="E1133" s="552"/>
      <c r="F1133" s="552"/>
      <c r="G1133" s="552"/>
      <c r="H1133" s="552"/>
      <c r="I1133" s="552"/>
      <c r="J1133" s="552"/>
      <c r="K1133" s="552"/>
      <c r="L1133" s="552"/>
      <c r="M1133" s="552"/>
      <c r="N1133" s="552"/>
      <c r="O1133" s="552"/>
      <c r="P1133" s="552"/>
      <c r="Q1133" s="552"/>
      <c r="R1133" s="552"/>
      <c r="S1133" s="552"/>
      <c r="T1133" s="552"/>
      <c r="U1133" s="552"/>
      <c r="V1133" s="552"/>
      <c r="W1133" s="552"/>
      <c r="X1133" s="552"/>
      <c r="Y1133" s="552"/>
      <c r="Z1133" s="552"/>
      <c r="AA1133" s="552"/>
      <c r="AB1133" s="552"/>
      <c r="AC1133" s="552"/>
      <c r="AD1133" s="552"/>
      <c r="AE1133" s="552"/>
      <c r="AF1133" s="552"/>
      <c r="AG1133" s="552"/>
      <c r="AH1133" s="552"/>
      <c r="AI1133" s="552"/>
      <c r="AJ1133" s="552"/>
      <c r="AK1133" s="552"/>
      <c r="AL1133" s="552"/>
      <c r="AM1133" s="552"/>
      <c r="AN1133" s="552"/>
      <c r="AO1133" s="552"/>
      <c r="AP1133" s="552"/>
      <c r="AQ1133" s="552" t="s">
        <v>1186</v>
      </c>
      <c r="AR1133" s="552" t="s">
        <v>2998</v>
      </c>
      <c r="AS1133" s="552" t="s">
        <v>6881</v>
      </c>
      <c r="AT1133" s="552" t="s">
        <v>726</v>
      </c>
    </row>
    <row r="1134" spans="1:46" ht="14.7" customHeight="1">
      <c r="A1134" s="706" t="s">
        <v>6577</v>
      </c>
      <c r="B1134" s="344" t="s">
        <v>3699</v>
      </c>
      <c r="C1134" s="539" t="s">
        <v>7753</v>
      </c>
      <c r="D1134" s="552" t="s">
        <v>8272</v>
      </c>
      <c r="E1134" s="552" t="s">
        <v>8246</v>
      </c>
      <c r="F1134" s="552"/>
      <c r="G1134" s="552" t="s">
        <v>8269</v>
      </c>
      <c r="H1134" s="552"/>
      <c r="I1134" s="552"/>
      <c r="J1134" s="552"/>
      <c r="K1134" s="552"/>
      <c r="L1134" s="552"/>
      <c r="M1134" s="552"/>
      <c r="N1134" s="552"/>
      <c r="O1134" s="552"/>
      <c r="P1134" s="552"/>
      <c r="Q1134" s="552"/>
      <c r="R1134" s="552"/>
      <c r="S1134" s="552">
        <v>1</v>
      </c>
      <c r="T1134" s="552"/>
      <c r="U1134" s="552"/>
      <c r="V1134" s="552"/>
      <c r="W1134" s="552"/>
      <c r="X1134" s="552">
        <v>5</v>
      </c>
      <c r="Y1134" s="552">
        <v>5</v>
      </c>
      <c r="Z1134" s="552">
        <v>1</v>
      </c>
      <c r="AA1134" s="552"/>
      <c r="AB1134" s="552">
        <v>10</v>
      </c>
      <c r="AC1134" s="552">
        <v>10</v>
      </c>
      <c r="AD1134" s="552">
        <v>10</v>
      </c>
      <c r="AE1134" s="552">
        <v>10</v>
      </c>
      <c r="AF1134" s="552">
        <v>10</v>
      </c>
      <c r="AG1134" s="552">
        <v>10</v>
      </c>
      <c r="AH1134" s="552">
        <v>10</v>
      </c>
      <c r="AI1134" s="552">
        <v>10</v>
      </c>
      <c r="AJ1134" s="552">
        <v>10</v>
      </c>
      <c r="AK1134" s="552"/>
      <c r="AL1134" s="552"/>
      <c r="AM1134" s="552"/>
      <c r="AN1134" s="552"/>
      <c r="AO1134" s="552"/>
      <c r="AP1134" s="552"/>
      <c r="AQ1134" s="552" t="s">
        <v>1186</v>
      </c>
      <c r="AR1134" s="552" t="s">
        <v>2809</v>
      </c>
      <c r="AS1134" s="552" t="s">
        <v>6881</v>
      </c>
      <c r="AT1134" s="552" t="s">
        <v>726</v>
      </c>
    </row>
    <row r="1135" spans="1:46" ht="14.7" customHeight="1">
      <c r="A1135" s="706" t="s">
        <v>6578</v>
      </c>
      <c r="B1135" s="344" t="s">
        <v>3699</v>
      </c>
      <c r="C1135" s="539" t="s">
        <v>7753</v>
      </c>
      <c r="D1135" s="552" t="s">
        <v>8273</v>
      </c>
      <c r="E1135" s="552" t="s">
        <v>8246</v>
      </c>
      <c r="F1135" s="552"/>
      <c r="G1135" s="552" t="s">
        <v>8269</v>
      </c>
      <c r="H1135" s="552"/>
      <c r="I1135" s="552"/>
      <c r="J1135" s="552"/>
      <c r="K1135" s="552"/>
      <c r="L1135" s="552"/>
      <c r="M1135" s="552"/>
      <c r="N1135" s="552"/>
      <c r="O1135" s="552"/>
      <c r="P1135" s="552"/>
      <c r="Q1135" s="552"/>
      <c r="R1135" s="552"/>
      <c r="S1135" s="552">
        <v>-2</v>
      </c>
      <c r="T1135" s="552"/>
      <c r="U1135" s="552"/>
      <c r="V1135" s="552"/>
      <c r="W1135" s="552"/>
      <c r="X1135" s="552">
        <v>5</v>
      </c>
      <c r="Y1135" s="552"/>
      <c r="Z1135" s="552"/>
      <c r="AA1135" s="552"/>
      <c r="AB1135" s="552"/>
      <c r="AC1135" s="552"/>
      <c r="AD1135" s="552"/>
      <c r="AE1135" s="552"/>
      <c r="AF1135" s="552"/>
      <c r="AG1135" s="552"/>
      <c r="AH1135" s="552"/>
      <c r="AI1135" s="552"/>
      <c r="AJ1135" s="552"/>
      <c r="AK1135" s="552"/>
      <c r="AL1135" s="552"/>
      <c r="AM1135" s="552"/>
      <c r="AN1135" s="552"/>
      <c r="AO1135" s="712" t="s">
        <v>8274</v>
      </c>
      <c r="AP1135" s="552"/>
      <c r="AQ1135" s="552" t="s">
        <v>1186</v>
      </c>
      <c r="AR1135" s="552" t="s">
        <v>2809</v>
      </c>
      <c r="AS1135" s="552" t="s">
        <v>6881</v>
      </c>
      <c r="AT1135" s="552" t="s">
        <v>726</v>
      </c>
    </row>
    <row r="1136" spans="1:46" ht="14.7" customHeight="1">
      <c r="A1136" s="706" t="s">
        <v>6579</v>
      </c>
      <c r="B1136" s="344" t="s">
        <v>3699</v>
      </c>
      <c r="C1136" s="539" t="s">
        <v>7753</v>
      </c>
      <c r="D1136" s="552" t="s">
        <v>8275</v>
      </c>
      <c r="E1136" s="552" t="s">
        <v>8246</v>
      </c>
      <c r="F1136" s="552"/>
      <c r="G1136" s="552"/>
      <c r="H1136" s="552"/>
      <c r="I1136" s="552"/>
      <c r="J1136" s="552"/>
      <c r="K1136" s="552"/>
      <c r="L1136" s="552"/>
      <c r="M1136" s="552"/>
      <c r="N1136" s="552"/>
      <c r="O1136" s="552"/>
      <c r="P1136" s="552"/>
      <c r="Q1136" s="552"/>
      <c r="R1136" s="552">
        <v>2</v>
      </c>
      <c r="S1136" s="552">
        <v>2</v>
      </c>
      <c r="T1136" s="552"/>
      <c r="U1136" s="552"/>
      <c r="V1136" s="552"/>
      <c r="W1136" s="552"/>
      <c r="X1136" s="552">
        <v>4</v>
      </c>
      <c r="Y1136" s="552">
        <v>1</v>
      </c>
      <c r="Z1136" s="552"/>
      <c r="AA1136" s="552"/>
      <c r="AB1136" s="552"/>
      <c r="AC1136" s="552"/>
      <c r="AD1136" s="552"/>
      <c r="AE1136" s="552"/>
      <c r="AF1136" s="552"/>
      <c r="AG1136" s="552"/>
      <c r="AH1136" s="552"/>
      <c r="AI1136" s="552"/>
      <c r="AJ1136" s="552"/>
      <c r="AK1136" s="552"/>
      <c r="AL1136" s="552"/>
      <c r="AM1136" s="552"/>
      <c r="AN1136" s="552"/>
      <c r="AO1136" s="552"/>
      <c r="AP1136" s="713" t="s">
        <v>8276</v>
      </c>
      <c r="AQ1136" s="552" t="s">
        <v>1186</v>
      </c>
      <c r="AR1136" s="552" t="s">
        <v>2809</v>
      </c>
      <c r="AS1136" s="552" t="s">
        <v>6881</v>
      </c>
      <c r="AT1136" s="552" t="s">
        <v>726</v>
      </c>
    </row>
    <row r="1137" spans="1:46" ht="14.7" customHeight="1">
      <c r="A1137" s="706" t="s">
        <v>6580</v>
      </c>
      <c r="B1137" s="344" t="s">
        <v>3699</v>
      </c>
      <c r="C1137" s="539" t="s">
        <v>7753</v>
      </c>
      <c r="D1137" s="552" t="s">
        <v>8277</v>
      </c>
      <c r="E1137" s="552" t="s">
        <v>8172</v>
      </c>
      <c r="F1137" s="552"/>
      <c r="G1137" s="552" t="s">
        <v>8269</v>
      </c>
      <c r="H1137" s="552"/>
      <c r="I1137" s="552"/>
      <c r="J1137" s="552"/>
      <c r="K1137" s="552"/>
      <c r="L1137" s="552"/>
      <c r="M1137" s="552"/>
      <c r="N1137" s="552"/>
      <c r="O1137" s="552"/>
      <c r="P1137" s="552">
        <v>5</v>
      </c>
      <c r="Q1137" s="552"/>
      <c r="R1137" s="552"/>
      <c r="S1137" s="552"/>
      <c r="T1137" s="552"/>
      <c r="U1137" s="552"/>
      <c r="V1137" s="552"/>
      <c r="W1137" s="552"/>
      <c r="X1137" s="552"/>
      <c r="Y1137" s="552"/>
      <c r="Z1137" s="552"/>
      <c r="AA1137" s="552"/>
      <c r="AB1137" s="552"/>
      <c r="AC1137" s="552"/>
      <c r="AD1137" s="552"/>
      <c r="AE1137" s="552"/>
      <c r="AF1137" s="552"/>
      <c r="AG1137" s="552"/>
      <c r="AH1137" s="552"/>
      <c r="AI1137" s="552"/>
      <c r="AJ1137" s="552"/>
      <c r="AK1137" s="552"/>
      <c r="AL1137" s="552"/>
      <c r="AM1137" s="552"/>
      <c r="AN1137" s="552"/>
      <c r="AO1137" s="552"/>
      <c r="AP1137" s="552"/>
      <c r="AQ1137" s="552" t="s">
        <v>1186</v>
      </c>
      <c r="AR1137" s="552" t="s">
        <v>2809</v>
      </c>
      <c r="AS1137" s="552" t="s">
        <v>6881</v>
      </c>
      <c r="AT1137" s="552" t="s">
        <v>726</v>
      </c>
    </row>
    <row r="1138" spans="1:46" ht="14.7" customHeight="1">
      <c r="A1138" s="706"/>
      <c r="B1138" s="344" t="s">
        <v>3699</v>
      </c>
      <c r="C1138" s="539" t="s">
        <v>7753</v>
      </c>
      <c r="D1138" s="552"/>
      <c r="E1138" s="552"/>
      <c r="F1138" s="552"/>
      <c r="G1138" s="552"/>
      <c r="H1138" s="552"/>
      <c r="I1138" s="552"/>
      <c r="J1138" s="552"/>
      <c r="K1138" s="552"/>
      <c r="L1138" s="552"/>
      <c r="M1138" s="552"/>
      <c r="N1138" s="552"/>
      <c r="O1138" s="552"/>
      <c r="P1138" s="552"/>
      <c r="Q1138" s="552"/>
      <c r="R1138" s="552"/>
      <c r="S1138" s="552"/>
      <c r="T1138" s="552"/>
      <c r="U1138" s="552"/>
      <c r="V1138" s="552"/>
      <c r="W1138" s="552"/>
      <c r="X1138" s="552"/>
      <c r="Y1138" s="552"/>
      <c r="Z1138" s="552"/>
      <c r="AA1138" s="552"/>
      <c r="AB1138" s="552"/>
      <c r="AC1138" s="552"/>
      <c r="AD1138" s="552"/>
      <c r="AE1138" s="552"/>
      <c r="AF1138" s="552"/>
      <c r="AG1138" s="552"/>
      <c r="AH1138" s="552"/>
      <c r="AI1138" s="552"/>
      <c r="AJ1138" s="552"/>
      <c r="AK1138" s="552"/>
      <c r="AL1138" s="552"/>
      <c r="AM1138" s="552"/>
      <c r="AN1138" s="552"/>
      <c r="AO1138" s="552"/>
      <c r="AP1138" s="713" t="s">
        <v>8278</v>
      </c>
      <c r="AQ1138" s="552" t="s">
        <v>1186</v>
      </c>
      <c r="AR1138" s="552" t="s">
        <v>2809</v>
      </c>
      <c r="AS1138" s="552" t="s">
        <v>6881</v>
      </c>
      <c r="AT1138" s="552" t="s">
        <v>726</v>
      </c>
    </row>
    <row r="1139" spans="1:46" ht="14.7" customHeight="1">
      <c r="A1139" s="706" t="s">
        <v>6581</v>
      </c>
      <c r="B1139" s="559" t="s">
        <v>3700</v>
      </c>
      <c r="C1139" s="539" t="s">
        <v>7753</v>
      </c>
      <c r="D1139" s="552" t="s">
        <v>8279</v>
      </c>
      <c r="E1139" s="552" t="s">
        <v>8246</v>
      </c>
      <c r="F1139" s="552"/>
      <c r="G1139" s="552" t="s">
        <v>8269</v>
      </c>
      <c r="H1139" s="552"/>
      <c r="I1139" s="552"/>
      <c r="J1139" s="552"/>
      <c r="K1139" s="552"/>
      <c r="L1139" s="552"/>
      <c r="M1139" s="552"/>
      <c r="N1139" s="552">
        <v>40</v>
      </c>
      <c r="O1139" s="552"/>
      <c r="P1139" s="552">
        <v>8</v>
      </c>
      <c r="Q1139" s="552"/>
      <c r="R1139" s="552"/>
      <c r="S1139" s="552"/>
      <c r="T1139" s="552"/>
      <c r="U1139" s="552"/>
      <c r="V1139" s="552"/>
      <c r="W1139" s="552"/>
      <c r="X1139" s="552">
        <v>8</v>
      </c>
      <c r="Y1139" s="552"/>
      <c r="Z1139" s="552">
        <v>1</v>
      </c>
      <c r="AA1139" s="552"/>
      <c r="AB1139" s="552"/>
      <c r="AC1139" s="552"/>
      <c r="AD1139" s="552"/>
      <c r="AE1139" s="552"/>
      <c r="AF1139" s="552"/>
      <c r="AG1139" s="552"/>
      <c r="AH1139" s="552"/>
      <c r="AI1139" s="552"/>
      <c r="AJ1139" s="552"/>
      <c r="AK1139" s="552"/>
      <c r="AL1139" s="552"/>
      <c r="AM1139" s="552"/>
      <c r="AN1139" s="552"/>
      <c r="AO1139" s="709" t="s">
        <v>8280</v>
      </c>
      <c r="AP1139" s="709"/>
      <c r="AQ1139" s="552" t="s">
        <v>1186</v>
      </c>
      <c r="AR1139" s="552" t="s">
        <v>2971</v>
      </c>
      <c r="AS1139" s="552" t="s">
        <v>6881</v>
      </c>
      <c r="AT1139" s="552" t="s">
        <v>726</v>
      </c>
    </row>
    <row r="1140" spans="1:46" ht="14.7" customHeight="1">
      <c r="A1140" s="706"/>
      <c r="B1140" s="559" t="s">
        <v>3700</v>
      </c>
      <c r="C1140" s="539" t="s">
        <v>7753</v>
      </c>
      <c r="D1140" s="552"/>
      <c r="E1140" s="552"/>
      <c r="F1140" s="552"/>
      <c r="G1140" s="552"/>
      <c r="H1140" s="552"/>
      <c r="I1140" s="552"/>
      <c r="J1140" s="552"/>
      <c r="K1140" s="552"/>
      <c r="L1140" s="552"/>
      <c r="M1140" s="552"/>
      <c r="N1140" s="552"/>
      <c r="O1140" s="552"/>
      <c r="P1140" s="552"/>
      <c r="Q1140" s="552"/>
      <c r="R1140" s="552"/>
      <c r="S1140" s="552"/>
      <c r="T1140" s="552"/>
      <c r="U1140" s="552"/>
      <c r="V1140" s="552"/>
      <c r="W1140" s="552"/>
      <c r="X1140" s="552"/>
      <c r="Y1140" s="552"/>
      <c r="Z1140" s="552"/>
      <c r="AA1140" s="552"/>
      <c r="AB1140" s="552"/>
      <c r="AC1140" s="552"/>
      <c r="AD1140" s="552"/>
      <c r="AE1140" s="552"/>
      <c r="AF1140" s="552"/>
      <c r="AG1140" s="552"/>
      <c r="AH1140" s="552"/>
      <c r="AI1140" s="552"/>
      <c r="AJ1140" s="552"/>
      <c r="AK1140" s="552"/>
      <c r="AL1140" s="552"/>
      <c r="AM1140" s="552"/>
      <c r="AN1140" s="552"/>
      <c r="AO1140" s="552"/>
      <c r="AP1140" s="552"/>
      <c r="AQ1140" s="552" t="s">
        <v>1186</v>
      </c>
      <c r="AR1140" s="552" t="s">
        <v>2971</v>
      </c>
      <c r="AS1140" s="552" t="s">
        <v>6881</v>
      </c>
      <c r="AT1140" s="552" t="s">
        <v>726</v>
      </c>
    </row>
    <row r="1141" spans="1:46" ht="14.7" customHeight="1">
      <c r="A1141" s="706"/>
      <c r="B1141" s="711" t="s">
        <v>6055</v>
      </c>
      <c r="C1141" s="539" t="s">
        <v>7753</v>
      </c>
      <c r="D1141" s="552"/>
      <c r="E1141" s="552"/>
      <c r="F1141" s="552"/>
      <c r="G1141" s="552"/>
      <c r="H1141" s="552"/>
      <c r="I1141" s="552"/>
      <c r="J1141" s="552"/>
      <c r="K1141" s="552"/>
      <c r="L1141" s="552"/>
      <c r="M1141" s="552"/>
      <c r="N1141" s="552"/>
      <c r="O1141" s="552"/>
      <c r="P1141" s="552"/>
      <c r="Q1141" s="552"/>
      <c r="R1141" s="552"/>
      <c r="S1141" s="552"/>
      <c r="T1141" s="552"/>
      <c r="U1141" s="552"/>
      <c r="V1141" s="552"/>
      <c r="W1141" s="552"/>
      <c r="X1141" s="552"/>
      <c r="Y1141" s="552"/>
      <c r="Z1141" s="552"/>
      <c r="AA1141" s="552"/>
      <c r="AB1141" s="552"/>
      <c r="AC1141" s="552"/>
      <c r="AD1141" s="552"/>
      <c r="AE1141" s="552"/>
      <c r="AF1141" s="552"/>
      <c r="AG1141" s="552"/>
      <c r="AH1141" s="552"/>
      <c r="AI1141" s="552"/>
      <c r="AJ1141" s="552"/>
      <c r="AK1141" s="552"/>
      <c r="AL1141" s="552"/>
      <c r="AM1141" s="552"/>
      <c r="AN1141" s="552"/>
      <c r="AO1141" s="552"/>
      <c r="AP1141" s="552"/>
      <c r="AQ1141" s="552" t="s">
        <v>1186</v>
      </c>
      <c r="AR1141" s="552" t="s">
        <v>6697</v>
      </c>
      <c r="AS1141" s="552" t="s">
        <v>6881</v>
      </c>
      <c r="AT1141" s="552" t="s">
        <v>726</v>
      </c>
    </row>
    <row r="1142" spans="1:46" ht="14.7" customHeight="1">
      <c r="A1142" s="706" t="s">
        <v>6582</v>
      </c>
      <c r="B1142" s="540" t="s">
        <v>3695</v>
      </c>
      <c r="C1142" s="539" t="s">
        <v>7753</v>
      </c>
      <c r="D1142" s="552" t="s">
        <v>8281</v>
      </c>
      <c r="E1142" s="552" t="s">
        <v>8249</v>
      </c>
      <c r="F1142" s="552"/>
      <c r="G1142" s="552" t="s">
        <v>8282</v>
      </c>
      <c r="H1142" s="552"/>
      <c r="I1142" s="552"/>
      <c r="J1142" s="552"/>
      <c r="K1142" s="552"/>
      <c r="L1142" s="552"/>
      <c r="M1142" s="552"/>
      <c r="N1142" s="552"/>
      <c r="O1142" s="552"/>
      <c r="P1142" s="552"/>
      <c r="Q1142" s="552"/>
      <c r="R1142" s="552"/>
      <c r="S1142" s="552"/>
      <c r="T1142" s="552"/>
      <c r="U1142" s="552"/>
      <c r="V1142" s="552"/>
      <c r="W1142" s="552"/>
      <c r="X1142" s="552"/>
      <c r="Y1142" s="552">
        <v>1</v>
      </c>
      <c r="Z1142" s="552"/>
      <c r="AA1142" s="552"/>
      <c r="AB1142" s="552"/>
      <c r="AC1142" s="552"/>
      <c r="AD1142" s="552"/>
      <c r="AE1142" s="552"/>
      <c r="AF1142" s="552"/>
      <c r="AG1142" s="552">
        <v>30</v>
      </c>
      <c r="AH1142" s="552"/>
      <c r="AI1142" s="552"/>
      <c r="AJ1142" s="552"/>
      <c r="AK1142" s="552"/>
      <c r="AL1142" s="552"/>
      <c r="AM1142" s="552"/>
      <c r="AN1142" s="552"/>
      <c r="AO1142" s="552"/>
      <c r="AP1142" s="552"/>
      <c r="AQ1142" s="552" t="s">
        <v>7715</v>
      </c>
      <c r="AR1142" s="552" t="s">
        <v>2802</v>
      </c>
      <c r="AS1142" s="552" t="s">
        <v>6967</v>
      </c>
      <c r="AT1142" s="552" t="s">
        <v>726</v>
      </c>
    </row>
    <row r="1143" spans="1:46" ht="14.7" customHeight="1">
      <c r="A1143" s="706"/>
      <c r="B1143" s="540" t="s">
        <v>3695</v>
      </c>
      <c r="C1143" s="539" t="s">
        <v>7753</v>
      </c>
      <c r="D1143" s="552"/>
      <c r="E1143" s="552"/>
      <c r="F1143" s="552"/>
      <c r="G1143" s="552"/>
      <c r="H1143" s="552"/>
      <c r="I1143" s="552"/>
      <c r="J1143" s="552"/>
      <c r="K1143" s="552"/>
      <c r="L1143" s="552"/>
      <c r="M1143" s="552"/>
      <c r="N1143" s="552"/>
      <c r="O1143" s="552"/>
      <c r="P1143" s="552"/>
      <c r="Q1143" s="552"/>
      <c r="R1143" s="552"/>
      <c r="S1143" s="552"/>
      <c r="T1143" s="552"/>
      <c r="U1143" s="552"/>
      <c r="V1143" s="552"/>
      <c r="W1143" s="552"/>
      <c r="X1143" s="552"/>
      <c r="Y1143" s="552"/>
      <c r="Z1143" s="552"/>
      <c r="AA1143" s="552"/>
      <c r="AB1143" s="552"/>
      <c r="AC1143" s="552"/>
      <c r="AD1143" s="552"/>
      <c r="AE1143" s="552"/>
      <c r="AF1143" s="552"/>
      <c r="AG1143" s="552"/>
      <c r="AH1143" s="552"/>
      <c r="AI1143" s="552"/>
      <c r="AJ1143" s="552"/>
      <c r="AK1143" s="552"/>
      <c r="AL1143" s="552"/>
      <c r="AM1143" s="552"/>
      <c r="AN1143" s="552"/>
      <c r="AO1143" s="552"/>
      <c r="AP1143" s="552"/>
      <c r="AQ1143" s="552" t="s">
        <v>7715</v>
      </c>
      <c r="AR1143" s="552" t="s">
        <v>2802</v>
      </c>
      <c r="AS1143" s="552" t="s">
        <v>6967</v>
      </c>
      <c r="AT1143" s="552" t="s">
        <v>726</v>
      </c>
    </row>
    <row r="1144" spans="1:46" ht="14.7" customHeight="1">
      <c r="A1144" s="706" t="s">
        <v>6583</v>
      </c>
      <c r="B1144" s="707" t="s">
        <v>3696</v>
      </c>
      <c r="C1144" s="539" t="s">
        <v>7753</v>
      </c>
      <c r="D1144" s="552" t="s">
        <v>8283</v>
      </c>
      <c r="E1144" s="552" t="s">
        <v>8249</v>
      </c>
      <c r="F1144" s="552"/>
      <c r="G1144" s="552" t="s">
        <v>8282</v>
      </c>
      <c r="H1144" s="552"/>
      <c r="I1144" s="552"/>
      <c r="J1144" s="552"/>
      <c r="K1144" s="552"/>
      <c r="L1144" s="552"/>
      <c r="M1144" s="552"/>
      <c r="N1144" s="552"/>
      <c r="O1144" s="552"/>
      <c r="P1144" s="552"/>
      <c r="Q1144" s="552"/>
      <c r="R1144" s="552"/>
      <c r="S1144" s="552"/>
      <c r="T1144" s="552"/>
      <c r="U1144" s="552"/>
      <c r="V1144" s="552"/>
      <c r="W1144" s="552"/>
      <c r="X1144" s="552"/>
      <c r="Y1144" s="552"/>
      <c r="Z1144" s="552">
        <v>1</v>
      </c>
      <c r="AA1144" s="552"/>
      <c r="AB1144" s="552"/>
      <c r="AC1144" s="552"/>
      <c r="AD1144" s="552"/>
      <c r="AE1144" s="552"/>
      <c r="AF1144" s="552">
        <v>-20</v>
      </c>
      <c r="AG1144" s="552">
        <v>-20</v>
      </c>
      <c r="AH1144" s="552"/>
      <c r="AI1144" s="552">
        <v>-20</v>
      </c>
      <c r="AJ1144" s="552"/>
      <c r="AK1144" s="552"/>
      <c r="AL1144" s="552"/>
      <c r="AM1144" s="552"/>
      <c r="AN1144" s="552"/>
      <c r="AO1144" s="552"/>
      <c r="AP1144" s="552"/>
      <c r="AQ1144" s="552" t="s">
        <v>7715</v>
      </c>
      <c r="AR1144" s="552" t="s">
        <v>2805</v>
      </c>
      <c r="AS1144" s="552" t="s">
        <v>6967</v>
      </c>
      <c r="AT1144" s="552" t="s">
        <v>726</v>
      </c>
    </row>
    <row r="1145" spans="1:46" ht="14.7" customHeight="1">
      <c r="A1145" s="706"/>
      <c r="B1145" s="707" t="s">
        <v>3696</v>
      </c>
      <c r="C1145" s="539" t="s">
        <v>7753</v>
      </c>
      <c r="D1145" s="552"/>
      <c r="E1145" s="552"/>
      <c r="F1145" s="552"/>
      <c r="G1145" s="552"/>
      <c r="H1145" s="552"/>
      <c r="I1145" s="552"/>
      <c r="J1145" s="552"/>
      <c r="K1145" s="552"/>
      <c r="L1145" s="552"/>
      <c r="M1145" s="552"/>
      <c r="N1145" s="552"/>
      <c r="O1145" s="552"/>
      <c r="P1145" s="552"/>
      <c r="Q1145" s="552"/>
      <c r="R1145" s="552"/>
      <c r="S1145" s="552"/>
      <c r="T1145" s="552"/>
      <c r="U1145" s="552"/>
      <c r="V1145" s="552"/>
      <c r="W1145" s="552"/>
      <c r="X1145" s="552"/>
      <c r="Y1145" s="552"/>
      <c r="Z1145" s="552"/>
      <c r="AA1145" s="552"/>
      <c r="AB1145" s="552"/>
      <c r="AC1145" s="552"/>
      <c r="AD1145" s="552"/>
      <c r="AE1145" s="552"/>
      <c r="AF1145" s="552"/>
      <c r="AG1145" s="552"/>
      <c r="AH1145" s="552"/>
      <c r="AI1145" s="552"/>
      <c r="AJ1145" s="552"/>
      <c r="AK1145" s="552"/>
      <c r="AL1145" s="552"/>
      <c r="AM1145" s="552"/>
      <c r="AN1145" s="552"/>
      <c r="AO1145" s="552"/>
      <c r="AP1145" s="552"/>
      <c r="AQ1145" s="552" t="s">
        <v>7715</v>
      </c>
      <c r="AR1145" s="552" t="s">
        <v>2805</v>
      </c>
      <c r="AS1145" s="552" t="s">
        <v>6967</v>
      </c>
      <c r="AT1145" s="552" t="s">
        <v>726</v>
      </c>
    </row>
    <row r="1146" spans="1:46" ht="14.7" customHeight="1">
      <c r="A1146" s="706" t="s">
        <v>6584</v>
      </c>
      <c r="B1146" s="556" t="s">
        <v>3697</v>
      </c>
      <c r="C1146" s="539" t="s">
        <v>7753</v>
      </c>
      <c r="D1146" s="552" t="s">
        <v>8284</v>
      </c>
      <c r="E1146" s="552" t="s">
        <v>8249</v>
      </c>
      <c r="F1146" s="552"/>
      <c r="G1146" s="552" t="s">
        <v>8282</v>
      </c>
      <c r="H1146" s="552"/>
      <c r="I1146" s="552"/>
      <c r="J1146" s="552"/>
      <c r="K1146" s="552"/>
      <c r="L1146" s="552"/>
      <c r="M1146" s="552"/>
      <c r="N1146" s="552">
        <v>40</v>
      </c>
      <c r="O1146" s="552"/>
      <c r="P1146" s="552"/>
      <c r="Q1146" s="552"/>
      <c r="R1146" s="552"/>
      <c r="S1146" s="552"/>
      <c r="T1146" s="552"/>
      <c r="U1146" s="552"/>
      <c r="V1146" s="552"/>
      <c r="W1146" s="552"/>
      <c r="X1146" s="552"/>
      <c r="Y1146" s="552"/>
      <c r="Z1146" s="552"/>
      <c r="AA1146" s="552"/>
      <c r="AB1146" s="552"/>
      <c r="AC1146" s="552"/>
      <c r="AD1146" s="552">
        <v>20</v>
      </c>
      <c r="AE1146" s="552"/>
      <c r="AF1146" s="552"/>
      <c r="AG1146" s="552"/>
      <c r="AH1146" s="552"/>
      <c r="AI1146" s="552"/>
      <c r="AJ1146" s="552"/>
      <c r="AK1146" s="552"/>
      <c r="AL1146" s="552"/>
      <c r="AM1146" s="552"/>
      <c r="AN1146" s="552"/>
      <c r="AO1146" s="552"/>
      <c r="AP1146" s="552"/>
      <c r="AQ1146" s="552" t="s">
        <v>7715</v>
      </c>
      <c r="AR1146" s="552" t="s">
        <v>2875</v>
      </c>
      <c r="AS1146" s="552" t="s">
        <v>6967</v>
      </c>
      <c r="AT1146" s="552" t="s">
        <v>726</v>
      </c>
    </row>
    <row r="1147" spans="1:46" ht="14.7" customHeight="1">
      <c r="A1147" s="706" t="s">
        <v>6585</v>
      </c>
      <c r="B1147" s="556" t="s">
        <v>3697</v>
      </c>
      <c r="C1147" s="539" t="s">
        <v>7753</v>
      </c>
      <c r="D1147" s="552" t="s">
        <v>8285</v>
      </c>
      <c r="E1147" s="552" t="s">
        <v>8246</v>
      </c>
      <c r="F1147" s="552"/>
      <c r="G1147" s="552" t="s">
        <v>8282</v>
      </c>
      <c r="H1147" s="552"/>
      <c r="I1147" s="552"/>
      <c r="J1147" s="552"/>
      <c r="K1147" s="552"/>
      <c r="L1147" s="552"/>
      <c r="M1147" s="552"/>
      <c r="N1147" s="552"/>
      <c r="O1147" s="552"/>
      <c r="P1147" s="552"/>
      <c r="Q1147" s="552">
        <v>2</v>
      </c>
      <c r="R1147" s="552"/>
      <c r="S1147" s="552"/>
      <c r="T1147" s="552"/>
      <c r="U1147" s="552"/>
      <c r="V1147" s="552"/>
      <c r="W1147" s="552"/>
      <c r="X1147" s="552">
        <v>2</v>
      </c>
      <c r="Y1147" s="552"/>
      <c r="Z1147" s="552"/>
      <c r="AA1147" s="552"/>
      <c r="AB1147" s="552"/>
      <c r="AC1147" s="552"/>
      <c r="AD1147" s="552"/>
      <c r="AE1147" s="552"/>
      <c r="AF1147" s="552"/>
      <c r="AG1147" s="552"/>
      <c r="AH1147" s="552">
        <v>30</v>
      </c>
      <c r="AI1147" s="552"/>
      <c r="AJ1147" s="552"/>
      <c r="AK1147" s="552"/>
      <c r="AL1147" s="552"/>
      <c r="AM1147" s="552"/>
      <c r="AN1147" s="552"/>
      <c r="AO1147" s="552"/>
      <c r="AP1147" s="552"/>
      <c r="AQ1147" s="552" t="s">
        <v>7715</v>
      </c>
      <c r="AR1147" s="552" t="s">
        <v>2875</v>
      </c>
      <c r="AS1147" s="552" t="s">
        <v>6967</v>
      </c>
      <c r="AT1147" s="552" t="s">
        <v>726</v>
      </c>
    </row>
    <row r="1148" spans="1:46" ht="14.7" customHeight="1">
      <c r="A1148" s="706" t="s">
        <v>6586</v>
      </c>
      <c r="B1148" s="556" t="s">
        <v>3697</v>
      </c>
      <c r="C1148" s="539" t="s">
        <v>7753</v>
      </c>
      <c r="D1148" s="552" t="s">
        <v>8286</v>
      </c>
      <c r="E1148" s="552" t="s">
        <v>8246</v>
      </c>
      <c r="F1148" s="552"/>
      <c r="G1148" s="552" t="s">
        <v>8282</v>
      </c>
      <c r="H1148" s="552"/>
      <c r="I1148" s="552"/>
      <c r="J1148" s="552"/>
      <c r="K1148" s="552"/>
      <c r="L1148" s="552"/>
      <c r="M1148" s="552"/>
      <c r="N1148" s="552"/>
      <c r="O1148" s="552"/>
      <c r="P1148" s="552"/>
      <c r="Q1148" s="552"/>
      <c r="R1148" s="552"/>
      <c r="S1148" s="552"/>
      <c r="T1148" s="552"/>
      <c r="U1148" s="552"/>
      <c r="V1148" s="552"/>
      <c r="W1148" s="552"/>
      <c r="X1148" s="552">
        <v>1</v>
      </c>
      <c r="Y1148" s="552"/>
      <c r="Z1148" s="552"/>
      <c r="AA1148" s="552"/>
      <c r="AB1148" s="552"/>
      <c r="AC1148" s="552"/>
      <c r="AD1148" s="552">
        <v>40</v>
      </c>
      <c r="AE1148" s="552"/>
      <c r="AF1148" s="552"/>
      <c r="AG1148" s="552"/>
      <c r="AH1148" s="552"/>
      <c r="AI1148" s="552"/>
      <c r="AJ1148" s="552"/>
      <c r="AK1148" s="552"/>
      <c r="AL1148" s="552"/>
      <c r="AM1148" s="552"/>
      <c r="AN1148" s="552"/>
      <c r="AO1148" s="552" t="s">
        <v>8287</v>
      </c>
      <c r="AP1148" s="552"/>
      <c r="AQ1148" s="552" t="s">
        <v>7715</v>
      </c>
      <c r="AR1148" s="552" t="s">
        <v>2875</v>
      </c>
      <c r="AS1148" s="552" t="s">
        <v>6967</v>
      </c>
      <c r="AT1148" s="552" t="s">
        <v>726</v>
      </c>
    </row>
    <row r="1149" spans="1:46" ht="14.7" customHeight="1">
      <c r="A1149" s="706" t="s">
        <v>6587</v>
      </c>
      <c r="B1149" s="557" t="s">
        <v>3698</v>
      </c>
      <c r="C1149" s="539" t="s">
        <v>7753</v>
      </c>
      <c r="D1149" s="552" t="s">
        <v>8288</v>
      </c>
      <c r="E1149" s="552" t="s">
        <v>8249</v>
      </c>
      <c r="F1149" s="552"/>
      <c r="G1149" s="552" t="s">
        <v>8282</v>
      </c>
      <c r="H1149" s="552" t="s">
        <v>8289</v>
      </c>
      <c r="I1149" s="552"/>
      <c r="J1149" s="552"/>
      <c r="K1149" s="552"/>
      <c r="L1149" s="552"/>
      <c r="M1149" s="552"/>
      <c r="N1149" s="552"/>
      <c r="O1149" s="552"/>
      <c r="P1149" s="552"/>
      <c r="Q1149" s="552"/>
      <c r="R1149" s="552"/>
      <c r="S1149" s="552">
        <v>-1</v>
      </c>
      <c r="T1149" s="552"/>
      <c r="U1149" s="552"/>
      <c r="V1149" s="552"/>
      <c r="W1149" s="552"/>
      <c r="X1149" s="552">
        <v>5</v>
      </c>
      <c r="Y1149" s="552"/>
      <c r="Z1149" s="552">
        <v>1</v>
      </c>
      <c r="AA1149" s="552"/>
      <c r="AB1149" s="552"/>
      <c r="AC1149" s="552"/>
      <c r="AD1149" s="552"/>
      <c r="AE1149" s="552"/>
      <c r="AF1149" s="552"/>
      <c r="AG1149" s="552"/>
      <c r="AH1149" s="552"/>
      <c r="AI1149" s="552"/>
      <c r="AJ1149" s="552"/>
      <c r="AK1149" s="552"/>
      <c r="AL1149" s="552"/>
      <c r="AM1149" s="552"/>
      <c r="AN1149" s="552"/>
      <c r="AO1149" s="552"/>
      <c r="AP1149" s="709" t="s">
        <v>8290</v>
      </c>
      <c r="AQ1149" s="552" t="s">
        <v>7715</v>
      </c>
      <c r="AR1149" s="552" t="s">
        <v>2998</v>
      </c>
      <c r="AS1149" s="552" t="s">
        <v>6967</v>
      </c>
      <c r="AT1149" s="552" t="s">
        <v>726</v>
      </c>
    </row>
    <row r="1150" spans="1:46" ht="14.7" customHeight="1">
      <c r="A1150" s="706" t="s">
        <v>6588</v>
      </c>
      <c r="B1150" s="557" t="s">
        <v>3698</v>
      </c>
      <c r="C1150" s="539" t="s">
        <v>7753</v>
      </c>
      <c r="D1150" s="552" t="s">
        <v>8291</v>
      </c>
      <c r="E1150" s="552" t="s">
        <v>8249</v>
      </c>
      <c r="F1150" s="552"/>
      <c r="G1150" s="552" t="s">
        <v>8282</v>
      </c>
      <c r="H1150" s="552"/>
      <c r="I1150" s="552"/>
      <c r="J1150" s="552"/>
      <c r="K1150" s="552"/>
      <c r="L1150" s="552"/>
      <c r="M1150" s="552"/>
      <c r="N1150" s="552"/>
      <c r="O1150" s="552">
        <v>50</v>
      </c>
      <c r="P1150" s="552"/>
      <c r="Q1150" s="552"/>
      <c r="R1150" s="552"/>
      <c r="S1150" s="552"/>
      <c r="T1150" s="552"/>
      <c r="U1150" s="552"/>
      <c r="V1150" s="552"/>
      <c r="W1150" s="552"/>
      <c r="X1150" s="552"/>
      <c r="Y1150" s="552">
        <v>4</v>
      </c>
      <c r="Z1150" s="552"/>
      <c r="AA1150" s="552"/>
      <c r="AB1150" s="552"/>
      <c r="AC1150" s="552"/>
      <c r="AD1150" s="552"/>
      <c r="AE1150" s="552">
        <v>20</v>
      </c>
      <c r="AF1150" s="552"/>
      <c r="AG1150" s="552"/>
      <c r="AH1150" s="552"/>
      <c r="AI1150" s="552"/>
      <c r="AJ1150" s="552"/>
      <c r="AK1150" s="552"/>
      <c r="AL1150" s="552"/>
      <c r="AM1150" s="552"/>
      <c r="AN1150" s="552"/>
      <c r="AO1150" s="709" t="s">
        <v>8292</v>
      </c>
      <c r="AP1150" s="709"/>
      <c r="AQ1150" s="552" t="s">
        <v>7715</v>
      </c>
      <c r="AR1150" s="552" t="s">
        <v>2998</v>
      </c>
      <c r="AS1150" s="552" t="s">
        <v>6967</v>
      </c>
      <c r="AT1150" s="552" t="s">
        <v>726</v>
      </c>
    </row>
    <row r="1151" spans="1:46" ht="14.7" customHeight="1">
      <c r="A1151" s="706" t="s">
        <v>8293</v>
      </c>
      <c r="B1151" s="557" t="s">
        <v>3698</v>
      </c>
      <c r="C1151" s="539" t="s">
        <v>7753</v>
      </c>
      <c r="D1151" s="709" t="s">
        <v>8294</v>
      </c>
      <c r="E1151" s="552" t="s">
        <v>8249</v>
      </c>
      <c r="F1151" s="552"/>
      <c r="G1151" s="552" t="s">
        <v>8282</v>
      </c>
      <c r="H1151" s="552"/>
      <c r="I1151" s="552"/>
      <c r="J1151" s="552"/>
      <c r="K1151" s="552"/>
      <c r="L1151" s="552"/>
      <c r="M1151" s="552"/>
      <c r="N1151" s="552"/>
      <c r="O1151" s="552"/>
      <c r="P1151" s="552"/>
      <c r="Q1151" s="552"/>
      <c r="R1151" s="552"/>
      <c r="S1151" s="552"/>
      <c r="T1151" s="552"/>
      <c r="U1151" s="552"/>
      <c r="V1151" s="552"/>
      <c r="W1151" s="552"/>
      <c r="X1151" s="552"/>
      <c r="Y1151" s="552"/>
      <c r="Z1151" s="552"/>
      <c r="AA1151" s="552"/>
      <c r="AB1151" s="552"/>
      <c r="AC1151" s="552"/>
      <c r="AD1151" s="552"/>
      <c r="AE1151" s="552"/>
      <c r="AF1151" s="552"/>
      <c r="AG1151" s="552"/>
      <c r="AH1151" s="552"/>
      <c r="AI1151" s="552"/>
      <c r="AJ1151" s="552"/>
      <c r="AK1151" s="552"/>
      <c r="AL1151" s="552"/>
      <c r="AM1151" s="552"/>
      <c r="AN1151" s="552"/>
      <c r="AO1151" s="552" t="s">
        <v>8295</v>
      </c>
      <c r="AP1151" s="709" t="s">
        <v>8296</v>
      </c>
      <c r="AQ1151" s="552" t="s">
        <v>7715</v>
      </c>
      <c r="AR1151" s="552" t="s">
        <v>2998</v>
      </c>
      <c r="AS1151" s="552" t="s">
        <v>6967</v>
      </c>
      <c r="AT1151" s="552" t="s">
        <v>726</v>
      </c>
    </row>
    <row r="1152" spans="1:46" ht="14.7" customHeight="1">
      <c r="A1152" s="706" t="s">
        <v>6589</v>
      </c>
      <c r="B1152" s="557" t="s">
        <v>3698</v>
      </c>
      <c r="C1152" s="539" t="s">
        <v>7753</v>
      </c>
      <c r="D1152" s="709" t="s">
        <v>8297</v>
      </c>
      <c r="E1152" s="552" t="s">
        <v>8246</v>
      </c>
      <c r="F1152" s="552"/>
      <c r="G1152" s="552" t="s">
        <v>8282</v>
      </c>
      <c r="H1152" s="552"/>
      <c r="I1152" s="552"/>
      <c r="J1152" s="552"/>
      <c r="K1152" s="552"/>
      <c r="L1152" s="552"/>
      <c r="M1152" s="552"/>
      <c r="N1152" s="552"/>
      <c r="O1152" s="552"/>
      <c r="P1152" s="552"/>
      <c r="Q1152" s="552"/>
      <c r="R1152" s="552"/>
      <c r="S1152" s="552"/>
      <c r="T1152" s="552"/>
      <c r="U1152" s="552"/>
      <c r="V1152" s="552"/>
      <c r="W1152" s="552"/>
      <c r="X1152" s="552">
        <v>2</v>
      </c>
      <c r="Y1152" s="552"/>
      <c r="Z1152" s="552">
        <v>1</v>
      </c>
      <c r="AA1152" s="552"/>
      <c r="AB1152" s="552"/>
      <c r="AC1152" s="552"/>
      <c r="AD1152" s="552"/>
      <c r="AE1152" s="552">
        <v>20</v>
      </c>
      <c r="AF1152" s="552"/>
      <c r="AG1152" s="552"/>
      <c r="AH1152" s="552"/>
      <c r="AI1152" s="552"/>
      <c r="AJ1152" s="552"/>
      <c r="AK1152" s="552"/>
      <c r="AL1152" s="552"/>
      <c r="AM1152" s="552"/>
      <c r="AN1152" s="552"/>
      <c r="AO1152" s="709" t="s">
        <v>8298</v>
      </c>
      <c r="AP1152" s="709"/>
      <c r="AQ1152" s="552" t="s">
        <v>7715</v>
      </c>
      <c r="AR1152" s="552" t="s">
        <v>2998</v>
      </c>
      <c r="AS1152" s="552" t="s">
        <v>6967</v>
      </c>
      <c r="AT1152" s="552" t="s">
        <v>726</v>
      </c>
    </row>
    <row r="1153" spans="1:46" ht="14.7" customHeight="1">
      <c r="A1153" s="706" t="s">
        <v>6590</v>
      </c>
      <c r="B1153" s="344" t="s">
        <v>3699</v>
      </c>
      <c r="C1153" s="539" t="s">
        <v>7753</v>
      </c>
      <c r="D1153" s="709" t="s">
        <v>8299</v>
      </c>
      <c r="E1153" s="552" t="s">
        <v>8249</v>
      </c>
      <c r="F1153" s="552"/>
      <c r="G1153" s="552" t="s">
        <v>8282</v>
      </c>
      <c r="H1153" s="552"/>
      <c r="I1153" s="552"/>
      <c r="J1153" s="552"/>
      <c r="K1153" s="552"/>
      <c r="L1153" s="552"/>
      <c r="M1153" s="552"/>
      <c r="N1153" s="552"/>
      <c r="O1153" s="552"/>
      <c r="P1153" s="552"/>
      <c r="Q1153" s="552">
        <v>4</v>
      </c>
      <c r="R1153" s="552">
        <v>2</v>
      </c>
      <c r="S1153" s="552"/>
      <c r="T1153" s="552"/>
      <c r="U1153" s="552"/>
      <c r="V1153" s="552"/>
      <c r="W1153" s="552"/>
      <c r="X1153" s="552"/>
      <c r="Y1153" s="552"/>
      <c r="Z1153" s="552">
        <v>1</v>
      </c>
      <c r="AA1153" s="552"/>
      <c r="AB1153" s="552"/>
      <c r="AC1153" s="552"/>
      <c r="AD1153" s="552"/>
      <c r="AE1153" s="552"/>
      <c r="AF1153" s="552"/>
      <c r="AG1153" s="552"/>
      <c r="AH1153" s="552"/>
      <c r="AI1153" s="552"/>
      <c r="AJ1153" s="552"/>
      <c r="AK1153" s="552"/>
      <c r="AL1153" s="552"/>
      <c r="AM1153" s="552"/>
      <c r="AN1153" s="552"/>
      <c r="AO1153" s="709" t="s">
        <v>8300</v>
      </c>
      <c r="AP1153" s="709"/>
      <c r="AQ1153" s="552" t="s">
        <v>7715</v>
      </c>
      <c r="AR1153" s="552" t="s">
        <v>2809</v>
      </c>
      <c r="AS1153" s="552" t="s">
        <v>6967</v>
      </c>
      <c r="AT1153" s="552" t="s">
        <v>726</v>
      </c>
    </row>
    <row r="1154" spans="1:46" ht="14.7" customHeight="1">
      <c r="A1154" s="706"/>
      <c r="B1154" s="344" t="s">
        <v>3699</v>
      </c>
      <c r="C1154" s="539" t="s">
        <v>7753</v>
      </c>
      <c r="D1154" s="709"/>
      <c r="E1154" s="552"/>
      <c r="F1154" s="552"/>
      <c r="G1154" s="552"/>
      <c r="H1154" s="552"/>
      <c r="I1154" s="552"/>
      <c r="J1154" s="552"/>
      <c r="K1154" s="552"/>
      <c r="L1154" s="552"/>
      <c r="M1154" s="552"/>
      <c r="N1154" s="552"/>
      <c r="O1154" s="552"/>
      <c r="P1154" s="552"/>
      <c r="Q1154" s="552"/>
      <c r="R1154" s="552"/>
      <c r="S1154" s="552"/>
      <c r="T1154" s="552"/>
      <c r="U1154" s="552"/>
      <c r="V1154" s="552"/>
      <c r="W1154" s="552"/>
      <c r="X1154" s="552"/>
      <c r="Y1154" s="552"/>
      <c r="Z1154" s="552"/>
      <c r="AA1154" s="552"/>
      <c r="AB1154" s="552"/>
      <c r="AC1154" s="552"/>
      <c r="AD1154" s="552"/>
      <c r="AE1154" s="552"/>
      <c r="AF1154" s="552"/>
      <c r="AG1154" s="552"/>
      <c r="AH1154" s="552"/>
      <c r="AI1154" s="552"/>
      <c r="AJ1154" s="552"/>
      <c r="AK1154" s="552"/>
      <c r="AL1154" s="552"/>
      <c r="AM1154" s="552"/>
      <c r="AN1154" s="552"/>
      <c r="AO1154" s="552"/>
      <c r="AP1154" s="552"/>
      <c r="AQ1154" s="552" t="s">
        <v>7715</v>
      </c>
      <c r="AR1154" s="552" t="s">
        <v>2809</v>
      </c>
      <c r="AS1154" s="552" t="s">
        <v>6967</v>
      </c>
      <c r="AT1154" s="552" t="s">
        <v>726</v>
      </c>
    </row>
    <row r="1155" spans="1:46" ht="14.7" customHeight="1">
      <c r="A1155" s="706" t="s">
        <v>6591</v>
      </c>
      <c r="B1155" s="344" t="s">
        <v>3699</v>
      </c>
      <c r="C1155" s="539" t="s">
        <v>7753</v>
      </c>
      <c r="D1155" s="709" t="s">
        <v>8301</v>
      </c>
      <c r="E1155" s="552" t="s">
        <v>8249</v>
      </c>
      <c r="F1155" s="552"/>
      <c r="G1155" s="552" t="s">
        <v>8282</v>
      </c>
      <c r="H1155" s="552"/>
      <c r="I1155" s="552"/>
      <c r="J1155" s="552"/>
      <c r="K1155" s="552"/>
      <c r="L1155" s="552"/>
      <c r="M1155" s="552"/>
      <c r="N1155" s="552"/>
      <c r="O1155" s="552"/>
      <c r="P1155" s="552"/>
      <c r="Q1155" s="552"/>
      <c r="R1155" s="552"/>
      <c r="S1155" s="552"/>
      <c r="T1155" s="552"/>
      <c r="U1155" s="552"/>
      <c r="V1155" s="552"/>
      <c r="W1155" s="552"/>
      <c r="X1155" s="552">
        <v>2</v>
      </c>
      <c r="Y1155" s="552"/>
      <c r="Z1155" s="552">
        <v>1</v>
      </c>
      <c r="AA1155" s="552"/>
      <c r="AB1155" s="552"/>
      <c r="AC1155" s="552"/>
      <c r="AD1155" s="552">
        <v>20</v>
      </c>
      <c r="AE1155" s="552">
        <v>20</v>
      </c>
      <c r="AF1155" s="552"/>
      <c r="AG1155" s="552"/>
      <c r="AH1155" s="552"/>
      <c r="AI1155" s="552"/>
      <c r="AJ1155" s="552">
        <v>20</v>
      </c>
      <c r="AK1155" s="552"/>
      <c r="AL1155" s="552"/>
      <c r="AM1155" s="552"/>
      <c r="AN1155" s="552"/>
      <c r="AO1155" s="552" t="s">
        <v>8302</v>
      </c>
      <c r="AP1155" s="552"/>
      <c r="AQ1155" s="552" t="s">
        <v>7715</v>
      </c>
      <c r="AR1155" s="552" t="s">
        <v>2809</v>
      </c>
      <c r="AS1155" s="552" t="s">
        <v>6967</v>
      </c>
      <c r="AT1155" s="552" t="s">
        <v>726</v>
      </c>
    </row>
    <row r="1156" spans="1:46" ht="14.7" customHeight="1">
      <c r="A1156" s="706" t="s">
        <v>8303</v>
      </c>
      <c r="B1156" s="344" t="s">
        <v>3699</v>
      </c>
      <c r="C1156" s="539" t="s">
        <v>7753</v>
      </c>
      <c r="D1156" s="709" t="s">
        <v>8304</v>
      </c>
      <c r="E1156" s="552" t="s">
        <v>8249</v>
      </c>
      <c r="F1156" s="552"/>
      <c r="G1156" s="552" t="s">
        <v>8282</v>
      </c>
      <c r="H1156" s="552"/>
      <c r="I1156" s="552"/>
      <c r="J1156" s="552"/>
      <c r="K1156" s="552"/>
      <c r="L1156" s="552"/>
      <c r="M1156" s="552"/>
      <c r="N1156" s="552"/>
      <c r="O1156" s="552"/>
      <c r="P1156" s="552">
        <v>6</v>
      </c>
      <c r="Q1156" s="552"/>
      <c r="R1156" s="552"/>
      <c r="S1156" s="552"/>
      <c r="T1156" s="552"/>
      <c r="U1156" s="552"/>
      <c r="V1156" s="552"/>
      <c r="W1156" s="552"/>
      <c r="X1156" s="552">
        <v>2</v>
      </c>
      <c r="Y1156" s="552">
        <v>4</v>
      </c>
      <c r="Z1156" s="552">
        <v>1</v>
      </c>
      <c r="AA1156" s="552"/>
      <c r="AB1156" s="552">
        <v>10</v>
      </c>
      <c r="AC1156" s="552">
        <v>10</v>
      </c>
      <c r="AD1156" s="552">
        <v>10</v>
      </c>
      <c r="AE1156" s="552">
        <v>10</v>
      </c>
      <c r="AF1156" s="552">
        <v>10</v>
      </c>
      <c r="AG1156" s="552">
        <v>10</v>
      </c>
      <c r="AH1156" s="552">
        <v>10</v>
      </c>
      <c r="AI1156" s="552">
        <v>10</v>
      </c>
      <c r="AJ1156" s="552">
        <v>10</v>
      </c>
      <c r="AK1156" s="552"/>
      <c r="AL1156" s="552"/>
      <c r="AM1156" s="552"/>
      <c r="AN1156" s="552"/>
      <c r="AO1156" s="552"/>
      <c r="AP1156" s="552" t="s">
        <v>8305</v>
      </c>
      <c r="AQ1156" s="552" t="s">
        <v>7715</v>
      </c>
      <c r="AR1156" s="552" t="s">
        <v>2809</v>
      </c>
      <c r="AS1156" s="552" t="s">
        <v>6967</v>
      </c>
      <c r="AT1156" s="552" t="s">
        <v>726</v>
      </c>
    </row>
    <row r="1157" spans="1:46" ht="14.7" customHeight="1">
      <c r="A1157" s="706" t="s">
        <v>6592</v>
      </c>
      <c r="B1157" s="344" t="s">
        <v>3699</v>
      </c>
      <c r="C1157" s="539" t="s">
        <v>7753</v>
      </c>
      <c r="D1157" s="709" t="s">
        <v>8306</v>
      </c>
      <c r="E1157" s="552" t="s">
        <v>8246</v>
      </c>
      <c r="F1157" s="552"/>
      <c r="G1157" s="552" t="s">
        <v>8282</v>
      </c>
      <c r="H1157" s="552"/>
      <c r="I1157" s="552"/>
      <c r="J1157" s="552"/>
      <c r="K1157" s="552"/>
      <c r="L1157" s="552"/>
      <c r="M1157" s="552"/>
      <c r="N1157" s="552"/>
      <c r="O1157" s="552"/>
      <c r="P1157" s="552"/>
      <c r="Q1157" s="552">
        <v>4</v>
      </c>
      <c r="R1157" s="552"/>
      <c r="S1157" s="552"/>
      <c r="T1157" s="552"/>
      <c r="U1157" s="552"/>
      <c r="V1157" s="552"/>
      <c r="W1157" s="552"/>
      <c r="X1157" s="552">
        <v>4</v>
      </c>
      <c r="Y1157" s="552"/>
      <c r="Z1157" s="552"/>
      <c r="AA1157" s="552"/>
      <c r="AB1157" s="552"/>
      <c r="AC1157" s="552"/>
      <c r="AD1157" s="552"/>
      <c r="AE1157" s="552"/>
      <c r="AF1157" s="552">
        <v>40</v>
      </c>
      <c r="AG1157" s="552"/>
      <c r="AH1157" s="552"/>
      <c r="AI1157" s="552"/>
      <c r="AJ1157" s="552"/>
      <c r="AK1157" s="552"/>
      <c r="AL1157" s="552"/>
      <c r="AM1157" s="552"/>
      <c r="AN1157" s="552"/>
      <c r="AO1157" s="552" t="s">
        <v>8307</v>
      </c>
      <c r="AP1157" s="552"/>
      <c r="AQ1157" s="552" t="s">
        <v>7715</v>
      </c>
      <c r="AR1157" s="552" t="s">
        <v>2809</v>
      </c>
      <c r="AS1157" s="552" t="s">
        <v>6967</v>
      </c>
      <c r="AT1157" s="552" t="s">
        <v>726</v>
      </c>
    </row>
    <row r="1158" spans="1:46" ht="14.7" customHeight="1">
      <c r="A1158" s="706" t="s">
        <v>6593</v>
      </c>
      <c r="B1158" s="559" t="s">
        <v>3700</v>
      </c>
      <c r="C1158" s="539" t="s">
        <v>7753</v>
      </c>
      <c r="D1158" s="709" t="s">
        <v>8308</v>
      </c>
      <c r="E1158" s="552" t="s">
        <v>8249</v>
      </c>
      <c r="F1158" s="552"/>
      <c r="G1158" s="552"/>
      <c r="H1158" s="552"/>
      <c r="I1158" s="552"/>
      <c r="J1158" s="552"/>
      <c r="K1158" s="552"/>
      <c r="L1158" s="552"/>
      <c r="M1158" s="552"/>
      <c r="N1158" s="552"/>
      <c r="O1158" s="552"/>
      <c r="P1158" s="552"/>
      <c r="Q1158" s="552">
        <v>8</v>
      </c>
      <c r="R1158" s="552"/>
      <c r="S1158" s="552"/>
      <c r="T1158" s="552"/>
      <c r="U1158" s="552"/>
      <c r="V1158" s="552"/>
      <c r="W1158" s="552"/>
      <c r="X1158" s="552"/>
      <c r="Y1158" s="552"/>
      <c r="Z1158" s="552">
        <v>2</v>
      </c>
      <c r="AA1158" s="552"/>
      <c r="AB1158" s="552"/>
      <c r="AC1158" s="552">
        <v>20</v>
      </c>
      <c r="AD1158" s="552"/>
      <c r="AE1158" s="552"/>
      <c r="AF1158" s="552"/>
      <c r="AG1158" s="552"/>
      <c r="AH1158" s="552"/>
      <c r="AI1158" s="552"/>
      <c r="AJ1158" s="552"/>
      <c r="AK1158" s="552"/>
      <c r="AL1158" s="552"/>
      <c r="AM1158" s="552"/>
      <c r="AN1158" s="552"/>
      <c r="AO1158" s="552" t="s">
        <v>8309</v>
      </c>
      <c r="AP1158" s="552"/>
      <c r="AQ1158" s="552" t="s">
        <v>7715</v>
      </c>
      <c r="AR1158" s="552" t="s">
        <v>2971</v>
      </c>
      <c r="AS1158" s="552" t="s">
        <v>6967</v>
      </c>
      <c r="AT1158" s="552" t="s">
        <v>726</v>
      </c>
    </row>
    <row r="1159" spans="1:46" ht="14.7" customHeight="1">
      <c r="A1159" s="706"/>
      <c r="B1159" s="559" t="s">
        <v>3700</v>
      </c>
      <c r="C1159" s="539" t="s">
        <v>7753</v>
      </c>
      <c r="D1159" s="709"/>
      <c r="E1159" s="552"/>
      <c r="F1159" s="552"/>
      <c r="G1159" s="552"/>
      <c r="H1159" s="552"/>
      <c r="I1159" s="552"/>
      <c r="J1159" s="552"/>
      <c r="K1159" s="552"/>
      <c r="L1159" s="552"/>
      <c r="M1159" s="552"/>
      <c r="N1159" s="552"/>
      <c r="O1159" s="552"/>
      <c r="P1159" s="552"/>
      <c r="Q1159" s="552"/>
      <c r="R1159" s="552"/>
      <c r="S1159" s="552"/>
      <c r="T1159" s="552"/>
      <c r="U1159" s="552"/>
      <c r="V1159" s="552"/>
      <c r="W1159" s="552"/>
      <c r="X1159" s="552"/>
      <c r="Y1159" s="552"/>
      <c r="Z1159" s="552"/>
      <c r="AA1159" s="552"/>
      <c r="AB1159" s="552"/>
      <c r="AC1159" s="552"/>
      <c r="AD1159" s="552"/>
      <c r="AE1159" s="552"/>
      <c r="AF1159" s="552"/>
      <c r="AG1159" s="552"/>
      <c r="AH1159" s="552"/>
      <c r="AI1159" s="552"/>
      <c r="AJ1159" s="552"/>
      <c r="AK1159" s="552"/>
      <c r="AL1159" s="552"/>
      <c r="AM1159" s="552"/>
      <c r="AN1159" s="552"/>
      <c r="AO1159" s="552"/>
      <c r="AP1159" s="552"/>
      <c r="AQ1159" s="552" t="s">
        <v>7715</v>
      </c>
      <c r="AR1159" s="552" t="s">
        <v>2971</v>
      </c>
      <c r="AS1159" s="552" t="s">
        <v>6967</v>
      </c>
      <c r="AT1159" s="552" t="s">
        <v>726</v>
      </c>
    </row>
    <row r="1160" spans="1:46" ht="14.7" customHeight="1">
      <c r="A1160" s="706"/>
      <c r="B1160" s="711" t="s">
        <v>6055</v>
      </c>
      <c r="C1160" s="539" t="s">
        <v>7753</v>
      </c>
      <c r="D1160" s="709"/>
      <c r="E1160" s="552"/>
      <c r="F1160" s="552"/>
      <c r="G1160" s="552"/>
      <c r="H1160" s="552"/>
      <c r="I1160" s="552"/>
      <c r="J1160" s="552"/>
      <c r="K1160" s="552"/>
      <c r="L1160" s="552"/>
      <c r="M1160" s="552"/>
      <c r="N1160" s="552"/>
      <c r="O1160" s="552"/>
      <c r="P1160" s="552"/>
      <c r="Q1160" s="552"/>
      <c r="R1160" s="552"/>
      <c r="S1160" s="552"/>
      <c r="T1160" s="552"/>
      <c r="U1160" s="552"/>
      <c r="V1160" s="552"/>
      <c r="W1160" s="552"/>
      <c r="X1160" s="552"/>
      <c r="Y1160" s="552"/>
      <c r="Z1160" s="552"/>
      <c r="AA1160" s="552"/>
      <c r="AB1160" s="552"/>
      <c r="AC1160" s="552"/>
      <c r="AD1160" s="552"/>
      <c r="AE1160" s="552"/>
      <c r="AF1160" s="552"/>
      <c r="AG1160" s="552"/>
      <c r="AH1160" s="552"/>
      <c r="AI1160" s="552"/>
      <c r="AJ1160" s="552"/>
      <c r="AK1160" s="552"/>
      <c r="AL1160" s="552"/>
      <c r="AM1160" s="552"/>
      <c r="AN1160" s="552"/>
      <c r="AO1160" s="552"/>
      <c r="AP1160" s="552"/>
      <c r="AQ1160" s="552" t="s">
        <v>7715</v>
      </c>
      <c r="AR1160" s="552" t="s">
        <v>6697</v>
      </c>
      <c r="AS1160" s="552" t="s">
        <v>6967</v>
      </c>
      <c r="AT1160" s="552" t="s">
        <v>726</v>
      </c>
    </row>
    <row r="1161" spans="1:46" ht="14.7" customHeight="1">
      <c r="A1161" s="706" t="s">
        <v>6594</v>
      </c>
      <c r="B1161" s="540" t="s">
        <v>3695</v>
      </c>
      <c r="C1161" s="539" t="s">
        <v>7753</v>
      </c>
      <c r="D1161" s="709" t="s">
        <v>8310</v>
      </c>
      <c r="E1161" s="552" t="s">
        <v>8246</v>
      </c>
      <c r="F1161" s="552"/>
      <c r="G1161" s="552" t="s">
        <v>8311</v>
      </c>
      <c r="H1161" s="552"/>
      <c r="I1161" s="552"/>
      <c r="J1161" s="552"/>
      <c r="K1161" s="552"/>
      <c r="L1161" s="552"/>
      <c r="M1161" s="552"/>
      <c r="N1161" s="552"/>
      <c r="O1161" s="552"/>
      <c r="P1161" s="552"/>
      <c r="Q1161" s="552"/>
      <c r="R1161" s="552"/>
      <c r="S1161" s="552">
        <v>1</v>
      </c>
      <c r="T1161" s="552"/>
      <c r="U1161" s="552"/>
      <c r="V1161" s="552"/>
      <c r="W1161" s="552"/>
      <c r="X1161" s="552"/>
      <c r="Y1161" s="552"/>
      <c r="Z1161" s="552"/>
      <c r="AA1161" s="552"/>
      <c r="AB1161" s="552"/>
      <c r="AC1161" s="552"/>
      <c r="AD1161" s="552"/>
      <c r="AE1161" s="552"/>
      <c r="AF1161" s="552"/>
      <c r="AG1161" s="552"/>
      <c r="AH1161" s="552"/>
      <c r="AI1161" s="552"/>
      <c r="AJ1161" s="552"/>
      <c r="AK1161" s="552"/>
      <c r="AL1161" s="552"/>
      <c r="AM1161" s="552"/>
      <c r="AN1161" s="552"/>
      <c r="AO1161" s="552"/>
      <c r="AP1161" s="552"/>
      <c r="AQ1161" s="552" t="s">
        <v>7715</v>
      </c>
      <c r="AR1161" s="552" t="s">
        <v>2802</v>
      </c>
      <c r="AS1161" s="552" t="s">
        <v>7484</v>
      </c>
      <c r="AT1161" s="552" t="s">
        <v>726</v>
      </c>
    </row>
    <row r="1162" spans="1:46" ht="14.7" customHeight="1">
      <c r="A1162" s="706"/>
      <c r="B1162" s="540" t="s">
        <v>3695</v>
      </c>
      <c r="C1162" s="539" t="s">
        <v>7753</v>
      </c>
      <c r="D1162" s="709"/>
      <c r="E1162" s="552"/>
      <c r="F1162" s="552"/>
      <c r="G1162" s="552"/>
      <c r="H1162" s="552"/>
      <c r="I1162" s="552"/>
      <c r="J1162" s="552"/>
      <c r="K1162" s="552"/>
      <c r="L1162" s="552"/>
      <c r="M1162" s="552"/>
      <c r="N1162" s="552"/>
      <c r="O1162" s="552"/>
      <c r="P1162" s="552"/>
      <c r="Q1162" s="552"/>
      <c r="R1162" s="552"/>
      <c r="S1162" s="552"/>
      <c r="T1162" s="552"/>
      <c r="U1162" s="552"/>
      <c r="V1162" s="552"/>
      <c r="W1162" s="552"/>
      <c r="X1162" s="552"/>
      <c r="Y1162" s="552"/>
      <c r="Z1162" s="552"/>
      <c r="AA1162" s="552"/>
      <c r="AB1162" s="552"/>
      <c r="AC1162" s="552"/>
      <c r="AD1162" s="552"/>
      <c r="AE1162" s="552"/>
      <c r="AF1162" s="552"/>
      <c r="AG1162" s="552"/>
      <c r="AH1162" s="552"/>
      <c r="AI1162" s="552"/>
      <c r="AJ1162" s="552"/>
      <c r="AK1162" s="552"/>
      <c r="AL1162" s="552"/>
      <c r="AM1162" s="552"/>
      <c r="AN1162" s="552"/>
      <c r="AO1162" s="552"/>
      <c r="AP1162" s="552"/>
      <c r="AQ1162" s="552" t="s">
        <v>7715</v>
      </c>
      <c r="AR1162" s="552" t="s">
        <v>2802</v>
      </c>
      <c r="AS1162" s="552" t="s">
        <v>7484</v>
      </c>
      <c r="AT1162" s="552" t="s">
        <v>726</v>
      </c>
    </row>
    <row r="1163" spans="1:46" ht="14.7" customHeight="1">
      <c r="A1163" s="706" t="s">
        <v>6595</v>
      </c>
      <c r="B1163" s="707" t="s">
        <v>3696</v>
      </c>
      <c r="C1163" s="539" t="s">
        <v>7753</v>
      </c>
      <c r="D1163" s="709" t="s">
        <v>8312</v>
      </c>
      <c r="E1163" s="552" t="s">
        <v>8246</v>
      </c>
      <c r="F1163" s="552"/>
      <c r="G1163" s="552" t="s">
        <v>8311</v>
      </c>
      <c r="H1163" s="552"/>
      <c r="I1163" s="552"/>
      <c r="J1163" s="552"/>
      <c r="K1163" s="552"/>
      <c r="L1163" s="552"/>
      <c r="M1163" s="552"/>
      <c r="N1163" s="552"/>
      <c r="O1163" s="552"/>
      <c r="P1163" s="552"/>
      <c r="Q1163" s="552"/>
      <c r="R1163" s="552"/>
      <c r="S1163" s="552">
        <v>1</v>
      </c>
      <c r="T1163" s="552"/>
      <c r="U1163" s="552"/>
      <c r="V1163" s="552"/>
      <c r="W1163" s="552"/>
      <c r="X1163" s="552"/>
      <c r="Y1163" s="552"/>
      <c r="Z1163" s="552"/>
      <c r="AA1163" s="552"/>
      <c r="AB1163" s="552"/>
      <c r="AC1163" s="552"/>
      <c r="AD1163" s="552">
        <v>20</v>
      </c>
      <c r="AE1163" s="552"/>
      <c r="AF1163" s="552"/>
      <c r="AG1163" s="552"/>
      <c r="AH1163" s="552"/>
      <c r="AI1163" s="552"/>
      <c r="AJ1163" s="552"/>
      <c r="AK1163" s="552"/>
      <c r="AL1163" s="552"/>
      <c r="AM1163" s="552"/>
      <c r="AN1163" s="552"/>
      <c r="AO1163" s="552"/>
      <c r="AP1163" s="552"/>
      <c r="AQ1163" s="552" t="s">
        <v>7715</v>
      </c>
      <c r="AR1163" s="552" t="s">
        <v>2805</v>
      </c>
      <c r="AS1163" s="552" t="s">
        <v>7484</v>
      </c>
      <c r="AT1163" s="552" t="s">
        <v>726</v>
      </c>
    </row>
    <row r="1164" spans="1:46" ht="14.7" customHeight="1">
      <c r="A1164" s="706"/>
      <c r="B1164" s="707" t="s">
        <v>3696</v>
      </c>
      <c r="C1164" s="539" t="s">
        <v>7753</v>
      </c>
      <c r="D1164" s="709"/>
      <c r="E1164" s="552"/>
      <c r="F1164" s="552"/>
      <c r="G1164" s="552"/>
      <c r="H1164" s="552"/>
      <c r="I1164" s="552"/>
      <c r="J1164" s="552"/>
      <c r="K1164" s="552"/>
      <c r="L1164" s="552"/>
      <c r="M1164" s="552"/>
      <c r="N1164" s="552"/>
      <c r="O1164" s="552"/>
      <c r="P1164" s="552"/>
      <c r="Q1164" s="552"/>
      <c r="R1164" s="552"/>
      <c r="S1164" s="552"/>
      <c r="T1164" s="552"/>
      <c r="U1164" s="552"/>
      <c r="V1164" s="552"/>
      <c r="W1164" s="552"/>
      <c r="X1164" s="552"/>
      <c r="Y1164" s="552"/>
      <c r="Z1164" s="552"/>
      <c r="AA1164" s="552"/>
      <c r="AB1164" s="552"/>
      <c r="AC1164" s="552"/>
      <c r="AD1164" s="552"/>
      <c r="AE1164" s="552"/>
      <c r="AF1164" s="552"/>
      <c r="AG1164" s="552"/>
      <c r="AH1164" s="552"/>
      <c r="AI1164" s="552"/>
      <c r="AJ1164" s="552"/>
      <c r="AK1164" s="552"/>
      <c r="AL1164" s="552"/>
      <c r="AM1164" s="552"/>
      <c r="AN1164" s="552"/>
      <c r="AO1164" s="552"/>
      <c r="AP1164" s="552"/>
      <c r="AQ1164" s="552" t="s">
        <v>7715</v>
      </c>
      <c r="AR1164" s="552" t="s">
        <v>2805</v>
      </c>
      <c r="AS1164" s="552" t="s">
        <v>7484</v>
      </c>
      <c r="AT1164" s="552" t="s">
        <v>726</v>
      </c>
    </row>
    <row r="1165" spans="1:46" ht="14.7" customHeight="1">
      <c r="A1165" s="706" t="s">
        <v>6596</v>
      </c>
      <c r="B1165" s="556" t="s">
        <v>3697</v>
      </c>
      <c r="C1165" s="539" t="s">
        <v>7753</v>
      </c>
      <c r="D1165" s="709" t="s">
        <v>8313</v>
      </c>
      <c r="E1165" s="552" t="s">
        <v>8246</v>
      </c>
      <c r="F1165" s="552"/>
      <c r="G1165" s="552" t="s">
        <v>8311</v>
      </c>
      <c r="H1165" s="552"/>
      <c r="I1165" s="552"/>
      <c r="J1165" s="552"/>
      <c r="K1165" s="552"/>
      <c r="L1165" s="552"/>
      <c r="M1165" s="552"/>
      <c r="N1165" s="552"/>
      <c r="O1165" s="552"/>
      <c r="P1165" s="552"/>
      <c r="Q1165" s="552"/>
      <c r="R1165" s="552">
        <v>2</v>
      </c>
      <c r="S1165" s="552"/>
      <c r="T1165" s="552"/>
      <c r="U1165" s="552"/>
      <c r="V1165" s="552"/>
      <c r="W1165" s="552"/>
      <c r="X1165" s="552">
        <v>1</v>
      </c>
      <c r="Y1165" s="552">
        <v>2</v>
      </c>
      <c r="Z1165" s="552"/>
      <c r="AA1165" s="552"/>
      <c r="AB1165" s="552"/>
      <c r="AC1165" s="552"/>
      <c r="AD1165" s="552"/>
      <c r="AE1165" s="552"/>
      <c r="AF1165" s="552"/>
      <c r="AG1165" s="552"/>
      <c r="AH1165" s="552"/>
      <c r="AI1165" s="552"/>
      <c r="AJ1165" s="552"/>
      <c r="AK1165" s="552"/>
      <c r="AL1165" s="552"/>
      <c r="AM1165" s="552"/>
      <c r="AN1165" s="552"/>
      <c r="AO1165" s="552"/>
      <c r="AP1165" s="552"/>
      <c r="AQ1165" s="552" t="s">
        <v>7715</v>
      </c>
      <c r="AR1165" s="552" t="s">
        <v>2875</v>
      </c>
      <c r="AS1165" s="552" t="s">
        <v>7484</v>
      </c>
      <c r="AT1165" s="552" t="s">
        <v>726</v>
      </c>
    </row>
    <row r="1166" spans="1:46" ht="14.7" customHeight="1">
      <c r="A1166" s="706" t="s">
        <v>6597</v>
      </c>
      <c r="B1166" s="556" t="s">
        <v>3697</v>
      </c>
      <c r="C1166" s="539" t="s">
        <v>7753</v>
      </c>
      <c r="D1166" s="709" t="s">
        <v>8314</v>
      </c>
      <c r="E1166" s="552" t="s">
        <v>8246</v>
      </c>
      <c r="F1166" s="552"/>
      <c r="G1166" s="552" t="s">
        <v>8311</v>
      </c>
      <c r="H1166" s="552"/>
      <c r="I1166" s="552"/>
      <c r="J1166" s="552"/>
      <c r="K1166" s="552"/>
      <c r="L1166" s="552"/>
      <c r="M1166" s="552"/>
      <c r="N1166" s="552"/>
      <c r="O1166" s="552"/>
      <c r="P1166" s="552"/>
      <c r="Q1166" s="552"/>
      <c r="R1166" s="552"/>
      <c r="S1166" s="552">
        <v>-1</v>
      </c>
      <c r="T1166" s="552"/>
      <c r="U1166" s="552"/>
      <c r="V1166" s="552"/>
      <c r="W1166" s="552"/>
      <c r="X1166" s="552"/>
      <c r="Y1166" s="552"/>
      <c r="Z1166" s="552"/>
      <c r="AA1166" s="552"/>
      <c r="AB1166" s="552"/>
      <c r="AC1166" s="552"/>
      <c r="AD1166" s="552"/>
      <c r="AE1166" s="552"/>
      <c r="AF1166" s="552"/>
      <c r="AG1166" s="552"/>
      <c r="AH1166" s="552"/>
      <c r="AI1166" s="552"/>
      <c r="AJ1166" s="552"/>
      <c r="AK1166" s="552"/>
      <c r="AL1166" s="552"/>
      <c r="AM1166" s="552"/>
      <c r="AN1166" s="552"/>
      <c r="AO1166" s="552" t="s">
        <v>8315</v>
      </c>
      <c r="AP1166" s="552"/>
      <c r="AQ1166" s="552" t="s">
        <v>7715</v>
      </c>
      <c r="AR1166" s="552" t="s">
        <v>2875</v>
      </c>
      <c r="AS1166" s="552" t="s">
        <v>7484</v>
      </c>
      <c r="AT1166" s="552" t="s">
        <v>726</v>
      </c>
    </row>
    <row r="1167" spans="1:46" ht="14.7" customHeight="1">
      <c r="A1167" s="706"/>
      <c r="B1167" s="556" t="s">
        <v>3697</v>
      </c>
      <c r="C1167" s="539" t="s">
        <v>7753</v>
      </c>
      <c r="D1167" s="709"/>
      <c r="E1167" s="552"/>
      <c r="F1167" s="552"/>
      <c r="G1167" s="552"/>
      <c r="H1167" s="552"/>
      <c r="I1167" s="552"/>
      <c r="J1167" s="552"/>
      <c r="K1167" s="552"/>
      <c r="L1167" s="552"/>
      <c r="M1167" s="552"/>
      <c r="N1167" s="552"/>
      <c r="O1167" s="552"/>
      <c r="P1167" s="552"/>
      <c r="Q1167" s="552"/>
      <c r="R1167" s="552"/>
      <c r="S1167" s="552"/>
      <c r="T1167" s="552"/>
      <c r="U1167" s="552"/>
      <c r="V1167" s="552"/>
      <c r="W1167" s="552"/>
      <c r="X1167" s="552"/>
      <c r="Y1167" s="552"/>
      <c r="Z1167" s="552"/>
      <c r="AA1167" s="552"/>
      <c r="AB1167" s="552"/>
      <c r="AC1167" s="552"/>
      <c r="AD1167" s="552"/>
      <c r="AE1167" s="552"/>
      <c r="AF1167" s="552"/>
      <c r="AG1167" s="552"/>
      <c r="AH1167" s="552"/>
      <c r="AI1167" s="552"/>
      <c r="AJ1167" s="552"/>
      <c r="AK1167" s="552"/>
      <c r="AL1167" s="552"/>
      <c r="AM1167" s="552"/>
      <c r="AN1167" s="552"/>
      <c r="AO1167" s="552"/>
      <c r="AP1167" s="552"/>
      <c r="AQ1167" s="552" t="s">
        <v>7715</v>
      </c>
      <c r="AR1167" s="552" t="s">
        <v>2875</v>
      </c>
      <c r="AS1167" s="552" t="s">
        <v>7484</v>
      </c>
      <c r="AT1167" s="552" t="s">
        <v>726</v>
      </c>
    </row>
    <row r="1168" spans="1:46" ht="14.7" customHeight="1">
      <c r="A1168" s="706" t="s">
        <v>6598</v>
      </c>
      <c r="B1168" s="557" t="s">
        <v>3698</v>
      </c>
      <c r="C1168" s="539" t="s">
        <v>7753</v>
      </c>
      <c r="D1168" s="709" t="s">
        <v>8316</v>
      </c>
      <c r="E1168" s="552" t="s">
        <v>8246</v>
      </c>
      <c r="F1168" s="552"/>
      <c r="G1168" s="552" t="s">
        <v>8311</v>
      </c>
      <c r="H1168" s="552"/>
      <c r="I1168" s="552"/>
      <c r="J1168" s="552"/>
      <c r="K1168" s="552"/>
      <c r="L1168" s="552"/>
      <c r="M1168" s="552"/>
      <c r="N1168" s="552"/>
      <c r="O1168" s="552"/>
      <c r="P1168" s="552"/>
      <c r="Q1168" s="552"/>
      <c r="R1168" s="552">
        <v>4</v>
      </c>
      <c r="S1168" s="552"/>
      <c r="T1168" s="552"/>
      <c r="U1168" s="552">
        <v>1</v>
      </c>
      <c r="V1168" s="552"/>
      <c r="W1168" s="552"/>
      <c r="X1168" s="552">
        <v>4</v>
      </c>
      <c r="Y1168" s="552"/>
      <c r="Z1168" s="552"/>
      <c r="AA1168" s="552"/>
      <c r="AB1168" s="552">
        <v>20</v>
      </c>
      <c r="AC1168" s="552"/>
      <c r="AD1168" s="552"/>
      <c r="AE1168" s="552"/>
      <c r="AF1168" s="552"/>
      <c r="AG1168" s="552"/>
      <c r="AH1168" s="552"/>
      <c r="AI1168" s="552"/>
      <c r="AJ1168" s="552"/>
      <c r="AK1168" s="552"/>
      <c r="AL1168" s="552"/>
      <c r="AM1168" s="552"/>
      <c r="AN1168" s="552"/>
      <c r="AO1168" s="552"/>
      <c r="AP1168" s="552"/>
      <c r="AQ1168" s="552" t="s">
        <v>7715</v>
      </c>
      <c r="AR1168" s="552" t="s">
        <v>2998</v>
      </c>
      <c r="AS1168" s="552" t="s">
        <v>7484</v>
      </c>
      <c r="AT1168" s="552" t="s">
        <v>726</v>
      </c>
    </row>
    <row r="1169" spans="1:46" ht="14.7" customHeight="1">
      <c r="A1169" s="706"/>
      <c r="B1169" s="557" t="s">
        <v>3698</v>
      </c>
      <c r="C1169" s="539" t="s">
        <v>7753</v>
      </c>
      <c r="D1169" s="709"/>
      <c r="E1169" s="552"/>
      <c r="F1169" s="552"/>
      <c r="G1169" s="552"/>
      <c r="H1169" s="552"/>
      <c r="I1169" s="552"/>
      <c r="J1169" s="552"/>
      <c r="K1169" s="552"/>
      <c r="L1169" s="552"/>
      <c r="M1169" s="552"/>
      <c r="N1169" s="552"/>
      <c r="O1169" s="552"/>
      <c r="P1169" s="552"/>
      <c r="Q1169" s="552"/>
      <c r="R1169" s="552"/>
      <c r="S1169" s="552"/>
      <c r="T1169" s="552"/>
      <c r="U1169" s="552"/>
      <c r="V1169" s="552"/>
      <c r="W1169" s="552"/>
      <c r="X1169" s="552"/>
      <c r="Y1169" s="552"/>
      <c r="Z1169" s="552"/>
      <c r="AA1169" s="552"/>
      <c r="AB1169" s="552"/>
      <c r="AC1169" s="552"/>
      <c r="AD1169" s="552"/>
      <c r="AE1169" s="552"/>
      <c r="AF1169" s="552"/>
      <c r="AG1169" s="552"/>
      <c r="AH1169" s="552"/>
      <c r="AI1169" s="552"/>
      <c r="AJ1169" s="552"/>
      <c r="AK1169" s="552"/>
      <c r="AL1169" s="552"/>
      <c r="AM1169" s="552"/>
      <c r="AN1169" s="552"/>
      <c r="AO1169" s="552"/>
      <c r="AP1169" s="552"/>
      <c r="AQ1169" s="552" t="s">
        <v>7715</v>
      </c>
      <c r="AR1169" s="552" t="s">
        <v>2998</v>
      </c>
      <c r="AS1169" s="552" t="s">
        <v>7484</v>
      </c>
      <c r="AT1169" s="552" t="s">
        <v>726</v>
      </c>
    </row>
    <row r="1170" spans="1:46" ht="14.7" customHeight="1">
      <c r="A1170" s="706"/>
      <c r="B1170" s="557" t="s">
        <v>3698</v>
      </c>
      <c r="C1170" s="539" t="s">
        <v>7753</v>
      </c>
      <c r="D1170" s="709"/>
      <c r="E1170" s="552"/>
      <c r="F1170" s="552"/>
      <c r="G1170" s="552"/>
      <c r="H1170" s="552"/>
      <c r="I1170" s="552"/>
      <c r="J1170" s="552"/>
      <c r="K1170" s="552"/>
      <c r="L1170" s="552"/>
      <c r="M1170" s="552"/>
      <c r="N1170" s="552"/>
      <c r="O1170" s="552"/>
      <c r="P1170" s="552"/>
      <c r="Q1170" s="552"/>
      <c r="R1170" s="552"/>
      <c r="S1170" s="552"/>
      <c r="T1170" s="552"/>
      <c r="U1170" s="552"/>
      <c r="V1170" s="552"/>
      <c r="W1170" s="552"/>
      <c r="X1170" s="552"/>
      <c r="Y1170" s="552"/>
      <c r="Z1170" s="552"/>
      <c r="AA1170" s="552"/>
      <c r="AB1170" s="552"/>
      <c r="AC1170" s="552"/>
      <c r="AD1170" s="552"/>
      <c r="AE1170" s="552"/>
      <c r="AF1170" s="552"/>
      <c r="AG1170" s="552"/>
      <c r="AH1170" s="552"/>
      <c r="AI1170" s="552"/>
      <c r="AJ1170" s="552"/>
      <c r="AK1170" s="552"/>
      <c r="AL1170" s="552"/>
      <c r="AM1170" s="552"/>
      <c r="AN1170" s="552"/>
      <c r="AO1170" s="552"/>
      <c r="AP1170" s="552"/>
      <c r="AQ1170" s="552" t="s">
        <v>7715</v>
      </c>
      <c r="AR1170" s="552" t="s">
        <v>2998</v>
      </c>
      <c r="AS1170" s="552" t="s">
        <v>7484</v>
      </c>
      <c r="AT1170" s="552" t="s">
        <v>726</v>
      </c>
    </row>
    <row r="1171" spans="1:46" ht="14.7" customHeight="1">
      <c r="A1171" s="706"/>
      <c r="B1171" s="557" t="s">
        <v>3698</v>
      </c>
      <c r="C1171" s="539" t="s">
        <v>7753</v>
      </c>
      <c r="D1171" s="709"/>
      <c r="E1171" s="552"/>
      <c r="F1171" s="552"/>
      <c r="G1171" s="552"/>
      <c r="H1171" s="552"/>
      <c r="I1171" s="552"/>
      <c r="J1171" s="552"/>
      <c r="K1171" s="552"/>
      <c r="L1171" s="552"/>
      <c r="M1171" s="552"/>
      <c r="N1171" s="552"/>
      <c r="O1171" s="552"/>
      <c r="P1171" s="552"/>
      <c r="Q1171" s="552"/>
      <c r="R1171" s="552"/>
      <c r="S1171" s="552"/>
      <c r="T1171" s="552"/>
      <c r="U1171" s="552"/>
      <c r="V1171" s="552"/>
      <c r="W1171" s="552"/>
      <c r="X1171" s="552"/>
      <c r="Y1171" s="552"/>
      <c r="Z1171" s="552"/>
      <c r="AA1171" s="552"/>
      <c r="AB1171" s="552"/>
      <c r="AC1171" s="552"/>
      <c r="AD1171" s="552"/>
      <c r="AE1171" s="552"/>
      <c r="AF1171" s="552"/>
      <c r="AG1171" s="552"/>
      <c r="AH1171" s="552"/>
      <c r="AI1171" s="552"/>
      <c r="AJ1171" s="552"/>
      <c r="AK1171" s="552"/>
      <c r="AL1171" s="552"/>
      <c r="AM1171" s="552"/>
      <c r="AN1171" s="552"/>
      <c r="AO1171" s="552"/>
      <c r="AP1171" s="552"/>
      <c r="AQ1171" s="552" t="s">
        <v>7715</v>
      </c>
      <c r="AR1171" s="552" t="s">
        <v>2998</v>
      </c>
      <c r="AS1171" s="552" t="s">
        <v>7484</v>
      </c>
      <c r="AT1171" s="552" t="s">
        <v>726</v>
      </c>
    </row>
    <row r="1172" spans="1:46" ht="14.7" customHeight="1">
      <c r="A1172" s="706" t="s">
        <v>8317</v>
      </c>
      <c r="B1172" s="344" t="s">
        <v>3699</v>
      </c>
      <c r="C1172" s="539" t="s">
        <v>7753</v>
      </c>
      <c r="D1172" s="726" t="s">
        <v>8318</v>
      </c>
      <c r="E1172" s="709" t="s">
        <v>8246</v>
      </c>
      <c r="F1172" s="709"/>
      <c r="G1172" s="552" t="s">
        <v>8311</v>
      </c>
      <c r="H1172" s="709"/>
      <c r="I1172" s="709"/>
      <c r="J1172" s="552"/>
      <c r="K1172" s="552"/>
      <c r="L1172" s="552"/>
      <c r="M1172" s="552"/>
      <c r="N1172" s="552"/>
      <c r="O1172" s="552"/>
      <c r="P1172" s="552"/>
      <c r="Q1172" s="552"/>
      <c r="R1172" s="552"/>
      <c r="S1172" s="552"/>
      <c r="T1172" s="552"/>
      <c r="U1172" s="552"/>
      <c r="V1172" s="552"/>
      <c r="W1172" s="552"/>
      <c r="X1172" s="552">
        <v>3</v>
      </c>
      <c r="Y1172" s="552"/>
      <c r="Z1172" s="552">
        <v>1</v>
      </c>
      <c r="AA1172" s="552"/>
      <c r="AB1172" s="552"/>
      <c r="AC1172" s="552"/>
      <c r="AD1172" s="552">
        <v>60</v>
      </c>
      <c r="AE1172" s="552"/>
      <c r="AF1172" s="552"/>
      <c r="AG1172" s="552"/>
      <c r="AH1172" s="552"/>
      <c r="AI1172" s="552"/>
      <c r="AJ1172" s="552"/>
      <c r="AK1172" s="552"/>
      <c r="AL1172" s="552"/>
      <c r="AM1172" s="552"/>
      <c r="AN1172" s="552"/>
      <c r="AO1172" s="552" t="s">
        <v>8319</v>
      </c>
      <c r="AP1172" s="709" t="s">
        <v>8320</v>
      </c>
      <c r="AQ1172" s="552" t="s">
        <v>7715</v>
      </c>
      <c r="AR1172" s="552" t="s">
        <v>2809</v>
      </c>
      <c r="AS1172" s="552" t="s">
        <v>7484</v>
      </c>
      <c r="AT1172" s="552" t="s">
        <v>726</v>
      </c>
    </row>
    <row r="1173" spans="1:46" ht="14.7" customHeight="1">
      <c r="A1173" s="706" t="s">
        <v>8321</v>
      </c>
      <c r="B1173" s="344" t="s">
        <v>3699</v>
      </c>
      <c r="C1173" s="539" t="s">
        <v>7753</v>
      </c>
      <c r="D1173" s="709" t="s">
        <v>8322</v>
      </c>
      <c r="E1173" s="709" t="s">
        <v>8246</v>
      </c>
      <c r="F1173" s="709"/>
      <c r="G1173" s="552" t="s">
        <v>8311</v>
      </c>
      <c r="H1173" s="709"/>
      <c r="I1173" s="709"/>
      <c r="J1173" s="552"/>
      <c r="K1173" s="552"/>
      <c r="L1173" s="552"/>
      <c r="M1173" s="552"/>
      <c r="N1173" s="552"/>
      <c r="O1173" s="552"/>
      <c r="P1173" s="552"/>
      <c r="Q1173" s="552"/>
      <c r="R1173" s="552"/>
      <c r="S1173" s="552"/>
      <c r="T1173" s="552"/>
      <c r="U1173" s="552"/>
      <c r="V1173" s="552"/>
      <c r="W1173" s="552"/>
      <c r="X1173" s="552"/>
      <c r="Y1173" s="552"/>
      <c r="Z1173" s="552"/>
      <c r="AA1173" s="552"/>
      <c r="AB1173" s="552"/>
      <c r="AC1173" s="552"/>
      <c r="AD1173" s="552"/>
      <c r="AE1173" s="552"/>
      <c r="AF1173" s="552"/>
      <c r="AG1173" s="552"/>
      <c r="AH1173" s="552"/>
      <c r="AI1173" s="552"/>
      <c r="AJ1173" s="552"/>
      <c r="AK1173" s="552"/>
      <c r="AL1173" s="552"/>
      <c r="AM1173" s="552"/>
      <c r="AN1173" s="552"/>
      <c r="AO1173" s="709" t="s">
        <v>8323</v>
      </c>
      <c r="AP1173" s="709" t="s">
        <v>8324</v>
      </c>
      <c r="AQ1173" s="552" t="s">
        <v>7715</v>
      </c>
      <c r="AR1173" s="552" t="s">
        <v>2809</v>
      </c>
      <c r="AS1173" s="552" t="s">
        <v>7484</v>
      </c>
      <c r="AT1173" s="552" t="s">
        <v>726</v>
      </c>
    </row>
    <row r="1174" spans="1:46" ht="14.7" customHeight="1">
      <c r="A1174" s="706"/>
      <c r="B1174" s="344" t="s">
        <v>3699</v>
      </c>
      <c r="C1174" s="539" t="s">
        <v>7753</v>
      </c>
      <c r="D1174" s="539"/>
      <c r="E1174" s="709"/>
      <c r="F1174" s="709"/>
      <c r="G1174" s="709"/>
      <c r="H1174" s="709"/>
      <c r="I1174" s="709"/>
      <c r="J1174" s="552"/>
      <c r="K1174" s="552"/>
      <c r="L1174" s="552"/>
      <c r="M1174" s="552"/>
      <c r="N1174" s="552"/>
      <c r="O1174" s="552"/>
      <c r="P1174" s="552"/>
      <c r="Q1174" s="552"/>
      <c r="R1174" s="552"/>
      <c r="S1174" s="552"/>
      <c r="T1174" s="552"/>
      <c r="U1174" s="552"/>
      <c r="V1174" s="552"/>
      <c r="W1174" s="552"/>
      <c r="X1174" s="552"/>
      <c r="Y1174" s="552"/>
      <c r="Z1174" s="552"/>
      <c r="AA1174" s="552"/>
      <c r="AB1174" s="552"/>
      <c r="AC1174" s="552"/>
      <c r="AD1174" s="552"/>
      <c r="AE1174" s="552"/>
      <c r="AF1174" s="552"/>
      <c r="AG1174" s="552"/>
      <c r="AH1174" s="552"/>
      <c r="AI1174" s="552"/>
      <c r="AJ1174" s="552"/>
      <c r="AK1174" s="552"/>
      <c r="AL1174" s="552"/>
      <c r="AM1174" s="552"/>
      <c r="AN1174" s="552"/>
      <c r="AO1174" s="552"/>
      <c r="AP1174" s="552"/>
      <c r="AQ1174" s="552" t="s">
        <v>7715</v>
      </c>
      <c r="AR1174" s="552" t="s">
        <v>2809</v>
      </c>
      <c r="AS1174" s="552" t="s">
        <v>7484</v>
      </c>
      <c r="AT1174" s="552" t="s">
        <v>726</v>
      </c>
    </row>
    <row r="1175" spans="1:46" ht="14.7" customHeight="1">
      <c r="A1175" s="706"/>
      <c r="B1175" s="344" t="s">
        <v>3699</v>
      </c>
      <c r="C1175" s="539" t="s">
        <v>7753</v>
      </c>
      <c r="D1175" s="539"/>
      <c r="E1175" s="709"/>
      <c r="F1175" s="709"/>
      <c r="G1175" s="709"/>
      <c r="H1175" s="709"/>
      <c r="I1175" s="709"/>
      <c r="J1175" s="552"/>
      <c r="K1175" s="552"/>
      <c r="L1175" s="552"/>
      <c r="M1175" s="552"/>
      <c r="N1175" s="552"/>
      <c r="O1175" s="552"/>
      <c r="P1175" s="552"/>
      <c r="Q1175" s="552"/>
      <c r="R1175" s="552"/>
      <c r="S1175" s="552"/>
      <c r="T1175" s="552"/>
      <c r="U1175" s="552"/>
      <c r="V1175" s="552"/>
      <c r="W1175" s="552"/>
      <c r="X1175" s="552"/>
      <c r="Y1175" s="552"/>
      <c r="Z1175" s="552"/>
      <c r="AA1175" s="552"/>
      <c r="AB1175" s="552"/>
      <c r="AC1175" s="552"/>
      <c r="AD1175" s="552"/>
      <c r="AE1175" s="552"/>
      <c r="AF1175" s="552"/>
      <c r="AG1175" s="552"/>
      <c r="AH1175" s="552"/>
      <c r="AI1175" s="552"/>
      <c r="AJ1175" s="552"/>
      <c r="AK1175" s="552"/>
      <c r="AL1175" s="552"/>
      <c r="AM1175" s="552"/>
      <c r="AN1175" s="552"/>
      <c r="AO1175" s="552"/>
      <c r="AP1175" s="552"/>
      <c r="AQ1175" s="552" t="s">
        <v>7715</v>
      </c>
      <c r="AR1175" s="552" t="s">
        <v>2809</v>
      </c>
      <c r="AS1175" s="552" t="s">
        <v>7484</v>
      </c>
      <c r="AT1175" s="552" t="s">
        <v>726</v>
      </c>
    </row>
    <row r="1176" spans="1:46" ht="14.7" customHeight="1">
      <c r="A1176" s="706"/>
      <c r="B1176" s="344" t="s">
        <v>3699</v>
      </c>
      <c r="C1176" s="539" t="s">
        <v>7753</v>
      </c>
      <c r="D1176" s="539"/>
      <c r="E1176" s="709"/>
      <c r="F1176" s="709"/>
      <c r="G1176" s="709"/>
      <c r="H1176" s="709"/>
      <c r="I1176" s="709"/>
      <c r="J1176" s="552"/>
      <c r="K1176" s="552"/>
      <c r="L1176" s="552"/>
      <c r="M1176" s="552"/>
      <c r="N1176" s="552"/>
      <c r="O1176" s="552"/>
      <c r="P1176" s="552"/>
      <c r="Q1176" s="552"/>
      <c r="R1176" s="552"/>
      <c r="S1176" s="552"/>
      <c r="T1176" s="552"/>
      <c r="U1176" s="552"/>
      <c r="V1176" s="552"/>
      <c r="W1176" s="552"/>
      <c r="X1176" s="552"/>
      <c r="Y1176" s="552"/>
      <c r="Z1176" s="552"/>
      <c r="AA1176" s="552"/>
      <c r="AB1176" s="552"/>
      <c r="AC1176" s="552"/>
      <c r="AD1176" s="552"/>
      <c r="AE1176" s="552"/>
      <c r="AF1176" s="552"/>
      <c r="AG1176" s="552"/>
      <c r="AH1176" s="552"/>
      <c r="AI1176" s="552"/>
      <c r="AJ1176" s="552"/>
      <c r="AK1176" s="552"/>
      <c r="AL1176" s="552"/>
      <c r="AM1176" s="552"/>
      <c r="AN1176" s="552"/>
      <c r="AO1176" s="552"/>
      <c r="AP1176" s="552"/>
      <c r="AQ1176" s="552" t="s">
        <v>7715</v>
      </c>
      <c r="AR1176" s="552" t="s">
        <v>2809</v>
      </c>
      <c r="AS1176" s="552" t="s">
        <v>7484</v>
      </c>
      <c r="AT1176" s="552" t="s">
        <v>726</v>
      </c>
    </row>
    <row r="1177" spans="1:46" ht="14.7" customHeight="1">
      <c r="A1177" s="706" t="s">
        <v>8325</v>
      </c>
      <c r="B1177" s="559" t="s">
        <v>3700</v>
      </c>
      <c r="C1177" s="539" t="s">
        <v>7753</v>
      </c>
      <c r="D1177" s="709" t="s">
        <v>8326</v>
      </c>
      <c r="E1177" s="709" t="s">
        <v>8246</v>
      </c>
      <c r="F1177" s="709"/>
      <c r="G1177" s="552" t="s">
        <v>8311</v>
      </c>
      <c r="H1177" s="709"/>
      <c r="I1177" s="709"/>
      <c r="J1177" s="552"/>
      <c r="K1177" s="552"/>
      <c r="L1177" s="552"/>
      <c r="M1177" s="552"/>
      <c r="N1177" s="552"/>
      <c r="O1177" s="552"/>
      <c r="P1177" s="552"/>
      <c r="Q1177" s="552"/>
      <c r="R1177" s="552"/>
      <c r="S1177" s="552"/>
      <c r="T1177" s="552"/>
      <c r="U1177" s="552"/>
      <c r="V1177" s="552"/>
      <c r="W1177" s="552"/>
      <c r="X1177" s="552"/>
      <c r="Y1177" s="552"/>
      <c r="Z1177" s="552"/>
      <c r="AA1177" s="552"/>
      <c r="AB1177" s="552"/>
      <c r="AC1177" s="552"/>
      <c r="AD1177" s="552"/>
      <c r="AE1177" s="552"/>
      <c r="AF1177" s="552"/>
      <c r="AG1177" s="552"/>
      <c r="AH1177" s="552"/>
      <c r="AI1177" s="552"/>
      <c r="AJ1177" s="552"/>
      <c r="AK1177" s="552"/>
      <c r="AL1177" s="552"/>
      <c r="AM1177" s="552"/>
      <c r="AN1177" s="552"/>
      <c r="AO1177" s="552" t="s">
        <v>8327</v>
      </c>
      <c r="AP1177" s="709" t="s">
        <v>8328</v>
      </c>
      <c r="AQ1177" s="552" t="s">
        <v>7715</v>
      </c>
      <c r="AR1177" s="552" t="s">
        <v>2971</v>
      </c>
      <c r="AS1177" s="552" t="s">
        <v>7484</v>
      </c>
      <c r="AT1177" s="552" t="s">
        <v>726</v>
      </c>
    </row>
    <row r="1178" spans="1:46" ht="14.7" customHeight="1">
      <c r="A1178" s="706"/>
      <c r="B1178" s="559" t="s">
        <v>3700</v>
      </c>
      <c r="C1178" s="539" t="s">
        <v>7753</v>
      </c>
      <c r="D1178" s="539" t="s">
        <v>2783</v>
      </c>
      <c r="E1178" s="539"/>
      <c r="F1178" s="539"/>
      <c r="G1178" s="539"/>
      <c r="H1178" s="709"/>
      <c r="I1178" s="709"/>
      <c r="J1178" s="552"/>
      <c r="K1178" s="552"/>
      <c r="L1178" s="552"/>
      <c r="M1178" s="552"/>
      <c r="N1178" s="552"/>
      <c r="O1178" s="552"/>
      <c r="P1178" s="552"/>
      <c r="Q1178" s="552"/>
      <c r="R1178" s="552"/>
      <c r="S1178" s="552"/>
      <c r="T1178" s="552"/>
      <c r="U1178" s="552"/>
      <c r="V1178" s="552"/>
      <c r="W1178" s="552"/>
      <c r="X1178" s="552"/>
      <c r="Y1178" s="552"/>
      <c r="Z1178" s="552"/>
      <c r="AA1178" s="552"/>
      <c r="AB1178" s="552"/>
      <c r="AC1178" s="552"/>
      <c r="AD1178" s="552"/>
      <c r="AE1178" s="552"/>
      <c r="AF1178" s="552"/>
      <c r="AG1178" s="552"/>
      <c r="AH1178" s="552"/>
      <c r="AI1178" s="552"/>
      <c r="AJ1178" s="552"/>
      <c r="AK1178" s="552"/>
      <c r="AL1178" s="552"/>
      <c r="AM1178" s="552"/>
      <c r="AN1178" s="552"/>
      <c r="AO1178" s="552"/>
      <c r="AP1178" s="552"/>
      <c r="AQ1178" s="552" t="s">
        <v>7715</v>
      </c>
      <c r="AR1178" s="552" t="s">
        <v>2971</v>
      </c>
      <c r="AS1178" s="552" t="s">
        <v>7484</v>
      </c>
      <c r="AT1178" s="552" t="s">
        <v>726</v>
      </c>
    </row>
    <row r="1179" spans="1:46" ht="14.7" customHeight="1">
      <c r="A1179" s="706"/>
      <c r="B1179" s="711" t="s">
        <v>6055</v>
      </c>
      <c r="C1179" s="539" t="s">
        <v>7753</v>
      </c>
      <c r="D1179" s="539" t="s">
        <v>2783</v>
      </c>
      <c r="E1179" s="539"/>
      <c r="F1179" s="539"/>
      <c r="G1179" s="539"/>
      <c r="H1179" s="709"/>
      <c r="I1179" s="709"/>
      <c r="J1179" s="552"/>
      <c r="K1179" s="552"/>
      <c r="L1179" s="552"/>
      <c r="M1179" s="552"/>
      <c r="N1179" s="552"/>
      <c r="O1179" s="552"/>
      <c r="P1179" s="552"/>
      <c r="Q1179" s="552"/>
      <c r="R1179" s="552"/>
      <c r="S1179" s="552"/>
      <c r="T1179" s="552"/>
      <c r="U1179" s="552"/>
      <c r="V1179" s="552"/>
      <c r="W1179" s="552"/>
      <c r="X1179" s="552"/>
      <c r="Y1179" s="552"/>
      <c r="Z1179" s="552"/>
      <c r="AA1179" s="552"/>
      <c r="AB1179" s="552"/>
      <c r="AC1179" s="552"/>
      <c r="AD1179" s="552"/>
      <c r="AE1179" s="552"/>
      <c r="AF1179" s="552"/>
      <c r="AG1179" s="552"/>
      <c r="AH1179" s="552"/>
      <c r="AI1179" s="552"/>
      <c r="AJ1179" s="552"/>
      <c r="AK1179" s="552"/>
      <c r="AL1179" s="552"/>
      <c r="AM1179" s="552"/>
      <c r="AN1179" s="552"/>
      <c r="AO1179" s="552"/>
      <c r="AP1179" s="552"/>
      <c r="AQ1179" s="552" t="s">
        <v>7715</v>
      </c>
      <c r="AR1179" s="552" t="s">
        <v>6697</v>
      </c>
      <c r="AS1179" s="552" t="s">
        <v>7484</v>
      </c>
      <c r="AT1179" s="552" t="s">
        <v>726</v>
      </c>
    </row>
    <row r="1180" spans="1:46" ht="14.7" customHeight="1">
      <c r="A1180" s="706" t="s">
        <v>6599</v>
      </c>
      <c r="B1180" s="540" t="s">
        <v>3695</v>
      </c>
      <c r="C1180" s="539" t="s">
        <v>8329</v>
      </c>
      <c r="D1180" s="709" t="s">
        <v>8330</v>
      </c>
      <c r="E1180" s="709" t="s">
        <v>8331</v>
      </c>
      <c r="F1180" s="709"/>
      <c r="G1180" s="709"/>
      <c r="H1180" s="709"/>
      <c r="I1180" s="709"/>
      <c r="J1180" s="552"/>
      <c r="K1180" s="552"/>
      <c r="L1180" s="552"/>
      <c r="M1180" s="552"/>
      <c r="N1180" s="552"/>
      <c r="O1180" s="552"/>
      <c r="P1180" s="552"/>
      <c r="Q1180" s="552"/>
      <c r="R1180" s="552"/>
      <c r="S1180" s="552"/>
      <c r="T1180" s="552"/>
      <c r="U1180" s="552"/>
      <c r="V1180" s="552"/>
      <c r="W1180" s="552"/>
      <c r="X1180" s="552"/>
      <c r="Y1180" s="552"/>
      <c r="Z1180" s="552"/>
      <c r="AA1180" s="552"/>
      <c r="AB1180" s="552"/>
      <c r="AC1180" s="552"/>
      <c r="AD1180" s="552">
        <v>40</v>
      </c>
      <c r="AE1180" s="552"/>
      <c r="AF1180" s="552"/>
      <c r="AG1180" s="552"/>
      <c r="AH1180" s="552"/>
      <c r="AI1180" s="552"/>
      <c r="AJ1180" s="552"/>
      <c r="AK1180" s="552"/>
      <c r="AL1180" s="552"/>
      <c r="AM1180" s="552"/>
      <c r="AN1180" s="552"/>
      <c r="AO1180" s="552"/>
      <c r="AP1180" s="552"/>
      <c r="AQ1180" s="552" t="s">
        <v>1186</v>
      </c>
      <c r="AR1180" s="552" t="s">
        <v>2802</v>
      </c>
      <c r="AS1180" s="552" t="s">
        <v>6967</v>
      </c>
      <c r="AT1180" s="552" t="s">
        <v>726</v>
      </c>
    </row>
    <row r="1181" spans="1:46" ht="14.7" customHeight="1">
      <c r="A1181" s="706" t="s">
        <v>6600</v>
      </c>
      <c r="B1181" s="540" t="s">
        <v>3695</v>
      </c>
      <c r="C1181" s="539" t="s">
        <v>8329</v>
      </c>
      <c r="D1181" s="709" t="s">
        <v>8332</v>
      </c>
      <c r="E1181" s="709" t="s">
        <v>8331</v>
      </c>
      <c r="F1181" s="709"/>
      <c r="G1181" s="709"/>
      <c r="H1181" s="709"/>
      <c r="I1181" s="709" t="s">
        <v>7046</v>
      </c>
      <c r="J1181" s="552"/>
      <c r="K1181" s="552"/>
      <c r="L1181" s="552"/>
      <c r="M1181" s="552"/>
      <c r="N1181" s="552"/>
      <c r="O1181" s="552"/>
      <c r="P1181" s="552"/>
      <c r="Q1181" s="552"/>
      <c r="R1181" s="552"/>
      <c r="S1181" s="552"/>
      <c r="T1181" s="552"/>
      <c r="U1181" s="552"/>
      <c r="V1181" s="552"/>
      <c r="W1181" s="552"/>
      <c r="X1181" s="552"/>
      <c r="Y1181" s="552"/>
      <c r="Z1181" s="552"/>
      <c r="AA1181" s="552"/>
      <c r="AB1181" s="552"/>
      <c r="AC1181" s="552"/>
      <c r="AD1181" s="552"/>
      <c r="AE1181" s="552">
        <v>40</v>
      </c>
      <c r="AF1181" s="552"/>
      <c r="AG1181" s="552"/>
      <c r="AH1181" s="552"/>
      <c r="AI1181" s="552"/>
      <c r="AJ1181" s="552"/>
      <c r="AK1181" s="552"/>
      <c r="AL1181" s="552"/>
      <c r="AM1181" s="552"/>
      <c r="AN1181" s="552"/>
      <c r="AO1181" s="552"/>
      <c r="AP1181" s="552"/>
      <c r="AQ1181" s="552" t="s">
        <v>1186</v>
      </c>
      <c r="AR1181" s="552" t="s">
        <v>2802</v>
      </c>
      <c r="AS1181" s="552" t="s">
        <v>7484</v>
      </c>
      <c r="AT1181" s="552" t="s">
        <v>726</v>
      </c>
    </row>
    <row r="1182" spans="1:46" ht="14.7" customHeight="1">
      <c r="A1182" s="706" t="s">
        <v>6601</v>
      </c>
      <c r="B1182" s="540" t="s">
        <v>3695</v>
      </c>
      <c r="C1182" s="539" t="s">
        <v>8329</v>
      </c>
      <c r="D1182" s="709" t="s">
        <v>8333</v>
      </c>
      <c r="E1182" s="709" t="s">
        <v>8331</v>
      </c>
      <c r="F1182" s="709"/>
      <c r="G1182" s="709"/>
      <c r="H1182" s="709"/>
      <c r="I1182" s="709"/>
      <c r="J1182" s="552"/>
      <c r="K1182" s="552"/>
      <c r="L1182" s="552"/>
      <c r="M1182" s="552"/>
      <c r="N1182" s="552"/>
      <c r="O1182" s="552"/>
      <c r="P1182" s="552"/>
      <c r="Q1182" s="552"/>
      <c r="R1182" s="552"/>
      <c r="S1182" s="552"/>
      <c r="T1182" s="552"/>
      <c r="U1182" s="552"/>
      <c r="V1182" s="552"/>
      <c r="W1182" s="552"/>
      <c r="X1182" s="552"/>
      <c r="Y1182" s="552"/>
      <c r="Z1182" s="552"/>
      <c r="AA1182" s="552"/>
      <c r="AB1182" s="552"/>
      <c r="AC1182" s="552">
        <v>40</v>
      </c>
      <c r="AD1182" s="552"/>
      <c r="AE1182" s="552"/>
      <c r="AF1182" s="552"/>
      <c r="AG1182" s="552"/>
      <c r="AH1182" s="552"/>
      <c r="AI1182" s="552"/>
      <c r="AJ1182" s="552"/>
      <c r="AK1182" s="552"/>
      <c r="AL1182" s="552"/>
      <c r="AM1182" s="552"/>
      <c r="AN1182" s="552"/>
      <c r="AO1182" s="552"/>
      <c r="AP1182" s="552"/>
      <c r="AQ1182" s="552" t="s">
        <v>1186</v>
      </c>
      <c r="AR1182" s="552" t="s">
        <v>2802</v>
      </c>
      <c r="AS1182" s="552" t="s">
        <v>6881</v>
      </c>
      <c r="AT1182" s="552" t="s">
        <v>726</v>
      </c>
    </row>
    <row r="1183" spans="1:46" ht="14.7" customHeight="1">
      <c r="A1183" s="706" t="s">
        <v>6602</v>
      </c>
      <c r="B1183" s="540" t="s">
        <v>3695</v>
      </c>
      <c r="C1183" s="539" t="s">
        <v>8329</v>
      </c>
      <c r="D1183" s="709" t="s">
        <v>8334</v>
      </c>
      <c r="E1183" s="709" t="s">
        <v>8331</v>
      </c>
      <c r="F1183" s="709"/>
      <c r="G1183" s="709"/>
      <c r="H1183" s="709"/>
      <c r="I1183" s="709"/>
      <c r="J1183" s="552"/>
      <c r="K1183" s="552"/>
      <c r="L1183" s="552"/>
      <c r="M1183" s="552"/>
      <c r="N1183" s="552"/>
      <c r="O1183" s="552"/>
      <c r="P1183" s="552"/>
      <c r="Q1183" s="552"/>
      <c r="R1183" s="552"/>
      <c r="S1183" s="552"/>
      <c r="T1183" s="552"/>
      <c r="U1183" s="552"/>
      <c r="V1183" s="552"/>
      <c r="W1183" s="552"/>
      <c r="X1183" s="552"/>
      <c r="Y1183" s="552"/>
      <c r="Z1183" s="552"/>
      <c r="AA1183" s="552"/>
      <c r="AB1183" s="552">
        <v>40</v>
      </c>
      <c r="AC1183" s="552"/>
      <c r="AD1183" s="552"/>
      <c r="AE1183" s="552"/>
      <c r="AF1183" s="552"/>
      <c r="AG1183" s="552"/>
      <c r="AH1183" s="552"/>
      <c r="AI1183" s="552"/>
      <c r="AJ1183" s="552"/>
      <c r="AK1183" s="552"/>
      <c r="AL1183" s="552"/>
      <c r="AM1183" s="552"/>
      <c r="AN1183" s="552"/>
      <c r="AO1183" s="552"/>
      <c r="AP1183" s="552"/>
      <c r="AQ1183" s="552" t="s">
        <v>1186</v>
      </c>
      <c r="AR1183" s="552" t="s">
        <v>2802</v>
      </c>
      <c r="AS1183" s="552" t="s">
        <v>6967</v>
      </c>
      <c r="AT1183" s="552" t="s">
        <v>726</v>
      </c>
    </row>
    <row r="1184" spans="1:46" ht="14.7" customHeight="1">
      <c r="A1184" s="706" t="s">
        <v>6603</v>
      </c>
      <c r="B1184" s="540" t="s">
        <v>3695</v>
      </c>
      <c r="C1184" s="539" t="s">
        <v>8329</v>
      </c>
      <c r="D1184" s="709" t="s">
        <v>8335</v>
      </c>
      <c r="E1184" s="709" t="s">
        <v>8331</v>
      </c>
      <c r="F1184" s="709"/>
      <c r="G1184" s="709"/>
      <c r="H1184" s="709"/>
      <c r="I1184" s="709"/>
      <c r="J1184" s="552"/>
      <c r="K1184" s="552"/>
      <c r="L1184" s="552"/>
      <c r="M1184" s="552"/>
      <c r="N1184" s="552"/>
      <c r="O1184" s="552"/>
      <c r="P1184" s="552"/>
      <c r="Q1184" s="552"/>
      <c r="R1184" s="552"/>
      <c r="S1184" s="552"/>
      <c r="T1184" s="552"/>
      <c r="U1184" s="552"/>
      <c r="V1184" s="552"/>
      <c r="W1184" s="552"/>
      <c r="X1184" s="552"/>
      <c r="Y1184" s="552"/>
      <c r="Z1184" s="552"/>
      <c r="AA1184" s="552"/>
      <c r="AB1184" s="552"/>
      <c r="AC1184" s="552"/>
      <c r="AD1184" s="552"/>
      <c r="AE1184" s="552"/>
      <c r="AF1184" s="552">
        <v>40</v>
      </c>
      <c r="AG1184" s="552"/>
      <c r="AH1184" s="552"/>
      <c r="AI1184" s="552"/>
      <c r="AJ1184" s="552"/>
      <c r="AK1184" s="552"/>
      <c r="AL1184" s="552"/>
      <c r="AM1184" s="552"/>
      <c r="AN1184" s="552"/>
      <c r="AO1184" s="552"/>
      <c r="AP1184" s="552"/>
      <c r="AQ1184" s="552" t="s">
        <v>1186</v>
      </c>
      <c r="AR1184" s="552" t="s">
        <v>2802</v>
      </c>
      <c r="AS1184" s="552" t="s">
        <v>7484</v>
      </c>
      <c r="AT1184" s="552" t="s">
        <v>726</v>
      </c>
    </row>
    <row r="1185" spans="1:46" ht="14.7" customHeight="1">
      <c r="A1185" s="706" t="s">
        <v>6604</v>
      </c>
      <c r="B1185" s="540" t="s">
        <v>3695</v>
      </c>
      <c r="C1185" s="539" t="s">
        <v>8329</v>
      </c>
      <c r="D1185" s="709" t="s">
        <v>8336</v>
      </c>
      <c r="E1185" s="709" t="s">
        <v>8331</v>
      </c>
      <c r="F1185" s="709"/>
      <c r="G1185" s="709"/>
      <c r="H1185" s="709"/>
      <c r="I1185" s="709"/>
      <c r="J1185" s="552"/>
      <c r="K1185" s="552"/>
      <c r="L1185" s="552"/>
      <c r="M1185" s="552"/>
      <c r="N1185" s="552"/>
      <c r="O1185" s="552"/>
      <c r="P1185" s="552"/>
      <c r="Q1185" s="552"/>
      <c r="R1185" s="552"/>
      <c r="S1185" s="552"/>
      <c r="T1185" s="552"/>
      <c r="U1185" s="552"/>
      <c r="V1185" s="552"/>
      <c r="W1185" s="552"/>
      <c r="X1185" s="552"/>
      <c r="Y1185" s="552"/>
      <c r="Z1185" s="552"/>
      <c r="AA1185" s="552"/>
      <c r="AB1185" s="552"/>
      <c r="AC1185" s="552"/>
      <c r="AD1185" s="552"/>
      <c r="AE1185" s="552"/>
      <c r="AF1185" s="552"/>
      <c r="AG1185" s="552">
        <v>40</v>
      </c>
      <c r="AH1185" s="552"/>
      <c r="AI1185" s="552"/>
      <c r="AJ1185" s="552"/>
      <c r="AK1185" s="552"/>
      <c r="AL1185" s="552"/>
      <c r="AM1185" s="552"/>
      <c r="AN1185" s="552"/>
      <c r="AO1185" s="552"/>
      <c r="AP1185" s="552"/>
      <c r="AQ1185" s="552" t="s">
        <v>1186</v>
      </c>
      <c r="AR1185" s="552" t="s">
        <v>2802</v>
      </c>
      <c r="AS1185" s="552" t="s">
        <v>6881</v>
      </c>
      <c r="AT1185" s="552" t="s">
        <v>726</v>
      </c>
    </row>
    <row r="1186" spans="1:46" ht="14.7" customHeight="1">
      <c r="A1186" s="706" t="s">
        <v>6605</v>
      </c>
      <c r="B1186" s="540" t="s">
        <v>3695</v>
      </c>
      <c r="C1186" s="539" t="s">
        <v>8329</v>
      </c>
      <c r="D1186" s="709" t="s">
        <v>8337</v>
      </c>
      <c r="E1186" s="709" t="s">
        <v>8331</v>
      </c>
      <c r="F1186" s="709"/>
      <c r="G1186" s="709"/>
      <c r="H1186" s="709"/>
      <c r="I1186" s="709"/>
      <c r="J1186" s="552"/>
      <c r="K1186" s="552"/>
      <c r="L1186" s="552"/>
      <c r="M1186" s="552"/>
      <c r="N1186" s="552"/>
      <c r="O1186" s="552"/>
      <c r="P1186" s="552"/>
      <c r="Q1186" s="552"/>
      <c r="R1186" s="552"/>
      <c r="S1186" s="552"/>
      <c r="T1186" s="552"/>
      <c r="U1186" s="552"/>
      <c r="V1186" s="552"/>
      <c r="W1186" s="552"/>
      <c r="X1186" s="552"/>
      <c r="Y1186" s="552"/>
      <c r="Z1186" s="552"/>
      <c r="AA1186" s="552"/>
      <c r="AB1186" s="552"/>
      <c r="AC1186" s="552"/>
      <c r="AD1186" s="552"/>
      <c r="AE1186" s="552"/>
      <c r="AF1186" s="552"/>
      <c r="AG1186" s="552"/>
      <c r="AH1186" s="552"/>
      <c r="AI1186" s="552">
        <v>40</v>
      </c>
      <c r="AJ1186" s="552"/>
      <c r="AK1186" s="552"/>
      <c r="AL1186" s="552"/>
      <c r="AM1186" s="552"/>
      <c r="AN1186" s="552"/>
      <c r="AO1186" s="552"/>
      <c r="AP1186" s="552"/>
      <c r="AQ1186" s="552" t="s">
        <v>1186</v>
      </c>
      <c r="AR1186" s="552" t="s">
        <v>2802</v>
      </c>
      <c r="AS1186" s="552" t="s">
        <v>6967</v>
      </c>
      <c r="AT1186" s="552" t="s">
        <v>726</v>
      </c>
    </row>
    <row r="1187" spans="1:46" ht="14.7" customHeight="1">
      <c r="A1187" s="706" t="s">
        <v>6606</v>
      </c>
      <c r="B1187" s="540" t="s">
        <v>3695</v>
      </c>
      <c r="C1187" s="539" t="s">
        <v>8329</v>
      </c>
      <c r="D1187" s="709" t="s">
        <v>8338</v>
      </c>
      <c r="E1187" s="709" t="s">
        <v>8331</v>
      </c>
      <c r="F1187" s="709"/>
      <c r="G1187" s="709"/>
      <c r="H1187" s="709"/>
      <c r="I1187" s="709"/>
      <c r="J1187" s="552"/>
      <c r="K1187" s="552"/>
      <c r="L1187" s="552"/>
      <c r="M1187" s="552"/>
      <c r="N1187" s="552"/>
      <c r="O1187" s="552"/>
      <c r="P1187" s="552"/>
      <c r="Q1187" s="552"/>
      <c r="R1187" s="552"/>
      <c r="S1187" s="552"/>
      <c r="T1187" s="552"/>
      <c r="U1187" s="552"/>
      <c r="V1187" s="552"/>
      <c r="W1187" s="552"/>
      <c r="X1187" s="552"/>
      <c r="Y1187" s="552"/>
      <c r="Z1187" s="552"/>
      <c r="AA1187" s="552"/>
      <c r="AB1187" s="552"/>
      <c r="AC1187" s="552"/>
      <c r="AD1187" s="552"/>
      <c r="AE1187" s="552"/>
      <c r="AF1187" s="552"/>
      <c r="AG1187" s="552"/>
      <c r="AH1187" s="552"/>
      <c r="AI1187" s="552"/>
      <c r="AJ1187" s="552">
        <v>40</v>
      </c>
      <c r="AK1187" s="552"/>
      <c r="AL1187" s="552"/>
      <c r="AM1187" s="552"/>
      <c r="AN1187" s="552"/>
      <c r="AO1187" s="552"/>
      <c r="AP1187" s="552"/>
      <c r="AQ1187" s="552" t="s">
        <v>1186</v>
      </c>
      <c r="AR1187" s="552" t="s">
        <v>2802</v>
      </c>
      <c r="AS1187" s="552" t="s">
        <v>7484</v>
      </c>
      <c r="AT1187" s="552" t="s">
        <v>726</v>
      </c>
    </row>
    <row r="1188" spans="1:46" ht="14.7" customHeight="1">
      <c r="A1188" s="706" t="s">
        <v>6607</v>
      </c>
      <c r="B1188" s="540" t="s">
        <v>3695</v>
      </c>
      <c r="C1188" s="539" t="s">
        <v>8329</v>
      </c>
      <c r="D1188" s="709" t="s">
        <v>8339</v>
      </c>
      <c r="E1188" s="709" t="s">
        <v>8331</v>
      </c>
      <c r="F1188" s="709"/>
      <c r="G1188" s="709"/>
      <c r="H1188" s="709"/>
      <c r="I1188" s="709"/>
      <c r="J1188" s="552"/>
      <c r="K1188" s="552"/>
      <c r="L1188" s="552"/>
      <c r="M1188" s="552"/>
      <c r="N1188" s="552"/>
      <c r="O1188" s="552"/>
      <c r="P1188" s="552"/>
      <c r="Q1188" s="552"/>
      <c r="R1188" s="552"/>
      <c r="S1188" s="552"/>
      <c r="T1188" s="552"/>
      <c r="U1188" s="552"/>
      <c r="V1188" s="552"/>
      <c r="W1188" s="552"/>
      <c r="X1188" s="552"/>
      <c r="Y1188" s="552"/>
      <c r="Z1188" s="552"/>
      <c r="AA1188" s="552"/>
      <c r="AB1188" s="552"/>
      <c r="AC1188" s="552"/>
      <c r="AD1188" s="552"/>
      <c r="AE1188" s="552"/>
      <c r="AF1188" s="552"/>
      <c r="AG1188" s="552"/>
      <c r="AH1188" s="552">
        <v>40</v>
      </c>
      <c r="AI1188" s="552"/>
      <c r="AJ1188" s="552"/>
      <c r="AK1188" s="552"/>
      <c r="AL1188" s="552"/>
      <c r="AM1188" s="552"/>
      <c r="AN1188" s="552"/>
      <c r="AO1188" s="552"/>
      <c r="AP1188" s="552"/>
      <c r="AQ1188" s="552" t="s">
        <v>1186</v>
      </c>
      <c r="AR1188" s="552" t="s">
        <v>2802</v>
      </c>
      <c r="AS1188" s="552" t="s">
        <v>6881</v>
      </c>
      <c r="AT1188" s="552" t="s">
        <v>726</v>
      </c>
    </row>
    <row r="1189" spans="1:46" ht="14.7" customHeight="1">
      <c r="A1189" s="706" t="s">
        <v>6608</v>
      </c>
      <c r="B1189" s="540" t="s">
        <v>3695</v>
      </c>
      <c r="C1189" s="539" t="s">
        <v>8329</v>
      </c>
      <c r="D1189" s="709" t="s">
        <v>8340</v>
      </c>
      <c r="E1189" s="709" t="s">
        <v>8331</v>
      </c>
      <c r="F1189" s="709"/>
      <c r="G1189" s="709"/>
      <c r="H1189" s="709"/>
      <c r="I1189" s="709"/>
      <c r="J1189" s="552"/>
      <c r="K1189" s="552"/>
      <c r="L1189" s="552"/>
      <c r="M1189" s="552"/>
      <c r="N1189" s="552"/>
      <c r="O1189" s="552"/>
      <c r="P1189" s="552">
        <v>2</v>
      </c>
      <c r="Q1189" s="552">
        <v>2</v>
      </c>
      <c r="R1189" s="552">
        <v>2</v>
      </c>
      <c r="S1189" s="552"/>
      <c r="T1189" s="552"/>
      <c r="U1189" s="552"/>
      <c r="V1189" s="552"/>
      <c r="W1189" s="552"/>
      <c r="X1189" s="552"/>
      <c r="Y1189" s="552"/>
      <c r="Z1189" s="552"/>
      <c r="AA1189" s="552"/>
      <c r="AB1189" s="552"/>
      <c r="AC1189" s="552"/>
      <c r="AD1189" s="552"/>
      <c r="AE1189" s="552"/>
      <c r="AF1189" s="552"/>
      <c r="AG1189" s="552"/>
      <c r="AH1189" s="552"/>
      <c r="AI1189" s="552"/>
      <c r="AJ1189" s="552"/>
      <c r="AK1189" s="552"/>
      <c r="AL1189" s="552"/>
      <c r="AM1189" s="552"/>
      <c r="AN1189" s="552"/>
      <c r="AO1189" s="552"/>
      <c r="AP1189" s="552"/>
      <c r="AQ1189" s="552" t="s">
        <v>1186</v>
      </c>
      <c r="AR1189" s="552" t="s">
        <v>2802</v>
      </c>
      <c r="AS1189" s="552" t="s">
        <v>6967</v>
      </c>
      <c r="AT1189" s="552" t="s">
        <v>726</v>
      </c>
    </row>
    <row r="1190" spans="1:46" ht="14.7" customHeight="1">
      <c r="A1190" s="706" t="s">
        <v>6609</v>
      </c>
      <c r="B1190" s="707" t="s">
        <v>3696</v>
      </c>
      <c r="C1190" s="539" t="s">
        <v>8329</v>
      </c>
      <c r="D1190" s="709" t="s">
        <v>8341</v>
      </c>
      <c r="E1190" s="709" t="s">
        <v>8331</v>
      </c>
      <c r="F1190" s="709"/>
      <c r="G1190" s="709"/>
      <c r="H1190" s="709"/>
      <c r="I1190" s="709"/>
      <c r="J1190" s="552"/>
      <c r="K1190" s="552"/>
      <c r="L1190" s="552"/>
      <c r="M1190" s="552"/>
      <c r="N1190" s="552"/>
      <c r="O1190" s="552"/>
      <c r="P1190" s="552"/>
      <c r="Q1190" s="552"/>
      <c r="R1190" s="552"/>
      <c r="S1190" s="552"/>
      <c r="T1190" s="552"/>
      <c r="U1190" s="552"/>
      <c r="V1190" s="552"/>
      <c r="W1190" s="552"/>
      <c r="X1190" s="552"/>
      <c r="Y1190" s="552"/>
      <c r="Z1190" s="552"/>
      <c r="AA1190" s="552"/>
      <c r="AB1190" s="552"/>
      <c r="AC1190" s="552"/>
      <c r="AD1190" s="552"/>
      <c r="AE1190" s="552"/>
      <c r="AF1190" s="552"/>
      <c r="AG1190" s="552"/>
      <c r="AH1190" s="552"/>
      <c r="AI1190" s="552"/>
      <c r="AJ1190" s="552"/>
      <c r="AK1190" s="552"/>
      <c r="AL1190" s="552"/>
      <c r="AM1190" s="552"/>
      <c r="AN1190" s="552"/>
      <c r="AO1190" s="709" t="s">
        <v>8342</v>
      </c>
      <c r="AP1190" s="552"/>
      <c r="AQ1190" s="552" t="s">
        <v>1186</v>
      </c>
      <c r="AR1190" s="552" t="s">
        <v>2805</v>
      </c>
      <c r="AS1190" s="552" t="s">
        <v>7484</v>
      </c>
      <c r="AT1190" s="552" t="s">
        <v>726</v>
      </c>
    </row>
    <row r="1191" spans="1:46" ht="14.7" customHeight="1">
      <c r="A1191" s="710" t="s">
        <v>6610</v>
      </c>
      <c r="B1191" s="707" t="s">
        <v>3696</v>
      </c>
      <c r="C1191" s="539" t="s">
        <v>8329</v>
      </c>
      <c r="D1191" s="709" t="s">
        <v>8343</v>
      </c>
      <c r="E1191" s="709" t="s">
        <v>8331</v>
      </c>
      <c r="F1191" s="709"/>
      <c r="G1191" s="709"/>
      <c r="H1191" s="709"/>
      <c r="I1191" s="709"/>
      <c r="J1191" s="552"/>
      <c r="K1191" s="552"/>
      <c r="L1191" s="552"/>
      <c r="M1191" s="552"/>
      <c r="N1191" s="552"/>
      <c r="O1191" s="552"/>
      <c r="P1191" s="552"/>
      <c r="Q1191" s="552"/>
      <c r="R1191" s="552"/>
      <c r="S1191" s="552"/>
      <c r="T1191" s="552"/>
      <c r="U1191" s="552"/>
      <c r="V1191" s="552"/>
      <c r="W1191" s="552"/>
      <c r="X1191" s="552"/>
      <c r="Y1191" s="552"/>
      <c r="Z1191" s="552"/>
      <c r="AA1191" s="552"/>
      <c r="AB1191" s="552"/>
      <c r="AC1191" s="552"/>
      <c r="AD1191" s="552"/>
      <c r="AE1191" s="552"/>
      <c r="AF1191" s="552"/>
      <c r="AG1191" s="552"/>
      <c r="AH1191" s="552"/>
      <c r="AI1191" s="552"/>
      <c r="AJ1191" s="552"/>
      <c r="AK1191" s="552"/>
      <c r="AL1191" s="552"/>
      <c r="AM1191" s="552"/>
      <c r="AN1191" s="552"/>
      <c r="AO1191" s="709" t="s">
        <v>8344</v>
      </c>
      <c r="AP1191" s="552"/>
      <c r="AQ1191" s="552" t="s">
        <v>1186</v>
      </c>
      <c r="AR1191" s="552" t="s">
        <v>2805</v>
      </c>
      <c r="AS1191" s="552" t="s">
        <v>6881</v>
      </c>
      <c r="AT1191" s="552" t="s">
        <v>726</v>
      </c>
    </row>
    <row r="1192" spans="1:46" ht="14.7" customHeight="1">
      <c r="A1192" s="706" t="s">
        <v>6611</v>
      </c>
      <c r="B1192" s="707" t="s">
        <v>3696</v>
      </c>
      <c r="C1192" s="539" t="s">
        <v>8329</v>
      </c>
      <c r="D1192" s="709" t="s">
        <v>8345</v>
      </c>
      <c r="E1192" s="709" t="s">
        <v>8331</v>
      </c>
      <c r="F1192" s="709"/>
      <c r="G1192" s="709"/>
      <c r="H1192" s="709"/>
      <c r="I1192" s="709"/>
      <c r="J1192" s="552"/>
      <c r="K1192" s="552"/>
      <c r="L1192" s="552"/>
      <c r="M1192" s="552"/>
      <c r="N1192" s="552"/>
      <c r="O1192" s="552"/>
      <c r="P1192" s="552"/>
      <c r="Q1192" s="552"/>
      <c r="R1192" s="552"/>
      <c r="S1192" s="552"/>
      <c r="T1192" s="552"/>
      <c r="U1192" s="552"/>
      <c r="V1192" s="552"/>
      <c r="W1192" s="552"/>
      <c r="X1192" s="552"/>
      <c r="Y1192" s="552"/>
      <c r="Z1192" s="552"/>
      <c r="AA1192" s="552"/>
      <c r="AB1192" s="552"/>
      <c r="AC1192" s="552"/>
      <c r="AD1192" s="552"/>
      <c r="AE1192" s="552"/>
      <c r="AF1192" s="552"/>
      <c r="AG1192" s="552"/>
      <c r="AH1192" s="552"/>
      <c r="AI1192" s="552"/>
      <c r="AJ1192" s="552"/>
      <c r="AK1192" s="552"/>
      <c r="AL1192" s="552"/>
      <c r="AM1192" s="552"/>
      <c r="AN1192" s="552"/>
      <c r="AO1192" s="709" t="s">
        <v>8346</v>
      </c>
      <c r="AP1192" s="552"/>
      <c r="AQ1192" s="552" t="s">
        <v>1186</v>
      </c>
      <c r="AR1192" s="552" t="s">
        <v>2805</v>
      </c>
      <c r="AS1192" s="552" t="s">
        <v>6967</v>
      </c>
      <c r="AT1192" s="552" t="s">
        <v>726</v>
      </c>
    </row>
    <row r="1193" spans="1:46" ht="14.7" customHeight="1">
      <c r="A1193" s="706" t="s">
        <v>6612</v>
      </c>
      <c r="B1193" s="707" t="s">
        <v>3696</v>
      </c>
      <c r="C1193" s="539" t="s">
        <v>8329</v>
      </c>
      <c r="D1193" s="709" t="s">
        <v>8347</v>
      </c>
      <c r="E1193" s="709" t="s">
        <v>8331</v>
      </c>
      <c r="F1193" s="709"/>
      <c r="G1193" s="709"/>
      <c r="H1193" s="709"/>
      <c r="I1193" s="709"/>
      <c r="J1193" s="552"/>
      <c r="K1193" s="552"/>
      <c r="L1193" s="552"/>
      <c r="M1193" s="552"/>
      <c r="N1193" s="552"/>
      <c r="O1193" s="552"/>
      <c r="P1193" s="552"/>
      <c r="Q1193" s="552"/>
      <c r="R1193" s="552"/>
      <c r="S1193" s="552"/>
      <c r="T1193" s="552"/>
      <c r="U1193" s="552"/>
      <c r="V1193" s="552"/>
      <c r="W1193" s="552"/>
      <c r="X1193" s="552"/>
      <c r="Y1193" s="552"/>
      <c r="Z1193" s="552"/>
      <c r="AA1193" s="552"/>
      <c r="AB1193" s="552"/>
      <c r="AC1193" s="552"/>
      <c r="AD1193" s="552"/>
      <c r="AE1193" s="552"/>
      <c r="AF1193" s="552"/>
      <c r="AG1193" s="552"/>
      <c r="AH1193" s="552"/>
      <c r="AI1193" s="552"/>
      <c r="AJ1193" s="552"/>
      <c r="AK1193" s="552"/>
      <c r="AL1193" s="552"/>
      <c r="AM1193" s="552"/>
      <c r="AN1193" s="552"/>
      <c r="AO1193" s="552"/>
      <c r="AP1193" s="709" t="s">
        <v>8348</v>
      </c>
      <c r="AQ1193" s="552" t="s">
        <v>1186</v>
      </c>
      <c r="AR1193" s="552" t="s">
        <v>2805</v>
      </c>
      <c r="AS1193" s="552" t="s">
        <v>7484</v>
      </c>
      <c r="AT1193" s="552" t="s">
        <v>726</v>
      </c>
    </row>
    <row r="1194" spans="1:46" ht="14.7" customHeight="1">
      <c r="A1194" s="710" t="s">
        <v>6613</v>
      </c>
      <c r="B1194" s="707" t="s">
        <v>3696</v>
      </c>
      <c r="C1194" s="539" t="s">
        <v>8329</v>
      </c>
      <c r="D1194" s="709" t="s">
        <v>8349</v>
      </c>
      <c r="E1194" s="709" t="s">
        <v>8331</v>
      </c>
      <c r="F1194" s="709"/>
      <c r="G1194" s="709"/>
      <c r="H1194" s="709"/>
      <c r="I1194" s="709"/>
      <c r="J1194" s="552"/>
      <c r="K1194" s="552"/>
      <c r="L1194" s="552"/>
      <c r="M1194" s="552"/>
      <c r="N1194" s="552"/>
      <c r="O1194" s="552"/>
      <c r="P1194" s="552"/>
      <c r="Q1194" s="552"/>
      <c r="R1194" s="552"/>
      <c r="S1194" s="552"/>
      <c r="T1194" s="552"/>
      <c r="U1194" s="552"/>
      <c r="V1194" s="552"/>
      <c r="W1194" s="552"/>
      <c r="X1194" s="552"/>
      <c r="Y1194" s="552"/>
      <c r="Z1194" s="552"/>
      <c r="AA1194" s="552"/>
      <c r="AB1194" s="552"/>
      <c r="AC1194" s="552"/>
      <c r="AD1194" s="552"/>
      <c r="AE1194" s="552"/>
      <c r="AF1194" s="552"/>
      <c r="AG1194" s="552"/>
      <c r="AH1194" s="552"/>
      <c r="AI1194" s="552"/>
      <c r="AJ1194" s="552"/>
      <c r="AK1194" s="552"/>
      <c r="AL1194" s="552"/>
      <c r="AM1194" s="552"/>
      <c r="AN1194" s="552"/>
      <c r="AO1194" s="552"/>
      <c r="AP1194" s="709" t="s">
        <v>8350</v>
      </c>
      <c r="AQ1194" s="552" t="s">
        <v>1186</v>
      </c>
      <c r="AR1194" s="552" t="s">
        <v>2805</v>
      </c>
      <c r="AS1194" s="552" t="s">
        <v>6881</v>
      </c>
      <c r="AT1194" s="552" t="s">
        <v>726</v>
      </c>
    </row>
    <row r="1195" spans="1:46" ht="14.7" customHeight="1">
      <c r="A1195" s="710" t="s">
        <v>6614</v>
      </c>
      <c r="B1195" s="707" t="s">
        <v>3696</v>
      </c>
      <c r="C1195" s="539" t="s">
        <v>8329</v>
      </c>
      <c r="D1195" s="709" t="s">
        <v>8351</v>
      </c>
      <c r="E1195" s="709" t="s">
        <v>8331</v>
      </c>
      <c r="F1195" s="709"/>
      <c r="G1195" s="709"/>
      <c r="H1195" s="709"/>
      <c r="I1195" s="709"/>
      <c r="J1195" s="552"/>
      <c r="K1195" s="552"/>
      <c r="L1195" s="552"/>
      <c r="M1195" s="552"/>
      <c r="N1195" s="552"/>
      <c r="O1195" s="552"/>
      <c r="P1195" s="552"/>
      <c r="Q1195" s="552"/>
      <c r="R1195" s="552"/>
      <c r="S1195" s="552"/>
      <c r="T1195" s="552"/>
      <c r="U1195" s="552"/>
      <c r="V1195" s="552"/>
      <c r="W1195" s="552"/>
      <c r="X1195" s="552"/>
      <c r="Y1195" s="552"/>
      <c r="Z1195" s="552"/>
      <c r="AA1195" s="552"/>
      <c r="AB1195" s="552"/>
      <c r="AC1195" s="552"/>
      <c r="AD1195" s="552"/>
      <c r="AE1195" s="552"/>
      <c r="AF1195" s="552"/>
      <c r="AG1195" s="552"/>
      <c r="AH1195" s="552"/>
      <c r="AI1195" s="552"/>
      <c r="AJ1195" s="552"/>
      <c r="AK1195" s="552"/>
      <c r="AL1195" s="552"/>
      <c r="AM1195" s="552"/>
      <c r="AN1195" s="552"/>
      <c r="AO1195" s="709" t="s">
        <v>8352</v>
      </c>
      <c r="AP1195" s="552"/>
      <c r="AQ1195" s="552" t="s">
        <v>1186</v>
      </c>
      <c r="AR1195" s="552" t="s">
        <v>2805</v>
      </c>
      <c r="AS1195" s="552" t="s">
        <v>6967</v>
      </c>
      <c r="AT1195" s="552" t="s">
        <v>726</v>
      </c>
    </row>
    <row r="1196" spans="1:46" ht="14.7" customHeight="1">
      <c r="A1196" s="706"/>
      <c r="B1196" s="707" t="s">
        <v>3696</v>
      </c>
      <c r="C1196" s="539" t="s">
        <v>8329</v>
      </c>
      <c r="D1196" s="539" t="s">
        <v>2783</v>
      </c>
      <c r="E1196" s="709"/>
      <c r="F1196" s="709"/>
      <c r="G1196" s="709"/>
      <c r="H1196" s="709"/>
      <c r="I1196" s="709"/>
      <c r="J1196" s="552"/>
      <c r="K1196" s="552"/>
      <c r="L1196" s="552"/>
      <c r="M1196" s="552"/>
      <c r="N1196" s="552"/>
      <c r="O1196" s="552"/>
      <c r="P1196" s="552"/>
      <c r="Q1196" s="552"/>
      <c r="R1196" s="552"/>
      <c r="S1196" s="552"/>
      <c r="T1196" s="552"/>
      <c r="U1196" s="552"/>
      <c r="V1196" s="552"/>
      <c r="W1196" s="552"/>
      <c r="X1196" s="552"/>
      <c r="Y1196" s="552"/>
      <c r="Z1196" s="552"/>
      <c r="AA1196" s="552"/>
      <c r="AB1196" s="552"/>
      <c r="AC1196" s="552"/>
      <c r="AD1196" s="552"/>
      <c r="AE1196" s="552"/>
      <c r="AF1196" s="552"/>
      <c r="AG1196" s="552"/>
      <c r="AH1196" s="552"/>
      <c r="AI1196" s="552"/>
      <c r="AJ1196" s="552"/>
      <c r="AK1196" s="552"/>
      <c r="AL1196" s="552"/>
      <c r="AM1196" s="552"/>
      <c r="AN1196" s="552"/>
      <c r="AO1196" s="552"/>
      <c r="AP1196" s="552"/>
      <c r="AQ1196" s="552" t="s">
        <v>1186</v>
      </c>
      <c r="AR1196" s="552" t="s">
        <v>2805</v>
      </c>
      <c r="AS1196" s="552" t="s">
        <v>7484</v>
      </c>
      <c r="AT1196" s="552" t="s">
        <v>726</v>
      </c>
    </row>
    <row r="1197" spans="1:46" ht="14.7" customHeight="1">
      <c r="A1197" s="706"/>
      <c r="B1197" s="707" t="s">
        <v>3696</v>
      </c>
      <c r="C1197" s="539" t="s">
        <v>8329</v>
      </c>
      <c r="D1197" s="539" t="s">
        <v>2783</v>
      </c>
      <c r="E1197" s="709"/>
      <c r="F1197" s="709"/>
      <c r="G1197" s="709"/>
      <c r="H1197" s="709"/>
      <c r="I1197" s="709"/>
      <c r="J1197" s="552"/>
      <c r="K1197" s="552"/>
      <c r="L1197" s="552"/>
      <c r="M1197" s="552"/>
      <c r="N1197" s="552"/>
      <c r="O1197" s="552"/>
      <c r="P1197" s="552"/>
      <c r="Q1197" s="552"/>
      <c r="R1197" s="552"/>
      <c r="S1197" s="552"/>
      <c r="T1197" s="552"/>
      <c r="U1197" s="552"/>
      <c r="V1197" s="552"/>
      <c r="W1197" s="552"/>
      <c r="X1197" s="552"/>
      <c r="Y1197" s="552"/>
      <c r="Z1197" s="552"/>
      <c r="AA1197" s="552"/>
      <c r="AB1197" s="552"/>
      <c r="AC1197" s="552"/>
      <c r="AD1197" s="552"/>
      <c r="AE1197" s="552"/>
      <c r="AF1197" s="552"/>
      <c r="AG1197" s="552"/>
      <c r="AH1197" s="552"/>
      <c r="AI1197" s="552"/>
      <c r="AJ1197" s="552"/>
      <c r="AK1197" s="552"/>
      <c r="AL1197" s="552"/>
      <c r="AM1197" s="552"/>
      <c r="AN1197" s="552"/>
      <c r="AO1197" s="552"/>
      <c r="AP1197" s="552"/>
      <c r="AQ1197" s="552" t="s">
        <v>1186</v>
      </c>
      <c r="AR1197" s="552" t="s">
        <v>2805</v>
      </c>
      <c r="AS1197" s="552" t="s">
        <v>6881</v>
      </c>
      <c r="AT1197" s="552" t="s">
        <v>726</v>
      </c>
    </row>
    <row r="1198" spans="1:46" ht="14.7" customHeight="1">
      <c r="A1198" s="706"/>
      <c r="B1198" s="707" t="s">
        <v>3696</v>
      </c>
      <c r="C1198" s="539" t="s">
        <v>8329</v>
      </c>
      <c r="D1198" s="539" t="s">
        <v>2783</v>
      </c>
      <c r="E1198" s="709"/>
      <c r="F1198" s="709"/>
      <c r="G1198" s="709"/>
      <c r="H1198" s="709"/>
      <c r="I1198" s="709"/>
      <c r="J1198" s="552"/>
      <c r="K1198" s="552"/>
      <c r="L1198" s="552"/>
      <c r="M1198" s="552"/>
      <c r="N1198" s="552"/>
      <c r="O1198" s="552"/>
      <c r="P1198" s="552"/>
      <c r="Q1198" s="552"/>
      <c r="R1198" s="552"/>
      <c r="S1198" s="552"/>
      <c r="T1198" s="552"/>
      <c r="U1198" s="552"/>
      <c r="V1198" s="552"/>
      <c r="W1198" s="552"/>
      <c r="X1198" s="552"/>
      <c r="Y1198" s="552"/>
      <c r="Z1198" s="552"/>
      <c r="AA1198" s="552"/>
      <c r="AB1198" s="552"/>
      <c r="AC1198" s="552"/>
      <c r="AD1198" s="552"/>
      <c r="AE1198" s="552"/>
      <c r="AF1198" s="552"/>
      <c r="AG1198" s="552"/>
      <c r="AH1198" s="552"/>
      <c r="AI1198" s="552"/>
      <c r="AJ1198" s="552"/>
      <c r="AK1198" s="552"/>
      <c r="AL1198" s="552"/>
      <c r="AM1198" s="552"/>
      <c r="AN1198" s="552"/>
      <c r="AO1198" s="552"/>
      <c r="AP1198" s="552"/>
      <c r="AQ1198" s="552" t="s">
        <v>1186</v>
      </c>
      <c r="AR1198" s="552" t="s">
        <v>2805</v>
      </c>
      <c r="AS1198" s="552" t="s">
        <v>6967</v>
      </c>
      <c r="AT1198" s="552" t="s">
        <v>726</v>
      </c>
    </row>
    <row r="1199" spans="1:46" ht="14.7" customHeight="1">
      <c r="A1199" s="706"/>
      <c r="B1199" s="707" t="s">
        <v>3696</v>
      </c>
      <c r="C1199" s="539" t="s">
        <v>8329</v>
      </c>
      <c r="D1199" s="539" t="s">
        <v>2783</v>
      </c>
      <c r="E1199" s="709"/>
      <c r="F1199" s="709"/>
      <c r="G1199" s="709"/>
      <c r="H1199" s="709"/>
      <c r="I1199" s="709"/>
      <c r="J1199" s="552"/>
      <c r="K1199" s="552"/>
      <c r="L1199" s="552"/>
      <c r="M1199" s="552"/>
      <c r="N1199" s="552"/>
      <c r="O1199" s="552"/>
      <c r="P1199" s="552"/>
      <c r="Q1199" s="552"/>
      <c r="R1199" s="552"/>
      <c r="S1199" s="552"/>
      <c r="T1199" s="552"/>
      <c r="U1199" s="552"/>
      <c r="V1199" s="552"/>
      <c r="W1199" s="552"/>
      <c r="X1199" s="552"/>
      <c r="Y1199" s="552"/>
      <c r="Z1199" s="552"/>
      <c r="AA1199" s="552"/>
      <c r="AB1199" s="552"/>
      <c r="AC1199" s="552"/>
      <c r="AD1199" s="552"/>
      <c r="AE1199" s="552"/>
      <c r="AF1199" s="552"/>
      <c r="AG1199" s="552"/>
      <c r="AH1199" s="552"/>
      <c r="AI1199" s="552"/>
      <c r="AJ1199" s="552"/>
      <c r="AK1199" s="552"/>
      <c r="AL1199" s="552"/>
      <c r="AM1199" s="552"/>
      <c r="AN1199" s="552"/>
      <c r="AO1199" s="552"/>
      <c r="AP1199" s="552"/>
      <c r="AQ1199" s="552" t="s">
        <v>1186</v>
      </c>
      <c r="AR1199" s="552" t="s">
        <v>2805</v>
      </c>
      <c r="AS1199" s="552" t="s">
        <v>7484</v>
      </c>
      <c r="AT1199" s="552" t="s">
        <v>726</v>
      </c>
    </row>
    <row r="1200" spans="1:46" ht="14.7" customHeight="1">
      <c r="A1200" s="706" t="s">
        <v>6615</v>
      </c>
      <c r="B1200" s="556" t="s">
        <v>3697</v>
      </c>
      <c r="C1200" s="539" t="s">
        <v>8329</v>
      </c>
      <c r="D1200" s="709" t="s">
        <v>8353</v>
      </c>
      <c r="E1200" s="709" t="s">
        <v>8331</v>
      </c>
      <c r="F1200" s="709"/>
      <c r="G1200" s="709"/>
      <c r="H1200" s="709"/>
      <c r="I1200" s="709"/>
      <c r="J1200" s="552"/>
      <c r="K1200" s="552"/>
      <c r="L1200" s="552"/>
      <c r="M1200" s="552"/>
      <c r="N1200" s="552"/>
      <c r="O1200" s="552"/>
      <c r="P1200" s="552"/>
      <c r="Q1200" s="552">
        <v>6</v>
      </c>
      <c r="R1200" s="552"/>
      <c r="S1200" s="552"/>
      <c r="T1200" s="552"/>
      <c r="U1200" s="552"/>
      <c r="V1200" s="552"/>
      <c r="W1200" s="552"/>
      <c r="X1200" s="552"/>
      <c r="Y1200" s="552"/>
      <c r="Z1200" s="552"/>
      <c r="AA1200" s="552"/>
      <c r="AB1200" s="552"/>
      <c r="AC1200" s="552"/>
      <c r="AD1200" s="552"/>
      <c r="AE1200" s="552"/>
      <c r="AF1200" s="552"/>
      <c r="AG1200" s="552"/>
      <c r="AH1200" s="552"/>
      <c r="AI1200" s="552"/>
      <c r="AJ1200" s="552"/>
      <c r="AK1200" s="552"/>
      <c r="AL1200" s="552"/>
      <c r="AM1200" s="552"/>
      <c r="AN1200" s="552"/>
      <c r="AO1200" s="552"/>
      <c r="AP1200" s="552"/>
      <c r="AQ1200" s="552" t="s">
        <v>1186</v>
      </c>
      <c r="AR1200" s="552" t="s">
        <v>2875</v>
      </c>
      <c r="AS1200" s="552" t="s">
        <v>6967</v>
      </c>
      <c r="AT1200" s="552" t="s">
        <v>726</v>
      </c>
    </row>
    <row r="1201" spans="1:46" ht="14.7" customHeight="1">
      <c r="A1201" s="706" t="s">
        <v>6616</v>
      </c>
      <c r="B1201" s="556" t="s">
        <v>3697</v>
      </c>
      <c r="C1201" s="539" t="s">
        <v>8329</v>
      </c>
      <c r="D1201" s="709" t="s">
        <v>8354</v>
      </c>
      <c r="E1201" s="709" t="s">
        <v>8331</v>
      </c>
      <c r="F1201" s="709"/>
      <c r="G1201" s="709"/>
      <c r="H1201" s="709"/>
      <c r="I1201" s="709"/>
      <c r="J1201" s="552"/>
      <c r="K1201" s="552"/>
      <c r="L1201" s="552"/>
      <c r="M1201" s="552"/>
      <c r="N1201" s="552"/>
      <c r="O1201" s="552"/>
      <c r="P1201" s="552"/>
      <c r="Q1201" s="552"/>
      <c r="R1201" s="552">
        <v>6</v>
      </c>
      <c r="S1201" s="552"/>
      <c r="T1201" s="552"/>
      <c r="U1201" s="552"/>
      <c r="V1201" s="552"/>
      <c r="W1201" s="552"/>
      <c r="X1201" s="552"/>
      <c r="Y1201" s="552"/>
      <c r="Z1201" s="552"/>
      <c r="AA1201" s="552"/>
      <c r="AB1201" s="552"/>
      <c r="AC1201" s="552"/>
      <c r="AD1201" s="552"/>
      <c r="AE1201" s="552"/>
      <c r="AF1201" s="552"/>
      <c r="AG1201" s="552"/>
      <c r="AH1201" s="552"/>
      <c r="AI1201" s="552"/>
      <c r="AJ1201" s="552"/>
      <c r="AK1201" s="552"/>
      <c r="AL1201" s="552"/>
      <c r="AM1201" s="552"/>
      <c r="AN1201" s="552"/>
      <c r="AO1201" s="552"/>
      <c r="AP1201" s="552"/>
      <c r="AQ1201" s="552" t="s">
        <v>1186</v>
      </c>
      <c r="AR1201" s="552" t="s">
        <v>2875</v>
      </c>
      <c r="AS1201" s="552" t="s">
        <v>7484</v>
      </c>
      <c r="AT1201" s="552" t="s">
        <v>726</v>
      </c>
    </row>
    <row r="1202" spans="1:46" ht="14.7" customHeight="1">
      <c r="A1202" s="706" t="s">
        <v>6617</v>
      </c>
      <c r="B1202" s="556" t="s">
        <v>3697</v>
      </c>
      <c r="C1202" s="539" t="s">
        <v>8329</v>
      </c>
      <c r="D1202" s="709" t="s">
        <v>8355</v>
      </c>
      <c r="E1202" s="709" t="s">
        <v>8331</v>
      </c>
      <c r="F1202" s="709"/>
      <c r="G1202" s="709"/>
      <c r="H1202" s="709"/>
      <c r="I1202" s="709"/>
      <c r="J1202" s="552"/>
      <c r="K1202" s="552"/>
      <c r="L1202" s="552"/>
      <c r="M1202" s="552"/>
      <c r="N1202" s="552"/>
      <c r="O1202" s="552"/>
      <c r="P1202" s="552">
        <v>6</v>
      </c>
      <c r="Q1202" s="552"/>
      <c r="R1202" s="552"/>
      <c r="S1202" s="552"/>
      <c r="T1202" s="552"/>
      <c r="U1202" s="552"/>
      <c r="V1202" s="552"/>
      <c r="W1202" s="552"/>
      <c r="X1202" s="552"/>
      <c r="Y1202" s="552"/>
      <c r="Z1202" s="552"/>
      <c r="AA1202" s="552"/>
      <c r="AB1202" s="552"/>
      <c r="AC1202" s="552"/>
      <c r="AD1202" s="552"/>
      <c r="AE1202" s="552"/>
      <c r="AF1202" s="552"/>
      <c r="AG1202" s="552"/>
      <c r="AH1202" s="552"/>
      <c r="AI1202" s="552"/>
      <c r="AJ1202" s="552"/>
      <c r="AK1202" s="552"/>
      <c r="AL1202" s="552"/>
      <c r="AM1202" s="552"/>
      <c r="AN1202" s="552"/>
      <c r="AO1202" s="552"/>
      <c r="AP1202" s="552"/>
      <c r="AQ1202" s="552" t="s">
        <v>1186</v>
      </c>
      <c r="AR1202" s="552" t="s">
        <v>2875</v>
      </c>
      <c r="AS1202" s="552" t="s">
        <v>6881</v>
      </c>
      <c r="AT1202" s="552" t="s">
        <v>726</v>
      </c>
    </row>
    <row r="1203" spans="1:46" ht="14.7" customHeight="1">
      <c r="A1203" s="706" t="s">
        <v>6618</v>
      </c>
      <c r="B1203" s="556" t="s">
        <v>3697</v>
      </c>
      <c r="C1203" s="539" t="s">
        <v>8329</v>
      </c>
      <c r="D1203" s="709" t="s">
        <v>8356</v>
      </c>
      <c r="E1203" s="709" t="s">
        <v>8331</v>
      </c>
      <c r="F1203" s="709"/>
      <c r="G1203" s="709"/>
      <c r="H1203" s="709"/>
      <c r="I1203" s="709"/>
      <c r="J1203" s="552"/>
      <c r="K1203" s="552"/>
      <c r="L1203" s="552"/>
      <c r="M1203" s="552"/>
      <c r="N1203" s="552"/>
      <c r="O1203" s="552"/>
      <c r="P1203" s="552"/>
      <c r="Q1203" s="552"/>
      <c r="R1203" s="552"/>
      <c r="S1203" s="552"/>
      <c r="T1203" s="552"/>
      <c r="U1203" s="552"/>
      <c r="V1203" s="552"/>
      <c r="W1203" s="552"/>
      <c r="X1203" s="552"/>
      <c r="Y1203" s="552"/>
      <c r="Z1203" s="552"/>
      <c r="AA1203" s="552"/>
      <c r="AB1203" s="552"/>
      <c r="AC1203" s="552"/>
      <c r="AD1203" s="552"/>
      <c r="AE1203" s="552"/>
      <c r="AF1203" s="552"/>
      <c r="AG1203" s="552"/>
      <c r="AH1203" s="552"/>
      <c r="AI1203" s="552"/>
      <c r="AJ1203" s="552"/>
      <c r="AK1203" s="552"/>
      <c r="AL1203" s="552"/>
      <c r="AM1203" s="552"/>
      <c r="AN1203" s="552"/>
      <c r="AO1203" s="552" t="s">
        <v>8357</v>
      </c>
      <c r="AP1203" s="552"/>
      <c r="AQ1203" s="552" t="s">
        <v>1186</v>
      </c>
      <c r="AR1203" s="552" t="s">
        <v>2875</v>
      </c>
      <c r="AS1203" s="552" t="s">
        <v>6967</v>
      </c>
      <c r="AT1203" s="552" t="s">
        <v>726</v>
      </c>
    </row>
    <row r="1204" spans="1:46" ht="14.7" customHeight="1">
      <c r="A1204" s="706" t="s">
        <v>6619</v>
      </c>
      <c r="B1204" s="556" t="s">
        <v>3697</v>
      </c>
      <c r="C1204" s="539" t="s">
        <v>8329</v>
      </c>
      <c r="D1204" s="709" t="s">
        <v>8358</v>
      </c>
      <c r="E1204" s="709" t="s">
        <v>8331</v>
      </c>
      <c r="F1204" s="709"/>
      <c r="G1204" s="709"/>
      <c r="H1204" s="709"/>
      <c r="I1204" s="709"/>
      <c r="J1204" s="552"/>
      <c r="K1204" s="552"/>
      <c r="L1204" s="552"/>
      <c r="M1204" s="552"/>
      <c r="N1204" s="552"/>
      <c r="O1204" s="552"/>
      <c r="P1204" s="552"/>
      <c r="Q1204" s="552"/>
      <c r="R1204" s="552"/>
      <c r="S1204" s="552"/>
      <c r="T1204" s="552"/>
      <c r="U1204" s="552"/>
      <c r="V1204" s="552"/>
      <c r="W1204" s="552"/>
      <c r="X1204" s="552"/>
      <c r="Y1204" s="552"/>
      <c r="Z1204" s="552"/>
      <c r="AA1204" s="552"/>
      <c r="AB1204" s="552"/>
      <c r="AC1204" s="552"/>
      <c r="AD1204" s="552"/>
      <c r="AE1204" s="552"/>
      <c r="AF1204" s="552"/>
      <c r="AG1204" s="552"/>
      <c r="AH1204" s="552"/>
      <c r="AI1204" s="552"/>
      <c r="AJ1204" s="552"/>
      <c r="AK1204" s="552"/>
      <c r="AL1204" s="552"/>
      <c r="AM1204" s="552"/>
      <c r="AN1204" s="552"/>
      <c r="AO1204" s="709" t="s">
        <v>8359</v>
      </c>
      <c r="AP1204" s="552"/>
      <c r="AQ1204" s="552" t="s">
        <v>1186</v>
      </c>
      <c r="AR1204" s="552" t="s">
        <v>2875</v>
      </c>
      <c r="AS1204" s="552" t="s">
        <v>7484</v>
      </c>
      <c r="AT1204" s="552" t="s">
        <v>726</v>
      </c>
    </row>
    <row r="1205" spans="1:46" ht="14.7" customHeight="1">
      <c r="A1205" s="706" t="s">
        <v>8360</v>
      </c>
      <c r="B1205" s="556" t="s">
        <v>3697</v>
      </c>
      <c r="C1205" s="727" t="s">
        <v>8329</v>
      </c>
      <c r="D1205" s="714" t="s">
        <v>8361</v>
      </c>
      <c r="E1205" s="714" t="s">
        <v>8331</v>
      </c>
      <c r="F1205" s="714"/>
      <c r="G1205" s="714"/>
      <c r="H1205" s="714"/>
      <c r="I1205" s="714"/>
      <c r="J1205" s="716"/>
      <c r="K1205" s="552"/>
      <c r="L1205" s="552"/>
      <c r="M1205" s="552"/>
      <c r="N1205" s="552"/>
      <c r="O1205" s="552"/>
      <c r="P1205" s="552"/>
      <c r="Q1205" s="552"/>
      <c r="R1205" s="552"/>
      <c r="S1205" s="552"/>
      <c r="T1205" s="552"/>
      <c r="U1205" s="552"/>
      <c r="V1205" s="552"/>
      <c r="W1205" s="552"/>
      <c r="X1205" s="552"/>
      <c r="Y1205" s="552"/>
      <c r="Z1205" s="552"/>
      <c r="AA1205" s="552"/>
      <c r="AB1205" s="552"/>
      <c r="AC1205" s="552"/>
      <c r="AD1205" s="552"/>
      <c r="AE1205" s="552"/>
      <c r="AF1205" s="552"/>
      <c r="AG1205" s="552"/>
      <c r="AH1205" s="552"/>
      <c r="AI1205" s="552"/>
      <c r="AJ1205" s="552"/>
      <c r="AK1205" s="552"/>
      <c r="AL1205" s="552"/>
      <c r="AM1205" s="552"/>
      <c r="AN1205" s="552"/>
      <c r="AO1205" s="552"/>
      <c r="AP1205" s="709" t="s">
        <v>8362</v>
      </c>
      <c r="AQ1205" s="552" t="s">
        <v>1186</v>
      </c>
      <c r="AR1205" s="552" t="s">
        <v>2875</v>
      </c>
      <c r="AS1205" s="552" t="s">
        <v>6881</v>
      </c>
      <c r="AT1205" s="552" t="s">
        <v>726</v>
      </c>
    </row>
    <row r="1206" spans="1:46" ht="14.7" customHeight="1">
      <c r="A1206" s="706" t="s">
        <v>6620</v>
      </c>
      <c r="B1206" s="556" t="s">
        <v>3697</v>
      </c>
      <c r="C1206" s="727" t="s">
        <v>8329</v>
      </c>
      <c r="D1206" s="714" t="s">
        <v>8363</v>
      </c>
      <c r="E1206" s="714" t="s">
        <v>8331</v>
      </c>
      <c r="F1206" s="714"/>
      <c r="G1206" s="714"/>
      <c r="H1206" s="714"/>
      <c r="I1206" s="714"/>
      <c r="J1206" s="716"/>
      <c r="K1206" s="552"/>
      <c r="L1206" s="552"/>
      <c r="M1206" s="552"/>
      <c r="N1206" s="552">
        <v>50</v>
      </c>
      <c r="O1206" s="552"/>
      <c r="P1206" s="552"/>
      <c r="Q1206" s="552"/>
      <c r="R1206" s="552"/>
      <c r="S1206" s="552"/>
      <c r="T1206" s="552"/>
      <c r="U1206" s="552"/>
      <c r="V1206" s="552"/>
      <c r="W1206" s="552"/>
      <c r="X1206" s="552"/>
      <c r="Y1206" s="552"/>
      <c r="Z1206" s="552"/>
      <c r="AA1206" s="552"/>
      <c r="AB1206" s="552"/>
      <c r="AC1206" s="552"/>
      <c r="AD1206" s="552"/>
      <c r="AE1206" s="552"/>
      <c r="AF1206" s="552"/>
      <c r="AG1206" s="552"/>
      <c r="AH1206" s="552"/>
      <c r="AI1206" s="552"/>
      <c r="AJ1206" s="552"/>
      <c r="AK1206" s="552"/>
      <c r="AL1206" s="552"/>
      <c r="AM1206" s="552"/>
      <c r="AN1206" s="552"/>
      <c r="AO1206" s="552"/>
      <c r="AP1206" s="552"/>
      <c r="AQ1206" s="552" t="s">
        <v>1186</v>
      </c>
      <c r="AR1206" s="552" t="s">
        <v>2875</v>
      </c>
      <c r="AS1206" s="552" t="s">
        <v>6967</v>
      </c>
      <c r="AT1206" s="552" t="s">
        <v>726</v>
      </c>
    </row>
    <row r="1207" spans="1:46" ht="14.7" customHeight="1">
      <c r="A1207" s="706" t="s">
        <v>6621</v>
      </c>
      <c r="B1207" s="556" t="s">
        <v>3697</v>
      </c>
      <c r="C1207" s="727" t="s">
        <v>8329</v>
      </c>
      <c r="D1207" s="714" t="s">
        <v>8364</v>
      </c>
      <c r="E1207" s="714" t="s">
        <v>8331</v>
      </c>
      <c r="F1207" s="714"/>
      <c r="G1207" s="714"/>
      <c r="H1207" s="714"/>
      <c r="I1207" s="714"/>
      <c r="J1207" s="716"/>
      <c r="K1207" s="552"/>
      <c r="L1207" s="552"/>
      <c r="M1207" s="552"/>
      <c r="N1207" s="552"/>
      <c r="O1207" s="552"/>
      <c r="P1207" s="552"/>
      <c r="Q1207" s="552"/>
      <c r="R1207" s="552"/>
      <c r="S1207" s="552"/>
      <c r="T1207" s="552"/>
      <c r="U1207" s="552"/>
      <c r="V1207" s="552"/>
      <c r="W1207" s="552"/>
      <c r="X1207" s="552"/>
      <c r="Y1207" s="552"/>
      <c r="Z1207" s="552"/>
      <c r="AA1207" s="552"/>
      <c r="AB1207" s="552"/>
      <c r="AC1207" s="552"/>
      <c r="AD1207" s="552"/>
      <c r="AE1207" s="552"/>
      <c r="AF1207" s="552"/>
      <c r="AG1207" s="552"/>
      <c r="AH1207" s="552"/>
      <c r="AI1207" s="552"/>
      <c r="AJ1207" s="552"/>
      <c r="AK1207" s="552"/>
      <c r="AL1207" s="552"/>
      <c r="AM1207" s="552"/>
      <c r="AN1207" s="552"/>
      <c r="AO1207" s="709" t="s">
        <v>8365</v>
      </c>
      <c r="AP1207" s="552"/>
      <c r="AQ1207" s="552" t="s">
        <v>1186</v>
      </c>
      <c r="AR1207" s="552" t="s">
        <v>2875</v>
      </c>
      <c r="AS1207" s="552" t="s">
        <v>7484</v>
      </c>
      <c r="AT1207" s="552" t="s">
        <v>726</v>
      </c>
    </row>
    <row r="1208" spans="1:46" ht="14.7" customHeight="1">
      <c r="A1208" s="706" t="s">
        <v>6622</v>
      </c>
      <c r="B1208" s="556" t="s">
        <v>3697</v>
      </c>
      <c r="C1208" s="727" t="s">
        <v>8329</v>
      </c>
      <c r="D1208" s="714" t="s">
        <v>8366</v>
      </c>
      <c r="E1208" s="714" t="s">
        <v>8367</v>
      </c>
      <c r="F1208" s="714"/>
      <c r="G1208" s="714"/>
      <c r="H1208" s="714"/>
      <c r="I1208" s="714"/>
      <c r="J1208" s="716"/>
      <c r="K1208" s="552"/>
      <c r="L1208" s="552"/>
      <c r="M1208" s="552"/>
      <c r="N1208" s="552"/>
      <c r="O1208" s="552"/>
      <c r="P1208" s="552"/>
      <c r="Q1208" s="552"/>
      <c r="R1208" s="552"/>
      <c r="S1208" s="552"/>
      <c r="T1208" s="552"/>
      <c r="U1208" s="552"/>
      <c r="V1208" s="552"/>
      <c r="W1208" s="552"/>
      <c r="X1208" s="552"/>
      <c r="Y1208" s="552"/>
      <c r="Z1208" s="552"/>
      <c r="AA1208" s="552"/>
      <c r="AB1208" s="552"/>
      <c r="AC1208" s="552"/>
      <c r="AD1208" s="552"/>
      <c r="AE1208" s="552"/>
      <c r="AF1208" s="552"/>
      <c r="AG1208" s="552"/>
      <c r="AH1208" s="552"/>
      <c r="AI1208" s="552"/>
      <c r="AJ1208" s="552"/>
      <c r="AK1208" s="552"/>
      <c r="AL1208" s="552"/>
      <c r="AM1208" s="552"/>
      <c r="AN1208" s="552"/>
      <c r="AO1208" s="585" t="s">
        <v>8368</v>
      </c>
      <c r="AP1208" s="552"/>
      <c r="AQ1208" s="552" t="s">
        <v>1186</v>
      </c>
      <c r="AR1208" s="552" t="s">
        <v>2875</v>
      </c>
      <c r="AS1208" s="552" t="s">
        <v>6881</v>
      </c>
      <c r="AT1208" s="552" t="s">
        <v>726</v>
      </c>
    </row>
    <row r="1209" spans="1:46" ht="14.7" customHeight="1">
      <c r="A1209" s="706" t="s">
        <v>6623</v>
      </c>
      <c r="B1209" s="556" t="s">
        <v>3697</v>
      </c>
      <c r="C1209" s="727" t="s">
        <v>8329</v>
      </c>
      <c r="D1209" s="714" t="s">
        <v>8369</v>
      </c>
      <c r="E1209" s="714" t="s">
        <v>8331</v>
      </c>
      <c r="F1209" s="714"/>
      <c r="G1209" s="714"/>
      <c r="H1209" s="714"/>
      <c r="I1209" s="714"/>
      <c r="J1209" s="716"/>
      <c r="K1209" s="552"/>
      <c r="L1209" s="552"/>
      <c r="M1209" s="552"/>
      <c r="N1209" s="552"/>
      <c r="O1209" s="552"/>
      <c r="P1209" s="552"/>
      <c r="Q1209" s="552"/>
      <c r="R1209" s="552"/>
      <c r="S1209" s="552"/>
      <c r="T1209" s="552"/>
      <c r="U1209" s="552"/>
      <c r="V1209" s="552"/>
      <c r="W1209" s="552"/>
      <c r="X1209" s="552"/>
      <c r="Y1209" s="552"/>
      <c r="Z1209" s="552"/>
      <c r="AA1209" s="552"/>
      <c r="AB1209" s="552"/>
      <c r="AC1209" s="552"/>
      <c r="AD1209" s="552"/>
      <c r="AE1209" s="552"/>
      <c r="AF1209" s="552"/>
      <c r="AG1209" s="552"/>
      <c r="AH1209" s="552"/>
      <c r="AI1209" s="552"/>
      <c r="AJ1209" s="552"/>
      <c r="AK1209" s="552"/>
      <c r="AL1209" s="552"/>
      <c r="AM1209" s="552"/>
      <c r="AN1209" s="552"/>
      <c r="AO1209" s="709" t="s">
        <v>8370</v>
      </c>
      <c r="AP1209" s="552"/>
      <c r="AQ1209" s="552" t="s">
        <v>1186</v>
      </c>
      <c r="AR1209" s="552" t="s">
        <v>2875</v>
      </c>
      <c r="AS1209" s="552" t="s">
        <v>6967</v>
      </c>
      <c r="AT1209" s="552" t="s">
        <v>726</v>
      </c>
    </row>
    <row r="1210" spans="1:46" ht="14.7" customHeight="1">
      <c r="A1210" s="706" t="s">
        <v>6624</v>
      </c>
      <c r="B1210" s="557" t="s">
        <v>3698</v>
      </c>
      <c r="C1210" s="727" t="s">
        <v>8329</v>
      </c>
      <c r="D1210" s="714" t="s">
        <v>8371</v>
      </c>
      <c r="E1210" s="714" t="s">
        <v>8331</v>
      </c>
      <c r="F1210" s="714"/>
      <c r="G1210" s="714"/>
      <c r="H1210" s="714"/>
      <c r="I1210" s="714"/>
      <c r="J1210" s="716"/>
      <c r="K1210" s="552"/>
      <c r="L1210" s="552"/>
      <c r="M1210" s="552"/>
      <c r="N1210" s="552"/>
      <c r="O1210" s="552"/>
      <c r="P1210" s="552"/>
      <c r="Q1210" s="552"/>
      <c r="R1210" s="552"/>
      <c r="S1210" s="552"/>
      <c r="T1210" s="552"/>
      <c r="U1210" s="552"/>
      <c r="V1210" s="552"/>
      <c r="W1210" s="552"/>
      <c r="X1210" s="552"/>
      <c r="Y1210" s="552"/>
      <c r="Z1210" s="552"/>
      <c r="AA1210" s="552"/>
      <c r="AB1210" s="552"/>
      <c r="AC1210" s="552"/>
      <c r="AD1210" s="552"/>
      <c r="AE1210" s="552"/>
      <c r="AF1210" s="552"/>
      <c r="AG1210" s="552"/>
      <c r="AH1210" s="552"/>
      <c r="AI1210" s="552"/>
      <c r="AJ1210" s="552"/>
      <c r="AK1210" s="552"/>
      <c r="AL1210" s="552"/>
      <c r="AM1210" s="552"/>
      <c r="AN1210" s="552"/>
      <c r="AO1210" s="709" t="s">
        <v>8300</v>
      </c>
      <c r="AP1210" s="552"/>
      <c r="AQ1210" s="552" t="s">
        <v>1186</v>
      </c>
      <c r="AR1210" s="552" t="s">
        <v>2998</v>
      </c>
      <c r="AS1210" s="552" t="s">
        <v>7484</v>
      </c>
      <c r="AT1210" s="552" t="s">
        <v>726</v>
      </c>
    </row>
    <row r="1211" spans="1:46" ht="14.7" customHeight="1">
      <c r="A1211" s="706"/>
      <c r="B1211" s="557" t="s">
        <v>3698</v>
      </c>
      <c r="C1211" s="727" t="s">
        <v>8329</v>
      </c>
      <c r="D1211" s="727" t="s">
        <v>2783</v>
      </c>
      <c r="E1211" s="714"/>
      <c r="F1211" s="714"/>
      <c r="G1211" s="714"/>
      <c r="H1211" s="714"/>
      <c r="I1211" s="714"/>
      <c r="J1211" s="716"/>
      <c r="K1211" s="552"/>
      <c r="L1211" s="552"/>
      <c r="M1211" s="552"/>
      <c r="N1211" s="552"/>
      <c r="O1211" s="552"/>
      <c r="P1211" s="552"/>
      <c r="Q1211" s="552"/>
      <c r="R1211" s="552"/>
      <c r="S1211" s="552"/>
      <c r="T1211" s="552"/>
      <c r="U1211" s="552"/>
      <c r="V1211" s="552"/>
      <c r="W1211" s="552"/>
      <c r="X1211" s="552"/>
      <c r="Y1211" s="552"/>
      <c r="Z1211" s="552"/>
      <c r="AA1211" s="552"/>
      <c r="AB1211" s="552"/>
      <c r="AC1211" s="552"/>
      <c r="AD1211" s="552"/>
      <c r="AE1211" s="552"/>
      <c r="AF1211" s="552"/>
      <c r="AG1211" s="552"/>
      <c r="AH1211" s="552"/>
      <c r="AI1211" s="552"/>
      <c r="AJ1211" s="552"/>
      <c r="AK1211" s="552"/>
      <c r="AL1211" s="552"/>
      <c r="AM1211" s="552"/>
      <c r="AN1211" s="552"/>
      <c r="AO1211" s="552"/>
      <c r="AP1211" s="552"/>
      <c r="AQ1211" s="552" t="s">
        <v>1186</v>
      </c>
      <c r="AR1211" s="552" t="s">
        <v>2998</v>
      </c>
      <c r="AS1211" s="552" t="s">
        <v>6881</v>
      </c>
      <c r="AT1211" s="552" t="s">
        <v>726</v>
      </c>
    </row>
    <row r="1212" spans="1:46" ht="14.7" customHeight="1">
      <c r="A1212" s="706"/>
      <c r="B1212" s="557" t="s">
        <v>3698</v>
      </c>
      <c r="C1212" s="727" t="s">
        <v>8329</v>
      </c>
      <c r="D1212" s="727" t="s">
        <v>2783</v>
      </c>
      <c r="E1212" s="714"/>
      <c r="F1212" s="714"/>
      <c r="G1212" s="714"/>
      <c r="H1212" s="714"/>
      <c r="I1212" s="714"/>
      <c r="J1212" s="716"/>
      <c r="K1212" s="552"/>
      <c r="L1212" s="552"/>
      <c r="M1212" s="552"/>
      <c r="N1212" s="552"/>
      <c r="O1212" s="552"/>
      <c r="P1212" s="552"/>
      <c r="Q1212" s="552"/>
      <c r="R1212" s="552"/>
      <c r="S1212" s="552"/>
      <c r="T1212" s="552"/>
      <c r="U1212" s="552"/>
      <c r="V1212" s="552"/>
      <c r="W1212" s="552"/>
      <c r="X1212" s="552"/>
      <c r="Y1212" s="552"/>
      <c r="Z1212" s="552"/>
      <c r="AA1212" s="552"/>
      <c r="AB1212" s="552"/>
      <c r="AC1212" s="552"/>
      <c r="AD1212" s="552"/>
      <c r="AE1212" s="552"/>
      <c r="AF1212" s="552"/>
      <c r="AG1212" s="552"/>
      <c r="AH1212" s="552"/>
      <c r="AI1212" s="552"/>
      <c r="AJ1212" s="552"/>
      <c r="AK1212" s="552"/>
      <c r="AL1212" s="552"/>
      <c r="AM1212" s="552"/>
      <c r="AN1212" s="552"/>
      <c r="AO1212" s="552"/>
      <c r="AP1212" s="552"/>
      <c r="AQ1212" s="552" t="s">
        <v>1186</v>
      </c>
      <c r="AR1212" s="552" t="s">
        <v>2998</v>
      </c>
      <c r="AS1212" s="552" t="s">
        <v>6967</v>
      </c>
      <c r="AT1212" s="552" t="s">
        <v>726</v>
      </c>
    </row>
    <row r="1213" spans="1:46" ht="14.7" customHeight="1">
      <c r="A1213" s="710" t="s">
        <v>8372</v>
      </c>
      <c r="B1213" s="557" t="s">
        <v>3698</v>
      </c>
      <c r="C1213" s="727" t="s">
        <v>8329</v>
      </c>
      <c r="D1213" s="714" t="s">
        <v>8373</v>
      </c>
      <c r="E1213" s="714" t="s">
        <v>8331</v>
      </c>
      <c r="F1213" s="714"/>
      <c r="G1213" s="714"/>
      <c r="H1213" s="714"/>
      <c r="I1213" s="714"/>
      <c r="J1213" s="716"/>
      <c r="K1213" s="552"/>
      <c r="L1213" s="552"/>
      <c r="M1213" s="552"/>
      <c r="N1213" s="552"/>
      <c r="O1213" s="552"/>
      <c r="P1213" s="552"/>
      <c r="Q1213" s="552"/>
      <c r="R1213" s="552"/>
      <c r="S1213" s="552"/>
      <c r="T1213" s="552"/>
      <c r="U1213" s="552"/>
      <c r="V1213" s="552"/>
      <c r="W1213" s="552"/>
      <c r="X1213" s="552"/>
      <c r="Y1213" s="552"/>
      <c r="Z1213" s="552"/>
      <c r="AA1213" s="552"/>
      <c r="AB1213" s="552"/>
      <c r="AC1213" s="552"/>
      <c r="AD1213" s="552"/>
      <c r="AE1213" s="552"/>
      <c r="AF1213" s="552"/>
      <c r="AG1213" s="552"/>
      <c r="AH1213" s="552"/>
      <c r="AI1213" s="552"/>
      <c r="AJ1213" s="552"/>
      <c r="AK1213" s="552"/>
      <c r="AL1213" s="552"/>
      <c r="AM1213" s="552"/>
      <c r="AN1213" s="552"/>
      <c r="AO1213" s="709" t="s">
        <v>8374</v>
      </c>
      <c r="AP1213" s="713" t="s">
        <v>8375</v>
      </c>
      <c r="AQ1213" s="552" t="s">
        <v>1186</v>
      </c>
      <c r="AR1213" s="552" t="s">
        <v>2998</v>
      </c>
      <c r="AS1213" s="552" t="s">
        <v>7484</v>
      </c>
      <c r="AT1213" s="552" t="s">
        <v>726</v>
      </c>
    </row>
    <row r="1214" spans="1:46" ht="14.7" customHeight="1">
      <c r="A1214" s="706" t="s">
        <v>8376</v>
      </c>
      <c r="B1214" s="557" t="s">
        <v>3698</v>
      </c>
      <c r="C1214" s="727" t="s">
        <v>8329</v>
      </c>
      <c r="D1214" s="714" t="s">
        <v>8377</v>
      </c>
      <c r="E1214" s="714" t="s">
        <v>8331</v>
      </c>
      <c r="F1214" s="714"/>
      <c r="G1214" s="714"/>
      <c r="H1214" s="714"/>
      <c r="I1214" s="714"/>
      <c r="J1214" s="716"/>
      <c r="K1214" s="552"/>
      <c r="L1214" s="552"/>
      <c r="M1214" s="552"/>
      <c r="N1214" s="552"/>
      <c r="O1214" s="552"/>
      <c r="P1214" s="552"/>
      <c r="Q1214" s="552"/>
      <c r="R1214" s="552"/>
      <c r="S1214" s="552"/>
      <c r="T1214" s="552"/>
      <c r="U1214" s="552"/>
      <c r="V1214" s="552"/>
      <c r="W1214" s="552"/>
      <c r="X1214" s="552"/>
      <c r="Y1214" s="552"/>
      <c r="Z1214" s="552"/>
      <c r="AA1214" s="552"/>
      <c r="AB1214" s="552"/>
      <c r="AC1214" s="552"/>
      <c r="AD1214" s="552"/>
      <c r="AE1214" s="552"/>
      <c r="AF1214" s="552"/>
      <c r="AG1214" s="552"/>
      <c r="AH1214" s="552"/>
      <c r="AI1214" s="552"/>
      <c r="AJ1214" s="552"/>
      <c r="AK1214" s="552"/>
      <c r="AL1214" s="552"/>
      <c r="AM1214" s="552"/>
      <c r="AN1214" s="552"/>
      <c r="AO1214" s="552"/>
      <c r="AP1214" s="709" t="s">
        <v>8378</v>
      </c>
      <c r="AQ1214" s="552" t="s">
        <v>1186</v>
      </c>
      <c r="AR1214" s="552" t="s">
        <v>2998</v>
      </c>
      <c r="AS1214" s="552" t="s">
        <v>6881</v>
      </c>
      <c r="AT1214" s="552" t="s">
        <v>726</v>
      </c>
    </row>
    <row r="1215" spans="1:46" ht="14.7" customHeight="1">
      <c r="A1215" s="706" t="s">
        <v>6625</v>
      </c>
      <c r="B1215" s="557" t="s">
        <v>3698</v>
      </c>
      <c r="C1215" s="727" t="s">
        <v>8329</v>
      </c>
      <c r="D1215" s="714" t="s">
        <v>8379</v>
      </c>
      <c r="E1215" s="714" t="s">
        <v>8367</v>
      </c>
      <c r="F1215" s="714"/>
      <c r="G1215" s="714"/>
      <c r="H1215" s="714"/>
      <c r="I1215" s="714"/>
      <c r="J1215" s="716"/>
      <c r="K1215" s="552"/>
      <c r="L1215" s="552"/>
      <c r="M1215" s="552"/>
      <c r="N1215" s="552"/>
      <c r="O1215" s="552"/>
      <c r="P1215" s="552"/>
      <c r="Q1215" s="552"/>
      <c r="R1215" s="552"/>
      <c r="S1215" s="552">
        <v>3</v>
      </c>
      <c r="T1215" s="552"/>
      <c r="U1215" s="552"/>
      <c r="V1215" s="552"/>
      <c r="W1215" s="552"/>
      <c r="X1215" s="552"/>
      <c r="Y1215" s="552"/>
      <c r="Z1215" s="552"/>
      <c r="AA1215" s="552"/>
      <c r="AB1215" s="552"/>
      <c r="AC1215" s="552"/>
      <c r="AD1215" s="552"/>
      <c r="AE1215" s="552"/>
      <c r="AF1215" s="552"/>
      <c r="AG1215" s="552"/>
      <c r="AH1215" s="552"/>
      <c r="AI1215" s="552"/>
      <c r="AJ1215" s="552"/>
      <c r="AK1215" s="552"/>
      <c r="AL1215" s="552"/>
      <c r="AM1215" s="552"/>
      <c r="AN1215" s="552"/>
      <c r="AO1215" s="552"/>
      <c r="AP1215" s="552"/>
      <c r="AQ1215" s="552" t="s">
        <v>1186</v>
      </c>
      <c r="AR1215" s="552" t="s">
        <v>2998</v>
      </c>
      <c r="AS1215" s="552" t="s">
        <v>6967</v>
      </c>
      <c r="AT1215" s="552" t="s">
        <v>726</v>
      </c>
    </row>
    <row r="1216" spans="1:46" ht="14.7" customHeight="1">
      <c r="A1216" s="706" t="s">
        <v>6626</v>
      </c>
      <c r="B1216" s="557" t="s">
        <v>3698</v>
      </c>
      <c r="C1216" s="727" t="s">
        <v>8329</v>
      </c>
      <c r="D1216" s="714" t="s">
        <v>8380</v>
      </c>
      <c r="E1216" s="714" t="s">
        <v>8331</v>
      </c>
      <c r="F1216" s="714"/>
      <c r="G1216" s="714"/>
      <c r="H1216" s="714"/>
      <c r="I1216" s="714"/>
      <c r="J1216" s="716"/>
      <c r="K1216" s="552"/>
      <c r="L1216" s="552"/>
      <c r="M1216" s="552"/>
      <c r="N1216" s="552"/>
      <c r="O1216" s="552"/>
      <c r="P1216" s="552"/>
      <c r="Q1216" s="552"/>
      <c r="R1216" s="552"/>
      <c r="S1216" s="552"/>
      <c r="T1216" s="552"/>
      <c r="U1216" s="552"/>
      <c r="V1216" s="552">
        <v>1</v>
      </c>
      <c r="W1216" s="552"/>
      <c r="X1216" s="552"/>
      <c r="Y1216" s="552"/>
      <c r="Z1216" s="552"/>
      <c r="AA1216" s="552"/>
      <c r="AB1216" s="552"/>
      <c r="AC1216" s="552"/>
      <c r="AD1216" s="552"/>
      <c r="AE1216" s="552"/>
      <c r="AF1216" s="552"/>
      <c r="AG1216" s="552"/>
      <c r="AH1216" s="552"/>
      <c r="AI1216" s="552"/>
      <c r="AJ1216" s="552"/>
      <c r="AK1216" s="552"/>
      <c r="AL1216" s="552"/>
      <c r="AM1216" s="552"/>
      <c r="AN1216" s="552"/>
      <c r="AO1216" s="552"/>
      <c r="AP1216" s="552"/>
      <c r="AQ1216" s="552" t="s">
        <v>1186</v>
      </c>
      <c r="AR1216" s="552" t="s">
        <v>2998</v>
      </c>
      <c r="AS1216" s="552" t="s">
        <v>7484</v>
      </c>
      <c r="AT1216" s="552" t="s">
        <v>726</v>
      </c>
    </row>
    <row r="1217" spans="1:46" ht="14.7" customHeight="1">
      <c r="A1217" s="710" t="s">
        <v>6627</v>
      </c>
      <c r="B1217" s="557" t="s">
        <v>3698</v>
      </c>
      <c r="C1217" s="727" t="s">
        <v>8329</v>
      </c>
      <c r="D1217" s="714" t="s">
        <v>8381</v>
      </c>
      <c r="E1217" s="714" t="s">
        <v>8331</v>
      </c>
      <c r="F1217" s="714"/>
      <c r="G1217" s="714"/>
      <c r="H1217" s="714"/>
      <c r="I1217" s="714"/>
      <c r="J1217" s="716"/>
      <c r="K1217" s="709" t="s">
        <v>8382</v>
      </c>
      <c r="L1217" s="552"/>
      <c r="M1217" s="552"/>
      <c r="N1217" s="552"/>
      <c r="O1217" s="552"/>
      <c r="P1217" s="552"/>
      <c r="Q1217" s="552"/>
      <c r="R1217" s="552"/>
      <c r="S1217" s="552"/>
      <c r="T1217" s="552"/>
      <c r="U1217" s="552"/>
      <c r="V1217" s="552"/>
      <c r="W1217" s="552"/>
      <c r="X1217" s="552"/>
      <c r="Y1217" s="552"/>
      <c r="Z1217" s="552"/>
      <c r="AA1217" s="552"/>
      <c r="AB1217" s="552"/>
      <c r="AC1217" s="552"/>
      <c r="AD1217" s="552"/>
      <c r="AE1217" s="552"/>
      <c r="AF1217" s="552"/>
      <c r="AG1217" s="552"/>
      <c r="AH1217" s="552"/>
      <c r="AI1217" s="552"/>
      <c r="AJ1217" s="552"/>
      <c r="AK1217" s="552"/>
      <c r="AL1217" s="552"/>
      <c r="AM1217" s="552"/>
      <c r="AN1217" s="552"/>
      <c r="AO1217" s="552"/>
      <c r="AP1217" s="709" t="s">
        <v>8383</v>
      </c>
      <c r="AQ1217" s="552" t="s">
        <v>1186</v>
      </c>
      <c r="AR1217" s="552" t="s">
        <v>2998</v>
      </c>
      <c r="AS1217" s="552" t="s">
        <v>6881</v>
      </c>
      <c r="AT1217" s="552" t="s">
        <v>726</v>
      </c>
    </row>
    <row r="1218" spans="1:46" ht="14.7" customHeight="1">
      <c r="A1218" s="706" t="s">
        <v>8384</v>
      </c>
      <c r="B1218" s="557" t="s">
        <v>3698</v>
      </c>
      <c r="C1218" s="727" t="s">
        <v>8329</v>
      </c>
      <c r="D1218" s="714" t="s">
        <v>8385</v>
      </c>
      <c r="E1218" s="714" t="s">
        <v>8331</v>
      </c>
      <c r="F1218" s="714"/>
      <c r="G1218" s="714"/>
      <c r="H1218" s="714"/>
      <c r="I1218" s="714"/>
      <c r="J1218" s="716"/>
      <c r="K1218" s="552"/>
      <c r="L1218" s="552"/>
      <c r="M1218" s="552"/>
      <c r="N1218" s="552">
        <v>25</v>
      </c>
      <c r="O1218" s="552">
        <v>25</v>
      </c>
      <c r="P1218" s="552"/>
      <c r="Q1218" s="552"/>
      <c r="R1218" s="552"/>
      <c r="S1218" s="552"/>
      <c r="T1218" s="552"/>
      <c r="U1218" s="552"/>
      <c r="V1218" s="552"/>
      <c r="W1218" s="552"/>
      <c r="X1218" s="552"/>
      <c r="Y1218" s="552"/>
      <c r="Z1218" s="552"/>
      <c r="AA1218" s="552"/>
      <c r="AB1218" s="552"/>
      <c r="AC1218" s="552"/>
      <c r="AD1218" s="552"/>
      <c r="AE1218" s="552"/>
      <c r="AF1218" s="552"/>
      <c r="AG1218" s="552"/>
      <c r="AH1218" s="552"/>
      <c r="AI1218" s="552"/>
      <c r="AJ1218" s="552"/>
      <c r="AK1218" s="552"/>
      <c r="AL1218" s="552"/>
      <c r="AM1218" s="552"/>
      <c r="AN1218" s="552"/>
      <c r="AO1218" s="552"/>
      <c r="AP1218" s="709" t="s">
        <v>8386</v>
      </c>
      <c r="AQ1218" s="552" t="s">
        <v>1186</v>
      </c>
      <c r="AR1218" s="552" t="s">
        <v>2998</v>
      </c>
      <c r="AS1218" s="552" t="s">
        <v>6967</v>
      </c>
      <c r="AT1218" s="552" t="s">
        <v>726</v>
      </c>
    </row>
    <row r="1219" spans="1:46" ht="14.7" customHeight="1">
      <c r="A1219" s="706" t="s">
        <v>6628</v>
      </c>
      <c r="B1219" s="557" t="s">
        <v>3698</v>
      </c>
      <c r="C1219" s="727" t="s">
        <v>8329</v>
      </c>
      <c r="D1219" s="714" t="s">
        <v>8387</v>
      </c>
      <c r="E1219" s="714" t="s">
        <v>8331</v>
      </c>
      <c r="F1219" s="714"/>
      <c r="G1219" s="714"/>
      <c r="H1219" s="714"/>
      <c r="I1219" s="714"/>
      <c r="J1219" s="716"/>
      <c r="K1219" s="552"/>
      <c r="L1219" s="552"/>
      <c r="M1219" s="552"/>
      <c r="N1219" s="552"/>
      <c r="O1219" s="552"/>
      <c r="P1219" s="552"/>
      <c r="Q1219" s="552"/>
      <c r="R1219" s="552"/>
      <c r="S1219" s="552">
        <v>1</v>
      </c>
      <c r="T1219" s="552"/>
      <c r="U1219" s="552"/>
      <c r="V1219" s="552"/>
      <c r="W1219" s="552"/>
      <c r="X1219" s="552"/>
      <c r="Y1219" s="552"/>
      <c r="Z1219" s="552"/>
      <c r="AA1219" s="552"/>
      <c r="AB1219" s="552"/>
      <c r="AC1219" s="552"/>
      <c r="AD1219" s="552"/>
      <c r="AE1219" s="552"/>
      <c r="AF1219" s="552"/>
      <c r="AG1219" s="552"/>
      <c r="AH1219" s="552"/>
      <c r="AI1219" s="552"/>
      <c r="AJ1219" s="552">
        <v>40</v>
      </c>
      <c r="AK1219" s="552"/>
      <c r="AL1219" s="552"/>
      <c r="AM1219" s="552"/>
      <c r="AN1219" s="552">
        <v>1</v>
      </c>
      <c r="AO1219" s="552"/>
      <c r="AP1219" s="552"/>
      <c r="AQ1219" s="552" t="s">
        <v>1186</v>
      </c>
      <c r="AR1219" s="552" t="s">
        <v>2998</v>
      </c>
      <c r="AS1219" s="552" t="s">
        <v>7484</v>
      </c>
      <c r="AT1219" s="552" t="s">
        <v>726</v>
      </c>
    </row>
    <row r="1220" spans="1:46" ht="14.7" customHeight="1">
      <c r="A1220" s="710" t="s">
        <v>6629</v>
      </c>
      <c r="B1220" s="344" t="s">
        <v>3699</v>
      </c>
      <c r="C1220" s="727" t="s">
        <v>8329</v>
      </c>
      <c r="D1220" s="714" t="s">
        <v>8388</v>
      </c>
      <c r="E1220" s="714" t="s">
        <v>8331</v>
      </c>
      <c r="F1220" s="714"/>
      <c r="G1220" s="714"/>
      <c r="H1220" s="714"/>
      <c r="I1220" s="714"/>
      <c r="J1220" s="716"/>
      <c r="K1220" s="552"/>
      <c r="L1220" s="552"/>
      <c r="M1220" s="552"/>
      <c r="N1220" s="552"/>
      <c r="O1220" s="552"/>
      <c r="P1220" s="552"/>
      <c r="Q1220" s="552"/>
      <c r="R1220" s="552"/>
      <c r="S1220" s="552"/>
      <c r="T1220" s="552"/>
      <c r="U1220" s="552"/>
      <c r="V1220" s="552"/>
      <c r="W1220" s="552"/>
      <c r="X1220" s="552"/>
      <c r="Y1220" s="552"/>
      <c r="Z1220" s="552"/>
      <c r="AA1220" s="552"/>
      <c r="AB1220" s="552"/>
      <c r="AC1220" s="552"/>
      <c r="AD1220" s="552"/>
      <c r="AE1220" s="552"/>
      <c r="AF1220" s="552"/>
      <c r="AG1220" s="552"/>
      <c r="AH1220" s="552"/>
      <c r="AI1220" s="552"/>
      <c r="AJ1220" s="552"/>
      <c r="AK1220" s="552"/>
      <c r="AL1220" s="552"/>
      <c r="AM1220" s="552"/>
      <c r="AN1220" s="552"/>
      <c r="AO1220" s="713" t="s">
        <v>8389</v>
      </c>
      <c r="AP1220" s="552"/>
      <c r="AQ1220" s="552" t="s">
        <v>1186</v>
      </c>
      <c r="AR1220" s="552" t="s">
        <v>2809</v>
      </c>
      <c r="AS1220" s="552" t="s">
        <v>6881</v>
      </c>
      <c r="AT1220" s="552" t="s">
        <v>726</v>
      </c>
    </row>
    <row r="1221" spans="1:46" ht="14.7" customHeight="1">
      <c r="A1221" s="710" t="s">
        <v>8390</v>
      </c>
      <c r="B1221" s="344" t="s">
        <v>3699</v>
      </c>
      <c r="C1221" s="727" t="s">
        <v>8329</v>
      </c>
      <c r="D1221" s="714" t="s">
        <v>8391</v>
      </c>
      <c r="E1221" s="714" t="s">
        <v>8331</v>
      </c>
      <c r="F1221" s="714"/>
      <c r="G1221" s="714"/>
      <c r="H1221" s="714"/>
      <c r="I1221" s="714"/>
      <c r="J1221" s="716"/>
      <c r="K1221" s="552"/>
      <c r="L1221" s="552"/>
      <c r="M1221" s="552"/>
      <c r="N1221" s="552"/>
      <c r="O1221" s="552"/>
      <c r="P1221" s="552"/>
      <c r="Q1221" s="552"/>
      <c r="R1221" s="552"/>
      <c r="S1221" s="552"/>
      <c r="T1221" s="552"/>
      <c r="U1221" s="552"/>
      <c r="V1221" s="552"/>
      <c r="W1221" s="552"/>
      <c r="X1221" s="552"/>
      <c r="Y1221" s="552"/>
      <c r="Z1221" s="552"/>
      <c r="AA1221" s="552"/>
      <c r="AB1221" s="552"/>
      <c r="AC1221" s="552"/>
      <c r="AD1221" s="552"/>
      <c r="AE1221" s="552"/>
      <c r="AF1221" s="552"/>
      <c r="AG1221" s="552"/>
      <c r="AH1221" s="552"/>
      <c r="AI1221" s="552"/>
      <c r="AJ1221" s="552"/>
      <c r="AK1221" s="552"/>
      <c r="AL1221" s="552"/>
      <c r="AM1221" s="552"/>
      <c r="AN1221" s="552"/>
      <c r="AO1221" s="709" t="s">
        <v>8392</v>
      </c>
      <c r="AP1221" s="713" t="s">
        <v>8393</v>
      </c>
      <c r="AQ1221" s="552" t="s">
        <v>1186</v>
      </c>
      <c r="AR1221" s="552" t="s">
        <v>2809</v>
      </c>
      <c r="AS1221" s="552" t="s">
        <v>6967</v>
      </c>
      <c r="AT1221" s="552" t="s">
        <v>726</v>
      </c>
    </row>
    <row r="1222" spans="1:46" ht="14.7" customHeight="1">
      <c r="A1222" s="710" t="s">
        <v>6630</v>
      </c>
      <c r="B1222" s="344" t="s">
        <v>3699</v>
      </c>
      <c r="C1222" s="727" t="s">
        <v>8329</v>
      </c>
      <c r="D1222" s="714" t="s">
        <v>8394</v>
      </c>
      <c r="E1222" s="714" t="s">
        <v>8331</v>
      </c>
      <c r="F1222" s="714"/>
      <c r="G1222" s="714"/>
      <c r="H1222" s="714"/>
      <c r="I1222" s="714"/>
      <c r="J1222" s="716"/>
      <c r="K1222" s="552"/>
      <c r="L1222" s="552"/>
      <c r="M1222" s="552"/>
      <c r="N1222" s="552"/>
      <c r="O1222" s="552"/>
      <c r="P1222" s="552"/>
      <c r="Q1222" s="552"/>
      <c r="R1222" s="552"/>
      <c r="S1222" s="552"/>
      <c r="T1222" s="552"/>
      <c r="U1222" s="552"/>
      <c r="V1222" s="552"/>
      <c r="W1222" s="552"/>
      <c r="X1222" s="552"/>
      <c r="Y1222" s="552"/>
      <c r="Z1222" s="552"/>
      <c r="AA1222" s="552"/>
      <c r="AB1222" s="552"/>
      <c r="AC1222" s="552"/>
      <c r="AD1222" s="552"/>
      <c r="AE1222" s="552"/>
      <c r="AF1222" s="552"/>
      <c r="AG1222" s="552"/>
      <c r="AH1222" s="552"/>
      <c r="AI1222" s="552"/>
      <c r="AJ1222" s="552"/>
      <c r="AK1222" s="552"/>
      <c r="AL1222" s="552"/>
      <c r="AM1222" s="552"/>
      <c r="AN1222" s="552"/>
      <c r="AO1222" s="713" t="s">
        <v>8395</v>
      </c>
      <c r="AP1222" s="552"/>
      <c r="AQ1222" s="552" t="s">
        <v>1186</v>
      </c>
      <c r="AR1222" s="552" t="s">
        <v>2809</v>
      </c>
      <c r="AS1222" s="552" t="s">
        <v>7484</v>
      </c>
      <c r="AT1222" s="552" t="s">
        <v>726</v>
      </c>
    </row>
    <row r="1223" spans="1:46" ht="14.7" customHeight="1">
      <c r="A1223" s="710" t="s">
        <v>6631</v>
      </c>
      <c r="B1223" s="344" t="s">
        <v>3699</v>
      </c>
      <c r="C1223" s="727" t="s">
        <v>8329</v>
      </c>
      <c r="D1223" s="714" t="s">
        <v>8396</v>
      </c>
      <c r="E1223" s="714" t="s">
        <v>8331</v>
      </c>
      <c r="F1223" s="714"/>
      <c r="G1223" s="714"/>
      <c r="H1223" s="714"/>
      <c r="I1223" s="714"/>
      <c r="J1223" s="716"/>
      <c r="K1223" s="552"/>
      <c r="L1223" s="552"/>
      <c r="M1223" s="552"/>
      <c r="N1223" s="552"/>
      <c r="O1223" s="552"/>
      <c r="P1223" s="552"/>
      <c r="Q1223" s="552"/>
      <c r="R1223" s="552"/>
      <c r="S1223" s="552"/>
      <c r="T1223" s="552"/>
      <c r="U1223" s="552"/>
      <c r="V1223" s="552"/>
      <c r="W1223" s="552"/>
      <c r="X1223" s="552"/>
      <c r="Y1223" s="552"/>
      <c r="Z1223" s="552"/>
      <c r="AA1223" s="552"/>
      <c r="AB1223" s="552"/>
      <c r="AC1223" s="552"/>
      <c r="AD1223" s="552"/>
      <c r="AE1223" s="552"/>
      <c r="AF1223" s="552"/>
      <c r="AG1223" s="552"/>
      <c r="AH1223" s="552"/>
      <c r="AI1223" s="552"/>
      <c r="AJ1223" s="552"/>
      <c r="AK1223" s="552"/>
      <c r="AL1223" s="552"/>
      <c r="AM1223" s="552"/>
      <c r="AN1223" s="552"/>
      <c r="AO1223" s="552"/>
      <c r="AP1223" s="709" t="s">
        <v>8397</v>
      </c>
      <c r="AQ1223" s="552" t="s">
        <v>1186</v>
      </c>
      <c r="AR1223" s="552" t="s">
        <v>2809</v>
      </c>
      <c r="AS1223" s="552" t="s">
        <v>6881</v>
      </c>
      <c r="AT1223" s="552" t="s">
        <v>726</v>
      </c>
    </row>
    <row r="1224" spans="1:46" ht="14.7" customHeight="1">
      <c r="A1224" s="710" t="s">
        <v>6632</v>
      </c>
      <c r="B1224" s="344" t="s">
        <v>3699</v>
      </c>
      <c r="C1224" s="727" t="s">
        <v>8329</v>
      </c>
      <c r="D1224" s="714" t="s">
        <v>8398</v>
      </c>
      <c r="E1224" s="714" t="s">
        <v>8331</v>
      </c>
      <c r="F1224" s="714"/>
      <c r="G1224" s="714"/>
      <c r="H1224" s="714"/>
      <c r="I1224" s="714"/>
      <c r="J1224" s="716"/>
      <c r="K1224" s="552"/>
      <c r="L1224" s="552"/>
      <c r="M1224" s="552"/>
      <c r="N1224" s="552"/>
      <c r="O1224" s="552"/>
      <c r="P1224" s="552"/>
      <c r="Q1224" s="552"/>
      <c r="R1224" s="552"/>
      <c r="S1224" s="552"/>
      <c r="T1224" s="552"/>
      <c r="U1224" s="552"/>
      <c r="V1224" s="552"/>
      <c r="W1224" s="552"/>
      <c r="X1224" s="552"/>
      <c r="Y1224" s="552"/>
      <c r="Z1224" s="552"/>
      <c r="AA1224" s="552"/>
      <c r="AB1224" s="552"/>
      <c r="AC1224" s="552"/>
      <c r="AD1224" s="552"/>
      <c r="AE1224" s="552"/>
      <c r="AF1224" s="552"/>
      <c r="AG1224" s="552"/>
      <c r="AH1224" s="552"/>
      <c r="AI1224" s="552"/>
      <c r="AJ1224" s="552"/>
      <c r="AK1224" s="552"/>
      <c r="AL1224" s="552"/>
      <c r="AM1224" s="552"/>
      <c r="AN1224" s="552"/>
      <c r="AO1224" s="552"/>
      <c r="AP1224" s="713" t="s">
        <v>8399</v>
      </c>
      <c r="AQ1224" s="552" t="s">
        <v>1186</v>
      </c>
      <c r="AR1224" s="552" t="s">
        <v>2809</v>
      </c>
      <c r="AS1224" s="552" t="s">
        <v>6967</v>
      </c>
      <c r="AT1224" s="552" t="s">
        <v>726</v>
      </c>
    </row>
    <row r="1225" spans="1:46" ht="14.7" customHeight="1">
      <c r="A1225" s="706" t="s">
        <v>6633</v>
      </c>
      <c r="B1225" s="344" t="s">
        <v>3699</v>
      </c>
      <c r="C1225" s="727" t="s">
        <v>8329</v>
      </c>
      <c r="D1225" s="714" t="s">
        <v>8400</v>
      </c>
      <c r="E1225" s="714" t="s">
        <v>8331</v>
      </c>
      <c r="F1225" s="714"/>
      <c r="G1225" s="714"/>
      <c r="H1225" s="714"/>
      <c r="I1225" s="714"/>
      <c r="J1225" s="716"/>
      <c r="K1225" s="552"/>
      <c r="L1225" s="552"/>
      <c r="M1225" s="552"/>
      <c r="N1225" s="552"/>
      <c r="O1225" s="552"/>
      <c r="P1225" s="552"/>
      <c r="Q1225" s="552"/>
      <c r="R1225" s="552"/>
      <c r="S1225" s="552"/>
      <c r="T1225" s="552"/>
      <c r="U1225" s="552"/>
      <c r="V1225" s="552"/>
      <c r="W1225" s="552"/>
      <c r="X1225" s="552"/>
      <c r="Y1225" s="552"/>
      <c r="Z1225" s="552"/>
      <c r="AA1225" s="552"/>
      <c r="AB1225" s="552"/>
      <c r="AC1225" s="552"/>
      <c r="AD1225" s="552"/>
      <c r="AE1225" s="552"/>
      <c r="AF1225" s="552"/>
      <c r="AG1225" s="552"/>
      <c r="AH1225" s="552"/>
      <c r="AI1225" s="552"/>
      <c r="AJ1225" s="552"/>
      <c r="AK1225" s="552"/>
      <c r="AL1225" s="552"/>
      <c r="AM1225" s="552"/>
      <c r="AN1225" s="552"/>
      <c r="AO1225" s="709" t="s">
        <v>8401</v>
      </c>
      <c r="AP1225" s="552"/>
      <c r="AQ1225" s="552" t="s">
        <v>1186</v>
      </c>
      <c r="AR1225" s="552" t="s">
        <v>2809</v>
      </c>
      <c r="AS1225" s="552" t="s">
        <v>7484</v>
      </c>
      <c r="AT1225" s="552" t="s">
        <v>726</v>
      </c>
    </row>
    <row r="1226" spans="1:46" ht="14.7" customHeight="1">
      <c r="A1226" s="706" t="s">
        <v>6634</v>
      </c>
      <c r="B1226" s="344" t="s">
        <v>3699</v>
      </c>
      <c r="C1226" s="727" t="s">
        <v>8329</v>
      </c>
      <c r="D1226" s="714" t="s">
        <v>8402</v>
      </c>
      <c r="E1226" s="714" t="s">
        <v>8331</v>
      </c>
      <c r="F1226" s="714"/>
      <c r="G1226" s="714"/>
      <c r="H1226" s="714"/>
      <c r="I1226" s="714"/>
      <c r="J1226" s="716"/>
      <c r="K1226" s="552"/>
      <c r="L1226" s="552"/>
      <c r="M1226" s="552"/>
      <c r="N1226" s="552"/>
      <c r="O1226" s="552"/>
      <c r="P1226" s="552"/>
      <c r="Q1226" s="552"/>
      <c r="R1226" s="552"/>
      <c r="S1226" s="552"/>
      <c r="T1226" s="552"/>
      <c r="U1226" s="552"/>
      <c r="V1226" s="552"/>
      <c r="W1226" s="552"/>
      <c r="X1226" s="552"/>
      <c r="Y1226" s="552"/>
      <c r="Z1226" s="552"/>
      <c r="AA1226" s="552"/>
      <c r="AB1226" s="552"/>
      <c r="AC1226" s="552"/>
      <c r="AD1226" s="552"/>
      <c r="AE1226" s="552"/>
      <c r="AF1226" s="552"/>
      <c r="AG1226" s="552"/>
      <c r="AH1226" s="552"/>
      <c r="AI1226" s="552"/>
      <c r="AJ1226" s="552"/>
      <c r="AK1226" s="552"/>
      <c r="AL1226" s="552"/>
      <c r="AM1226" s="552"/>
      <c r="AN1226" s="552"/>
      <c r="AO1226" s="709" t="s">
        <v>8403</v>
      </c>
      <c r="AP1226" s="552"/>
      <c r="AQ1226" s="552" t="s">
        <v>1186</v>
      </c>
      <c r="AR1226" s="552" t="s">
        <v>2809</v>
      </c>
      <c r="AS1226" s="552" t="s">
        <v>6881</v>
      </c>
      <c r="AT1226" s="552" t="s">
        <v>726</v>
      </c>
    </row>
    <row r="1227" spans="1:46" ht="14.7" customHeight="1">
      <c r="A1227" s="706" t="s">
        <v>8404</v>
      </c>
      <c r="B1227" s="344" t="s">
        <v>3699</v>
      </c>
      <c r="C1227" s="727" t="s">
        <v>8329</v>
      </c>
      <c r="D1227" s="714" t="s">
        <v>8405</v>
      </c>
      <c r="E1227" s="714" t="s">
        <v>8331</v>
      </c>
      <c r="F1227" s="714"/>
      <c r="G1227" s="714"/>
      <c r="H1227" s="714"/>
      <c r="I1227" s="714"/>
      <c r="J1227" s="716"/>
      <c r="K1227" s="552"/>
      <c r="L1227" s="552"/>
      <c r="M1227" s="552"/>
      <c r="N1227" s="552"/>
      <c r="O1227" s="552"/>
      <c r="P1227" s="552"/>
      <c r="Q1227" s="552"/>
      <c r="R1227" s="552"/>
      <c r="S1227" s="552"/>
      <c r="T1227" s="552"/>
      <c r="U1227" s="552"/>
      <c r="V1227" s="552"/>
      <c r="W1227" s="552"/>
      <c r="X1227" s="552"/>
      <c r="Y1227" s="552"/>
      <c r="Z1227" s="552"/>
      <c r="AA1227" s="552"/>
      <c r="AB1227" s="552"/>
      <c r="AC1227" s="552"/>
      <c r="AD1227" s="552"/>
      <c r="AE1227" s="552"/>
      <c r="AF1227" s="552"/>
      <c r="AG1227" s="552"/>
      <c r="AH1227" s="552"/>
      <c r="AI1227" s="552"/>
      <c r="AJ1227" s="552"/>
      <c r="AK1227" s="552"/>
      <c r="AL1227" s="552"/>
      <c r="AM1227" s="552"/>
      <c r="AN1227" s="552"/>
      <c r="AO1227" s="552"/>
      <c r="AP1227" s="709" t="s">
        <v>8406</v>
      </c>
      <c r="AQ1227" s="552" t="s">
        <v>1186</v>
      </c>
      <c r="AR1227" s="552" t="s">
        <v>2809</v>
      </c>
      <c r="AS1227" s="552" t="s">
        <v>6967</v>
      </c>
      <c r="AT1227" s="552" t="s">
        <v>726</v>
      </c>
    </row>
    <row r="1228" spans="1:46" ht="14.7" customHeight="1">
      <c r="A1228" s="706" t="s">
        <v>6635</v>
      </c>
      <c r="B1228" s="344" t="s">
        <v>3699</v>
      </c>
      <c r="C1228" s="727" t="s">
        <v>8329</v>
      </c>
      <c r="D1228" s="714" t="s">
        <v>8407</v>
      </c>
      <c r="E1228" s="714" t="s">
        <v>8331</v>
      </c>
      <c r="F1228" s="714"/>
      <c r="G1228" s="714"/>
      <c r="H1228" s="714"/>
      <c r="I1228" s="714"/>
      <c r="J1228" s="716"/>
      <c r="K1228" s="552"/>
      <c r="L1228" s="552"/>
      <c r="M1228" s="552"/>
      <c r="N1228" s="552"/>
      <c r="O1228" s="552"/>
      <c r="P1228" s="552"/>
      <c r="Q1228" s="552"/>
      <c r="R1228" s="552"/>
      <c r="S1228" s="552"/>
      <c r="T1228" s="552"/>
      <c r="U1228" s="552">
        <v>4</v>
      </c>
      <c r="V1228" s="552"/>
      <c r="W1228" s="552"/>
      <c r="X1228" s="552"/>
      <c r="Y1228" s="552"/>
      <c r="Z1228" s="552"/>
      <c r="AA1228" s="552"/>
      <c r="AB1228" s="552"/>
      <c r="AC1228" s="552"/>
      <c r="AD1228" s="552"/>
      <c r="AE1228" s="552"/>
      <c r="AF1228" s="552"/>
      <c r="AG1228" s="552"/>
      <c r="AH1228" s="552"/>
      <c r="AI1228" s="552"/>
      <c r="AJ1228" s="552"/>
      <c r="AK1228" s="552"/>
      <c r="AL1228" s="552"/>
      <c r="AM1228" s="552"/>
      <c r="AN1228" s="552"/>
      <c r="AO1228" s="552"/>
      <c r="AP1228" s="552"/>
      <c r="AQ1228" s="552" t="s">
        <v>1186</v>
      </c>
      <c r="AR1228" s="552" t="s">
        <v>2809</v>
      </c>
      <c r="AS1228" s="552" t="s">
        <v>7484</v>
      </c>
      <c r="AT1228" s="552" t="s">
        <v>726</v>
      </c>
    </row>
    <row r="1229" spans="1:46" ht="14.7" customHeight="1">
      <c r="A1229" s="706" t="s">
        <v>6636</v>
      </c>
      <c r="B1229" s="344" t="s">
        <v>3699</v>
      </c>
      <c r="C1229" s="727" t="s">
        <v>8329</v>
      </c>
      <c r="D1229" s="714" t="s">
        <v>8408</v>
      </c>
      <c r="E1229" s="714" t="s">
        <v>8331</v>
      </c>
      <c r="F1229" s="714"/>
      <c r="G1229" s="714"/>
      <c r="H1229" s="714"/>
      <c r="I1229" s="714"/>
      <c r="J1229" s="716"/>
      <c r="K1229" s="552"/>
      <c r="L1229" s="552"/>
      <c r="M1229" s="552"/>
      <c r="N1229" s="552"/>
      <c r="O1229" s="552"/>
      <c r="P1229" s="552"/>
      <c r="Q1229" s="552"/>
      <c r="R1229" s="552"/>
      <c r="S1229" s="552"/>
      <c r="T1229" s="552">
        <v>4</v>
      </c>
      <c r="U1229" s="552"/>
      <c r="V1229" s="552"/>
      <c r="W1229" s="552"/>
      <c r="X1229" s="552"/>
      <c r="Y1229" s="552"/>
      <c r="Z1229" s="552"/>
      <c r="AA1229" s="552"/>
      <c r="AB1229" s="552"/>
      <c r="AC1229" s="552"/>
      <c r="AD1229" s="552"/>
      <c r="AE1229" s="552"/>
      <c r="AF1229" s="552"/>
      <c r="AG1229" s="552"/>
      <c r="AH1229" s="552"/>
      <c r="AI1229" s="552"/>
      <c r="AJ1229" s="552"/>
      <c r="AK1229" s="552"/>
      <c r="AL1229" s="552"/>
      <c r="AM1229" s="552"/>
      <c r="AN1229" s="552"/>
      <c r="AO1229" s="552"/>
      <c r="AP1229" s="552"/>
      <c r="AQ1229" s="552" t="s">
        <v>1186</v>
      </c>
      <c r="AR1229" s="552" t="s">
        <v>2809</v>
      </c>
      <c r="AS1229" s="552" t="s">
        <v>6881</v>
      </c>
      <c r="AT1229" s="552" t="s">
        <v>726</v>
      </c>
    </row>
    <row r="1230" spans="1:46" ht="14.7" customHeight="1">
      <c r="A1230" s="710" t="s">
        <v>6637</v>
      </c>
      <c r="B1230" s="559" t="s">
        <v>3700</v>
      </c>
      <c r="C1230" s="727" t="s">
        <v>8329</v>
      </c>
      <c r="D1230" s="714" t="s">
        <v>8409</v>
      </c>
      <c r="E1230" s="714" t="s">
        <v>8331</v>
      </c>
      <c r="F1230" s="714"/>
      <c r="G1230" s="714"/>
      <c r="H1230" s="714"/>
      <c r="I1230" s="714"/>
      <c r="J1230" s="716"/>
      <c r="K1230" s="552"/>
      <c r="L1230" s="552"/>
      <c r="M1230" s="552"/>
      <c r="N1230" s="552"/>
      <c r="O1230" s="552"/>
      <c r="P1230" s="552"/>
      <c r="Q1230" s="552"/>
      <c r="R1230" s="552"/>
      <c r="S1230" s="552"/>
      <c r="T1230" s="552"/>
      <c r="U1230" s="552"/>
      <c r="V1230" s="552"/>
      <c r="W1230" s="552"/>
      <c r="X1230" s="552"/>
      <c r="Y1230" s="552"/>
      <c r="Z1230" s="552"/>
      <c r="AA1230" s="552"/>
      <c r="AB1230" s="552"/>
      <c r="AC1230" s="552"/>
      <c r="AD1230" s="552"/>
      <c r="AE1230" s="552"/>
      <c r="AF1230" s="552"/>
      <c r="AG1230" s="552"/>
      <c r="AH1230" s="552"/>
      <c r="AI1230" s="552"/>
      <c r="AJ1230" s="552"/>
      <c r="AK1230" s="552"/>
      <c r="AL1230" s="552"/>
      <c r="AM1230" s="552"/>
      <c r="AN1230" s="552"/>
      <c r="AO1230" s="552"/>
      <c r="AP1230" s="713" t="s">
        <v>8410</v>
      </c>
      <c r="AQ1230" s="552" t="s">
        <v>1186</v>
      </c>
      <c r="AR1230" s="552" t="s">
        <v>2971</v>
      </c>
      <c r="AS1230" s="552" t="s">
        <v>6967</v>
      </c>
      <c r="AT1230" s="552" t="s">
        <v>726</v>
      </c>
    </row>
    <row r="1231" spans="1:46" ht="14.7" customHeight="1">
      <c r="A1231" s="710" t="s">
        <v>6638</v>
      </c>
      <c r="B1231" s="559" t="s">
        <v>3700</v>
      </c>
      <c r="C1231" s="727" t="s">
        <v>8329</v>
      </c>
      <c r="D1231" s="714" t="s">
        <v>8411</v>
      </c>
      <c r="E1231" s="714" t="s">
        <v>8331</v>
      </c>
      <c r="F1231" s="714"/>
      <c r="G1231" s="714"/>
      <c r="H1231" s="714"/>
      <c r="I1231" s="714"/>
      <c r="J1231" s="716"/>
      <c r="K1231" s="552"/>
      <c r="L1231" s="552"/>
      <c r="M1231" s="552"/>
      <c r="N1231" s="552"/>
      <c r="O1231" s="552"/>
      <c r="P1231" s="552">
        <v>5</v>
      </c>
      <c r="Q1231" s="552">
        <v>5</v>
      </c>
      <c r="R1231" s="552">
        <v>5</v>
      </c>
      <c r="S1231" s="552"/>
      <c r="T1231" s="552"/>
      <c r="U1231" s="552"/>
      <c r="V1231" s="552"/>
      <c r="W1231" s="552"/>
      <c r="X1231" s="552"/>
      <c r="Y1231" s="552"/>
      <c r="Z1231" s="552"/>
      <c r="AA1231" s="552"/>
      <c r="AB1231" s="552"/>
      <c r="AC1231" s="552"/>
      <c r="AD1231" s="552"/>
      <c r="AE1231" s="552"/>
      <c r="AF1231" s="552"/>
      <c r="AG1231" s="552"/>
      <c r="AH1231" s="552"/>
      <c r="AI1231" s="552"/>
      <c r="AJ1231" s="552"/>
      <c r="AK1231" s="552"/>
      <c r="AL1231" s="552"/>
      <c r="AM1231" s="552"/>
      <c r="AN1231" s="552"/>
      <c r="AO1231" s="713" t="s">
        <v>8412</v>
      </c>
      <c r="AP1231" s="552"/>
      <c r="AQ1231" s="552" t="s">
        <v>1186</v>
      </c>
      <c r="AR1231" s="552" t="s">
        <v>2971</v>
      </c>
      <c r="AS1231" s="552" t="s">
        <v>7484</v>
      </c>
      <c r="AT1231" s="552" t="s">
        <v>726</v>
      </c>
    </row>
    <row r="1232" spans="1:46" ht="14.7" customHeight="1">
      <c r="A1232" s="710" t="s">
        <v>8413</v>
      </c>
      <c r="B1232" s="559" t="s">
        <v>3700</v>
      </c>
      <c r="C1232" s="727" t="s">
        <v>8329</v>
      </c>
      <c r="D1232" s="714" t="s">
        <v>8414</v>
      </c>
      <c r="E1232" s="714" t="s">
        <v>8331</v>
      </c>
      <c r="F1232" s="714"/>
      <c r="G1232" s="714"/>
      <c r="H1232" s="714"/>
      <c r="I1232" s="714"/>
      <c r="J1232" s="716"/>
      <c r="K1232" s="552"/>
      <c r="L1232" s="552"/>
      <c r="M1232" s="552"/>
      <c r="N1232" s="552"/>
      <c r="O1232" s="552"/>
      <c r="P1232" s="552"/>
      <c r="Q1232" s="552"/>
      <c r="R1232" s="552"/>
      <c r="S1232" s="552"/>
      <c r="T1232" s="552"/>
      <c r="U1232" s="552"/>
      <c r="V1232" s="552"/>
      <c r="W1232" s="552"/>
      <c r="X1232" s="552"/>
      <c r="Y1232" s="552"/>
      <c r="Z1232" s="552"/>
      <c r="AA1232" s="552"/>
      <c r="AB1232" s="552"/>
      <c r="AC1232" s="552"/>
      <c r="AD1232" s="552"/>
      <c r="AE1232" s="552"/>
      <c r="AF1232" s="552"/>
      <c r="AG1232" s="552"/>
      <c r="AH1232" s="552"/>
      <c r="AI1232" s="552"/>
      <c r="AJ1232" s="552"/>
      <c r="AK1232" s="552"/>
      <c r="AL1232" s="552"/>
      <c r="AM1232" s="552"/>
      <c r="AN1232" s="552"/>
      <c r="AO1232" s="552"/>
      <c r="AP1232" s="552" t="s">
        <v>8415</v>
      </c>
      <c r="AQ1232" s="552" t="s">
        <v>1186</v>
      </c>
      <c r="AR1232" s="552" t="s">
        <v>2971</v>
      </c>
      <c r="AS1232" s="552" t="s">
        <v>6881</v>
      </c>
      <c r="AT1232" s="552" t="s">
        <v>726</v>
      </c>
    </row>
    <row r="1233" spans="1:46" ht="14.7" customHeight="1">
      <c r="A1233" s="710" t="s">
        <v>6639</v>
      </c>
      <c r="B1233" s="559" t="s">
        <v>3700</v>
      </c>
      <c r="C1233" s="727" t="s">
        <v>8329</v>
      </c>
      <c r="D1233" s="714" t="s">
        <v>8416</v>
      </c>
      <c r="E1233" s="709" t="s">
        <v>8331</v>
      </c>
      <c r="F1233" s="709"/>
      <c r="G1233" s="709"/>
      <c r="H1233" s="714"/>
      <c r="I1233" s="714"/>
      <c r="J1233" s="716"/>
      <c r="K1233" s="552"/>
      <c r="L1233" s="552"/>
      <c r="M1233" s="552"/>
      <c r="N1233" s="552"/>
      <c r="O1233" s="552"/>
      <c r="P1233" s="552"/>
      <c r="Q1233" s="552"/>
      <c r="R1233" s="552"/>
      <c r="S1233" s="552"/>
      <c r="T1233" s="552"/>
      <c r="U1233" s="552"/>
      <c r="V1233" s="552"/>
      <c r="W1233" s="552"/>
      <c r="X1233" s="552"/>
      <c r="Y1233" s="552"/>
      <c r="Z1233" s="552"/>
      <c r="AA1233" s="552"/>
      <c r="AB1233" s="552"/>
      <c r="AC1233" s="552"/>
      <c r="AD1233" s="552"/>
      <c r="AE1233" s="552"/>
      <c r="AF1233" s="552"/>
      <c r="AG1233" s="552"/>
      <c r="AH1233" s="552"/>
      <c r="AI1233" s="552"/>
      <c r="AJ1233" s="552"/>
      <c r="AK1233" s="552"/>
      <c r="AL1233" s="552"/>
      <c r="AM1233" s="552"/>
      <c r="AN1233" s="552"/>
      <c r="AO1233" s="709" t="s">
        <v>8417</v>
      </c>
      <c r="AP1233" s="552"/>
      <c r="AQ1233" s="552" t="s">
        <v>1186</v>
      </c>
      <c r="AR1233" s="552" t="s">
        <v>2971</v>
      </c>
      <c r="AS1233" s="552" t="s">
        <v>6967</v>
      </c>
      <c r="AT1233" s="552" t="s">
        <v>726</v>
      </c>
    </row>
    <row r="1234" spans="1:46" ht="14.7" customHeight="1">
      <c r="A1234" s="710" t="s">
        <v>9106</v>
      </c>
      <c r="B1234" s="559" t="s">
        <v>3700</v>
      </c>
      <c r="C1234" s="727" t="s">
        <v>8329</v>
      </c>
      <c r="D1234" s="714" t="s">
        <v>8418</v>
      </c>
      <c r="E1234" s="714" t="s">
        <v>8331</v>
      </c>
      <c r="F1234" s="714"/>
      <c r="G1234" s="714"/>
      <c r="H1234" s="714"/>
      <c r="I1234" s="714"/>
      <c r="J1234" s="716"/>
      <c r="K1234" s="552"/>
      <c r="L1234" s="552"/>
      <c r="M1234" s="552"/>
      <c r="N1234" s="552"/>
      <c r="O1234" s="552"/>
      <c r="P1234" s="552"/>
      <c r="Q1234" s="552"/>
      <c r="R1234" s="552"/>
      <c r="S1234" s="552"/>
      <c r="T1234" s="552"/>
      <c r="U1234" s="552"/>
      <c r="V1234" s="552"/>
      <c r="W1234" s="552"/>
      <c r="X1234" s="552"/>
      <c r="Y1234" s="552"/>
      <c r="Z1234" s="552"/>
      <c r="AA1234" s="552"/>
      <c r="AB1234" s="552"/>
      <c r="AC1234" s="552"/>
      <c r="AD1234" s="552"/>
      <c r="AE1234" s="552"/>
      <c r="AF1234" s="552"/>
      <c r="AG1234" s="552"/>
      <c r="AH1234" s="552"/>
      <c r="AI1234" s="552"/>
      <c r="AJ1234" s="552"/>
      <c r="AK1234" s="552"/>
      <c r="AL1234" s="552"/>
      <c r="AM1234" s="552"/>
      <c r="AN1234" s="552"/>
      <c r="AO1234" s="552"/>
      <c r="AP1234" s="713" t="s">
        <v>9119</v>
      </c>
      <c r="AQ1234" s="552" t="s">
        <v>1186</v>
      </c>
      <c r="AR1234" s="552" t="s">
        <v>2971</v>
      </c>
      <c r="AS1234" s="552" t="s">
        <v>7484</v>
      </c>
      <c r="AT1234" s="552" t="s">
        <v>726</v>
      </c>
    </row>
    <row r="1235" spans="1:46" ht="14.7" customHeight="1">
      <c r="A1235" s="706"/>
      <c r="B1235" s="711" t="s">
        <v>6055</v>
      </c>
      <c r="C1235" s="539" t="s">
        <v>8329</v>
      </c>
      <c r="D1235" s="714"/>
      <c r="E1235" s="714"/>
      <c r="F1235" s="714"/>
      <c r="G1235" s="714"/>
      <c r="H1235" s="714"/>
      <c r="I1235" s="714"/>
      <c r="J1235" s="716"/>
      <c r="K1235" s="552"/>
      <c r="L1235" s="552"/>
      <c r="M1235" s="552"/>
      <c r="N1235" s="552"/>
      <c r="O1235" s="552"/>
      <c r="P1235" s="552"/>
      <c r="Q1235" s="552"/>
      <c r="R1235" s="552"/>
      <c r="S1235" s="552"/>
      <c r="T1235" s="552"/>
      <c r="U1235" s="552"/>
      <c r="V1235" s="552"/>
      <c r="W1235" s="552"/>
      <c r="X1235" s="552"/>
      <c r="Y1235" s="552"/>
      <c r="Z1235" s="552"/>
      <c r="AA1235" s="552"/>
      <c r="AB1235" s="552"/>
      <c r="AC1235" s="552"/>
      <c r="AD1235" s="552"/>
      <c r="AE1235" s="552"/>
      <c r="AF1235" s="552"/>
      <c r="AG1235" s="552"/>
      <c r="AH1235" s="552"/>
      <c r="AI1235" s="552"/>
      <c r="AJ1235" s="552"/>
      <c r="AK1235" s="552"/>
      <c r="AL1235" s="552"/>
      <c r="AM1235" s="552"/>
      <c r="AN1235" s="552"/>
      <c r="AO1235" s="552"/>
      <c r="AP1235" s="713"/>
      <c r="AQ1235" s="552"/>
      <c r="AR1235" s="552" t="s">
        <v>6697</v>
      </c>
      <c r="AS1235" s="552" t="s">
        <v>6881</v>
      </c>
      <c r="AT1235" s="552" t="s">
        <v>726</v>
      </c>
    </row>
    <row r="1236" spans="1:46" ht="14.7" customHeight="1">
      <c r="A1236" s="706" t="s">
        <v>8419</v>
      </c>
      <c r="B1236" s="540" t="s">
        <v>3695</v>
      </c>
      <c r="C1236" s="727" t="s">
        <v>8329</v>
      </c>
      <c r="D1236" s="714" t="s">
        <v>8420</v>
      </c>
      <c r="E1236" s="714" t="s">
        <v>8421</v>
      </c>
      <c r="F1236" s="714"/>
      <c r="G1236" s="714"/>
      <c r="H1236" s="714"/>
      <c r="I1236" s="714"/>
      <c r="J1236" s="716"/>
      <c r="K1236" s="552"/>
      <c r="L1236" s="552"/>
      <c r="M1236" s="552"/>
      <c r="N1236" s="552"/>
      <c r="O1236" s="552"/>
      <c r="P1236" s="552"/>
      <c r="Q1236" s="552"/>
      <c r="R1236" s="552"/>
      <c r="S1236" s="552"/>
      <c r="T1236" s="552"/>
      <c r="U1236" s="552"/>
      <c r="V1236" s="552"/>
      <c r="W1236" s="552"/>
      <c r="X1236" s="552"/>
      <c r="Y1236" s="552"/>
      <c r="Z1236" s="552"/>
      <c r="AA1236" s="552"/>
      <c r="AB1236" s="552"/>
      <c r="AC1236" s="552"/>
      <c r="AD1236" s="552"/>
      <c r="AE1236" s="552"/>
      <c r="AF1236" s="552"/>
      <c r="AG1236" s="552"/>
      <c r="AH1236" s="552"/>
      <c r="AI1236" s="552"/>
      <c r="AJ1236" s="552"/>
      <c r="AK1236" s="552"/>
      <c r="AL1236" s="552"/>
      <c r="AM1236" s="552"/>
      <c r="AN1236" s="552"/>
      <c r="AO1236" s="552"/>
      <c r="AP1236" s="709" t="s">
        <v>8422</v>
      </c>
      <c r="AQ1236" s="552" t="s">
        <v>1186</v>
      </c>
      <c r="AR1236" s="552" t="s">
        <v>2802</v>
      </c>
      <c r="AS1236" s="552" t="s">
        <v>6967</v>
      </c>
      <c r="AT1236" s="552" t="s">
        <v>726</v>
      </c>
    </row>
    <row r="1237" spans="1:46" ht="14.7" customHeight="1">
      <c r="A1237" s="706" t="s">
        <v>6640</v>
      </c>
      <c r="B1237" s="707" t="s">
        <v>3696</v>
      </c>
      <c r="C1237" s="727" t="s">
        <v>8329</v>
      </c>
      <c r="D1237" s="714" t="s">
        <v>8423</v>
      </c>
      <c r="E1237" s="714" t="s">
        <v>8421</v>
      </c>
      <c r="F1237" s="714"/>
      <c r="G1237" s="714"/>
      <c r="H1237" s="714"/>
      <c r="I1237" s="714"/>
      <c r="J1237" s="716"/>
      <c r="K1237" s="552"/>
      <c r="L1237" s="552"/>
      <c r="M1237" s="552"/>
      <c r="N1237" s="552"/>
      <c r="O1237" s="552"/>
      <c r="P1237" s="552"/>
      <c r="Q1237" s="552"/>
      <c r="R1237" s="552"/>
      <c r="S1237" s="552"/>
      <c r="T1237" s="552"/>
      <c r="U1237" s="552"/>
      <c r="V1237" s="552"/>
      <c r="W1237" s="552"/>
      <c r="X1237" s="552"/>
      <c r="Y1237" s="552"/>
      <c r="Z1237" s="552"/>
      <c r="AA1237" s="552"/>
      <c r="AB1237" s="552"/>
      <c r="AC1237" s="552"/>
      <c r="AD1237" s="552"/>
      <c r="AE1237" s="552"/>
      <c r="AF1237" s="552"/>
      <c r="AG1237" s="552"/>
      <c r="AH1237" s="552"/>
      <c r="AI1237" s="552"/>
      <c r="AJ1237" s="552"/>
      <c r="AK1237" s="552"/>
      <c r="AL1237" s="552"/>
      <c r="AM1237" s="552"/>
      <c r="AN1237" s="552"/>
      <c r="AO1237" s="552"/>
      <c r="AP1237" s="709" t="s">
        <v>8424</v>
      </c>
      <c r="AQ1237" s="552" t="s">
        <v>1186</v>
      </c>
      <c r="AR1237" s="552" t="s">
        <v>2805</v>
      </c>
      <c r="AS1237" s="552" t="s">
        <v>7484</v>
      </c>
      <c r="AT1237" s="552" t="s">
        <v>726</v>
      </c>
    </row>
    <row r="1238" spans="1:46" ht="14.7" customHeight="1">
      <c r="A1238" s="710" t="s">
        <v>6641</v>
      </c>
      <c r="B1238" s="707" t="s">
        <v>3696</v>
      </c>
      <c r="C1238" s="727" t="s">
        <v>8329</v>
      </c>
      <c r="D1238" s="714" t="s">
        <v>8425</v>
      </c>
      <c r="E1238" s="714" t="s">
        <v>8421</v>
      </c>
      <c r="F1238" s="714"/>
      <c r="G1238" s="714"/>
      <c r="H1238" s="714"/>
      <c r="I1238" s="714"/>
      <c r="J1238" s="716"/>
      <c r="K1238" s="709" t="s">
        <v>8426</v>
      </c>
      <c r="L1238" s="552"/>
      <c r="M1238" s="552"/>
      <c r="N1238" s="552"/>
      <c r="O1238" s="552"/>
      <c r="P1238" s="552"/>
      <c r="Q1238" s="552"/>
      <c r="R1238" s="552"/>
      <c r="S1238" s="552"/>
      <c r="T1238" s="552"/>
      <c r="U1238" s="552"/>
      <c r="V1238" s="552"/>
      <c r="W1238" s="552"/>
      <c r="X1238" s="552"/>
      <c r="Y1238" s="552"/>
      <c r="Z1238" s="552"/>
      <c r="AA1238" s="552"/>
      <c r="AB1238" s="552"/>
      <c r="AC1238" s="552"/>
      <c r="AD1238" s="552"/>
      <c r="AE1238" s="552"/>
      <c r="AF1238" s="552"/>
      <c r="AG1238" s="552"/>
      <c r="AH1238" s="552"/>
      <c r="AI1238" s="552"/>
      <c r="AJ1238" s="552"/>
      <c r="AK1238" s="552"/>
      <c r="AL1238" s="552"/>
      <c r="AM1238" s="552"/>
      <c r="AN1238" s="552"/>
      <c r="AO1238" s="713" t="s">
        <v>8427</v>
      </c>
      <c r="AP1238" s="552"/>
      <c r="AQ1238" s="552" t="s">
        <v>1186</v>
      </c>
      <c r="AR1238" s="552" t="s">
        <v>2805</v>
      </c>
      <c r="AS1238" s="552" t="s">
        <v>6881</v>
      </c>
      <c r="AT1238" s="552" t="s">
        <v>726</v>
      </c>
    </row>
    <row r="1239" spans="1:46" ht="14.7" customHeight="1">
      <c r="A1239" s="706" t="s">
        <v>6642</v>
      </c>
      <c r="B1239" s="707" t="s">
        <v>3696</v>
      </c>
      <c r="C1239" s="727" t="s">
        <v>8329</v>
      </c>
      <c r="D1239" s="714" t="s">
        <v>8428</v>
      </c>
      <c r="E1239" s="714" t="s">
        <v>8421</v>
      </c>
      <c r="F1239" s="714"/>
      <c r="G1239" s="714"/>
      <c r="H1239" s="714"/>
      <c r="I1239" s="714"/>
      <c r="J1239" s="716"/>
      <c r="K1239" s="552"/>
      <c r="L1239" s="552"/>
      <c r="M1239" s="552"/>
      <c r="N1239" s="552"/>
      <c r="O1239" s="552"/>
      <c r="P1239" s="552"/>
      <c r="Q1239" s="552"/>
      <c r="R1239" s="552"/>
      <c r="S1239" s="552"/>
      <c r="T1239" s="552"/>
      <c r="U1239" s="552"/>
      <c r="V1239" s="552"/>
      <c r="W1239" s="552"/>
      <c r="X1239" s="552"/>
      <c r="Y1239" s="552"/>
      <c r="Z1239" s="552"/>
      <c r="AA1239" s="552"/>
      <c r="AB1239" s="552"/>
      <c r="AC1239" s="552"/>
      <c r="AD1239" s="552"/>
      <c r="AE1239" s="552">
        <v>20</v>
      </c>
      <c r="AF1239" s="552"/>
      <c r="AG1239" s="552"/>
      <c r="AH1239" s="552"/>
      <c r="AI1239" s="552"/>
      <c r="AJ1239" s="552"/>
      <c r="AK1239" s="552"/>
      <c r="AL1239" s="552"/>
      <c r="AM1239" s="552"/>
      <c r="AN1239" s="552"/>
      <c r="AO1239" s="552"/>
      <c r="AP1239" s="709" t="s">
        <v>8429</v>
      </c>
      <c r="AQ1239" s="552" t="s">
        <v>1186</v>
      </c>
      <c r="AR1239" s="552" t="s">
        <v>2805</v>
      </c>
      <c r="AS1239" s="552" t="s">
        <v>6967</v>
      </c>
      <c r="AT1239" s="552" t="s">
        <v>726</v>
      </c>
    </row>
    <row r="1240" spans="1:46" ht="14.7" customHeight="1">
      <c r="A1240" s="710" t="s">
        <v>9107</v>
      </c>
      <c r="B1240" s="707" t="s">
        <v>3696</v>
      </c>
      <c r="C1240" s="727" t="s">
        <v>8329</v>
      </c>
      <c r="D1240" s="714" t="s">
        <v>8430</v>
      </c>
      <c r="E1240" s="714" t="s">
        <v>8421</v>
      </c>
      <c r="F1240" s="714"/>
      <c r="G1240" s="714"/>
      <c r="H1240" s="714"/>
      <c r="I1240" s="714"/>
      <c r="J1240" s="716"/>
      <c r="K1240" s="552"/>
      <c r="L1240" s="552"/>
      <c r="M1240" s="552"/>
      <c r="N1240" s="552"/>
      <c r="O1240" s="552"/>
      <c r="P1240" s="552"/>
      <c r="Q1240" s="552"/>
      <c r="R1240" s="552"/>
      <c r="S1240" s="552"/>
      <c r="T1240" s="552"/>
      <c r="U1240" s="552"/>
      <c r="V1240" s="552"/>
      <c r="W1240" s="552"/>
      <c r="X1240" s="552"/>
      <c r="Y1240" s="552"/>
      <c r="Z1240" s="552"/>
      <c r="AA1240" s="552"/>
      <c r="AB1240" s="552"/>
      <c r="AC1240" s="552"/>
      <c r="AD1240" s="552"/>
      <c r="AE1240" s="552"/>
      <c r="AF1240" s="552"/>
      <c r="AG1240" s="552"/>
      <c r="AH1240" s="552"/>
      <c r="AI1240" s="552"/>
      <c r="AJ1240" s="552"/>
      <c r="AK1240" s="552"/>
      <c r="AL1240" s="552"/>
      <c r="AM1240" s="552"/>
      <c r="AN1240" s="552"/>
      <c r="AO1240" s="552"/>
      <c r="AP1240" s="709" t="s">
        <v>9120</v>
      </c>
      <c r="AQ1240" s="552" t="s">
        <v>1186</v>
      </c>
      <c r="AR1240" s="552" t="s">
        <v>2805</v>
      </c>
      <c r="AS1240" s="552" t="s">
        <v>7484</v>
      </c>
      <c r="AT1240" s="552" t="s">
        <v>726</v>
      </c>
    </row>
    <row r="1241" spans="1:46" ht="14.7" customHeight="1">
      <c r="A1241" s="710" t="s">
        <v>8431</v>
      </c>
      <c r="B1241" s="707" t="s">
        <v>3696</v>
      </c>
      <c r="C1241" s="727" t="s">
        <v>8329</v>
      </c>
      <c r="D1241" s="714" t="s">
        <v>8432</v>
      </c>
      <c r="E1241" s="714" t="s">
        <v>8421</v>
      </c>
      <c r="F1241" s="714"/>
      <c r="G1241" s="714"/>
      <c r="H1241" s="714"/>
      <c r="I1241" s="714"/>
      <c r="J1241" s="716"/>
      <c r="K1241" s="552"/>
      <c r="L1241" s="552"/>
      <c r="M1241" s="552"/>
      <c r="N1241" s="552"/>
      <c r="O1241" s="552"/>
      <c r="P1241" s="552"/>
      <c r="Q1241" s="552"/>
      <c r="R1241" s="552"/>
      <c r="S1241" s="552"/>
      <c r="T1241" s="552"/>
      <c r="U1241" s="552"/>
      <c r="V1241" s="552"/>
      <c r="W1241" s="552"/>
      <c r="X1241" s="552"/>
      <c r="Y1241" s="552"/>
      <c r="Z1241" s="552"/>
      <c r="AA1241" s="552"/>
      <c r="AB1241" s="552"/>
      <c r="AC1241" s="552"/>
      <c r="AD1241" s="552"/>
      <c r="AE1241" s="552"/>
      <c r="AF1241" s="552"/>
      <c r="AG1241" s="552"/>
      <c r="AH1241" s="552"/>
      <c r="AI1241" s="552"/>
      <c r="AJ1241" s="552"/>
      <c r="AK1241" s="552"/>
      <c r="AL1241" s="552"/>
      <c r="AM1241" s="552"/>
      <c r="AN1241" s="552"/>
      <c r="AO1241" s="552"/>
      <c r="AP1241" s="709" t="s">
        <v>8433</v>
      </c>
      <c r="AQ1241" s="552" t="s">
        <v>1186</v>
      </c>
      <c r="AR1241" s="552" t="s">
        <v>2805</v>
      </c>
      <c r="AS1241" s="552" t="s">
        <v>6881</v>
      </c>
      <c r="AT1241" s="552" t="s">
        <v>726</v>
      </c>
    </row>
    <row r="1242" spans="1:46" ht="14.7" customHeight="1">
      <c r="A1242" s="706"/>
      <c r="B1242" s="707" t="s">
        <v>3696</v>
      </c>
      <c r="C1242" s="727" t="s">
        <v>8329</v>
      </c>
      <c r="D1242" s="727" t="s">
        <v>2783</v>
      </c>
      <c r="E1242" s="714"/>
      <c r="F1242" s="714"/>
      <c r="G1242" s="714"/>
      <c r="H1242" s="714"/>
      <c r="I1242" s="714"/>
      <c r="J1242" s="716"/>
      <c r="K1242" s="552"/>
      <c r="L1242" s="552"/>
      <c r="M1242" s="552"/>
      <c r="N1242" s="552"/>
      <c r="O1242" s="552"/>
      <c r="P1242" s="552"/>
      <c r="Q1242" s="552"/>
      <c r="R1242" s="552"/>
      <c r="S1242" s="552"/>
      <c r="T1242" s="552"/>
      <c r="U1242" s="552"/>
      <c r="V1242" s="552"/>
      <c r="W1242" s="552"/>
      <c r="X1242" s="552"/>
      <c r="Y1242" s="552"/>
      <c r="Z1242" s="552"/>
      <c r="AA1242" s="552"/>
      <c r="AB1242" s="552"/>
      <c r="AC1242" s="552"/>
      <c r="AD1242" s="552"/>
      <c r="AE1242" s="552"/>
      <c r="AF1242" s="552"/>
      <c r="AG1242" s="552"/>
      <c r="AH1242" s="552"/>
      <c r="AI1242" s="552"/>
      <c r="AJ1242" s="552"/>
      <c r="AK1242" s="552"/>
      <c r="AL1242" s="552"/>
      <c r="AM1242" s="552"/>
      <c r="AN1242" s="552"/>
      <c r="AO1242" s="552"/>
      <c r="AP1242" s="552"/>
      <c r="AQ1242" s="552" t="s">
        <v>1186</v>
      </c>
      <c r="AR1242" s="552" t="s">
        <v>2805</v>
      </c>
      <c r="AS1242" s="552" t="s">
        <v>6967</v>
      </c>
      <c r="AT1242" s="552" t="s">
        <v>726</v>
      </c>
    </row>
    <row r="1243" spans="1:46" ht="14.7" customHeight="1">
      <c r="A1243" s="706"/>
      <c r="B1243" s="707" t="s">
        <v>3696</v>
      </c>
      <c r="C1243" s="727" t="s">
        <v>8329</v>
      </c>
      <c r="D1243" s="727" t="s">
        <v>2783</v>
      </c>
      <c r="E1243" s="714"/>
      <c r="F1243" s="714"/>
      <c r="G1243" s="714"/>
      <c r="H1243" s="714"/>
      <c r="I1243" s="714"/>
      <c r="J1243" s="716"/>
      <c r="K1243" s="552"/>
      <c r="L1243" s="552"/>
      <c r="M1243" s="552"/>
      <c r="N1243" s="552"/>
      <c r="O1243" s="552"/>
      <c r="P1243" s="552"/>
      <c r="Q1243" s="552"/>
      <c r="R1243" s="552"/>
      <c r="S1243" s="552"/>
      <c r="T1243" s="552"/>
      <c r="U1243" s="552"/>
      <c r="V1243" s="552"/>
      <c r="W1243" s="552"/>
      <c r="X1243" s="552"/>
      <c r="Y1243" s="552"/>
      <c r="Z1243" s="552"/>
      <c r="AA1243" s="552"/>
      <c r="AB1243" s="552"/>
      <c r="AC1243" s="552"/>
      <c r="AD1243" s="552"/>
      <c r="AE1243" s="552"/>
      <c r="AF1243" s="552"/>
      <c r="AG1243" s="552"/>
      <c r="AH1243" s="552"/>
      <c r="AI1243" s="552"/>
      <c r="AJ1243" s="552"/>
      <c r="AK1243" s="552"/>
      <c r="AL1243" s="552"/>
      <c r="AM1243" s="552"/>
      <c r="AN1243" s="552"/>
      <c r="AO1243" s="552"/>
      <c r="AP1243" s="552"/>
      <c r="AQ1243" s="552" t="s">
        <v>1186</v>
      </c>
      <c r="AR1243" s="552" t="s">
        <v>2805</v>
      </c>
      <c r="AS1243" s="552" t="s">
        <v>7484</v>
      </c>
      <c r="AT1243" s="552" t="s">
        <v>726</v>
      </c>
    </row>
    <row r="1244" spans="1:46" ht="14.7" customHeight="1">
      <c r="A1244" s="706"/>
      <c r="B1244" s="707" t="s">
        <v>3696</v>
      </c>
      <c r="C1244" s="727" t="s">
        <v>8329</v>
      </c>
      <c r="D1244" s="727" t="s">
        <v>2783</v>
      </c>
      <c r="E1244" s="714"/>
      <c r="F1244" s="714"/>
      <c r="G1244" s="714"/>
      <c r="H1244" s="714"/>
      <c r="I1244" s="714"/>
      <c r="J1244" s="716"/>
      <c r="K1244" s="552"/>
      <c r="L1244" s="552"/>
      <c r="M1244" s="552"/>
      <c r="N1244" s="552"/>
      <c r="O1244" s="552"/>
      <c r="P1244" s="552"/>
      <c r="Q1244" s="552"/>
      <c r="R1244" s="552"/>
      <c r="S1244" s="552"/>
      <c r="T1244" s="552"/>
      <c r="U1244" s="552"/>
      <c r="V1244" s="552"/>
      <c r="W1244" s="552"/>
      <c r="X1244" s="552"/>
      <c r="Y1244" s="552"/>
      <c r="Z1244" s="552"/>
      <c r="AA1244" s="552"/>
      <c r="AB1244" s="552"/>
      <c r="AC1244" s="552"/>
      <c r="AD1244" s="552"/>
      <c r="AE1244" s="552"/>
      <c r="AF1244" s="552"/>
      <c r="AG1244" s="552"/>
      <c r="AH1244" s="552"/>
      <c r="AI1244" s="552"/>
      <c r="AJ1244" s="552"/>
      <c r="AK1244" s="552"/>
      <c r="AL1244" s="552"/>
      <c r="AM1244" s="552"/>
      <c r="AN1244" s="552"/>
      <c r="AO1244" s="552"/>
      <c r="AP1244" s="552"/>
      <c r="AQ1244" s="552" t="s">
        <v>1186</v>
      </c>
      <c r="AR1244" s="552" t="s">
        <v>2805</v>
      </c>
      <c r="AS1244" s="552" t="s">
        <v>6881</v>
      </c>
      <c r="AT1244" s="552" t="s">
        <v>726</v>
      </c>
    </row>
    <row r="1245" spans="1:46" ht="14.7" customHeight="1">
      <c r="A1245" s="706"/>
      <c r="B1245" s="707" t="s">
        <v>3696</v>
      </c>
      <c r="C1245" s="727" t="s">
        <v>8329</v>
      </c>
      <c r="D1245" s="727" t="s">
        <v>2783</v>
      </c>
      <c r="E1245" s="714"/>
      <c r="F1245" s="714"/>
      <c r="G1245" s="714"/>
      <c r="H1245" s="714"/>
      <c r="I1245" s="714"/>
      <c r="J1245" s="716"/>
      <c r="K1245" s="552"/>
      <c r="L1245" s="552"/>
      <c r="M1245" s="552"/>
      <c r="N1245" s="552"/>
      <c r="O1245" s="552"/>
      <c r="P1245" s="552"/>
      <c r="Q1245" s="552"/>
      <c r="R1245" s="552"/>
      <c r="S1245" s="552"/>
      <c r="T1245" s="552"/>
      <c r="U1245" s="552"/>
      <c r="V1245" s="552"/>
      <c r="W1245" s="552"/>
      <c r="X1245" s="552"/>
      <c r="Y1245" s="552"/>
      <c r="Z1245" s="552"/>
      <c r="AA1245" s="552"/>
      <c r="AB1245" s="552"/>
      <c r="AC1245" s="552"/>
      <c r="AD1245" s="552"/>
      <c r="AE1245" s="552"/>
      <c r="AF1245" s="552"/>
      <c r="AG1245" s="552"/>
      <c r="AH1245" s="552"/>
      <c r="AI1245" s="552"/>
      <c r="AJ1245" s="552"/>
      <c r="AK1245" s="552"/>
      <c r="AL1245" s="552"/>
      <c r="AM1245" s="552"/>
      <c r="AN1245" s="552"/>
      <c r="AO1245" s="552"/>
      <c r="AP1245" s="552"/>
      <c r="AQ1245" s="552" t="s">
        <v>1186</v>
      </c>
      <c r="AR1245" s="552" t="s">
        <v>2805</v>
      </c>
      <c r="AS1245" s="552" t="s">
        <v>6967</v>
      </c>
      <c r="AT1245" s="552" t="s">
        <v>726</v>
      </c>
    </row>
    <row r="1246" spans="1:46" ht="14.7" customHeight="1">
      <c r="A1246" s="706"/>
      <c r="B1246" s="707" t="s">
        <v>3696</v>
      </c>
      <c r="C1246" s="727" t="s">
        <v>8329</v>
      </c>
      <c r="D1246" s="727" t="s">
        <v>2783</v>
      </c>
      <c r="E1246" s="714"/>
      <c r="F1246" s="714"/>
      <c r="G1246" s="714"/>
      <c r="H1246" s="714"/>
      <c r="I1246" s="714"/>
      <c r="J1246" s="716"/>
      <c r="K1246" s="552"/>
      <c r="L1246" s="552"/>
      <c r="M1246" s="552"/>
      <c r="N1246" s="552"/>
      <c r="O1246" s="552"/>
      <c r="P1246" s="552"/>
      <c r="Q1246" s="552"/>
      <c r="R1246" s="552"/>
      <c r="S1246" s="552"/>
      <c r="T1246" s="552"/>
      <c r="U1246" s="552"/>
      <c r="V1246" s="552"/>
      <c r="W1246" s="552"/>
      <c r="X1246" s="552"/>
      <c r="Y1246" s="552"/>
      <c r="Z1246" s="552"/>
      <c r="AA1246" s="552"/>
      <c r="AB1246" s="552"/>
      <c r="AC1246" s="552"/>
      <c r="AD1246" s="552"/>
      <c r="AE1246" s="552"/>
      <c r="AF1246" s="552"/>
      <c r="AG1246" s="552"/>
      <c r="AH1246" s="552"/>
      <c r="AI1246" s="552"/>
      <c r="AJ1246" s="552"/>
      <c r="AK1246" s="552"/>
      <c r="AL1246" s="552"/>
      <c r="AM1246" s="552"/>
      <c r="AN1246" s="552"/>
      <c r="AO1246" s="552"/>
      <c r="AP1246" s="552"/>
      <c r="AQ1246" s="552" t="s">
        <v>1186</v>
      </c>
      <c r="AR1246" s="552" t="s">
        <v>2805</v>
      </c>
      <c r="AS1246" s="552" t="s">
        <v>7484</v>
      </c>
      <c r="AT1246" s="552" t="s">
        <v>726</v>
      </c>
    </row>
    <row r="1247" spans="1:46" ht="14.7" customHeight="1">
      <c r="A1247" s="710" t="s">
        <v>8434</v>
      </c>
      <c r="B1247" s="556" t="s">
        <v>3697</v>
      </c>
      <c r="C1247" s="727" t="s">
        <v>8329</v>
      </c>
      <c r="D1247" s="714" t="s">
        <v>8435</v>
      </c>
      <c r="E1247" s="714" t="s">
        <v>8421</v>
      </c>
      <c r="F1247" s="714"/>
      <c r="G1247" s="714"/>
      <c r="H1247" s="714"/>
      <c r="I1247" s="714"/>
      <c r="J1247" s="716"/>
      <c r="K1247" s="552"/>
      <c r="L1247" s="552"/>
      <c r="M1247" s="552"/>
      <c r="N1247" s="552"/>
      <c r="O1247" s="552"/>
      <c r="P1247" s="552"/>
      <c r="Q1247" s="552"/>
      <c r="R1247" s="552"/>
      <c r="S1247" s="552"/>
      <c r="T1247" s="552"/>
      <c r="U1247" s="552"/>
      <c r="V1247" s="552"/>
      <c r="W1247" s="552"/>
      <c r="X1247" s="552"/>
      <c r="Y1247" s="552">
        <v>2</v>
      </c>
      <c r="Z1247" s="552"/>
      <c r="AA1247" s="552"/>
      <c r="AB1247" s="552"/>
      <c r="AC1247" s="552">
        <v>40</v>
      </c>
      <c r="AD1247" s="552"/>
      <c r="AE1247" s="552"/>
      <c r="AF1247" s="552"/>
      <c r="AG1247" s="552"/>
      <c r="AH1247" s="552"/>
      <c r="AI1247" s="552"/>
      <c r="AJ1247" s="552"/>
      <c r="AK1247" s="552"/>
      <c r="AL1247" s="552"/>
      <c r="AM1247" s="552"/>
      <c r="AN1247" s="552"/>
      <c r="AO1247" s="552"/>
      <c r="AP1247" s="713" t="s">
        <v>8436</v>
      </c>
      <c r="AQ1247" s="552" t="s">
        <v>1186</v>
      </c>
      <c r="AR1247" s="552" t="s">
        <v>2875</v>
      </c>
      <c r="AS1247" s="552" t="s">
        <v>6881</v>
      </c>
      <c r="AT1247" s="552" t="s">
        <v>726</v>
      </c>
    </row>
    <row r="1248" spans="1:46" ht="14.7" customHeight="1">
      <c r="A1248" s="710" t="s">
        <v>8437</v>
      </c>
      <c r="B1248" s="556" t="s">
        <v>3697</v>
      </c>
      <c r="C1248" s="727" t="s">
        <v>8329</v>
      </c>
      <c r="D1248" s="714" t="s">
        <v>8438</v>
      </c>
      <c r="E1248" s="714" t="s">
        <v>8421</v>
      </c>
      <c r="F1248" s="714"/>
      <c r="G1248" s="714"/>
      <c r="H1248" s="714"/>
      <c r="I1248" s="714"/>
      <c r="J1248" s="716"/>
      <c r="K1248" s="552"/>
      <c r="L1248" s="552"/>
      <c r="M1248" s="552"/>
      <c r="N1248" s="552"/>
      <c r="O1248" s="552"/>
      <c r="P1248" s="552"/>
      <c r="Q1248" s="552"/>
      <c r="R1248" s="552"/>
      <c r="S1248" s="552"/>
      <c r="T1248" s="552"/>
      <c r="U1248" s="552"/>
      <c r="V1248" s="552"/>
      <c r="W1248" s="552"/>
      <c r="X1248" s="552"/>
      <c r="Y1248" s="552">
        <v>2</v>
      </c>
      <c r="Z1248" s="552"/>
      <c r="AA1248" s="552"/>
      <c r="AB1248" s="552"/>
      <c r="AC1248" s="552"/>
      <c r="AD1248" s="552"/>
      <c r="AE1248" s="552"/>
      <c r="AF1248" s="552">
        <v>40</v>
      </c>
      <c r="AG1248" s="552"/>
      <c r="AH1248" s="552"/>
      <c r="AI1248" s="552"/>
      <c r="AJ1248" s="552"/>
      <c r="AK1248" s="552"/>
      <c r="AL1248" s="552"/>
      <c r="AM1248" s="552"/>
      <c r="AN1248" s="552"/>
      <c r="AO1248" s="552"/>
      <c r="AP1248" s="713" t="s">
        <v>8436</v>
      </c>
      <c r="AQ1248" s="552" t="s">
        <v>1186</v>
      </c>
      <c r="AR1248" s="552" t="s">
        <v>2875</v>
      </c>
      <c r="AS1248" s="552" t="s">
        <v>6967</v>
      </c>
      <c r="AT1248" s="552" t="s">
        <v>726</v>
      </c>
    </row>
    <row r="1249" spans="1:46" ht="14.7" customHeight="1">
      <c r="A1249" s="710" t="s">
        <v>8439</v>
      </c>
      <c r="B1249" s="556" t="s">
        <v>3697</v>
      </c>
      <c r="C1249" s="727" t="s">
        <v>8329</v>
      </c>
      <c r="D1249" s="714" t="s">
        <v>8440</v>
      </c>
      <c r="E1249" s="714" t="s">
        <v>8421</v>
      </c>
      <c r="F1249" s="714"/>
      <c r="G1249" s="714"/>
      <c r="H1249" s="714"/>
      <c r="I1249" s="714"/>
      <c r="J1249" s="716"/>
      <c r="K1249" s="552"/>
      <c r="L1249" s="552"/>
      <c r="M1249" s="552"/>
      <c r="N1249" s="552"/>
      <c r="O1249" s="552"/>
      <c r="P1249" s="552"/>
      <c r="Q1249" s="552"/>
      <c r="R1249" s="552"/>
      <c r="S1249" s="552"/>
      <c r="T1249" s="552"/>
      <c r="U1249" s="552"/>
      <c r="V1249" s="552"/>
      <c r="W1249" s="552"/>
      <c r="X1249" s="552"/>
      <c r="Y1249" s="552">
        <v>2</v>
      </c>
      <c r="Z1249" s="552"/>
      <c r="AA1249" s="552"/>
      <c r="AB1249" s="552"/>
      <c r="AC1249" s="552"/>
      <c r="AD1249" s="552">
        <v>40</v>
      </c>
      <c r="AE1249" s="552"/>
      <c r="AF1249" s="552"/>
      <c r="AG1249" s="552"/>
      <c r="AH1249" s="552"/>
      <c r="AI1249" s="552"/>
      <c r="AJ1249" s="552"/>
      <c r="AK1249" s="552"/>
      <c r="AL1249" s="552"/>
      <c r="AM1249" s="552"/>
      <c r="AN1249" s="552"/>
      <c r="AO1249" s="552"/>
      <c r="AP1249" s="713" t="s">
        <v>8436</v>
      </c>
      <c r="AQ1249" s="552" t="s">
        <v>1186</v>
      </c>
      <c r="AR1249" s="552" t="s">
        <v>2875</v>
      </c>
      <c r="AS1249" s="552" t="s">
        <v>7484</v>
      </c>
      <c r="AT1249" s="552" t="s">
        <v>726</v>
      </c>
    </row>
    <row r="1250" spans="1:46" ht="14.7" customHeight="1">
      <c r="A1250" s="710" t="s">
        <v>8441</v>
      </c>
      <c r="B1250" s="556" t="s">
        <v>3697</v>
      </c>
      <c r="C1250" s="727" t="s">
        <v>8329</v>
      </c>
      <c r="D1250" s="714" t="s">
        <v>8442</v>
      </c>
      <c r="E1250" s="714" t="s">
        <v>8421</v>
      </c>
      <c r="F1250" s="714"/>
      <c r="G1250" s="714"/>
      <c r="H1250" s="714"/>
      <c r="I1250" s="714"/>
      <c r="J1250" s="716"/>
      <c r="K1250" s="552"/>
      <c r="L1250" s="552"/>
      <c r="M1250" s="552"/>
      <c r="N1250" s="552"/>
      <c r="O1250" s="552"/>
      <c r="P1250" s="552"/>
      <c r="Q1250" s="552"/>
      <c r="R1250" s="552"/>
      <c r="S1250" s="552"/>
      <c r="T1250" s="552"/>
      <c r="U1250" s="552"/>
      <c r="V1250" s="552"/>
      <c r="W1250" s="552"/>
      <c r="X1250" s="552"/>
      <c r="Y1250" s="552">
        <v>2</v>
      </c>
      <c r="Z1250" s="552"/>
      <c r="AA1250" s="552"/>
      <c r="AB1250" s="552"/>
      <c r="AC1250" s="552"/>
      <c r="AD1250" s="552"/>
      <c r="AE1250" s="552">
        <v>40</v>
      </c>
      <c r="AF1250" s="552"/>
      <c r="AG1250" s="552"/>
      <c r="AH1250" s="552"/>
      <c r="AI1250" s="552"/>
      <c r="AJ1250" s="552"/>
      <c r="AK1250" s="552"/>
      <c r="AL1250" s="552"/>
      <c r="AM1250" s="552"/>
      <c r="AN1250" s="552"/>
      <c r="AO1250" s="552"/>
      <c r="AP1250" s="713" t="s">
        <v>8443</v>
      </c>
      <c r="AQ1250" s="552" t="s">
        <v>1186</v>
      </c>
      <c r="AR1250" s="552" t="s">
        <v>2875</v>
      </c>
      <c r="AS1250" s="552" t="s">
        <v>6881</v>
      </c>
      <c r="AT1250" s="552" t="s">
        <v>726</v>
      </c>
    </row>
    <row r="1251" spans="1:46" ht="14.7" customHeight="1">
      <c r="A1251" s="710" t="s">
        <v>8444</v>
      </c>
      <c r="B1251" s="556" t="s">
        <v>3697</v>
      </c>
      <c r="C1251" s="727" t="s">
        <v>8329</v>
      </c>
      <c r="D1251" s="714" t="s">
        <v>8445</v>
      </c>
      <c r="E1251" s="714" t="s">
        <v>8421</v>
      </c>
      <c r="F1251" s="714"/>
      <c r="G1251" s="714"/>
      <c r="H1251" s="714"/>
      <c r="I1251" s="714"/>
      <c r="J1251" s="716"/>
      <c r="K1251" s="552"/>
      <c r="L1251" s="552"/>
      <c r="M1251" s="552"/>
      <c r="N1251" s="552"/>
      <c r="O1251" s="552"/>
      <c r="P1251" s="552"/>
      <c r="Q1251" s="552"/>
      <c r="R1251" s="552"/>
      <c r="S1251" s="552"/>
      <c r="T1251" s="552"/>
      <c r="U1251" s="552"/>
      <c r="V1251" s="552"/>
      <c r="W1251" s="552"/>
      <c r="X1251" s="552"/>
      <c r="Y1251" s="552">
        <v>2</v>
      </c>
      <c r="Z1251" s="552"/>
      <c r="AA1251" s="552"/>
      <c r="AB1251" s="552">
        <v>40</v>
      </c>
      <c r="AC1251" s="552"/>
      <c r="AD1251" s="552"/>
      <c r="AE1251" s="552"/>
      <c r="AF1251" s="552"/>
      <c r="AG1251" s="552"/>
      <c r="AH1251" s="552"/>
      <c r="AI1251" s="552"/>
      <c r="AJ1251" s="552"/>
      <c r="AK1251" s="552"/>
      <c r="AL1251" s="552"/>
      <c r="AM1251" s="552"/>
      <c r="AN1251" s="552"/>
      <c r="AO1251" s="552"/>
      <c r="AP1251" s="713" t="s">
        <v>8443</v>
      </c>
      <c r="AQ1251" s="552" t="s">
        <v>1186</v>
      </c>
      <c r="AR1251" s="552" t="s">
        <v>2875</v>
      </c>
      <c r="AS1251" s="552" t="s">
        <v>6967</v>
      </c>
      <c r="AT1251" s="552" t="s">
        <v>726</v>
      </c>
    </row>
    <row r="1252" spans="1:46" ht="14.7" customHeight="1">
      <c r="A1252" s="710" t="s">
        <v>6643</v>
      </c>
      <c r="B1252" s="556" t="s">
        <v>3697</v>
      </c>
      <c r="C1252" s="727" t="s">
        <v>8329</v>
      </c>
      <c r="D1252" s="714" t="s">
        <v>8446</v>
      </c>
      <c r="E1252" s="714" t="s">
        <v>8421</v>
      </c>
      <c r="F1252" s="714"/>
      <c r="G1252" s="714"/>
      <c r="H1252" s="714"/>
      <c r="I1252" s="714"/>
      <c r="J1252" s="716"/>
      <c r="K1252" s="552"/>
      <c r="L1252" s="552"/>
      <c r="M1252" s="552"/>
      <c r="N1252" s="552"/>
      <c r="O1252" s="552"/>
      <c r="P1252" s="552"/>
      <c r="Q1252" s="552">
        <v>2</v>
      </c>
      <c r="R1252" s="552">
        <v>2</v>
      </c>
      <c r="S1252" s="552"/>
      <c r="T1252" s="552"/>
      <c r="U1252" s="552"/>
      <c r="V1252" s="552"/>
      <c r="W1252" s="552"/>
      <c r="X1252" s="552"/>
      <c r="Y1252" s="552"/>
      <c r="Z1252" s="552"/>
      <c r="AA1252" s="552"/>
      <c r="AB1252" s="552"/>
      <c r="AC1252" s="552"/>
      <c r="AD1252" s="552"/>
      <c r="AE1252" s="552"/>
      <c r="AF1252" s="552"/>
      <c r="AG1252" s="552"/>
      <c r="AH1252" s="552"/>
      <c r="AI1252" s="552"/>
      <c r="AJ1252" s="552"/>
      <c r="AK1252" s="552"/>
      <c r="AL1252" s="552"/>
      <c r="AM1252" s="552"/>
      <c r="AN1252" s="552"/>
      <c r="AO1252" s="709" t="s">
        <v>8447</v>
      </c>
      <c r="AP1252" s="552"/>
      <c r="AQ1252" s="552" t="s">
        <v>1186</v>
      </c>
      <c r="AR1252" s="552" t="s">
        <v>2875</v>
      </c>
      <c r="AS1252" s="552" t="s">
        <v>7484</v>
      </c>
      <c r="AT1252" s="552" t="s">
        <v>726</v>
      </c>
    </row>
    <row r="1253" spans="1:46" ht="14.7" customHeight="1">
      <c r="A1253" s="706" t="s">
        <v>6644</v>
      </c>
      <c r="B1253" s="556" t="s">
        <v>3697</v>
      </c>
      <c r="C1253" s="727" t="s">
        <v>8329</v>
      </c>
      <c r="D1253" s="714" t="s">
        <v>8448</v>
      </c>
      <c r="E1253" s="714" t="s">
        <v>8449</v>
      </c>
      <c r="F1253" s="714"/>
      <c r="G1253" s="714"/>
      <c r="H1253" s="714"/>
      <c r="I1253" s="714"/>
      <c r="J1253" s="716"/>
      <c r="K1253" s="552"/>
      <c r="L1253" s="552"/>
      <c r="M1253" s="552"/>
      <c r="N1253" s="552"/>
      <c r="O1253" s="552"/>
      <c r="P1253" s="552"/>
      <c r="Q1253" s="552"/>
      <c r="R1253" s="552"/>
      <c r="S1253" s="552"/>
      <c r="T1253" s="552"/>
      <c r="U1253" s="552"/>
      <c r="V1253" s="552"/>
      <c r="W1253" s="552"/>
      <c r="X1253" s="552"/>
      <c r="Y1253" s="552">
        <v>1</v>
      </c>
      <c r="Z1253" s="552"/>
      <c r="AA1253" s="552"/>
      <c r="AB1253" s="552">
        <v>10</v>
      </c>
      <c r="AC1253" s="552">
        <v>10</v>
      </c>
      <c r="AD1253" s="552">
        <v>10</v>
      </c>
      <c r="AE1253" s="552">
        <v>10</v>
      </c>
      <c r="AF1253" s="552">
        <v>10</v>
      </c>
      <c r="AG1253" s="552">
        <v>10</v>
      </c>
      <c r="AH1253" s="552">
        <v>10</v>
      </c>
      <c r="AI1253" s="552">
        <v>10</v>
      </c>
      <c r="AJ1253" s="552">
        <v>10</v>
      </c>
      <c r="AK1253" s="552"/>
      <c r="AL1253" s="552"/>
      <c r="AM1253" s="552"/>
      <c r="AN1253" s="552"/>
      <c r="AO1253" s="552"/>
      <c r="AP1253" s="552"/>
      <c r="AQ1253" s="552" t="s">
        <v>1186</v>
      </c>
      <c r="AR1253" s="552" t="s">
        <v>2875</v>
      </c>
      <c r="AS1253" s="552" t="s">
        <v>6881</v>
      </c>
      <c r="AT1253" s="552" t="s">
        <v>726</v>
      </c>
    </row>
    <row r="1254" spans="1:46" ht="14.7" customHeight="1">
      <c r="A1254" s="706" t="s">
        <v>6645</v>
      </c>
      <c r="B1254" s="556" t="s">
        <v>3697</v>
      </c>
      <c r="C1254" s="727" t="s">
        <v>8329</v>
      </c>
      <c r="D1254" s="714" t="s">
        <v>8450</v>
      </c>
      <c r="E1254" s="714" t="s">
        <v>8421</v>
      </c>
      <c r="F1254" s="714"/>
      <c r="G1254" s="714"/>
      <c r="H1254" s="714"/>
      <c r="I1254" s="714"/>
      <c r="J1254" s="716"/>
      <c r="K1254" s="552"/>
      <c r="L1254" s="552"/>
      <c r="M1254" s="552"/>
      <c r="N1254" s="552"/>
      <c r="O1254" s="552"/>
      <c r="P1254" s="552"/>
      <c r="Q1254" s="552"/>
      <c r="R1254" s="552"/>
      <c r="S1254" s="552"/>
      <c r="T1254" s="552"/>
      <c r="U1254" s="552">
        <v>2</v>
      </c>
      <c r="V1254" s="552"/>
      <c r="W1254" s="552"/>
      <c r="X1254" s="552"/>
      <c r="Y1254" s="552"/>
      <c r="Z1254" s="552"/>
      <c r="AA1254" s="552"/>
      <c r="AB1254" s="552"/>
      <c r="AC1254" s="552"/>
      <c r="AD1254" s="552"/>
      <c r="AE1254" s="552"/>
      <c r="AF1254" s="552"/>
      <c r="AG1254" s="552"/>
      <c r="AH1254" s="552"/>
      <c r="AI1254" s="552"/>
      <c r="AJ1254" s="552"/>
      <c r="AK1254" s="552"/>
      <c r="AL1254" s="552"/>
      <c r="AM1254" s="552"/>
      <c r="AN1254" s="552"/>
      <c r="AO1254" s="552"/>
      <c r="AP1254" s="552"/>
      <c r="AQ1254" s="552" t="s">
        <v>1186</v>
      </c>
      <c r="AR1254" s="552" t="s">
        <v>2875</v>
      </c>
      <c r="AS1254" s="552" t="s">
        <v>6967</v>
      </c>
      <c r="AT1254" s="552" t="s">
        <v>726</v>
      </c>
    </row>
    <row r="1255" spans="1:46" ht="14.7" customHeight="1">
      <c r="A1255" s="706" t="s">
        <v>6646</v>
      </c>
      <c r="B1255" s="556" t="s">
        <v>3697</v>
      </c>
      <c r="C1255" s="727" t="s">
        <v>8329</v>
      </c>
      <c r="D1255" s="714" t="s">
        <v>8451</v>
      </c>
      <c r="E1255" s="714" t="s">
        <v>8421</v>
      </c>
      <c r="F1255" s="714"/>
      <c r="G1255" s="714"/>
      <c r="H1255" s="714"/>
      <c r="I1255" s="714"/>
      <c r="J1255" s="716"/>
      <c r="K1255" s="552"/>
      <c r="L1255" s="552"/>
      <c r="M1255" s="552"/>
      <c r="N1255" s="552"/>
      <c r="O1255" s="552"/>
      <c r="P1255" s="552"/>
      <c r="Q1255" s="552"/>
      <c r="R1255" s="552"/>
      <c r="S1255" s="552"/>
      <c r="T1255" s="552">
        <v>2</v>
      </c>
      <c r="U1255" s="552"/>
      <c r="V1255" s="552"/>
      <c r="W1255" s="552"/>
      <c r="X1255" s="552"/>
      <c r="Y1255" s="552"/>
      <c r="Z1255" s="552"/>
      <c r="AA1255" s="552"/>
      <c r="AB1255" s="552"/>
      <c r="AC1255" s="552"/>
      <c r="AD1255" s="552"/>
      <c r="AE1255" s="552"/>
      <c r="AF1255" s="552"/>
      <c r="AG1255" s="552"/>
      <c r="AH1255" s="552"/>
      <c r="AI1255" s="552"/>
      <c r="AJ1255" s="552"/>
      <c r="AK1255" s="552"/>
      <c r="AL1255" s="552"/>
      <c r="AM1255" s="552"/>
      <c r="AN1255" s="552"/>
      <c r="AO1255" s="552"/>
      <c r="AP1255" s="552"/>
      <c r="AQ1255" s="552" t="s">
        <v>1186</v>
      </c>
      <c r="AR1255" s="552" t="s">
        <v>2875</v>
      </c>
      <c r="AS1255" s="552" t="s">
        <v>7484</v>
      </c>
      <c r="AT1255" s="552" t="s">
        <v>726</v>
      </c>
    </row>
    <row r="1256" spans="1:46" ht="14.7" customHeight="1">
      <c r="A1256" s="706" t="s">
        <v>6647</v>
      </c>
      <c r="B1256" s="556" t="s">
        <v>3697</v>
      </c>
      <c r="C1256" s="727" t="s">
        <v>8329</v>
      </c>
      <c r="D1256" s="714" t="s">
        <v>8452</v>
      </c>
      <c r="E1256" s="714" t="s">
        <v>8421</v>
      </c>
      <c r="F1256" s="714"/>
      <c r="G1256" s="714"/>
      <c r="H1256" s="714"/>
      <c r="I1256" s="714"/>
      <c r="J1256" s="716"/>
      <c r="K1256" s="552"/>
      <c r="L1256" s="552"/>
      <c r="M1256" s="552"/>
      <c r="N1256" s="552"/>
      <c r="O1256" s="552"/>
      <c r="P1256" s="552"/>
      <c r="Q1256" s="552"/>
      <c r="R1256" s="552"/>
      <c r="S1256" s="552">
        <v>2</v>
      </c>
      <c r="T1256" s="552"/>
      <c r="U1256" s="552"/>
      <c r="V1256" s="552"/>
      <c r="W1256" s="552"/>
      <c r="X1256" s="552"/>
      <c r="Y1256" s="552"/>
      <c r="Z1256" s="552"/>
      <c r="AA1256" s="552"/>
      <c r="AB1256" s="552"/>
      <c r="AC1256" s="552"/>
      <c r="AD1256" s="552"/>
      <c r="AE1256" s="552"/>
      <c r="AF1256" s="552"/>
      <c r="AG1256" s="552"/>
      <c r="AH1256" s="552"/>
      <c r="AI1256" s="552"/>
      <c r="AJ1256" s="552"/>
      <c r="AK1256" s="552"/>
      <c r="AL1256" s="552"/>
      <c r="AM1256" s="552"/>
      <c r="AN1256" s="552"/>
      <c r="AO1256" s="552"/>
      <c r="AP1256" s="552"/>
      <c r="AQ1256" s="552" t="s">
        <v>1186</v>
      </c>
      <c r="AR1256" s="552" t="s">
        <v>2875</v>
      </c>
      <c r="AS1256" s="552" t="s">
        <v>6881</v>
      </c>
      <c r="AT1256" s="552" t="s">
        <v>726</v>
      </c>
    </row>
    <row r="1257" spans="1:46" ht="14.7" customHeight="1">
      <c r="A1257" s="706"/>
      <c r="B1257" s="557" t="s">
        <v>3698</v>
      </c>
      <c r="C1257" s="727" t="s">
        <v>8329</v>
      </c>
      <c r="D1257" s="727" t="s">
        <v>2783</v>
      </c>
      <c r="E1257" s="714"/>
      <c r="F1257" s="714"/>
      <c r="G1257" s="714"/>
      <c r="H1257" s="714"/>
      <c r="I1257" s="714"/>
      <c r="J1257" s="716"/>
      <c r="K1257" s="552"/>
      <c r="L1257" s="552"/>
      <c r="M1257" s="552"/>
      <c r="N1257" s="552"/>
      <c r="O1257" s="552"/>
      <c r="P1257" s="552"/>
      <c r="Q1257" s="552"/>
      <c r="R1257" s="552"/>
      <c r="S1257" s="552"/>
      <c r="T1257" s="552"/>
      <c r="U1257" s="552"/>
      <c r="V1257" s="552"/>
      <c r="W1257" s="552"/>
      <c r="X1257" s="552"/>
      <c r="Y1257" s="552"/>
      <c r="Z1257" s="552"/>
      <c r="AA1257" s="552"/>
      <c r="AB1257" s="552"/>
      <c r="AC1257" s="552"/>
      <c r="AD1257" s="552"/>
      <c r="AE1257" s="552"/>
      <c r="AF1257" s="552"/>
      <c r="AG1257" s="552"/>
      <c r="AH1257" s="552"/>
      <c r="AI1257" s="552"/>
      <c r="AJ1257" s="552"/>
      <c r="AK1257" s="552"/>
      <c r="AL1257" s="552"/>
      <c r="AM1257" s="552"/>
      <c r="AN1257" s="552"/>
      <c r="AO1257" s="552"/>
      <c r="AP1257" s="552"/>
      <c r="AQ1257" s="552" t="s">
        <v>1186</v>
      </c>
      <c r="AR1257" s="552" t="s">
        <v>2998</v>
      </c>
      <c r="AS1257" s="552" t="s">
        <v>6967</v>
      </c>
      <c r="AT1257" s="552" t="s">
        <v>726</v>
      </c>
    </row>
    <row r="1258" spans="1:46" ht="14.7" customHeight="1">
      <c r="A1258" s="706"/>
      <c r="B1258" s="557" t="s">
        <v>3698</v>
      </c>
      <c r="C1258" s="727" t="s">
        <v>8329</v>
      </c>
      <c r="D1258" s="727" t="s">
        <v>2783</v>
      </c>
      <c r="E1258" s="714"/>
      <c r="F1258" s="714"/>
      <c r="G1258" s="714"/>
      <c r="H1258" s="714"/>
      <c r="I1258" s="714"/>
      <c r="J1258" s="716"/>
      <c r="K1258" s="552"/>
      <c r="L1258" s="552"/>
      <c r="M1258" s="552"/>
      <c r="N1258" s="552"/>
      <c r="O1258" s="552"/>
      <c r="P1258" s="552"/>
      <c r="Q1258" s="552"/>
      <c r="R1258" s="552"/>
      <c r="S1258" s="552"/>
      <c r="T1258" s="552"/>
      <c r="U1258" s="552"/>
      <c r="V1258" s="552"/>
      <c r="W1258" s="552"/>
      <c r="X1258" s="552"/>
      <c r="Y1258" s="552"/>
      <c r="Z1258" s="552"/>
      <c r="AA1258" s="552"/>
      <c r="AB1258" s="552"/>
      <c r="AC1258" s="552"/>
      <c r="AD1258" s="552"/>
      <c r="AE1258" s="552"/>
      <c r="AF1258" s="552"/>
      <c r="AG1258" s="552"/>
      <c r="AH1258" s="552"/>
      <c r="AI1258" s="552"/>
      <c r="AJ1258" s="552"/>
      <c r="AK1258" s="552"/>
      <c r="AL1258" s="552"/>
      <c r="AM1258" s="552"/>
      <c r="AN1258" s="552"/>
      <c r="AO1258" s="552"/>
      <c r="AP1258" s="552"/>
      <c r="AQ1258" s="552" t="s">
        <v>1186</v>
      </c>
      <c r="AR1258" s="552" t="s">
        <v>2998</v>
      </c>
      <c r="AS1258" s="552" t="s">
        <v>7484</v>
      </c>
      <c r="AT1258" s="552" t="s">
        <v>726</v>
      </c>
    </row>
    <row r="1259" spans="1:46" ht="14.7" customHeight="1">
      <c r="A1259" s="706"/>
      <c r="B1259" s="557" t="s">
        <v>3698</v>
      </c>
      <c r="C1259" s="727" t="s">
        <v>8329</v>
      </c>
      <c r="D1259" s="727" t="s">
        <v>2783</v>
      </c>
      <c r="E1259" s="714"/>
      <c r="F1259" s="714"/>
      <c r="G1259" s="714"/>
      <c r="H1259" s="714"/>
      <c r="I1259" s="714"/>
      <c r="J1259" s="716"/>
      <c r="K1259" s="552"/>
      <c r="L1259" s="552"/>
      <c r="M1259" s="552"/>
      <c r="N1259" s="552"/>
      <c r="O1259" s="552"/>
      <c r="P1259" s="552"/>
      <c r="Q1259" s="552"/>
      <c r="R1259" s="552"/>
      <c r="S1259" s="552"/>
      <c r="T1259" s="552"/>
      <c r="U1259" s="552"/>
      <c r="V1259" s="552"/>
      <c r="W1259" s="552"/>
      <c r="X1259" s="552"/>
      <c r="Y1259" s="552"/>
      <c r="Z1259" s="552"/>
      <c r="AA1259" s="552"/>
      <c r="AB1259" s="552"/>
      <c r="AC1259" s="552"/>
      <c r="AD1259" s="552"/>
      <c r="AE1259" s="552"/>
      <c r="AF1259" s="552"/>
      <c r="AG1259" s="552"/>
      <c r="AH1259" s="552"/>
      <c r="AI1259" s="552"/>
      <c r="AJ1259" s="552"/>
      <c r="AK1259" s="552"/>
      <c r="AL1259" s="552"/>
      <c r="AM1259" s="552"/>
      <c r="AN1259" s="552"/>
      <c r="AO1259" s="552"/>
      <c r="AP1259" s="552"/>
      <c r="AQ1259" s="552" t="s">
        <v>1186</v>
      </c>
      <c r="AR1259" s="552" t="s">
        <v>2998</v>
      </c>
      <c r="AS1259" s="552" t="s">
        <v>6881</v>
      </c>
      <c r="AT1259" s="552" t="s">
        <v>726</v>
      </c>
    </row>
    <row r="1260" spans="1:46" ht="14.7" customHeight="1">
      <c r="A1260" s="706"/>
      <c r="B1260" s="557" t="s">
        <v>3698</v>
      </c>
      <c r="C1260" s="727" t="s">
        <v>8329</v>
      </c>
      <c r="D1260" s="727" t="s">
        <v>2783</v>
      </c>
      <c r="E1260" s="714"/>
      <c r="F1260" s="714"/>
      <c r="G1260" s="714"/>
      <c r="H1260" s="714"/>
      <c r="I1260" s="714"/>
      <c r="J1260" s="716"/>
      <c r="K1260" s="552"/>
      <c r="L1260" s="552"/>
      <c r="M1260" s="552"/>
      <c r="N1260" s="552"/>
      <c r="O1260" s="552"/>
      <c r="P1260" s="552"/>
      <c r="Q1260" s="552"/>
      <c r="R1260" s="552"/>
      <c r="S1260" s="552"/>
      <c r="T1260" s="552"/>
      <c r="U1260" s="552"/>
      <c r="V1260" s="552"/>
      <c r="W1260" s="552"/>
      <c r="X1260" s="552"/>
      <c r="Y1260" s="552"/>
      <c r="Z1260" s="552"/>
      <c r="AA1260" s="552"/>
      <c r="AB1260" s="552"/>
      <c r="AC1260" s="552"/>
      <c r="AD1260" s="552"/>
      <c r="AE1260" s="552"/>
      <c r="AF1260" s="552"/>
      <c r="AG1260" s="552"/>
      <c r="AH1260" s="552"/>
      <c r="AI1260" s="552"/>
      <c r="AJ1260" s="552"/>
      <c r="AK1260" s="552"/>
      <c r="AL1260" s="552"/>
      <c r="AM1260" s="552"/>
      <c r="AN1260" s="552"/>
      <c r="AO1260" s="552"/>
      <c r="AP1260" s="552"/>
      <c r="AQ1260" s="552" t="s">
        <v>1186</v>
      </c>
      <c r="AR1260" s="552" t="s">
        <v>2998</v>
      </c>
      <c r="AS1260" s="552" t="s">
        <v>6967</v>
      </c>
      <c r="AT1260" s="552" t="s">
        <v>726</v>
      </c>
    </row>
    <row r="1261" spans="1:46" ht="14.7" customHeight="1">
      <c r="A1261" s="706" t="s">
        <v>6648</v>
      </c>
      <c r="B1261" s="557" t="s">
        <v>3698</v>
      </c>
      <c r="C1261" s="727" t="s">
        <v>8329</v>
      </c>
      <c r="D1261" s="714" t="s">
        <v>8453</v>
      </c>
      <c r="E1261" s="714" t="s">
        <v>8421</v>
      </c>
      <c r="F1261" s="714"/>
      <c r="G1261" s="714"/>
      <c r="H1261" s="714"/>
      <c r="I1261" s="714"/>
      <c r="J1261" s="716"/>
      <c r="K1261" s="552"/>
      <c r="L1261" s="552"/>
      <c r="M1261" s="552"/>
      <c r="N1261" s="552"/>
      <c r="O1261" s="552"/>
      <c r="P1261" s="552"/>
      <c r="Q1261" s="552"/>
      <c r="R1261" s="552"/>
      <c r="S1261" s="552"/>
      <c r="T1261" s="552"/>
      <c r="U1261" s="552"/>
      <c r="V1261" s="552"/>
      <c r="W1261" s="552"/>
      <c r="X1261" s="552"/>
      <c r="Y1261" s="552"/>
      <c r="Z1261" s="552"/>
      <c r="AA1261" s="552"/>
      <c r="AB1261" s="552"/>
      <c r="AC1261" s="552"/>
      <c r="AD1261" s="552"/>
      <c r="AE1261" s="552"/>
      <c r="AF1261" s="552"/>
      <c r="AG1261" s="552"/>
      <c r="AH1261" s="552"/>
      <c r="AI1261" s="552"/>
      <c r="AJ1261" s="552"/>
      <c r="AK1261" s="552"/>
      <c r="AL1261" s="552"/>
      <c r="AM1261" s="552"/>
      <c r="AN1261" s="552"/>
      <c r="AO1261" s="552"/>
      <c r="AP1261" s="709" t="s">
        <v>8454</v>
      </c>
      <c r="AQ1261" s="552" t="s">
        <v>1186</v>
      </c>
      <c r="AR1261" s="552" t="s">
        <v>2998</v>
      </c>
      <c r="AS1261" s="552" t="s">
        <v>7484</v>
      </c>
      <c r="AT1261" s="552" t="s">
        <v>726</v>
      </c>
    </row>
    <row r="1262" spans="1:46" ht="14.7" customHeight="1">
      <c r="A1262" s="706" t="s">
        <v>6649</v>
      </c>
      <c r="B1262" s="557" t="s">
        <v>3698</v>
      </c>
      <c r="C1262" s="727" t="s">
        <v>8329</v>
      </c>
      <c r="D1262" s="714" t="s">
        <v>8455</v>
      </c>
      <c r="E1262" s="714" t="s">
        <v>8421</v>
      </c>
      <c r="F1262" s="714"/>
      <c r="G1262" s="714"/>
      <c r="H1262" s="714"/>
      <c r="I1262" s="714"/>
      <c r="J1262" s="716"/>
      <c r="K1262" s="552"/>
      <c r="L1262" s="552"/>
      <c r="M1262" s="552"/>
      <c r="N1262" s="552"/>
      <c r="O1262" s="552">
        <v>50</v>
      </c>
      <c r="P1262" s="552"/>
      <c r="Q1262" s="552"/>
      <c r="R1262" s="552"/>
      <c r="S1262" s="552"/>
      <c r="T1262" s="552"/>
      <c r="U1262" s="552"/>
      <c r="V1262" s="552"/>
      <c r="W1262" s="552"/>
      <c r="X1262" s="552"/>
      <c r="Y1262" s="552"/>
      <c r="Z1262" s="552"/>
      <c r="AA1262" s="552"/>
      <c r="AB1262" s="552"/>
      <c r="AC1262" s="552"/>
      <c r="AD1262" s="552"/>
      <c r="AE1262" s="552"/>
      <c r="AF1262" s="552"/>
      <c r="AG1262" s="552"/>
      <c r="AH1262" s="552"/>
      <c r="AI1262" s="552"/>
      <c r="AJ1262" s="552"/>
      <c r="AK1262" s="552"/>
      <c r="AL1262" s="552"/>
      <c r="AM1262" s="552"/>
      <c r="AN1262" s="552"/>
      <c r="AO1262" s="709" t="s">
        <v>8456</v>
      </c>
      <c r="AP1262" s="552"/>
      <c r="AQ1262" s="552" t="s">
        <v>1186</v>
      </c>
      <c r="AR1262" s="552" t="s">
        <v>2998</v>
      </c>
      <c r="AS1262" s="552" t="s">
        <v>6881</v>
      </c>
      <c r="AT1262" s="552" t="s">
        <v>726</v>
      </c>
    </row>
    <row r="1263" spans="1:46" ht="14.7" customHeight="1">
      <c r="A1263" s="710" t="s">
        <v>6650</v>
      </c>
      <c r="B1263" s="557" t="s">
        <v>3698</v>
      </c>
      <c r="C1263" s="727" t="s">
        <v>8329</v>
      </c>
      <c r="D1263" s="714" t="s">
        <v>8457</v>
      </c>
      <c r="E1263" s="714" t="s">
        <v>8421</v>
      </c>
      <c r="F1263" s="714"/>
      <c r="G1263" s="714"/>
      <c r="H1263" s="714"/>
      <c r="I1263" s="714"/>
      <c r="J1263" s="716"/>
      <c r="K1263" s="552"/>
      <c r="L1263" s="552"/>
      <c r="M1263" s="552"/>
      <c r="N1263" s="552"/>
      <c r="O1263" s="552"/>
      <c r="P1263" s="552">
        <v>3</v>
      </c>
      <c r="Q1263" s="552"/>
      <c r="R1263" s="552"/>
      <c r="S1263" s="552"/>
      <c r="T1263" s="552"/>
      <c r="U1263" s="552"/>
      <c r="V1263" s="552"/>
      <c r="W1263" s="552"/>
      <c r="X1263" s="552"/>
      <c r="Y1263" s="552"/>
      <c r="Z1263" s="552"/>
      <c r="AA1263" s="552"/>
      <c r="AB1263" s="552"/>
      <c r="AC1263" s="552"/>
      <c r="AD1263" s="552"/>
      <c r="AE1263" s="552"/>
      <c r="AF1263" s="552"/>
      <c r="AG1263" s="552"/>
      <c r="AH1263" s="552"/>
      <c r="AI1263" s="552"/>
      <c r="AJ1263" s="552"/>
      <c r="AK1263" s="552"/>
      <c r="AL1263" s="552"/>
      <c r="AM1263" s="552"/>
      <c r="AN1263" s="552"/>
      <c r="AO1263" s="709" t="s">
        <v>8458</v>
      </c>
      <c r="AP1263" s="552"/>
      <c r="AQ1263" s="552" t="s">
        <v>1186</v>
      </c>
      <c r="AR1263" s="552" t="s">
        <v>2998</v>
      </c>
      <c r="AS1263" s="552" t="s">
        <v>6967</v>
      </c>
      <c r="AT1263" s="552" t="s">
        <v>726</v>
      </c>
    </row>
    <row r="1264" spans="1:46" ht="14.7" customHeight="1">
      <c r="A1264" s="710" t="s">
        <v>8459</v>
      </c>
      <c r="B1264" s="557" t="s">
        <v>3698</v>
      </c>
      <c r="C1264" s="727" t="s">
        <v>8329</v>
      </c>
      <c r="D1264" s="714" t="s">
        <v>8460</v>
      </c>
      <c r="E1264" s="714" t="s">
        <v>8421</v>
      </c>
      <c r="F1264" s="714"/>
      <c r="G1264" s="714"/>
      <c r="H1264" s="714"/>
      <c r="I1264" s="714"/>
      <c r="J1264" s="716"/>
      <c r="K1264" s="552"/>
      <c r="L1264" s="552"/>
      <c r="M1264" s="552"/>
      <c r="N1264" s="552"/>
      <c r="O1264" s="552"/>
      <c r="P1264" s="552"/>
      <c r="Q1264" s="552"/>
      <c r="R1264" s="552"/>
      <c r="S1264" s="552"/>
      <c r="T1264" s="552"/>
      <c r="U1264" s="552"/>
      <c r="V1264" s="552"/>
      <c r="W1264" s="552"/>
      <c r="X1264" s="552"/>
      <c r="Y1264" s="552"/>
      <c r="Z1264" s="552"/>
      <c r="AA1264" s="552"/>
      <c r="AB1264" s="552"/>
      <c r="AC1264" s="552"/>
      <c r="AD1264" s="552"/>
      <c r="AE1264" s="552"/>
      <c r="AF1264" s="552"/>
      <c r="AG1264" s="552"/>
      <c r="AH1264" s="552"/>
      <c r="AI1264" s="552"/>
      <c r="AJ1264" s="552"/>
      <c r="AK1264" s="552"/>
      <c r="AL1264" s="552"/>
      <c r="AM1264" s="552">
        <v>1</v>
      </c>
      <c r="AN1264" s="552"/>
      <c r="AO1264" s="552"/>
      <c r="AP1264" s="713" t="s">
        <v>8461</v>
      </c>
      <c r="AQ1264" s="552" t="s">
        <v>1186</v>
      </c>
      <c r="AR1264" s="552" t="s">
        <v>2998</v>
      </c>
      <c r="AS1264" s="552" t="s">
        <v>7484</v>
      </c>
      <c r="AT1264" s="552" t="s">
        <v>726</v>
      </c>
    </row>
    <row r="1265" spans="1:46" ht="14.7" customHeight="1">
      <c r="A1265" s="706" t="s">
        <v>6651</v>
      </c>
      <c r="B1265" s="557" t="s">
        <v>3698</v>
      </c>
      <c r="C1265" s="727" t="s">
        <v>8329</v>
      </c>
      <c r="D1265" s="714" t="s">
        <v>8462</v>
      </c>
      <c r="E1265" s="714" t="s">
        <v>8421</v>
      </c>
      <c r="F1265" s="714"/>
      <c r="G1265" s="714"/>
      <c r="H1265" s="714"/>
      <c r="I1265" s="714"/>
      <c r="J1265" s="716"/>
      <c r="K1265" s="552"/>
      <c r="L1265" s="552"/>
      <c r="M1265" s="552"/>
      <c r="N1265" s="552"/>
      <c r="O1265" s="552"/>
      <c r="P1265" s="552"/>
      <c r="Q1265" s="552"/>
      <c r="R1265" s="552"/>
      <c r="S1265" s="552"/>
      <c r="T1265" s="552"/>
      <c r="U1265" s="552"/>
      <c r="V1265" s="552"/>
      <c r="W1265" s="552"/>
      <c r="X1265" s="552"/>
      <c r="Y1265" s="552"/>
      <c r="Z1265" s="552"/>
      <c r="AA1265" s="552"/>
      <c r="AB1265" s="552"/>
      <c r="AC1265" s="552"/>
      <c r="AD1265" s="552"/>
      <c r="AE1265" s="552"/>
      <c r="AF1265" s="552"/>
      <c r="AG1265" s="552"/>
      <c r="AH1265" s="552"/>
      <c r="AI1265" s="552"/>
      <c r="AJ1265" s="552"/>
      <c r="AK1265" s="552"/>
      <c r="AL1265" s="552"/>
      <c r="AM1265" s="552"/>
      <c r="AN1265" s="552"/>
      <c r="AO1265" s="709" t="s">
        <v>8463</v>
      </c>
      <c r="AP1265" s="552"/>
      <c r="AQ1265" s="552" t="s">
        <v>1186</v>
      </c>
      <c r="AR1265" s="552" t="s">
        <v>2998</v>
      </c>
      <c r="AS1265" s="552" t="s">
        <v>6881</v>
      </c>
      <c r="AT1265" s="552" t="s">
        <v>726</v>
      </c>
    </row>
    <row r="1266" spans="1:46" ht="14.7" customHeight="1">
      <c r="A1266" s="710" t="s">
        <v>8464</v>
      </c>
      <c r="B1266" s="557" t="s">
        <v>3698</v>
      </c>
      <c r="C1266" s="727" t="s">
        <v>8329</v>
      </c>
      <c r="D1266" s="714" t="s">
        <v>8465</v>
      </c>
      <c r="E1266" s="714" t="s">
        <v>8421</v>
      </c>
      <c r="F1266" s="714"/>
      <c r="G1266" s="714"/>
      <c r="H1266" s="714"/>
      <c r="I1266" s="714"/>
      <c r="J1266" s="716"/>
      <c r="K1266" s="552"/>
      <c r="L1266" s="552"/>
      <c r="M1266" s="552"/>
      <c r="N1266" s="552"/>
      <c r="O1266" s="552"/>
      <c r="P1266" s="552"/>
      <c r="Q1266" s="552"/>
      <c r="R1266" s="552"/>
      <c r="S1266" s="552"/>
      <c r="T1266" s="552"/>
      <c r="U1266" s="552"/>
      <c r="V1266" s="552"/>
      <c r="W1266" s="552"/>
      <c r="X1266" s="552"/>
      <c r="Y1266" s="552"/>
      <c r="Z1266" s="552"/>
      <c r="AA1266" s="552"/>
      <c r="AB1266" s="552"/>
      <c r="AC1266" s="552"/>
      <c r="AD1266" s="552"/>
      <c r="AE1266" s="552"/>
      <c r="AF1266" s="552"/>
      <c r="AG1266" s="552"/>
      <c r="AH1266" s="552"/>
      <c r="AI1266" s="552"/>
      <c r="AJ1266" s="552"/>
      <c r="AK1266" s="552"/>
      <c r="AL1266" s="552"/>
      <c r="AM1266" s="552"/>
      <c r="AN1266" s="552"/>
      <c r="AO1266" s="552"/>
      <c r="AP1266" s="713" t="s">
        <v>8466</v>
      </c>
      <c r="AQ1266" s="552" t="s">
        <v>1186</v>
      </c>
      <c r="AR1266" s="552" t="s">
        <v>2998</v>
      </c>
      <c r="AS1266" s="552" t="s">
        <v>6967</v>
      </c>
      <c r="AT1266" s="552" t="s">
        <v>726</v>
      </c>
    </row>
    <row r="1267" spans="1:46" ht="14.7" customHeight="1">
      <c r="A1267" s="710" t="s">
        <v>8467</v>
      </c>
      <c r="B1267" s="344" t="s">
        <v>3699</v>
      </c>
      <c r="C1267" s="727" t="s">
        <v>8329</v>
      </c>
      <c r="D1267" s="714" t="s">
        <v>8468</v>
      </c>
      <c r="E1267" s="714" t="s">
        <v>8421</v>
      </c>
      <c r="F1267" s="714"/>
      <c r="G1267" s="714"/>
      <c r="H1267" s="714"/>
      <c r="I1267" s="714"/>
      <c r="J1267" s="716"/>
      <c r="K1267" s="552"/>
      <c r="L1267" s="552"/>
      <c r="M1267" s="552"/>
      <c r="N1267" s="552"/>
      <c r="O1267" s="552"/>
      <c r="P1267" s="552">
        <v>7</v>
      </c>
      <c r="Q1267" s="552"/>
      <c r="R1267" s="552"/>
      <c r="S1267" s="552"/>
      <c r="T1267" s="552"/>
      <c r="U1267" s="552"/>
      <c r="V1267" s="552"/>
      <c r="W1267" s="552"/>
      <c r="X1267" s="552"/>
      <c r="Y1267" s="552"/>
      <c r="Z1267" s="552"/>
      <c r="AA1267" s="552"/>
      <c r="AB1267" s="552"/>
      <c r="AC1267" s="552"/>
      <c r="AD1267" s="552"/>
      <c r="AE1267" s="552"/>
      <c r="AF1267" s="552"/>
      <c r="AG1267" s="552"/>
      <c r="AH1267" s="552"/>
      <c r="AI1267" s="552"/>
      <c r="AJ1267" s="552"/>
      <c r="AK1267" s="552"/>
      <c r="AL1267" s="552"/>
      <c r="AM1267" s="552"/>
      <c r="AN1267" s="552"/>
      <c r="AO1267" s="552"/>
      <c r="AP1267" s="709" t="s">
        <v>8469</v>
      </c>
      <c r="AQ1267" s="552" t="s">
        <v>1186</v>
      </c>
      <c r="AR1267" s="552" t="s">
        <v>2809</v>
      </c>
      <c r="AS1267" s="552" t="s">
        <v>7484</v>
      </c>
      <c r="AT1267" s="552" t="s">
        <v>726</v>
      </c>
    </row>
    <row r="1268" spans="1:46" ht="14.7" customHeight="1">
      <c r="A1268" s="710" t="s">
        <v>6652</v>
      </c>
      <c r="B1268" s="344" t="s">
        <v>3699</v>
      </c>
      <c r="C1268" s="727" t="s">
        <v>8329</v>
      </c>
      <c r="D1268" s="714" t="s">
        <v>8470</v>
      </c>
      <c r="E1268" s="714" t="s">
        <v>8421</v>
      </c>
      <c r="F1268" s="714"/>
      <c r="G1268" s="714"/>
      <c r="H1268" s="714"/>
      <c r="I1268" s="714"/>
      <c r="J1268" s="716"/>
      <c r="K1268" s="552"/>
      <c r="L1268" s="552"/>
      <c r="M1268" s="552"/>
      <c r="N1268" s="552">
        <v>80</v>
      </c>
      <c r="O1268" s="552"/>
      <c r="P1268" s="552">
        <v>4</v>
      </c>
      <c r="Q1268" s="552"/>
      <c r="R1268" s="552">
        <v>4</v>
      </c>
      <c r="S1268" s="552"/>
      <c r="T1268" s="552"/>
      <c r="U1268" s="552"/>
      <c r="V1268" s="552"/>
      <c r="W1268" s="552"/>
      <c r="X1268" s="552"/>
      <c r="Y1268" s="552"/>
      <c r="Z1268" s="552"/>
      <c r="AA1268" s="552"/>
      <c r="AB1268" s="552"/>
      <c r="AC1268" s="552"/>
      <c r="AD1268" s="552">
        <v>40</v>
      </c>
      <c r="AE1268" s="552"/>
      <c r="AF1268" s="552"/>
      <c r="AG1268" s="552"/>
      <c r="AH1268" s="552"/>
      <c r="AI1268" s="552"/>
      <c r="AJ1268" s="552"/>
      <c r="AK1268" s="552"/>
      <c r="AL1268" s="552"/>
      <c r="AM1268" s="552"/>
      <c r="AN1268" s="552"/>
      <c r="AO1268" s="709" t="s">
        <v>8471</v>
      </c>
      <c r="AP1268" s="552"/>
      <c r="AQ1268" s="552" t="s">
        <v>1186</v>
      </c>
      <c r="AR1268" s="552" t="s">
        <v>2809</v>
      </c>
      <c r="AS1268" s="552" t="s">
        <v>6881</v>
      </c>
      <c r="AT1268" s="552" t="s">
        <v>726</v>
      </c>
    </row>
    <row r="1269" spans="1:46" ht="14.7" customHeight="1">
      <c r="A1269" s="710" t="s">
        <v>6653</v>
      </c>
      <c r="B1269" s="344" t="s">
        <v>3699</v>
      </c>
      <c r="C1269" s="727" t="s">
        <v>8329</v>
      </c>
      <c r="D1269" s="714" t="s">
        <v>8472</v>
      </c>
      <c r="E1269" s="714" t="s">
        <v>8421</v>
      </c>
      <c r="F1269" s="714"/>
      <c r="G1269" s="714"/>
      <c r="H1269" s="714"/>
      <c r="I1269" s="714"/>
      <c r="J1269" s="716"/>
      <c r="K1269" s="552"/>
      <c r="L1269" s="552"/>
      <c r="M1269" s="552"/>
      <c r="N1269" s="552"/>
      <c r="O1269" s="552"/>
      <c r="P1269" s="552"/>
      <c r="Q1269" s="552"/>
      <c r="R1269" s="552"/>
      <c r="S1269" s="552"/>
      <c r="T1269" s="552"/>
      <c r="U1269" s="552"/>
      <c r="V1269" s="552"/>
      <c r="W1269" s="552"/>
      <c r="X1269" s="552"/>
      <c r="Y1269" s="552"/>
      <c r="Z1269" s="552"/>
      <c r="AA1269" s="552"/>
      <c r="AB1269" s="552">
        <v>20</v>
      </c>
      <c r="AC1269" s="552"/>
      <c r="AD1269" s="552"/>
      <c r="AE1269" s="552"/>
      <c r="AF1269" s="552">
        <v>20</v>
      </c>
      <c r="AG1269" s="552">
        <v>20</v>
      </c>
      <c r="AH1269" s="552"/>
      <c r="AI1269" s="552"/>
      <c r="AJ1269" s="552"/>
      <c r="AK1269" s="552"/>
      <c r="AL1269" s="552"/>
      <c r="AM1269" s="552"/>
      <c r="AN1269" s="552"/>
      <c r="AO1269" s="552"/>
      <c r="AP1269" s="709" t="s">
        <v>8473</v>
      </c>
      <c r="AQ1269" s="552" t="s">
        <v>1186</v>
      </c>
      <c r="AR1269" s="552" t="s">
        <v>2809</v>
      </c>
      <c r="AS1269" s="552" t="s">
        <v>6967</v>
      </c>
      <c r="AT1269" s="552" t="s">
        <v>726</v>
      </c>
    </row>
    <row r="1270" spans="1:46" ht="14.7" customHeight="1">
      <c r="A1270" s="710" t="s">
        <v>6654</v>
      </c>
      <c r="B1270" s="344" t="s">
        <v>3699</v>
      </c>
      <c r="C1270" s="727" t="s">
        <v>8329</v>
      </c>
      <c r="D1270" s="714" t="s">
        <v>8474</v>
      </c>
      <c r="E1270" s="714" t="s">
        <v>8421</v>
      </c>
      <c r="F1270" s="714"/>
      <c r="G1270" s="714"/>
      <c r="H1270" s="714"/>
      <c r="I1270" s="714"/>
      <c r="J1270" s="716"/>
      <c r="K1270" s="552"/>
      <c r="L1270" s="552"/>
      <c r="M1270" s="552"/>
      <c r="N1270" s="552">
        <v>-100</v>
      </c>
      <c r="O1270" s="552">
        <v>-100</v>
      </c>
      <c r="P1270" s="552">
        <v>-5</v>
      </c>
      <c r="Q1270" s="552">
        <v>-5</v>
      </c>
      <c r="R1270" s="552">
        <v>-5</v>
      </c>
      <c r="S1270" s="552">
        <v>-3</v>
      </c>
      <c r="T1270" s="552">
        <v>-3</v>
      </c>
      <c r="U1270" s="552">
        <v>-3</v>
      </c>
      <c r="V1270" s="552"/>
      <c r="W1270" s="552"/>
      <c r="X1270" s="552"/>
      <c r="Y1270" s="552"/>
      <c r="Z1270" s="552"/>
      <c r="AA1270" s="552"/>
      <c r="AB1270" s="552"/>
      <c r="AC1270" s="552"/>
      <c r="AD1270" s="552"/>
      <c r="AE1270" s="552"/>
      <c r="AF1270" s="552"/>
      <c r="AG1270" s="552"/>
      <c r="AH1270" s="552"/>
      <c r="AI1270" s="552"/>
      <c r="AJ1270" s="552"/>
      <c r="AK1270" s="552"/>
      <c r="AL1270" s="552"/>
      <c r="AM1270" s="552"/>
      <c r="AN1270" s="552"/>
      <c r="AO1270" s="713" t="s">
        <v>8475</v>
      </c>
      <c r="AP1270" s="552"/>
      <c r="AQ1270" s="552" t="s">
        <v>1186</v>
      </c>
      <c r="AR1270" s="552" t="s">
        <v>2809</v>
      </c>
      <c r="AS1270" s="552" t="s">
        <v>7484</v>
      </c>
      <c r="AT1270" s="552" t="s">
        <v>726</v>
      </c>
    </row>
    <row r="1271" spans="1:46" ht="14.7" customHeight="1">
      <c r="A1271" s="710" t="s">
        <v>8476</v>
      </c>
      <c r="B1271" s="344" t="s">
        <v>3699</v>
      </c>
      <c r="C1271" s="727" t="s">
        <v>8329</v>
      </c>
      <c r="D1271" s="714" t="s">
        <v>8477</v>
      </c>
      <c r="E1271" s="714" t="s">
        <v>8421</v>
      </c>
      <c r="F1271" s="714"/>
      <c r="G1271" s="714"/>
      <c r="H1271" s="714"/>
      <c r="I1271" s="714"/>
      <c r="J1271" s="716"/>
      <c r="K1271" s="552"/>
      <c r="L1271" s="552"/>
      <c r="M1271" s="552"/>
      <c r="N1271" s="552"/>
      <c r="O1271" s="552"/>
      <c r="P1271" s="552"/>
      <c r="Q1271" s="552"/>
      <c r="R1271" s="552"/>
      <c r="S1271" s="552"/>
      <c r="T1271" s="552"/>
      <c r="U1271" s="552"/>
      <c r="V1271" s="552"/>
      <c r="W1271" s="552"/>
      <c r="X1271" s="552"/>
      <c r="Y1271" s="552"/>
      <c r="Z1271" s="552"/>
      <c r="AA1271" s="552"/>
      <c r="AB1271" s="552"/>
      <c r="AC1271" s="552"/>
      <c r="AD1271" s="552"/>
      <c r="AE1271" s="552"/>
      <c r="AF1271" s="552"/>
      <c r="AG1271" s="552"/>
      <c r="AH1271" s="552"/>
      <c r="AI1271" s="552"/>
      <c r="AJ1271" s="552"/>
      <c r="AK1271" s="552"/>
      <c r="AL1271" s="552"/>
      <c r="AM1271" s="552"/>
      <c r="AN1271" s="552"/>
      <c r="AO1271" s="552"/>
      <c r="AP1271" s="709" t="s">
        <v>8478</v>
      </c>
      <c r="AQ1271" s="552" t="s">
        <v>1186</v>
      </c>
      <c r="AR1271" s="552" t="s">
        <v>2809</v>
      </c>
      <c r="AS1271" s="552" t="s">
        <v>6881</v>
      </c>
      <c r="AT1271" s="552" t="s">
        <v>726</v>
      </c>
    </row>
    <row r="1272" spans="1:46" ht="14.7" customHeight="1">
      <c r="A1272" s="710" t="s">
        <v>6655</v>
      </c>
      <c r="B1272" s="344" t="s">
        <v>3699</v>
      </c>
      <c r="C1272" s="727" t="s">
        <v>8329</v>
      </c>
      <c r="D1272" s="714" t="s">
        <v>8479</v>
      </c>
      <c r="E1272" s="714" t="s">
        <v>8421</v>
      </c>
      <c r="F1272" s="714"/>
      <c r="G1272" s="714"/>
      <c r="H1272" s="714"/>
      <c r="I1272" s="714"/>
      <c r="J1272" s="716"/>
      <c r="K1272" s="552"/>
      <c r="L1272" s="552"/>
      <c r="M1272" s="552"/>
      <c r="N1272" s="552"/>
      <c r="O1272" s="552"/>
      <c r="P1272" s="552"/>
      <c r="Q1272" s="552"/>
      <c r="R1272" s="552"/>
      <c r="S1272" s="552"/>
      <c r="T1272" s="552"/>
      <c r="U1272" s="552"/>
      <c r="V1272" s="552"/>
      <c r="W1272" s="552"/>
      <c r="X1272" s="552"/>
      <c r="Y1272" s="552"/>
      <c r="Z1272" s="552"/>
      <c r="AA1272" s="552"/>
      <c r="AB1272" s="552"/>
      <c r="AC1272" s="552"/>
      <c r="AD1272" s="552"/>
      <c r="AE1272" s="552"/>
      <c r="AF1272" s="552"/>
      <c r="AG1272" s="552"/>
      <c r="AH1272" s="552"/>
      <c r="AI1272" s="552"/>
      <c r="AJ1272" s="552"/>
      <c r="AK1272" s="552"/>
      <c r="AL1272" s="552"/>
      <c r="AM1272" s="552"/>
      <c r="AN1272" s="552"/>
      <c r="AO1272" s="713" t="s">
        <v>8480</v>
      </c>
      <c r="AP1272" s="552"/>
      <c r="AQ1272" s="552" t="s">
        <v>1186</v>
      </c>
      <c r="AR1272" s="552" t="s">
        <v>2809</v>
      </c>
      <c r="AS1272" s="552" t="s">
        <v>6967</v>
      </c>
      <c r="AT1272" s="552" t="s">
        <v>726</v>
      </c>
    </row>
    <row r="1273" spans="1:46" ht="14.7" customHeight="1">
      <c r="A1273" s="710" t="s">
        <v>8481</v>
      </c>
      <c r="B1273" s="344" t="s">
        <v>3699</v>
      </c>
      <c r="C1273" s="727" t="s">
        <v>8329</v>
      </c>
      <c r="D1273" s="714" t="s">
        <v>8482</v>
      </c>
      <c r="E1273" s="714" t="s">
        <v>8449</v>
      </c>
      <c r="F1273" s="714"/>
      <c r="G1273" s="714"/>
      <c r="H1273" s="714"/>
      <c r="I1273" s="714"/>
      <c r="J1273" s="716"/>
      <c r="K1273" s="552"/>
      <c r="L1273" s="552"/>
      <c r="M1273" s="552"/>
      <c r="N1273" s="552"/>
      <c r="O1273" s="552"/>
      <c r="P1273" s="552"/>
      <c r="Q1273" s="552"/>
      <c r="R1273" s="552"/>
      <c r="S1273" s="552"/>
      <c r="T1273" s="552"/>
      <c r="U1273" s="552"/>
      <c r="V1273" s="552"/>
      <c r="W1273" s="552"/>
      <c r="X1273" s="552"/>
      <c r="Y1273" s="552"/>
      <c r="Z1273" s="552"/>
      <c r="AA1273" s="552"/>
      <c r="AB1273" s="552"/>
      <c r="AC1273" s="552"/>
      <c r="AD1273" s="552"/>
      <c r="AE1273" s="552"/>
      <c r="AF1273" s="552"/>
      <c r="AG1273" s="552"/>
      <c r="AH1273" s="552"/>
      <c r="AI1273" s="552"/>
      <c r="AJ1273" s="552"/>
      <c r="AK1273" s="552"/>
      <c r="AL1273" s="552"/>
      <c r="AM1273" s="552"/>
      <c r="AN1273" s="552"/>
      <c r="AO1273" s="552" t="s">
        <v>8483</v>
      </c>
      <c r="AP1273" s="552" t="s">
        <v>8484</v>
      </c>
      <c r="AQ1273" s="552" t="s">
        <v>1186</v>
      </c>
      <c r="AR1273" s="552" t="s">
        <v>2809</v>
      </c>
      <c r="AS1273" s="552" t="s">
        <v>7484</v>
      </c>
      <c r="AT1273" s="552" t="s">
        <v>726</v>
      </c>
    </row>
    <row r="1274" spans="1:46" ht="14.7" customHeight="1">
      <c r="A1274" s="706" t="s">
        <v>8485</v>
      </c>
      <c r="B1274" s="344" t="s">
        <v>3699</v>
      </c>
      <c r="C1274" s="727" t="s">
        <v>8329</v>
      </c>
      <c r="D1274" s="714" t="s">
        <v>8486</v>
      </c>
      <c r="E1274" s="714" t="s">
        <v>8421</v>
      </c>
      <c r="F1274" s="714"/>
      <c r="G1274" s="714"/>
      <c r="H1274" s="714"/>
      <c r="I1274" s="714"/>
      <c r="J1274" s="716"/>
      <c r="K1274" s="552"/>
      <c r="L1274" s="552"/>
      <c r="M1274" s="552"/>
      <c r="N1274" s="552"/>
      <c r="O1274" s="552"/>
      <c r="P1274" s="552"/>
      <c r="Q1274" s="552"/>
      <c r="R1274" s="552"/>
      <c r="S1274" s="552"/>
      <c r="T1274" s="552"/>
      <c r="U1274" s="552"/>
      <c r="V1274" s="552"/>
      <c r="W1274" s="552"/>
      <c r="X1274" s="552"/>
      <c r="Y1274" s="552"/>
      <c r="Z1274" s="552"/>
      <c r="AA1274" s="552"/>
      <c r="AB1274" s="552"/>
      <c r="AC1274" s="552"/>
      <c r="AD1274" s="552"/>
      <c r="AE1274" s="552"/>
      <c r="AF1274" s="552"/>
      <c r="AG1274" s="552"/>
      <c r="AH1274" s="552"/>
      <c r="AI1274" s="552"/>
      <c r="AJ1274" s="552"/>
      <c r="AK1274" s="552"/>
      <c r="AL1274" s="552"/>
      <c r="AM1274" s="552"/>
      <c r="AN1274" s="552"/>
      <c r="AO1274" s="552"/>
      <c r="AP1274" s="709" t="s">
        <v>8487</v>
      </c>
      <c r="AQ1274" s="552" t="s">
        <v>1186</v>
      </c>
      <c r="AR1274" s="552" t="s">
        <v>2809</v>
      </c>
      <c r="AS1274" s="552" t="s">
        <v>6881</v>
      </c>
      <c r="AT1274" s="552" t="s">
        <v>726</v>
      </c>
    </row>
    <row r="1275" spans="1:46" ht="14.7" customHeight="1">
      <c r="A1275" s="710" t="s">
        <v>9121</v>
      </c>
      <c r="B1275" s="344" t="s">
        <v>3699</v>
      </c>
      <c r="C1275" s="727" t="s">
        <v>8329</v>
      </c>
      <c r="D1275" s="714" t="s">
        <v>8488</v>
      </c>
      <c r="E1275" s="714" t="s">
        <v>8421</v>
      </c>
      <c r="F1275" s="714"/>
      <c r="G1275" s="714"/>
      <c r="H1275" s="714"/>
      <c r="I1275" s="714"/>
      <c r="J1275" s="716"/>
      <c r="K1275" s="552"/>
      <c r="L1275" s="552"/>
      <c r="M1275" s="552"/>
      <c r="N1275" s="552"/>
      <c r="O1275" s="552"/>
      <c r="P1275" s="552"/>
      <c r="Q1275" s="552"/>
      <c r="R1275" s="552"/>
      <c r="S1275" s="552"/>
      <c r="T1275" s="552"/>
      <c r="U1275" s="552"/>
      <c r="V1275" s="552"/>
      <c r="W1275" s="552"/>
      <c r="X1275" s="552"/>
      <c r="Y1275" s="552">
        <v>5</v>
      </c>
      <c r="Z1275" s="552"/>
      <c r="AA1275" s="552"/>
      <c r="AB1275" s="552"/>
      <c r="AC1275" s="552">
        <v>40</v>
      </c>
      <c r="AD1275" s="552"/>
      <c r="AE1275" s="552"/>
      <c r="AF1275" s="552"/>
      <c r="AG1275" s="552"/>
      <c r="AH1275" s="552"/>
      <c r="AI1275" s="552"/>
      <c r="AJ1275" s="552"/>
      <c r="AK1275" s="552"/>
      <c r="AL1275" s="552"/>
      <c r="AM1275" s="552"/>
      <c r="AN1275" s="552"/>
      <c r="AO1275" s="709" t="s">
        <v>8489</v>
      </c>
      <c r="AP1275" s="713" t="s">
        <v>9122</v>
      </c>
      <c r="AQ1275" s="552" t="s">
        <v>1186</v>
      </c>
      <c r="AR1275" s="552" t="s">
        <v>2809</v>
      </c>
      <c r="AS1275" s="552" t="s">
        <v>6967</v>
      </c>
      <c r="AT1275" s="552" t="s">
        <v>726</v>
      </c>
    </row>
    <row r="1276" spans="1:46" ht="14.7" customHeight="1">
      <c r="A1276" s="706"/>
      <c r="B1276" s="344" t="s">
        <v>3699</v>
      </c>
      <c r="C1276" s="727" t="s">
        <v>8329</v>
      </c>
      <c r="D1276" s="727" t="s">
        <v>2783</v>
      </c>
      <c r="E1276" s="714"/>
      <c r="F1276" s="714"/>
      <c r="G1276" s="714"/>
      <c r="H1276" s="714"/>
      <c r="I1276" s="714"/>
      <c r="J1276" s="716"/>
      <c r="K1276" s="552"/>
      <c r="L1276" s="552"/>
      <c r="M1276" s="552"/>
      <c r="N1276" s="552"/>
      <c r="O1276" s="552"/>
      <c r="P1276" s="552"/>
      <c r="Q1276" s="552"/>
      <c r="R1276" s="552"/>
      <c r="S1276" s="552"/>
      <c r="T1276" s="552"/>
      <c r="U1276" s="552"/>
      <c r="V1276" s="552"/>
      <c r="W1276" s="552"/>
      <c r="X1276" s="552"/>
      <c r="Y1276" s="552"/>
      <c r="Z1276" s="552"/>
      <c r="AA1276" s="552"/>
      <c r="AB1276" s="552"/>
      <c r="AC1276" s="552"/>
      <c r="AD1276" s="552"/>
      <c r="AE1276" s="552"/>
      <c r="AF1276" s="552"/>
      <c r="AG1276" s="552"/>
      <c r="AH1276" s="552"/>
      <c r="AI1276" s="552"/>
      <c r="AJ1276" s="552"/>
      <c r="AK1276" s="552"/>
      <c r="AL1276" s="552"/>
      <c r="AM1276" s="552"/>
      <c r="AN1276" s="552"/>
      <c r="AO1276" s="552"/>
      <c r="AP1276" s="552"/>
      <c r="AQ1276" s="552" t="s">
        <v>1186</v>
      </c>
      <c r="AR1276" s="552" t="s">
        <v>2809</v>
      </c>
      <c r="AS1276" s="552" t="s">
        <v>7484</v>
      </c>
      <c r="AT1276" s="552" t="s">
        <v>726</v>
      </c>
    </row>
    <row r="1277" spans="1:46" ht="14.7" customHeight="1">
      <c r="A1277" s="706"/>
      <c r="B1277" s="559" t="s">
        <v>3700</v>
      </c>
      <c r="C1277" s="727" t="s">
        <v>8329</v>
      </c>
      <c r="D1277" s="727" t="s">
        <v>2783</v>
      </c>
      <c r="E1277" s="714"/>
      <c r="F1277" s="714"/>
      <c r="G1277" s="714"/>
      <c r="H1277" s="714"/>
      <c r="I1277" s="714"/>
      <c r="J1277" s="716"/>
      <c r="K1277" s="552"/>
      <c r="L1277" s="552"/>
      <c r="M1277" s="552"/>
      <c r="N1277" s="552"/>
      <c r="O1277" s="552"/>
      <c r="P1277" s="552"/>
      <c r="Q1277" s="552"/>
      <c r="R1277" s="552"/>
      <c r="S1277" s="552"/>
      <c r="T1277" s="552"/>
      <c r="U1277" s="552"/>
      <c r="V1277" s="552"/>
      <c r="W1277" s="552"/>
      <c r="X1277" s="552"/>
      <c r="Y1277" s="552"/>
      <c r="Z1277" s="552"/>
      <c r="AA1277" s="552"/>
      <c r="AB1277" s="552"/>
      <c r="AC1277" s="552"/>
      <c r="AD1277" s="552"/>
      <c r="AE1277" s="552"/>
      <c r="AF1277" s="552"/>
      <c r="AG1277" s="552"/>
      <c r="AH1277" s="552"/>
      <c r="AI1277" s="552"/>
      <c r="AJ1277" s="552"/>
      <c r="AK1277" s="552"/>
      <c r="AL1277" s="552"/>
      <c r="AM1277" s="552"/>
      <c r="AN1277" s="552"/>
      <c r="AO1277" s="552"/>
      <c r="AP1277" s="552"/>
      <c r="AQ1277" s="552" t="s">
        <v>1186</v>
      </c>
      <c r="AR1277" s="552" t="s">
        <v>2971</v>
      </c>
      <c r="AS1277" s="552" t="s">
        <v>6881</v>
      </c>
      <c r="AT1277" s="552" t="s">
        <v>726</v>
      </c>
    </row>
    <row r="1278" spans="1:46" ht="14.7" customHeight="1">
      <c r="A1278" s="710" t="s">
        <v>6656</v>
      </c>
      <c r="B1278" s="559" t="s">
        <v>3700</v>
      </c>
      <c r="C1278" s="727" t="s">
        <v>8329</v>
      </c>
      <c r="D1278" s="714" t="s">
        <v>8490</v>
      </c>
      <c r="E1278" s="714" t="s">
        <v>8421</v>
      </c>
      <c r="F1278" s="714"/>
      <c r="G1278" s="714"/>
      <c r="H1278" s="714"/>
      <c r="I1278" s="714"/>
      <c r="J1278" s="716"/>
      <c r="K1278" s="552"/>
      <c r="L1278" s="552"/>
      <c r="M1278" s="552"/>
      <c r="N1278" s="552"/>
      <c r="O1278" s="552"/>
      <c r="P1278" s="552"/>
      <c r="Q1278" s="552"/>
      <c r="R1278" s="552"/>
      <c r="S1278" s="552"/>
      <c r="T1278" s="552"/>
      <c r="U1278" s="552"/>
      <c r="V1278" s="552"/>
      <c r="W1278" s="552"/>
      <c r="X1278" s="552"/>
      <c r="Y1278" s="552"/>
      <c r="Z1278" s="552"/>
      <c r="AA1278" s="552"/>
      <c r="AB1278" s="552"/>
      <c r="AC1278" s="552"/>
      <c r="AD1278" s="552"/>
      <c r="AE1278" s="552"/>
      <c r="AF1278" s="552"/>
      <c r="AG1278" s="552"/>
      <c r="AH1278" s="552"/>
      <c r="AI1278" s="552"/>
      <c r="AJ1278" s="552"/>
      <c r="AK1278" s="552"/>
      <c r="AL1278" s="552"/>
      <c r="AM1278" s="552"/>
      <c r="AN1278" s="552"/>
      <c r="AO1278" s="552"/>
      <c r="AP1278" s="713" t="s">
        <v>8491</v>
      </c>
      <c r="AQ1278" s="552" t="s">
        <v>1186</v>
      </c>
      <c r="AR1278" s="552" t="s">
        <v>2971</v>
      </c>
      <c r="AS1278" s="552" t="s">
        <v>6967</v>
      </c>
      <c r="AT1278" s="552" t="s">
        <v>726</v>
      </c>
    </row>
    <row r="1279" spans="1:46" ht="14.7" customHeight="1">
      <c r="A1279" s="706" t="s">
        <v>8492</v>
      </c>
      <c r="B1279" s="559" t="s">
        <v>3700</v>
      </c>
      <c r="C1279" s="727" t="s">
        <v>8329</v>
      </c>
      <c r="D1279" s="714" t="s">
        <v>8493</v>
      </c>
      <c r="E1279" s="714" t="s">
        <v>8421</v>
      </c>
      <c r="F1279" s="714"/>
      <c r="G1279" s="714"/>
      <c r="H1279" s="714"/>
      <c r="I1279" s="714"/>
      <c r="J1279" s="716"/>
      <c r="K1279" s="552"/>
      <c r="L1279" s="552"/>
      <c r="M1279" s="552"/>
      <c r="N1279" s="552"/>
      <c r="O1279" s="552"/>
      <c r="P1279" s="552"/>
      <c r="Q1279" s="552"/>
      <c r="R1279" s="552"/>
      <c r="S1279" s="552"/>
      <c r="T1279" s="552"/>
      <c r="U1279" s="552"/>
      <c r="V1279" s="552"/>
      <c r="W1279" s="552"/>
      <c r="X1279" s="552"/>
      <c r="Y1279" s="552"/>
      <c r="Z1279" s="552"/>
      <c r="AA1279" s="552"/>
      <c r="AB1279" s="552"/>
      <c r="AC1279" s="552"/>
      <c r="AD1279" s="552"/>
      <c r="AE1279" s="552"/>
      <c r="AF1279" s="552"/>
      <c r="AG1279" s="552"/>
      <c r="AH1279" s="552"/>
      <c r="AI1279" s="552"/>
      <c r="AJ1279" s="552"/>
      <c r="AK1279" s="552"/>
      <c r="AL1279" s="552"/>
      <c r="AM1279" s="552"/>
      <c r="AN1279" s="552"/>
      <c r="AO1279" s="552"/>
      <c r="AP1279" s="709" t="s">
        <v>8494</v>
      </c>
      <c r="AQ1279" s="552" t="s">
        <v>1186</v>
      </c>
      <c r="AR1279" s="552" t="s">
        <v>2971</v>
      </c>
      <c r="AS1279" s="552" t="s">
        <v>7484</v>
      </c>
      <c r="AT1279" s="552" t="s">
        <v>726</v>
      </c>
    </row>
    <row r="1280" spans="1:46" ht="14.7" customHeight="1">
      <c r="A1280" s="710" t="s">
        <v>8495</v>
      </c>
      <c r="B1280" s="559" t="s">
        <v>3700</v>
      </c>
      <c r="C1280" s="727" t="s">
        <v>8329</v>
      </c>
      <c r="D1280" s="714" t="s">
        <v>8496</v>
      </c>
      <c r="E1280" s="714" t="s">
        <v>8421</v>
      </c>
      <c r="F1280" s="714"/>
      <c r="G1280" s="714"/>
      <c r="H1280" s="714"/>
      <c r="I1280" s="714"/>
      <c r="J1280" s="716"/>
      <c r="K1280" s="552"/>
      <c r="L1280" s="552"/>
      <c r="M1280" s="552"/>
      <c r="N1280" s="552"/>
      <c r="O1280" s="552"/>
      <c r="P1280" s="552"/>
      <c r="Q1280" s="552"/>
      <c r="R1280" s="552"/>
      <c r="S1280" s="552"/>
      <c r="T1280" s="552"/>
      <c r="U1280" s="552"/>
      <c r="V1280" s="552"/>
      <c r="W1280" s="552"/>
      <c r="X1280" s="552"/>
      <c r="Y1280" s="552"/>
      <c r="Z1280" s="552"/>
      <c r="AA1280" s="552"/>
      <c r="AB1280" s="552"/>
      <c r="AC1280" s="552"/>
      <c r="AD1280" s="552"/>
      <c r="AE1280" s="552"/>
      <c r="AF1280" s="552"/>
      <c r="AG1280" s="552"/>
      <c r="AH1280" s="552"/>
      <c r="AI1280" s="552"/>
      <c r="AJ1280" s="552"/>
      <c r="AK1280" s="552"/>
      <c r="AL1280" s="552"/>
      <c r="AM1280" s="552"/>
      <c r="AN1280" s="552"/>
      <c r="AO1280" s="713" t="s">
        <v>8497</v>
      </c>
      <c r="AP1280" s="709" t="s">
        <v>8498</v>
      </c>
      <c r="AQ1280" s="552" t="s">
        <v>1186</v>
      </c>
      <c r="AR1280" s="552" t="s">
        <v>2971</v>
      </c>
      <c r="AS1280" s="552" t="s">
        <v>6881</v>
      </c>
      <c r="AT1280" s="552" t="s">
        <v>726</v>
      </c>
    </row>
    <row r="1281" spans="1:46" ht="14.7" customHeight="1">
      <c r="A1281" s="710" t="s">
        <v>8499</v>
      </c>
      <c r="B1281" s="559" t="s">
        <v>3700</v>
      </c>
      <c r="C1281" s="728" t="s">
        <v>3693</v>
      </c>
      <c r="D1281" s="714" t="s">
        <v>8500</v>
      </c>
      <c r="E1281" s="715" t="s">
        <v>8421</v>
      </c>
      <c r="F1281" s="715"/>
      <c r="G1281" s="715"/>
      <c r="H1281" s="714"/>
      <c r="I1281" s="714"/>
      <c r="J1281" s="716"/>
      <c r="K1281" s="552"/>
      <c r="L1281" s="552"/>
      <c r="M1281" s="552"/>
      <c r="N1281" s="552"/>
      <c r="O1281" s="552"/>
      <c r="P1281" s="552"/>
      <c r="Q1281" s="552"/>
      <c r="R1281" s="552"/>
      <c r="S1281" s="552"/>
      <c r="T1281" s="552"/>
      <c r="U1281" s="552"/>
      <c r="V1281" s="552"/>
      <c r="W1281" s="552"/>
      <c r="X1281" s="552"/>
      <c r="Y1281" s="552"/>
      <c r="Z1281" s="552"/>
      <c r="AA1281" s="552"/>
      <c r="AB1281" s="552"/>
      <c r="AC1281" s="552"/>
      <c r="AD1281" s="552"/>
      <c r="AE1281" s="552"/>
      <c r="AF1281" s="552"/>
      <c r="AG1281" s="552"/>
      <c r="AH1281" s="552"/>
      <c r="AI1281" s="552"/>
      <c r="AJ1281" s="552"/>
      <c r="AK1281" s="552"/>
      <c r="AL1281" s="552"/>
      <c r="AM1281" s="552"/>
      <c r="AN1281" s="552"/>
      <c r="AO1281" s="552"/>
      <c r="AP1281" s="709" t="s">
        <v>8501</v>
      </c>
      <c r="AQ1281" s="552" t="s">
        <v>1186</v>
      </c>
      <c r="AR1281" s="552" t="s">
        <v>2971</v>
      </c>
      <c r="AS1281" s="552" t="s">
        <v>6967</v>
      </c>
      <c r="AT1281" s="552" t="s">
        <v>726</v>
      </c>
    </row>
    <row r="1282" spans="1:46" ht="14.7" customHeight="1">
      <c r="A1282" s="710"/>
      <c r="B1282" s="711" t="s">
        <v>6055</v>
      </c>
      <c r="C1282" s="728" t="s">
        <v>3693</v>
      </c>
      <c r="D1282" s="714"/>
      <c r="E1282" s="715"/>
      <c r="F1282" s="715"/>
      <c r="G1282" s="715"/>
      <c r="H1282" s="714"/>
      <c r="I1282" s="714"/>
      <c r="J1282" s="716"/>
      <c r="K1282" s="552"/>
      <c r="L1282" s="552"/>
      <c r="M1282" s="552"/>
      <c r="N1282" s="552"/>
      <c r="O1282" s="552"/>
      <c r="P1282" s="552"/>
      <c r="Q1282" s="552"/>
      <c r="R1282" s="552"/>
      <c r="S1282" s="552"/>
      <c r="T1282" s="552"/>
      <c r="U1282" s="552"/>
      <c r="V1282" s="552"/>
      <c r="W1282" s="552"/>
      <c r="X1282" s="552"/>
      <c r="Y1282" s="552"/>
      <c r="Z1282" s="552"/>
      <c r="AA1282" s="552"/>
      <c r="AB1282" s="552"/>
      <c r="AC1282" s="552"/>
      <c r="AD1282" s="552"/>
      <c r="AE1282" s="552"/>
      <c r="AF1282" s="552"/>
      <c r="AG1282" s="552"/>
      <c r="AH1282" s="552"/>
      <c r="AI1282" s="552"/>
      <c r="AJ1282" s="552"/>
      <c r="AK1282" s="552"/>
      <c r="AL1282" s="552"/>
      <c r="AM1282" s="552"/>
      <c r="AN1282" s="552"/>
      <c r="AO1282" s="552"/>
      <c r="AP1282" s="709"/>
      <c r="AQ1282" s="552" t="s">
        <v>1186</v>
      </c>
      <c r="AR1282" s="552" t="s">
        <v>6697</v>
      </c>
      <c r="AS1282" s="552" t="s">
        <v>7484</v>
      </c>
      <c r="AT1282" s="552" t="s">
        <v>726</v>
      </c>
    </row>
    <row r="1283" spans="1:46" ht="14.7" customHeight="1">
      <c r="A1283" s="710" t="s">
        <v>8502</v>
      </c>
      <c r="B1283" s="344" t="s">
        <v>3699</v>
      </c>
      <c r="C1283" s="728" t="s">
        <v>3693</v>
      </c>
      <c r="D1283" s="714" t="s">
        <v>8503</v>
      </c>
      <c r="E1283" s="714" t="s">
        <v>3693</v>
      </c>
      <c r="F1283" s="714"/>
      <c r="G1283" s="714"/>
      <c r="H1283" s="714"/>
      <c r="I1283" s="714"/>
      <c r="J1283" s="716"/>
      <c r="K1283" s="552"/>
      <c r="L1283" s="552"/>
      <c r="M1283" s="552"/>
      <c r="N1283" s="552"/>
      <c r="O1283" s="552"/>
      <c r="P1283" s="552"/>
      <c r="Q1283" s="552"/>
      <c r="R1283" s="552"/>
      <c r="S1283" s="552"/>
      <c r="T1283" s="552"/>
      <c r="U1283" s="552"/>
      <c r="V1283" s="552"/>
      <c r="W1283" s="552"/>
      <c r="X1283" s="552"/>
      <c r="Y1283" s="552"/>
      <c r="Z1283" s="552"/>
      <c r="AA1283" s="552"/>
      <c r="AB1283" s="552"/>
      <c r="AC1283" s="552"/>
      <c r="AD1283" s="552"/>
      <c r="AE1283" s="552"/>
      <c r="AF1283" s="552"/>
      <c r="AG1283" s="552"/>
      <c r="AH1283" s="552"/>
      <c r="AI1283" s="552"/>
      <c r="AJ1283" s="552"/>
      <c r="AK1283" s="552"/>
      <c r="AL1283" s="552"/>
      <c r="AM1283" s="552"/>
      <c r="AN1283" s="552"/>
      <c r="AO1283" s="552"/>
      <c r="AP1283" s="709" t="s">
        <v>8504</v>
      </c>
      <c r="AQ1283" s="552" t="s">
        <v>726</v>
      </c>
      <c r="AR1283" s="552" t="s">
        <v>3011</v>
      </c>
      <c r="AS1283" s="552"/>
      <c r="AT1283" s="552" t="s">
        <v>726</v>
      </c>
    </row>
    <row r="1284" spans="1:46" ht="14.7" customHeight="1">
      <c r="A1284" s="710" t="s">
        <v>8505</v>
      </c>
      <c r="B1284" s="344" t="s">
        <v>3699</v>
      </c>
      <c r="C1284" s="728" t="s">
        <v>3693</v>
      </c>
      <c r="D1284" s="714" t="s">
        <v>8506</v>
      </c>
      <c r="E1284" s="714" t="s">
        <v>3693</v>
      </c>
      <c r="F1284" s="714"/>
      <c r="G1284" s="714"/>
      <c r="H1284" s="714"/>
      <c r="I1284" s="714"/>
      <c r="J1284" s="716"/>
      <c r="K1284" s="552"/>
      <c r="L1284" s="552"/>
      <c r="M1284" s="552"/>
      <c r="N1284" s="552"/>
      <c r="O1284" s="552"/>
      <c r="P1284" s="552"/>
      <c r="Q1284" s="552"/>
      <c r="R1284" s="552"/>
      <c r="S1284" s="552"/>
      <c r="T1284" s="552"/>
      <c r="U1284" s="552"/>
      <c r="V1284" s="552"/>
      <c r="W1284" s="552"/>
      <c r="X1284" s="552"/>
      <c r="Y1284" s="552"/>
      <c r="Z1284" s="552"/>
      <c r="AA1284" s="552"/>
      <c r="AB1284" s="552"/>
      <c r="AC1284" s="552"/>
      <c r="AD1284" s="552"/>
      <c r="AE1284" s="552"/>
      <c r="AF1284" s="552"/>
      <c r="AG1284" s="552"/>
      <c r="AH1284" s="552"/>
      <c r="AI1284" s="552"/>
      <c r="AJ1284" s="552"/>
      <c r="AK1284" s="552"/>
      <c r="AL1284" s="552"/>
      <c r="AM1284" s="552"/>
      <c r="AN1284" s="552"/>
      <c r="AO1284" s="552"/>
      <c r="AP1284" s="709" t="s">
        <v>8507</v>
      </c>
      <c r="AQ1284" s="552" t="s">
        <v>726</v>
      </c>
      <c r="AR1284" s="552" t="s">
        <v>3011</v>
      </c>
      <c r="AS1284" s="552"/>
      <c r="AT1284" s="552" t="s">
        <v>726</v>
      </c>
    </row>
    <row r="1285" spans="1:46" ht="14.7" customHeight="1">
      <c r="A1285" s="710" t="s">
        <v>6658</v>
      </c>
      <c r="B1285" s="344" t="s">
        <v>3699</v>
      </c>
      <c r="C1285" s="728" t="s">
        <v>3693</v>
      </c>
      <c r="D1285" s="714" t="s">
        <v>8508</v>
      </c>
      <c r="E1285" s="714" t="s">
        <v>3693</v>
      </c>
      <c r="F1285" s="714"/>
      <c r="G1285" s="714"/>
      <c r="H1285" s="714"/>
      <c r="I1285" s="714"/>
      <c r="J1285" s="716"/>
      <c r="K1285" s="552"/>
      <c r="L1285" s="552"/>
      <c r="M1285" s="552"/>
      <c r="N1285" s="552"/>
      <c r="O1285" s="552"/>
      <c r="P1285" s="552"/>
      <c r="Q1285" s="552"/>
      <c r="R1285" s="552"/>
      <c r="S1285" s="552"/>
      <c r="T1285" s="552"/>
      <c r="U1285" s="552"/>
      <c r="V1285" s="552"/>
      <c r="W1285" s="552"/>
      <c r="X1285" s="552"/>
      <c r="Y1285" s="552"/>
      <c r="Z1285" s="552"/>
      <c r="AA1285" s="552"/>
      <c r="AB1285" s="552"/>
      <c r="AC1285" s="552"/>
      <c r="AD1285" s="552"/>
      <c r="AE1285" s="552"/>
      <c r="AF1285" s="552"/>
      <c r="AG1285" s="552"/>
      <c r="AH1285" s="552"/>
      <c r="AI1285" s="552"/>
      <c r="AJ1285" s="552"/>
      <c r="AK1285" s="552"/>
      <c r="AL1285" s="552"/>
      <c r="AM1285" s="552"/>
      <c r="AN1285" s="552"/>
      <c r="AO1285" s="713" t="s">
        <v>8509</v>
      </c>
      <c r="AP1285" s="552"/>
      <c r="AQ1285" s="552" t="s">
        <v>726</v>
      </c>
      <c r="AR1285" s="552" t="s">
        <v>3011</v>
      </c>
      <c r="AS1285" s="552"/>
      <c r="AT1285" s="552" t="s">
        <v>726</v>
      </c>
    </row>
    <row r="1286" spans="1:46" ht="14.7" customHeight="1">
      <c r="A1286" s="710" t="s">
        <v>6659</v>
      </c>
      <c r="B1286" s="344" t="s">
        <v>3699</v>
      </c>
      <c r="C1286" s="728" t="s">
        <v>3693</v>
      </c>
      <c r="D1286" s="714" t="s">
        <v>8510</v>
      </c>
      <c r="E1286" s="714" t="s">
        <v>3693</v>
      </c>
      <c r="F1286" s="714"/>
      <c r="G1286" s="714"/>
      <c r="H1286" s="714"/>
      <c r="I1286" s="714"/>
      <c r="J1286" s="716"/>
      <c r="K1286" s="552"/>
      <c r="L1286" s="552"/>
      <c r="M1286" s="552"/>
      <c r="N1286" s="552"/>
      <c r="O1286" s="552"/>
      <c r="P1286" s="552"/>
      <c r="Q1286" s="552"/>
      <c r="R1286" s="552"/>
      <c r="S1286" s="552"/>
      <c r="T1286" s="552"/>
      <c r="U1286" s="552"/>
      <c r="V1286" s="552"/>
      <c r="W1286" s="552"/>
      <c r="X1286" s="552"/>
      <c r="Y1286" s="552"/>
      <c r="Z1286" s="552"/>
      <c r="AA1286" s="552"/>
      <c r="AB1286" s="552"/>
      <c r="AC1286" s="552"/>
      <c r="AD1286" s="552"/>
      <c r="AE1286" s="552"/>
      <c r="AF1286" s="552"/>
      <c r="AG1286" s="552"/>
      <c r="AH1286" s="552"/>
      <c r="AI1286" s="552"/>
      <c r="AJ1286" s="552"/>
      <c r="AK1286" s="552"/>
      <c r="AL1286" s="552"/>
      <c r="AM1286" s="552"/>
      <c r="AN1286" s="552"/>
      <c r="AO1286" s="709" t="s">
        <v>8511</v>
      </c>
      <c r="AP1286" s="552"/>
      <c r="AQ1286" s="552" t="s">
        <v>726</v>
      </c>
      <c r="AR1286" s="552" t="s">
        <v>3011</v>
      </c>
      <c r="AS1286" s="552"/>
      <c r="AT1286" s="552" t="s">
        <v>726</v>
      </c>
    </row>
    <row r="1287" spans="1:46" ht="14.7" customHeight="1">
      <c r="A1287" s="710" t="s">
        <v>6660</v>
      </c>
      <c r="B1287" s="344" t="s">
        <v>3699</v>
      </c>
      <c r="C1287" s="728" t="s">
        <v>3693</v>
      </c>
      <c r="D1287" s="714" t="s">
        <v>8512</v>
      </c>
      <c r="E1287" s="714" t="s">
        <v>3693</v>
      </c>
      <c r="F1287" s="714"/>
      <c r="G1287" s="714"/>
      <c r="H1287" s="714"/>
      <c r="I1287" s="709"/>
      <c r="J1287" s="716"/>
      <c r="K1287" s="552"/>
      <c r="L1287" s="552"/>
      <c r="M1287" s="552"/>
      <c r="N1287" s="552"/>
      <c r="O1287" s="552"/>
      <c r="P1287" s="552"/>
      <c r="Q1287" s="552"/>
      <c r="R1287" s="552"/>
      <c r="S1287" s="552"/>
      <c r="T1287" s="552"/>
      <c r="U1287" s="552"/>
      <c r="V1287" s="552"/>
      <c r="W1287" s="552"/>
      <c r="X1287" s="552"/>
      <c r="Y1287" s="552"/>
      <c r="Z1287" s="552"/>
      <c r="AA1287" s="552"/>
      <c r="AB1287" s="552"/>
      <c r="AC1287" s="552"/>
      <c r="AD1287" s="552"/>
      <c r="AE1287" s="552"/>
      <c r="AF1287" s="552"/>
      <c r="AG1287" s="552"/>
      <c r="AH1287" s="552"/>
      <c r="AI1287" s="552"/>
      <c r="AJ1287" s="552"/>
      <c r="AK1287" s="552"/>
      <c r="AL1287" s="552"/>
      <c r="AM1287" s="552"/>
      <c r="AN1287" s="552"/>
      <c r="AO1287" s="713" t="s">
        <v>8513</v>
      </c>
      <c r="AP1287" s="552"/>
      <c r="AQ1287" s="552" t="s">
        <v>726</v>
      </c>
      <c r="AR1287" s="552" t="s">
        <v>3011</v>
      </c>
      <c r="AS1287" s="552"/>
      <c r="AT1287" s="552" t="s">
        <v>726</v>
      </c>
    </row>
    <row r="1288" spans="1:46" ht="14.7" customHeight="1">
      <c r="A1288" s="710" t="s">
        <v>8514</v>
      </c>
      <c r="B1288" s="344" t="s">
        <v>3699</v>
      </c>
      <c r="C1288" s="728" t="s">
        <v>3693</v>
      </c>
      <c r="D1288" s="714" t="s">
        <v>8515</v>
      </c>
      <c r="E1288" s="729" t="s">
        <v>3693</v>
      </c>
      <c r="F1288" s="729"/>
      <c r="G1288" s="729"/>
      <c r="H1288" s="714"/>
      <c r="I1288" s="714" t="s">
        <v>182</v>
      </c>
      <c r="J1288" s="716"/>
      <c r="K1288" s="552"/>
      <c r="L1288" s="552"/>
      <c r="M1288" s="552"/>
      <c r="N1288" s="552"/>
      <c r="O1288" s="552"/>
      <c r="P1288" s="552"/>
      <c r="Q1288" s="552"/>
      <c r="R1288" s="552"/>
      <c r="S1288" s="552"/>
      <c r="T1288" s="552"/>
      <c r="U1288" s="552"/>
      <c r="V1288" s="552"/>
      <c r="W1288" s="552"/>
      <c r="X1288" s="552"/>
      <c r="Y1288" s="552"/>
      <c r="Z1288" s="552"/>
      <c r="AA1288" s="552"/>
      <c r="AB1288" s="552"/>
      <c r="AC1288" s="552"/>
      <c r="AD1288" s="552"/>
      <c r="AE1288" s="552"/>
      <c r="AF1288" s="552"/>
      <c r="AG1288" s="552"/>
      <c r="AH1288" s="552"/>
      <c r="AI1288" s="552"/>
      <c r="AJ1288" s="552"/>
      <c r="AK1288" s="552"/>
      <c r="AL1288" s="552"/>
      <c r="AM1288" s="552"/>
      <c r="AN1288" s="552"/>
      <c r="AO1288" s="552"/>
      <c r="AP1288" s="713" t="s">
        <v>8516</v>
      </c>
      <c r="AQ1288" s="552" t="s">
        <v>726</v>
      </c>
      <c r="AR1288" s="552" t="s">
        <v>3011</v>
      </c>
      <c r="AS1288" s="552"/>
      <c r="AT1288" s="552" t="s">
        <v>726</v>
      </c>
    </row>
    <row r="1289" spans="1:46" ht="14.7" customHeight="1">
      <c r="A1289" s="710" t="s">
        <v>6661</v>
      </c>
      <c r="B1289" s="344" t="s">
        <v>3699</v>
      </c>
      <c r="C1289" s="728" t="s">
        <v>3693</v>
      </c>
      <c r="D1289" s="730" t="s">
        <v>8517</v>
      </c>
      <c r="E1289" s="729" t="s">
        <v>3693</v>
      </c>
      <c r="F1289" s="729"/>
      <c r="G1289" s="729"/>
      <c r="H1289" s="714"/>
      <c r="I1289" s="714"/>
      <c r="J1289" s="716"/>
      <c r="K1289" s="552"/>
      <c r="L1289" s="552"/>
      <c r="M1289" s="552"/>
      <c r="N1289" s="552"/>
      <c r="O1289" s="552">
        <v>50</v>
      </c>
      <c r="P1289" s="552"/>
      <c r="Q1289" s="552"/>
      <c r="R1289" s="552"/>
      <c r="S1289" s="552"/>
      <c r="T1289" s="552"/>
      <c r="U1289" s="552"/>
      <c r="V1289" s="552"/>
      <c r="W1289" s="552"/>
      <c r="X1289" s="552"/>
      <c r="Y1289" s="552"/>
      <c r="Z1289" s="552"/>
      <c r="AA1289" s="552"/>
      <c r="AB1289" s="552"/>
      <c r="AC1289" s="552"/>
      <c r="AD1289" s="552"/>
      <c r="AE1289" s="552"/>
      <c r="AF1289" s="552"/>
      <c r="AG1289" s="552">
        <v>50</v>
      </c>
      <c r="AH1289" s="552"/>
      <c r="AI1289" s="552"/>
      <c r="AJ1289" s="552"/>
      <c r="AK1289" s="552"/>
      <c r="AL1289" s="552"/>
      <c r="AM1289" s="552"/>
      <c r="AN1289" s="552"/>
      <c r="AO1289" s="552"/>
      <c r="AP1289" s="709" t="s">
        <v>8518</v>
      </c>
      <c r="AQ1289" s="552" t="s">
        <v>726</v>
      </c>
      <c r="AR1289" s="552" t="s">
        <v>3011</v>
      </c>
      <c r="AS1289" s="552"/>
      <c r="AT1289" s="552" t="s">
        <v>726</v>
      </c>
    </row>
    <row r="1290" spans="1:46" ht="14.7" customHeight="1">
      <c r="A1290" s="710" t="s">
        <v>8519</v>
      </c>
      <c r="B1290" s="344" t="s">
        <v>3699</v>
      </c>
      <c r="C1290" s="728" t="s">
        <v>3693</v>
      </c>
      <c r="D1290" s="730" t="s">
        <v>8520</v>
      </c>
      <c r="E1290" s="729" t="s">
        <v>3693</v>
      </c>
      <c r="F1290" s="729"/>
      <c r="G1290" s="729"/>
      <c r="H1290" s="714"/>
      <c r="I1290" s="714"/>
      <c r="J1290" s="716"/>
      <c r="K1290" s="552"/>
      <c r="L1290" s="552"/>
      <c r="M1290" s="552"/>
      <c r="N1290" s="552"/>
      <c r="O1290" s="552"/>
      <c r="P1290" s="552"/>
      <c r="Q1290" s="552"/>
      <c r="R1290" s="552"/>
      <c r="S1290" s="552"/>
      <c r="T1290" s="552"/>
      <c r="U1290" s="552"/>
      <c r="V1290" s="552"/>
      <c r="W1290" s="552"/>
      <c r="X1290" s="552"/>
      <c r="Y1290" s="552"/>
      <c r="Z1290" s="552"/>
      <c r="AA1290" s="552"/>
      <c r="AB1290" s="552"/>
      <c r="AC1290" s="552"/>
      <c r="AD1290" s="552"/>
      <c r="AE1290" s="552"/>
      <c r="AF1290" s="552"/>
      <c r="AG1290" s="552"/>
      <c r="AH1290" s="552"/>
      <c r="AI1290" s="552"/>
      <c r="AJ1290" s="552"/>
      <c r="AK1290" s="552"/>
      <c r="AL1290" s="552"/>
      <c r="AM1290" s="552"/>
      <c r="AN1290" s="552"/>
      <c r="AO1290" s="713" t="s">
        <v>8521</v>
      </c>
      <c r="AP1290" s="552"/>
      <c r="AQ1290" s="552" t="s">
        <v>726</v>
      </c>
      <c r="AR1290" s="552" t="s">
        <v>3011</v>
      </c>
      <c r="AS1290" s="552"/>
      <c r="AT1290" s="552" t="s">
        <v>726</v>
      </c>
    </row>
    <row r="1291" spans="1:46" ht="14.7" customHeight="1">
      <c r="A1291" s="706" t="s">
        <v>6662</v>
      </c>
      <c r="B1291" s="344" t="s">
        <v>3699</v>
      </c>
      <c r="C1291" s="728" t="s">
        <v>3693</v>
      </c>
      <c r="D1291" s="730" t="s">
        <v>8522</v>
      </c>
      <c r="E1291" s="729" t="s">
        <v>3693</v>
      </c>
      <c r="F1291" s="729"/>
      <c r="G1291" s="729"/>
      <c r="H1291" s="714"/>
      <c r="I1291" s="714"/>
      <c r="J1291" s="716"/>
      <c r="K1291" s="552"/>
      <c r="L1291" s="552"/>
      <c r="M1291" s="552"/>
      <c r="N1291" s="552"/>
      <c r="O1291" s="552"/>
      <c r="P1291" s="552"/>
      <c r="Q1291" s="552"/>
      <c r="R1291" s="552"/>
      <c r="S1291" s="552"/>
      <c r="T1291" s="552"/>
      <c r="U1291" s="552"/>
      <c r="V1291" s="552"/>
      <c r="W1291" s="552"/>
      <c r="X1291" s="552"/>
      <c r="Y1291" s="552"/>
      <c r="Z1291" s="552"/>
      <c r="AA1291" s="552"/>
      <c r="AB1291" s="552"/>
      <c r="AC1291" s="552"/>
      <c r="AD1291" s="552"/>
      <c r="AE1291" s="552"/>
      <c r="AF1291" s="552"/>
      <c r="AG1291" s="552"/>
      <c r="AH1291" s="552"/>
      <c r="AI1291" s="552"/>
      <c r="AJ1291" s="552"/>
      <c r="AK1291" s="552"/>
      <c r="AL1291" s="552"/>
      <c r="AM1291" s="552"/>
      <c r="AN1291" s="552"/>
      <c r="AO1291" s="709" t="s">
        <v>8523</v>
      </c>
      <c r="AP1291" s="552"/>
      <c r="AQ1291" s="552" t="s">
        <v>726</v>
      </c>
      <c r="AR1291" s="552" t="s">
        <v>3011</v>
      </c>
      <c r="AS1291" s="552"/>
      <c r="AT1291" s="552" t="s">
        <v>726</v>
      </c>
    </row>
    <row r="1292" spans="1:46" ht="14.7" customHeight="1">
      <c r="A1292" s="706" t="s">
        <v>6663</v>
      </c>
      <c r="B1292" s="344" t="s">
        <v>3699</v>
      </c>
      <c r="C1292" s="728" t="s">
        <v>3693</v>
      </c>
      <c r="D1292" s="730" t="s">
        <v>8524</v>
      </c>
      <c r="E1292" s="729" t="s">
        <v>3693</v>
      </c>
      <c r="F1292" s="729"/>
      <c r="G1292" s="729"/>
      <c r="H1292" s="714"/>
      <c r="I1292" s="714"/>
      <c r="J1292" s="716"/>
      <c r="K1292" s="552"/>
      <c r="L1292" s="552"/>
      <c r="M1292" s="552"/>
      <c r="N1292" s="552"/>
      <c r="O1292" s="552"/>
      <c r="P1292" s="552"/>
      <c r="Q1292" s="552"/>
      <c r="R1292" s="552"/>
      <c r="S1292" s="552"/>
      <c r="T1292" s="552"/>
      <c r="U1292" s="552"/>
      <c r="V1292" s="552"/>
      <c r="W1292" s="552"/>
      <c r="X1292" s="552"/>
      <c r="Y1292" s="552"/>
      <c r="Z1292" s="552"/>
      <c r="AA1292" s="552"/>
      <c r="AB1292" s="552"/>
      <c r="AC1292" s="552"/>
      <c r="AD1292" s="552"/>
      <c r="AE1292" s="552"/>
      <c r="AF1292" s="552"/>
      <c r="AG1292" s="552"/>
      <c r="AH1292" s="552"/>
      <c r="AI1292" s="552"/>
      <c r="AJ1292" s="552"/>
      <c r="AK1292" s="552"/>
      <c r="AL1292" s="552"/>
      <c r="AM1292" s="552"/>
      <c r="AN1292" s="552"/>
      <c r="AO1292" s="709" t="s">
        <v>8525</v>
      </c>
      <c r="AP1292" s="552"/>
      <c r="AQ1292" s="552" t="s">
        <v>726</v>
      </c>
      <c r="AR1292" s="552" t="s">
        <v>3011</v>
      </c>
      <c r="AS1292" s="552"/>
      <c r="AT1292" s="552" t="s">
        <v>726</v>
      </c>
    </row>
    <row r="1293" spans="1:46" ht="14.7" customHeight="1">
      <c r="A1293" s="710" t="s">
        <v>6664</v>
      </c>
      <c r="B1293" s="344" t="s">
        <v>3699</v>
      </c>
      <c r="C1293" s="728" t="s">
        <v>3693</v>
      </c>
      <c r="D1293" s="730" t="s">
        <v>8526</v>
      </c>
      <c r="E1293" s="729" t="s">
        <v>3693</v>
      </c>
      <c r="F1293" s="729"/>
      <c r="G1293" s="729"/>
      <c r="H1293" s="714"/>
      <c r="I1293" s="714"/>
      <c r="J1293" s="716"/>
      <c r="K1293" s="552"/>
      <c r="L1293" s="552"/>
      <c r="M1293" s="552"/>
      <c r="N1293" s="552"/>
      <c r="O1293" s="552"/>
      <c r="P1293" s="552"/>
      <c r="Q1293" s="552"/>
      <c r="R1293" s="552"/>
      <c r="S1293" s="552"/>
      <c r="T1293" s="552"/>
      <c r="U1293" s="552"/>
      <c r="V1293" s="552"/>
      <c r="W1293" s="552"/>
      <c r="X1293" s="552"/>
      <c r="Y1293" s="552"/>
      <c r="Z1293" s="552"/>
      <c r="AA1293" s="552"/>
      <c r="AB1293" s="552"/>
      <c r="AC1293" s="552"/>
      <c r="AD1293" s="552"/>
      <c r="AE1293" s="552"/>
      <c r="AF1293" s="552"/>
      <c r="AG1293" s="552"/>
      <c r="AH1293" s="552"/>
      <c r="AI1293" s="552"/>
      <c r="AJ1293" s="552"/>
      <c r="AK1293" s="552"/>
      <c r="AL1293" s="552"/>
      <c r="AM1293" s="552"/>
      <c r="AN1293" s="552"/>
      <c r="AO1293" s="713" t="s">
        <v>8527</v>
      </c>
      <c r="AP1293" s="552"/>
      <c r="AQ1293" s="552" t="s">
        <v>726</v>
      </c>
      <c r="AR1293" s="552" t="s">
        <v>3011</v>
      </c>
      <c r="AS1293" s="552"/>
      <c r="AT1293" s="552" t="s">
        <v>726</v>
      </c>
    </row>
    <row r="1294" spans="1:46" ht="14.7" customHeight="1">
      <c r="A1294" s="706" t="s">
        <v>6665</v>
      </c>
      <c r="B1294" s="344" t="s">
        <v>3699</v>
      </c>
      <c r="C1294" s="728" t="s">
        <v>3693</v>
      </c>
      <c r="D1294" s="730" t="s">
        <v>8528</v>
      </c>
      <c r="E1294" s="729" t="s">
        <v>3693</v>
      </c>
      <c r="F1294" s="729"/>
      <c r="G1294" s="729"/>
      <c r="H1294" s="714"/>
      <c r="I1294" s="714"/>
      <c r="J1294" s="716"/>
      <c r="K1294" s="552"/>
      <c r="L1294" s="552"/>
      <c r="M1294" s="552"/>
      <c r="N1294" s="552"/>
      <c r="O1294" s="552"/>
      <c r="P1294" s="552"/>
      <c r="Q1294" s="552"/>
      <c r="R1294" s="552"/>
      <c r="S1294" s="552"/>
      <c r="T1294" s="552"/>
      <c r="U1294" s="552"/>
      <c r="V1294" s="552"/>
      <c r="W1294" s="552"/>
      <c r="X1294" s="552"/>
      <c r="Y1294" s="552"/>
      <c r="Z1294" s="552"/>
      <c r="AA1294" s="552"/>
      <c r="AB1294" s="552"/>
      <c r="AC1294" s="552"/>
      <c r="AD1294" s="552"/>
      <c r="AE1294" s="552"/>
      <c r="AF1294" s="552"/>
      <c r="AG1294" s="552"/>
      <c r="AH1294" s="552"/>
      <c r="AI1294" s="552"/>
      <c r="AJ1294" s="552"/>
      <c r="AK1294" s="552"/>
      <c r="AL1294" s="552"/>
      <c r="AM1294" s="552"/>
      <c r="AN1294" s="552"/>
      <c r="AO1294" s="709" t="s">
        <v>8529</v>
      </c>
      <c r="AP1294" s="552"/>
      <c r="AQ1294" s="552" t="s">
        <v>726</v>
      </c>
      <c r="AR1294" s="552" t="s">
        <v>3011</v>
      </c>
      <c r="AS1294" s="552"/>
      <c r="AT1294" s="552" t="s">
        <v>726</v>
      </c>
    </row>
    <row r="1295" spans="1:46" ht="14.7" customHeight="1">
      <c r="A1295" s="706" t="s">
        <v>6666</v>
      </c>
      <c r="B1295" s="344" t="s">
        <v>3699</v>
      </c>
      <c r="C1295" s="728" t="s">
        <v>3693</v>
      </c>
      <c r="D1295" s="730" t="s">
        <v>8530</v>
      </c>
      <c r="E1295" s="729" t="s">
        <v>3693</v>
      </c>
      <c r="F1295" s="729"/>
      <c r="G1295" s="729"/>
      <c r="H1295" s="714"/>
      <c r="I1295" s="714"/>
      <c r="J1295" s="716"/>
      <c r="K1295" s="552"/>
      <c r="L1295" s="552"/>
      <c r="M1295" s="552"/>
      <c r="N1295" s="552"/>
      <c r="O1295" s="552"/>
      <c r="P1295" s="552"/>
      <c r="Q1295" s="552"/>
      <c r="R1295" s="552"/>
      <c r="S1295" s="552"/>
      <c r="T1295" s="552"/>
      <c r="U1295" s="552"/>
      <c r="V1295" s="552"/>
      <c r="W1295" s="552"/>
      <c r="X1295" s="552"/>
      <c r="Y1295" s="552"/>
      <c r="Z1295" s="552"/>
      <c r="AA1295" s="552"/>
      <c r="AB1295" s="552"/>
      <c r="AC1295" s="552"/>
      <c r="AD1295" s="552"/>
      <c r="AE1295" s="552"/>
      <c r="AF1295" s="552"/>
      <c r="AG1295" s="552"/>
      <c r="AH1295" s="552"/>
      <c r="AI1295" s="552"/>
      <c r="AJ1295" s="552"/>
      <c r="AK1295" s="552"/>
      <c r="AL1295" s="552"/>
      <c r="AM1295" s="552"/>
      <c r="AN1295" s="552"/>
      <c r="AO1295" s="709" t="s">
        <v>8531</v>
      </c>
      <c r="AP1295" s="552"/>
      <c r="AQ1295" s="552" t="s">
        <v>726</v>
      </c>
      <c r="AR1295" s="552" t="s">
        <v>3011</v>
      </c>
      <c r="AS1295" s="552"/>
      <c r="AT1295" s="552" t="s">
        <v>726</v>
      </c>
    </row>
    <row r="1296" spans="1:46" ht="14.7" customHeight="1">
      <c r="A1296" s="710" t="s">
        <v>6667</v>
      </c>
      <c r="B1296" s="344" t="s">
        <v>3699</v>
      </c>
      <c r="C1296" s="728" t="s">
        <v>3693</v>
      </c>
      <c r="D1296" s="730" t="s">
        <v>8532</v>
      </c>
      <c r="E1296" s="729" t="s">
        <v>8533</v>
      </c>
      <c r="F1296" s="729"/>
      <c r="G1296" s="729"/>
      <c r="H1296" s="714"/>
      <c r="I1296" s="714"/>
      <c r="J1296" s="716"/>
      <c r="K1296" s="552"/>
      <c r="L1296" s="552"/>
      <c r="M1296" s="552"/>
      <c r="N1296" s="552"/>
      <c r="O1296" s="552">
        <v>100</v>
      </c>
      <c r="P1296" s="552"/>
      <c r="Q1296" s="552"/>
      <c r="R1296" s="552"/>
      <c r="S1296" s="552"/>
      <c r="T1296" s="552"/>
      <c r="U1296" s="552"/>
      <c r="V1296" s="552"/>
      <c r="W1296" s="552"/>
      <c r="X1296" s="552"/>
      <c r="Y1296" s="552"/>
      <c r="Z1296" s="552"/>
      <c r="AA1296" s="552"/>
      <c r="AB1296" s="552">
        <v>50</v>
      </c>
      <c r="AC1296" s="552"/>
      <c r="AD1296" s="552"/>
      <c r="AE1296" s="552"/>
      <c r="AF1296" s="552"/>
      <c r="AG1296" s="552"/>
      <c r="AH1296" s="552"/>
      <c r="AI1296" s="552"/>
      <c r="AJ1296" s="552"/>
      <c r="AK1296" s="552"/>
      <c r="AL1296" s="552"/>
      <c r="AM1296" s="552"/>
      <c r="AN1296" s="552"/>
      <c r="AO1296" s="552"/>
      <c r="AP1296" s="713" t="s">
        <v>8534</v>
      </c>
      <c r="AQ1296" s="552" t="s">
        <v>726</v>
      </c>
      <c r="AR1296" s="552" t="s">
        <v>3011</v>
      </c>
      <c r="AS1296" s="552"/>
      <c r="AT1296" s="552" t="s">
        <v>726</v>
      </c>
    </row>
    <row r="1297" spans="1:46" ht="14.7" customHeight="1">
      <c r="A1297" s="710" t="s">
        <v>6668</v>
      </c>
      <c r="B1297" s="344" t="s">
        <v>3699</v>
      </c>
      <c r="C1297" s="728" t="s">
        <v>3693</v>
      </c>
      <c r="D1297" s="730" t="s">
        <v>8535</v>
      </c>
      <c r="E1297" s="729" t="s">
        <v>8533</v>
      </c>
      <c r="F1297" s="729"/>
      <c r="G1297" s="729"/>
      <c r="H1297" s="714"/>
      <c r="I1297" s="714"/>
      <c r="J1297" s="716"/>
      <c r="K1297" s="552"/>
      <c r="L1297" s="552"/>
      <c r="M1297" s="552"/>
      <c r="N1297" s="552"/>
      <c r="O1297" s="552">
        <v>100</v>
      </c>
      <c r="P1297" s="552"/>
      <c r="Q1297" s="552"/>
      <c r="R1297" s="552"/>
      <c r="S1297" s="552"/>
      <c r="T1297" s="552"/>
      <c r="U1297" s="552"/>
      <c r="V1297" s="552"/>
      <c r="W1297" s="552"/>
      <c r="X1297" s="552"/>
      <c r="Y1297" s="552"/>
      <c r="Z1297" s="552"/>
      <c r="AA1297" s="552"/>
      <c r="AB1297" s="552"/>
      <c r="AC1297" s="552">
        <v>50</v>
      </c>
      <c r="AD1297" s="552"/>
      <c r="AE1297" s="552"/>
      <c r="AF1297" s="552"/>
      <c r="AG1297" s="552"/>
      <c r="AH1297" s="552"/>
      <c r="AI1297" s="552"/>
      <c r="AJ1297" s="552"/>
      <c r="AK1297" s="552"/>
      <c r="AL1297" s="552"/>
      <c r="AM1297" s="552"/>
      <c r="AN1297" s="552"/>
      <c r="AO1297" s="552"/>
      <c r="AP1297" s="713" t="s">
        <v>8534</v>
      </c>
      <c r="AQ1297" s="552" t="s">
        <v>726</v>
      </c>
      <c r="AR1297" s="552" t="s">
        <v>3011</v>
      </c>
      <c r="AS1297" s="552"/>
      <c r="AT1297" s="552" t="s">
        <v>726</v>
      </c>
    </row>
    <row r="1298" spans="1:46" ht="14.7" customHeight="1">
      <c r="A1298" s="710" t="s">
        <v>6669</v>
      </c>
      <c r="B1298" s="344" t="s">
        <v>3699</v>
      </c>
      <c r="C1298" s="728" t="s">
        <v>3693</v>
      </c>
      <c r="D1298" s="730" t="s">
        <v>8536</v>
      </c>
      <c r="E1298" s="729" t="s">
        <v>8533</v>
      </c>
      <c r="F1298" s="729"/>
      <c r="G1298" s="729"/>
      <c r="H1298" s="714"/>
      <c r="I1298" s="714"/>
      <c r="J1298" s="716"/>
      <c r="K1298" s="552"/>
      <c r="L1298" s="552"/>
      <c r="M1298" s="552"/>
      <c r="N1298" s="552"/>
      <c r="O1298" s="552">
        <v>100</v>
      </c>
      <c r="P1298" s="552"/>
      <c r="Q1298" s="552"/>
      <c r="R1298" s="552"/>
      <c r="S1298" s="552"/>
      <c r="T1298" s="552"/>
      <c r="U1298" s="552"/>
      <c r="V1298" s="552"/>
      <c r="W1298" s="552"/>
      <c r="X1298" s="552"/>
      <c r="Y1298" s="552"/>
      <c r="Z1298" s="552"/>
      <c r="AA1298" s="552"/>
      <c r="AB1298" s="552"/>
      <c r="AC1298" s="552"/>
      <c r="AD1298" s="552">
        <v>50</v>
      </c>
      <c r="AE1298" s="552"/>
      <c r="AF1298" s="552"/>
      <c r="AG1298" s="552"/>
      <c r="AH1298" s="552"/>
      <c r="AI1298" s="552"/>
      <c r="AJ1298" s="552"/>
      <c r="AK1298" s="552"/>
      <c r="AL1298" s="552"/>
      <c r="AM1298" s="552"/>
      <c r="AN1298" s="552"/>
      <c r="AO1298" s="552"/>
      <c r="AP1298" s="713" t="s">
        <v>8534</v>
      </c>
      <c r="AQ1298" s="552" t="s">
        <v>726</v>
      </c>
      <c r="AR1298" s="552" t="s">
        <v>3011</v>
      </c>
      <c r="AS1298" s="552"/>
      <c r="AT1298" s="552" t="s">
        <v>726</v>
      </c>
    </row>
    <row r="1299" spans="1:46" ht="14.7" customHeight="1">
      <c r="A1299" s="710" t="s">
        <v>6670</v>
      </c>
      <c r="B1299" s="344" t="s">
        <v>3699</v>
      </c>
      <c r="C1299" s="728" t="s">
        <v>3693</v>
      </c>
      <c r="D1299" s="730" t="s">
        <v>8537</v>
      </c>
      <c r="E1299" s="729" t="s">
        <v>8533</v>
      </c>
      <c r="F1299" s="729"/>
      <c r="G1299" s="729"/>
      <c r="H1299" s="714"/>
      <c r="I1299" s="714"/>
      <c r="J1299" s="716"/>
      <c r="K1299" s="552"/>
      <c r="L1299" s="552"/>
      <c r="M1299" s="552"/>
      <c r="N1299" s="552"/>
      <c r="O1299" s="552">
        <v>100</v>
      </c>
      <c r="P1299" s="552"/>
      <c r="Q1299" s="552"/>
      <c r="R1299" s="552"/>
      <c r="S1299" s="552"/>
      <c r="T1299" s="552"/>
      <c r="U1299" s="552"/>
      <c r="V1299" s="552"/>
      <c r="W1299" s="552"/>
      <c r="X1299" s="552"/>
      <c r="Y1299" s="552"/>
      <c r="Z1299" s="552"/>
      <c r="AA1299" s="552"/>
      <c r="AB1299" s="552"/>
      <c r="AC1299" s="552"/>
      <c r="AD1299" s="552"/>
      <c r="AE1299" s="552">
        <v>50</v>
      </c>
      <c r="AF1299" s="552"/>
      <c r="AG1299" s="552"/>
      <c r="AH1299" s="552"/>
      <c r="AI1299" s="552"/>
      <c r="AJ1299" s="552"/>
      <c r="AK1299" s="552"/>
      <c r="AL1299" s="552"/>
      <c r="AM1299" s="552"/>
      <c r="AN1299" s="552"/>
      <c r="AO1299" s="552"/>
      <c r="AP1299" s="713" t="s">
        <v>8534</v>
      </c>
      <c r="AQ1299" s="552" t="s">
        <v>726</v>
      </c>
      <c r="AR1299" s="552" t="s">
        <v>3011</v>
      </c>
      <c r="AS1299" s="552"/>
      <c r="AT1299" s="552" t="s">
        <v>726</v>
      </c>
    </row>
    <row r="1300" spans="1:46" ht="14.7" customHeight="1">
      <c r="A1300" s="710" t="s">
        <v>6671</v>
      </c>
      <c r="B1300" s="344" t="s">
        <v>3699</v>
      </c>
      <c r="C1300" s="728" t="s">
        <v>3693</v>
      </c>
      <c r="D1300" s="730" t="s">
        <v>8538</v>
      </c>
      <c r="E1300" s="729" t="s">
        <v>8533</v>
      </c>
      <c r="F1300" s="729"/>
      <c r="G1300" s="729"/>
      <c r="H1300" s="714"/>
      <c r="I1300" s="714"/>
      <c r="J1300" s="716"/>
      <c r="K1300" s="552"/>
      <c r="L1300" s="552"/>
      <c r="M1300" s="552"/>
      <c r="N1300" s="552"/>
      <c r="O1300" s="552">
        <v>100</v>
      </c>
      <c r="P1300" s="552"/>
      <c r="Q1300" s="552"/>
      <c r="R1300" s="552"/>
      <c r="S1300" s="552"/>
      <c r="T1300" s="552"/>
      <c r="U1300" s="552"/>
      <c r="V1300" s="552"/>
      <c r="W1300" s="552"/>
      <c r="X1300" s="552"/>
      <c r="Y1300" s="552"/>
      <c r="Z1300" s="552"/>
      <c r="AA1300" s="552"/>
      <c r="AB1300" s="552"/>
      <c r="AC1300" s="552"/>
      <c r="AD1300" s="552"/>
      <c r="AE1300" s="552"/>
      <c r="AF1300" s="552">
        <v>50</v>
      </c>
      <c r="AG1300" s="552"/>
      <c r="AH1300" s="552"/>
      <c r="AI1300" s="552"/>
      <c r="AJ1300" s="552"/>
      <c r="AK1300" s="552"/>
      <c r="AL1300" s="552"/>
      <c r="AM1300" s="552"/>
      <c r="AN1300" s="552"/>
      <c r="AO1300" s="552"/>
      <c r="AP1300" s="713" t="s">
        <v>8534</v>
      </c>
      <c r="AQ1300" s="552" t="s">
        <v>726</v>
      </c>
      <c r="AR1300" s="552" t="s">
        <v>3011</v>
      </c>
      <c r="AS1300" s="552"/>
      <c r="AT1300" s="552" t="s">
        <v>726</v>
      </c>
    </row>
    <row r="1301" spans="1:46" ht="14.7" customHeight="1">
      <c r="A1301" s="710" t="s">
        <v>6672</v>
      </c>
      <c r="B1301" s="344" t="s">
        <v>3699</v>
      </c>
      <c r="C1301" s="728" t="s">
        <v>3693</v>
      </c>
      <c r="D1301" s="730" t="s">
        <v>8539</v>
      </c>
      <c r="E1301" s="729" t="s">
        <v>8533</v>
      </c>
      <c r="F1301" s="729"/>
      <c r="G1301" s="729"/>
      <c r="H1301" s="714"/>
      <c r="I1301" s="714"/>
      <c r="J1301" s="716"/>
      <c r="K1301" s="552"/>
      <c r="L1301" s="552"/>
      <c r="M1301" s="552"/>
      <c r="N1301" s="552"/>
      <c r="O1301" s="552">
        <v>100</v>
      </c>
      <c r="P1301" s="552"/>
      <c r="Q1301" s="552"/>
      <c r="R1301" s="552"/>
      <c r="S1301" s="552"/>
      <c r="T1301" s="552"/>
      <c r="U1301" s="552"/>
      <c r="V1301" s="552"/>
      <c r="W1301" s="552"/>
      <c r="X1301" s="552"/>
      <c r="Y1301" s="552"/>
      <c r="Z1301" s="552"/>
      <c r="AA1301" s="552"/>
      <c r="AB1301" s="552"/>
      <c r="AC1301" s="552"/>
      <c r="AD1301" s="552"/>
      <c r="AE1301" s="552"/>
      <c r="AF1301" s="552"/>
      <c r="AG1301" s="552">
        <v>50</v>
      </c>
      <c r="AH1301" s="552"/>
      <c r="AI1301" s="552"/>
      <c r="AJ1301" s="552"/>
      <c r="AK1301" s="552"/>
      <c r="AL1301" s="552"/>
      <c r="AM1301" s="552"/>
      <c r="AN1301" s="552"/>
      <c r="AO1301" s="552"/>
      <c r="AP1301" s="713" t="s">
        <v>8534</v>
      </c>
      <c r="AQ1301" s="552" t="s">
        <v>726</v>
      </c>
      <c r="AR1301" s="552" t="s">
        <v>3011</v>
      </c>
      <c r="AS1301" s="552"/>
      <c r="AT1301" s="552" t="s">
        <v>726</v>
      </c>
    </row>
    <row r="1302" spans="1:46" ht="14.7" customHeight="1">
      <c r="A1302" s="710" t="s">
        <v>6673</v>
      </c>
      <c r="B1302" s="344" t="s">
        <v>3699</v>
      </c>
      <c r="C1302" s="728" t="s">
        <v>3693</v>
      </c>
      <c r="D1302" s="730" t="s">
        <v>8540</v>
      </c>
      <c r="E1302" s="729" t="s">
        <v>8533</v>
      </c>
      <c r="F1302" s="729"/>
      <c r="G1302" s="729"/>
      <c r="H1302" s="714"/>
      <c r="I1302" s="714"/>
      <c r="J1302" s="716"/>
      <c r="K1302" s="552"/>
      <c r="L1302" s="552"/>
      <c r="M1302" s="552"/>
      <c r="N1302" s="552"/>
      <c r="O1302" s="552">
        <v>100</v>
      </c>
      <c r="P1302" s="552"/>
      <c r="Q1302" s="552"/>
      <c r="R1302" s="552"/>
      <c r="S1302" s="552"/>
      <c r="T1302" s="552"/>
      <c r="U1302" s="552"/>
      <c r="V1302" s="552"/>
      <c r="W1302" s="552"/>
      <c r="X1302" s="552"/>
      <c r="Y1302" s="552"/>
      <c r="Z1302" s="552"/>
      <c r="AA1302" s="552"/>
      <c r="AB1302" s="552"/>
      <c r="AC1302" s="552"/>
      <c r="AD1302" s="552"/>
      <c r="AE1302" s="552"/>
      <c r="AF1302" s="552"/>
      <c r="AG1302" s="552"/>
      <c r="AH1302" s="552">
        <v>50</v>
      </c>
      <c r="AI1302" s="552"/>
      <c r="AJ1302" s="552"/>
      <c r="AK1302" s="552"/>
      <c r="AL1302" s="552"/>
      <c r="AM1302" s="552"/>
      <c r="AN1302" s="552"/>
      <c r="AO1302" s="552"/>
      <c r="AP1302" s="713" t="s">
        <v>8534</v>
      </c>
      <c r="AQ1302" s="552" t="s">
        <v>726</v>
      </c>
      <c r="AR1302" s="552" t="s">
        <v>3011</v>
      </c>
      <c r="AS1302" s="552"/>
      <c r="AT1302" s="552" t="s">
        <v>726</v>
      </c>
    </row>
    <row r="1303" spans="1:46" ht="14.7" customHeight="1">
      <c r="A1303" s="710" t="s">
        <v>6674</v>
      </c>
      <c r="B1303" s="344" t="s">
        <v>3699</v>
      </c>
      <c r="C1303" s="728" t="s">
        <v>3693</v>
      </c>
      <c r="D1303" s="730" t="s">
        <v>8541</v>
      </c>
      <c r="E1303" s="729" t="s">
        <v>8533</v>
      </c>
      <c r="F1303" s="729"/>
      <c r="G1303" s="729"/>
      <c r="H1303" s="714"/>
      <c r="I1303" s="714"/>
      <c r="J1303" s="716"/>
      <c r="K1303" s="552"/>
      <c r="L1303" s="552"/>
      <c r="M1303" s="552"/>
      <c r="N1303" s="552"/>
      <c r="O1303" s="552">
        <v>100</v>
      </c>
      <c r="P1303" s="552"/>
      <c r="Q1303" s="552"/>
      <c r="R1303" s="552"/>
      <c r="S1303" s="552"/>
      <c r="T1303" s="552"/>
      <c r="U1303" s="552"/>
      <c r="V1303" s="552"/>
      <c r="W1303" s="552"/>
      <c r="X1303" s="552"/>
      <c r="Y1303" s="552"/>
      <c r="Z1303" s="552"/>
      <c r="AA1303" s="552"/>
      <c r="AB1303" s="552"/>
      <c r="AC1303" s="552"/>
      <c r="AD1303" s="552"/>
      <c r="AE1303" s="552"/>
      <c r="AF1303" s="552"/>
      <c r="AG1303" s="552"/>
      <c r="AH1303" s="552"/>
      <c r="AI1303" s="552">
        <v>50</v>
      </c>
      <c r="AJ1303" s="552"/>
      <c r="AK1303" s="552"/>
      <c r="AL1303" s="552"/>
      <c r="AM1303" s="552"/>
      <c r="AN1303" s="552"/>
      <c r="AO1303" s="552"/>
      <c r="AP1303" s="713" t="s">
        <v>8534</v>
      </c>
      <c r="AQ1303" s="552" t="s">
        <v>726</v>
      </c>
      <c r="AR1303" s="552" t="s">
        <v>3011</v>
      </c>
      <c r="AS1303" s="552"/>
      <c r="AT1303" s="552" t="s">
        <v>726</v>
      </c>
    </row>
    <row r="1304" spans="1:46" ht="14.7" customHeight="1">
      <c r="A1304" s="710" t="s">
        <v>6675</v>
      </c>
      <c r="B1304" s="344" t="s">
        <v>3699</v>
      </c>
      <c r="C1304" s="728" t="s">
        <v>3693</v>
      </c>
      <c r="D1304" s="730" t="s">
        <v>8542</v>
      </c>
      <c r="E1304" s="729" t="s">
        <v>8533</v>
      </c>
      <c r="F1304" s="729"/>
      <c r="G1304" s="729"/>
      <c r="H1304" s="714"/>
      <c r="I1304" s="714"/>
      <c r="J1304" s="716"/>
      <c r="K1304" s="552"/>
      <c r="L1304" s="552"/>
      <c r="M1304" s="552"/>
      <c r="N1304" s="552"/>
      <c r="O1304" s="552">
        <v>150</v>
      </c>
      <c r="P1304" s="552"/>
      <c r="Q1304" s="552"/>
      <c r="R1304" s="552"/>
      <c r="S1304" s="552"/>
      <c r="T1304" s="552"/>
      <c r="U1304" s="552"/>
      <c r="V1304" s="552"/>
      <c r="W1304" s="552"/>
      <c r="X1304" s="552"/>
      <c r="Y1304" s="552"/>
      <c r="Z1304" s="552"/>
      <c r="AA1304" s="552"/>
      <c r="AB1304" s="552"/>
      <c r="AC1304" s="552"/>
      <c r="AD1304" s="552"/>
      <c r="AE1304" s="552"/>
      <c r="AF1304" s="552"/>
      <c r="AG1304" s="552"/>
      <c r="AH1304" s="552"/>
      <c r="AI1304" s="552"/>
      <c r="AJ1304" s="552"/>
      <c r="AK1304" s="552"/>
      <c r="AL1304" s="552"/>
      <c r="AM1304" s="552"/>
      <c r="AN1304" s="552"/>
      <c r="AO1304" s="552"/>
      <c r="AP1304" s="713" t="s">
        <v>8534</v>
      </c>
      <c r="AQ1304" s="552" t="s">
        <v>726</v>
      </c>
      <c r="AR1304" s="552" t="s">
        <v>3011</v>
      </c>
      <c r="AS1304" s="552"/>
      <c r="AT1304" s="552" t="s">
        <v>726</v>
      </c>
    </row>
    <row r="1305" spans="1:46" ht="14.7" customHeight="1">
      <c r="A1305" s="710" t="s">
        <v>6676</v>
      </c>
      <c r="B1305" s="344" t="s">
        <v>3699</v>
      </c>
      <c r="C1305" s="728" t="s">
        <v>3693</v>
      </c>
      <c r="D1305" s="730" t="s">
        <v>8543</v>
      </c>
      <c r="E1305" s="729" t="s">
        <v>3693</v>
      </c>
      <c r="F1305" s="729"/>
      <c r="G1305" s="729"/>
      <c r="H1305" s="714"/>
      <c r="I1305" s="714"/>
      <c r="J1305" s="716"/>
      <c r="K1305" s="552"/>
      <c r="L1305" s="552"/>
      <c r="M1305" s="552"/>
      <c r="N1305" s="552"/>
      <c r="O1305" s="552"/>
      <c r="P1305" s="552"/>
      <c r="Q1305" s="552"/>
      <c r="R1305" s="552"/>
      <c r="S1305" s="552"/>
      <c r="T1305" s="552"/>
      <c r="U1305" s="552"/>
      <c r="V1305" s="552"/>
      <c r="W1305" s="552"/>
      <c r="X1305" s="552"/>
      <c r="Y1305" s="552"/>
      <c r="Z1305" s="552"/>
      <c r="AA1305" s="552"/>
      <c r="AB1305" s="552"/>
      <c r="AC1305" s="552"/>
      <c r="AD1305" s="552"/>
      <c r="AE1305" s="552"/>
      <c r="AF1305" s="552"/>
      <c r="AG1305" s="552"/>
      <c r="AH1305" s="552"/>
      <c r="AI1305" s="552"/>
      <c r="AJ1305" s="552"/>
      <c r="AK1305" s="552"/>
      <c r="AL1305" s="552"/>
      <c r="AM1305" s="552"/>
      <c r="AN1305" s="552"/>
      <c r="AO1305" s="713" t="s">
        <v>8544</v>
      </c>
      <c r="AP1305" s="713" t="s">
        <v>8544</v>
      </c>
      <c r="AQ1305" s="552" t="s">
        <v>726</v>
      </c>
      <c r="AR1305" s="552" t="s">
        <v>3011</v>
      </c>
      <c r="AS1305" s="552"/>
      <c r="AT1305" s="552" t="s">
        <v>726</v>
      </c>
    </row>
    <row r="1306" spans="1:46" ht="14.7" customHeight="1">
      <c r="A1306" s="710" t="s">
        <v>6677</v>
      </c>
      <c r="B1306" s="344" t="s">
        <v>3699</v>
      </c>
      <c r="C1306" s="728" t="s">
        <v>3693</v>
      </c>
      <c r="D1306" s="730" t="s">
        <v>8545</v>
      </c>
      <c r="E1306" s="729" t="s">
        <v>3693</v>
      </c>
      <c r="F1306" s="729"/>
      <c r="G1306" s="729"/>
      <c r="H1306" s="714"/>
      <c r="I1306" s="714"/>
      <c r="J1306" s="716"/>
      <c r="K1306" s="552"/>
      <c r="L1306" s="552"/>
      <c r="M1306" s="552"/>
      <c r="N1306" s="552"/>
      <c r="O1306" s="552"/>
      <c r="P1306" s="552"/>
      <c r="Q1306" s="552"/>
      <c r="R1306" s="552"/>
      <c r="S1306" s="552"/>
      <c r="T1306" s="552"/>
      <c r="U1306" s="552"/>
      <c r="V1306" s="552"/>
      <c r="W1306" s="552"/>
      <c r="X1306" s="552"/>
      <c r="Y1306" s="552"/>
      <c r="Z1306" s="552"/>
      <c r="AA1306" s="552"/>
      <c r="AB1306" s="552"/>
      <c r="AC1306" s="552"/>
      <c r="AD1306" s="552"/>
      <c r="AE1306" s="552"/>
      <c r="AF1306" s="552"/>
      <c r="AG1306" s="552"/>
      <c r="AH1306" s="552"/>
      <c r="AI1306" s="552"/>
      <c r="AJ1306" s="552"/>
      <c r="AK1306" s="552"/>
      <c r="AL1306" s="552"/>
      <c r="AM1306" s="552"/>
      <c r="AN1306" s="552"/>
      <c r="AO1306" s="709" t="s">
        <v>8546</v>
      </c>
      <c r="AP1306" s="552"/>
      <c r="AQ1306" s="552" t="s">
        <v>726</v>
      </c>
      <c r="AR1306" s="552" t="s">
        <v>3011</v>
      </c>
      <c r="AS1306" s="552"/>
      <c r="AT1306" s="552" t="s">
        <v>726</v>
      </c>
    </row>
    <row r="1307" spans="1:46" ht="14.7" customHeight="1">
      <c r="A1307" s="710" t="s">
        <v>8547</v>
      </c>
      <c r="B1307" s="344" t="s">
        <v>3699</v>
      </c>
      <c r="C1307" s="728" t="s">
        <v>3693</v>
      </c>
      <c r="D1307" s="730" t="s">
        <v>8548</v>
      </c>
      <c r="E1307" s="729" t="s">
        <v>3693</v>
      </c>
      <c r="F1307" s="729"/>
      <c r="G1307" s="729"/>
      <c r="H1307" s="715"/>
      <c r="I1307" s="714"/>
      <c r="J1307" s="716"/>
      <c r="K1307" s="552"/>
      <c r="L1307" s="552"/>
      <c r="M1307" s="552"/>
      <c r="N1307" s="552"/>
      <c r="O1307" s="552"/>
      <c r="P1307" s="552"/>
      <c r="Q1307" s="552"/>
      <c r="R1307" s="552"/>
      <c r="S1307" s="552"/>
      <c r="T1307" s="552"/>
      <c r="U1307" s="552"/>
      <c r="V1307" s="552"/>
      <c r="W1307" s="552"/>
      <c r="X1307" s="552"/>
      <c r="Y1307" s="552"/>
      <c r="Z1307" s="552"/>
      <c r="AA1307" s="552"/>
      <c r="AB1307" s="552"/>
      <c r="AC1307" s="552"/>
      <c r="AD1307" s="552"/>
      <c r="AE1307" s="552"/>
      <c r="AF1307" s="552"/>
      <c r="AG1307" s="552"/>
      <c r="AH1307" s="552"/>
      <c r="AI1307" s="552"/>
      <c r="AJ1307" s="552"/>
      <c r="AK1307" s="552"/>
      <c r="AL1307" s="552"/>
      <c r="AM1307" s="552"/>
      <c r="AN1307" s="552"/>
      <c r="AO1307" s="713" t="s">
        <v>8549</v>
      </c>
      <c r="AP1307" s="713" t="s">
        <v>8550</v>
      </c>
      <c r="AQ1307" s="552" t="s">
        <v>726</v>
      </c>
      <c r="AR1307" s="552" t="s">
        <v>3011</v>
      </c>
      <c r="AS1307" s="731"/>
      <c r="AT1307" s="552" t="s">
        <v>726</v>
      </c>
    </row>
    <row r="1308" spans="1:46" ht="14.7" customHeight="1">
      <c r="A1308" s="706" t="s">
        <v>8551</v>
      </c>
      <c r="B1308" s="344" t="s">
        <v>3699</v>
      </c>
      <c r="C1308" s="728" t="s">
        <v>3693</v>
      </c>
      <c r="D1308" s="730" t="s">
        <v>8552</v>
      </c>
      <c r="E1308" s="729" t="s">
        <v>3693</v>
      </c>
      <c r="F1308" s="729"/>
      <c r="G1308" s="729"/>
      <c r="H1308" s="715"/>
      <c r="I1308" s="714"/>
      <c r="J1308" s="716"/>
      <c r="K1308" s="552"/>
      <c r="L1308" s="552"/>
      <c r="M1308" s="552"/>
      <c r="N1308" s="552"/>
      <c r="O1308" s="552"/>
      <c r="P1308" s="552"/>
      <c r="Q1308" s="552"/>
      <c r="R1308" s="552"/>
      <c r="S1308" s="552"/>
      <c r="T1308" s="552"/>
      <c r="U1308" s="552"/>
      <c r="V1308" s="552"/>
      <c r="W1308" s="552"/>
      <c r="X1308" s="552"/>
      <c r="Y1308" s="552"/>
      <c r="Z1308" s="552"/>
      <c r="AA1308" s="552"/>
      <c r="AB1308" s="552"/>
      <c r="AC1308" s="552"/>
      <c r="AD1308" s="552"/>
      <c r="AE1308" s="552"/>
      <c r="AF1308" s="552"/>
      <c r="AG1308" s="552"/>
      <c r="AH1308" s="552"/>
      <c r="AI1308" s="552"/>
      <c r="AJ1308" s="552"/>
      <c r="AK1308" s="552"/>
      <c r="AL1308" s="552"/>
      <c r="AM1308" s="552"/>
      <c r="AN1308" s="552"/>
      <c r="AO1308" s="552"/>
      <c r="AP1308" s="709" t="s">
        <v>8553</v>
      </c>
      <c r="AQ1308" s="552" t="s">
        <v>726</v>
      </c>
      <c r="AR1308" s="552" t="s">
        <v>3011</v>
      </c>
      <c r="AS1308" s="552"/>
      <c r="AT1308" s="552" t="s">
        <v>726</v>
      </c>
    </row>
    <row r="1309" spans="1:46" ht="14.7" customHeight="1">
      <c r="A1309" s="710" t="s">
        <v>6678</v>
      </c>
      <c r="B1309" s="344" t="s">
        <v>3699</v>
      </c>
      <c r="C1309" s="728" t="s">
        <v>3693</v>
      </c>
      <c r="D1309" s="730" t="s">
        <v>8554</v>
      </c>
      <c r="E1309" s="729" t="s">
        <v>3693</v>
      </c>
      <c r="F1309" s="729"/>
      <c r="G1309" s="729"/>
      <c r="H1309" s="715"/>
      <c r="I1309" s="714"/>
      <c r="J1309" s="716"/>
      <c r="K1309" s="552"/>
      <c r="L1309" s="552"/>
      <c r="M1309" s="552"/>
      <c r="N1309" s="552"/>
      <c r="O1309" s="552"/>
      <c r="P1309" s="552"/>
      <c r="Q1309" s="552"/>
      <c r="R1309" s="552"/>
      <c r="S1309" s="552"/>
      <c r="T1309" s="552"/>
      <c r="U1309" s="552"/>
      <c r="V1309" s="552"/>
      <c r="W1309" s="552"/>
      <c r="X1309" s="552"/>
      <c r="Y1309" s="552"/>
      <c r="Z1309" s="552"/>
      <c r="AA1309" s="552"/>
      <c r="AB1309" s="552"/>
      <c r="AC1309" s="552"/>
      <c r="AD1309" s="552"/>
      <c r="AE1309" s="552"/>
      <c r="AF1309" s="552"/>
      <c r="AG1309" s="552"/>
      <c r="AH1309" s="552"/>
      <c r="AI1309" s="552"/>
      <c r="AJ1309" s="552"/>
      <c r="AK1309" s="552"/>
      <c r="AL1309" s="552"/>
      <c r="AM1309" s="552"/>
      <c r="AN1309" s="552"/>
      <c r="AO1309" s="713" t="s">
        <v>8555</v>
      </c>
      <c r="AP1309" s="552"/>
      <c r="AQ1309" s="552" t="s">
        <v>726</v>
      </c>
      <c r="AR1309" s="552" t="s">
        <v>3011</v>
      </c>
      <c r="AS1309" s="552"/>
      <c r="AT1309" s="552" t="s">
        <v>726</v>
      </c>
    </row>
    <row r="1310" spans="1:46" ht="14.7" customHeight="1">
      <c r="A1310" s="706" t="s">
        <v>8556</v>
      </c>
      <c r="B1310" s="344" t="s">
        <v>3699</v>
      </c>
      <c r="C1310" s="728" t="s">
        <v>3693</v>
      </c>
      <c r="D1310" s="730" t="s">
        <v>8557</v>
      </c>
      <c r="E1310" s="729" t="s">
        <v>3693</v>
      </c>
      <c r="F1310" s="729"/>
      <c r="G1310" s="729"/>
      <c r="H1310" s="715"/>
      <c r="I1310" s="714"/>
      <c r="J1310" s="716"/>
      <c r="K1310" s="552"/>
      <c r="L1310" s="552"/>
      <c r="M1310" s="552"/>
      <c r="N1310" s="552"/>
      <c r="O1310" s="552"/>
      <c r="P1310" s="552"/>
      <c r="Q1310" s="552"/>
      <c r="R1310" s="552"/>
      <c r="S1310" s="552"/>
      <c r="T1310" s="552"/>
      <c r="U1310" s="552"/>
      <c r="V1310" s="552"/>
      <c r="W1310" s="552"/>
      <c r="X1310" s="552"/>
      <c r="Y1310" s="552"/>
      <c r="Z1310" s="552"/>
      <c r="AA1310" s="552"/>
      <c r="AB1310" s="552"/>
      <c r="AC1310" s="552"/>
      <c r="AD1310" s="552"/>
      <c r="AE1310" s="552"/>
      <c r="AF1310" s="552"/>
      <c r="AG1310" s="552"/>
      <c r="AH1310" s="552"/>
      <c r="AI1310" s="552"/>
      <c r="AJ1310" s="552"/>
      <c r="AK1310" s="552"/>
      <c r="AL1310" s="552"/>
      <c r="AM1310" s="552"/>
      <c r="AN1310" s="552"/>
      <c r="AO1310" s="552"/>
      <c r="AP1310" s="709" t="s">
        <v>8558</v>
      </c>
      <c r="AQ1310" s="552" t="s">
        <v>726</v>
      </c>
      <c r="AR1310" s="552" t="s">
        <v>3011</v>
      </c>
      <c r="AS1310" s="552"/>
      <c r="AT1310" s="552" t="s">
        <v>726</v>
      </c>
    </row>
    <row r="1311" spans="1:46" ht="14.7" customHeight="1">
      <c r="A1311" s="710" t="s">
        <v>6679</v>
      </c>
      <c r="B1311" s="344" t="s">
        <v>3699</v>
      </c>
      <c r="C1311" s="728" t="s">
        <v>3693</v>
      </c>
      <c r="D1311" s="730" t="s">
        <v>8559</v>
      </c>
      <c r="E1311" s="729" t="s">
        <v>3693</v>
      </c>
      <c r="F1311" s="729"/>
      <c r="G1311" s="729"/>
      <c r="H1311" s="715"/>
      <c r="I1311" s="714"/>
      <c r="J1311" s="716"/>
      <c r="K1311" s="552"/>
      <c r="L1311" s="552"/>
      <c r="M1311" s="552"/>
      <c r="N1311" s="552">
        <v>200</v>
      </c>
      <c r="O1311" s="552"/>
      <c r="P1311" s="552"/>
      <c r="Q1311" s="552"/>
      <c r="R1311" s="552"/>
      <c r="S1311" s="552">
        <v>-2</v>
      </c>
      <c r="T1311" s="552"/>
      <c r="U1311" s="552"/>
      <c r="V1311" s="552"/>
      <c r="W1311" s="552"/>
      <c r="X1311" s="552"/>
      <c r="Y1311" s="552"/>
      <c r="Z1311" s="552"/>
      <c r="AA1311" s="552"/>
      <c r="AB1311" s="552"/>
      <c r="AC1311" s="552"/>
      <c r="AD1311" s="552"/>
      <c r="AE1311" s="552"/>
      <c r="AF1311" s="552"/>
      <c r="AG1311" s="552"/>
      <c r="AH1311" s="552"/>
      <c r="AI1311" s="552"/>
      <c r="AJ1311" s="552"/>
      <c r="AK1311" s="552"/>
      <c r="AL1311" s="552"/>
      <c r="AM1311" s="552"/>
      <c r="AN1311" s="552">
        <v>-1</v>
      </c>
      <c r="AO1311" s="713" t="s">
        <v>8560</v>
      </c>
      <c r="AP1311" s="552"/>
      <c r="AQ1311" s="552" t="s">
        <v>726</v>
      </c>
      <c r="AR1311" s="552" t="s">
        <v>3011</v>
      </c>
      <c r="AS1311" s="552"/>
      <c r="AT1311" s="552" t="s">
        <v>726</v>
      </c>
    </row>
    <row r="1312" spans="1:46" ht="14.7" customHeight="1">
      <c r="A1312" s="710" t="s">
        <v>6680</v>
      </c>
      <c r="B1312" s="344" t="s">
        <v>3699</v>
      </c>
      <c r="C1312" s="728" t="s">
        <v>3693</v>
      </c>
      <c r="D1312" s="730" t="s">
        <v>8561</v>
      </c>
      <c r="E1312" s="729" t="s">
        <v>3693</v>
      </c>
      <c r="F1312" s="729"/>
      <c r="G1312" s="729"/>
      <c r="H1312" s="715"/>
      <c r="I1312" s="714"/>
      <c r="J1312" s="716"/>
      <c r="K1312" s="552"/>
      <c r="L1312" s="552"/>
      <c r="M1312" s="552"/>
      <c r="N1312" s="552"/>
      <c r="O1312" s="552">
        <v>200</v>
      </c>
      <c r="P1312" s="552"/>
      <c r="Q1312" s="552"/>
      <c r="R1312" s="552"/>
      <c r="S1312" s="552">
        <v>-2</v>
      </c>
      <c r="T1312" s="552"/>
      <c r="U1312" s="552"/>
      <c r="V1312" s="552"/>
      <c r="W1312" s="552"/>
      <c r="X1312" s="552"/>
      <c r="Y1312" s="552"/>
      <c r="Z1312" s="552"/>
      <c r="AA1312" s="552"/>
      <c r="AB1312" s="552"/>
      <c r="AC1312" s="552"/>
      <c r="AD1312" s="552"/>
      <c r="AE1312" s="552"/>
      <c r="AF1312" s="552"/>
      <c r="AG1312" s="552"/>
      <c r="AH1312" s="552"/>
      <c r="AI1312" s="552"/>
      <c r="AJ1312" s="552"/>
      <c r="AK1312" s="552"/>
      <c r="AL1312" s="552"/>
      <c r="AM1312" s="552"/>
      <c r="AN1312" s="552">
        <v>-1</v>
      </c>
      <c r="AO1312" s="713" t="s">
        <v>8562</v>
      </c>
      <c r="AP1312" s="552"/>
      <c r="AQ1312" s="552" t="s">
        <v>726</v>
      </c>
      <c r="AR1312" s="552" t="s">
        <v>3011</v>
      </c>
      <c r="AS1312" s="552"/>
      <c r="AT1312" s="552" t="s">
        <v>726</v>
      </c>
    </row>
    <row r="1313" spans="1:46" ht="14.7" customHeight="1">
      <c r="A1313" s="710" t="s">
        <v>8563</v>
      </c>
      <c r="B1313" s="344" t="s">
        <v>3699</v>
      </c>
      <c r="C1313" s="728" t="s">
        <v>3693</v>
      </c>
      <c r="D1313" s="730" t="s">
        <v>8564</v>
      </c>
      <c r="E1313" s="729" t="s">
        <v>3693</v>
      </c>
      <c r="F1313" s="729"/>
      <c r="G1313" s="729"/>
      <c r="H1313" s="715"/>
      <c r="I1313" s="714"/>
      <c r="J1313" s="716"/>
      <c r="K1313" s="552"/>
      <c r="L1313" s="552"/>
      <c r="M1313" s="552"/>
      <c r="N1313" s="552"/>
      <c r="O1313" s="552"/>
      <c r="P1313" s="552"/>
      <c r="Q1313" s="552"/>
      <c r="R1313" s="552"/>
      <c r="S1313" s="552"/>
      <c r="T1313" s="552"/>
      <c r="U1313" s="552"/>
      <c r="V1313" s="552"/>
      <c r="W1313" s="552"/>
      <c r="X1313" s="552"/>
      <c r="Y1313" s="552"/>
      <c r="Z1313" s="552"/>
      <c r="AA1313" s="552"/>
      <c r="AB1313" s="552"/>
      <c r="AC1313" s="552"/>
      <c r="AD1313" s="552"/>
      <c r="AE1313" s="552"/>
      <c r="AF1313" s="552"/>
      <c r="AG1313" s="552"/>
      <c r="AH1313" s="552"/>
      <c r="AI1313" s="552"/>
      <c r="AJ1313" s="552"/>
      <c r="AK1313" s="552"/>
      <c r="AL1313" s="552"/>
      <c r="AM1313" s="552"/>
      <c r="AN1313" s="552"/>
      <c r="AO1313" s="552"/>
      <c r="AP1313" s="713" t="s">
        <v>8565</v>
      </c>
      <c r="AQ1313" s="552" t="s">
        <v>726</v>
      </c>
      <c r="AR1313" s="552" t="s">
        <v>3011</v>
      </c>
      <c r="AS1313" s="552"/>
      <c r="AT1313" s="552" t="s">
        <v>726</v>
      </c>
    </row>
    <row r="1314" spans="1:46" ht="14.7" customHeight="1">
      <c r="A1314" s="710" t="s">
        <v>8566</v>
      </c>
      <c r="B1314" s="344" t="s">
        <v>3699</v>
      </c>
      <c r="C1314" s="728" t="s">
        <v>3693</v>
      </c>
      <c r="D1314" s="730" t="s">
        <v>8567</v>
      </c>
      <c r="E1314" s="729" t="s">
        <v>3693</v>
      </c>
      <c r="F1314" s="729"/>
      <c r="G1314" s="729"/>
      <c r="H1314" s="715"/>
      <c r="I1314" s="714"/>
      <c r="J1314" s="716"/>
      <c r="K1314" s="552"/>
      <c r="L1314" s="552"/>
      <c r="M1314" s="552"/>
      <c r="N1314" s="552">
        <v>80</v>
      </c>
      <c r="O1314" s="552"/>
      <c r="P1314" s="552"/>
      <c r="Q1314" s="552"/>
      <c r="R1314" s="552">
        <v>2</v>
      </c>
      <c r="S1314" s="552"/>
      <c r="T1314" s="552">
        <v>2</v>
      </c>
      <c r="U1314" s="552"/>
      <c r="V1314" s="552"/>
      <c r="W1314" s="552"/>
      <c r="X1314" s="552"/>
      <c r="Y1314" s="552"/>
      <c r="Z1314" s="552"/>
      <c r="AA1314" s="552"/>
      <c r="AB1314" s="552"/>
      <c r="AC1314" s="552"/>
      <c r="AD1314" s="552"/>
      <c r="AE1314" s="552"/>
      <c r="AF1314" s="552"/>
      <c r="AG1314" s="552"/>
      <c r="AH1314" s="552"/>
      <c r="AI1314" s="552"/>
      <c r="AJ1314" s="552"/>
      <c r="AK1314" s="552"/>
      <c r="AL1314" s="552"/>
      <c r="AM1314" s="552"/>
      <c r="AN1314" s="552"/>
      <c r="AO1314" s="552"/>
      <c r="AP1314" s="709" t="s">
        <v>8568</v>
      </c>
      <c r="AQ1314" s="552" t="s">
        <v>726</v>
      </c>
      <c r="AR1314" s="552" t="s">
        <v>3011</v>
      </c>
      <c r="AS1314" s="552"/>
      <c r="AT1314" s="552" t="s">
        <v>726</v>
      </c>
    </row>
    <row r="1315" spans="1:46" ht="14.7" customHeight="1">
      <c r="A1315" s="710" t="s">
        <v>6681</v>
      </c>
      <c r="B1315" s="344" t="s">
        <v>3699</v>
      </c>
      <c r="C1315" s="728" t="s">
        <v>3693</v>
      </c>
      <c r="D1315" s="730" t="s">
        <v>8569</v>
      </c>
      <c r="E1315" s="729" t="s">
        <v>3693</v>
      </c>
      <c r="F1315" s="729"/>
      <c r="G1315" s="729"/>
      <c r="H1315" s="715"/>
      <c r="I1315" s="714"/>
      <c r="J1315" s="716"/>
      <c r="K1315" s="552"/>
      <c r="L1315" s="552"/>
      <c r="M1315" s="552"/>
      <c r="N1315" s="552"/>
      <c r="O1315" s="552">
        <v>100</v>
      </c>
      <c r="P1315" s="552"/>
      <c r="Q1315" s="552"/>
      <c r="R1315" s="552"/>
      <c r="S1315" s="552"/>
      <c r="T1315" s="552"/>
      <c r="U1315" s="552">
        <v>-5</v>
      </c>
      <c r="V1315" s="552"/>
      <c r="W1315" s="552"/>
      <c r="X1315" s="552"/>
      <c r="Y1315" s="552">
        <v>10</v>
      </c>
      <c r="Z1315" s="552"/>
      <c r="AA1315" s="552"/>
      <c r="AB1315" s="552"/>
      <c r="AC1315" s="552"/>
      <c r="AD1315" s="552"/>
      <c r="AE1315" s="552"/>
      <c r="AF1315" s="552"/>
      <c r="AG1315" s="552"/>
      <c r="AH1315" s="552"/>
      <c r="AI1315" s="552"/>
      <c r="AJ1315" s="552"/>
      <c r="AK1315" s="552"/>
      <c r="AL1315" s="552"/>
      <c r="AM1315" s="552"/>
      <c r="AN1315" s="552"/>
      <c r="AO1315" s="709" t="s">
        <v>8570</v>
      </c>
      <c r="AP1315" s="552"/>
      <c r="AQ1315" s="552" t="s">
        <v>726</v>
      </c>
      <c r="AR1315" s="552" t="s">
        <v>3011</v>
      </c>
      <c r="AS1315" s="552"/>
      <c r="AT1315" s="552" t="s">
        <v>726</v>
      </c>
    </row>
    <row r="1316" spans="1:46" ht="14.7" customHeight="1">
      <c r="A1316" s="710" t="s">
        <v>8571</v>
      </c>
      <c r="B1316" s="344" t="s">
        <v>3699</v>
      </c>
      <c r="C1316" s="728" t="s">
        <v>3693</v>
      </c>
      <c r="D1316" s="714" t="s">
        <v>8572</v>
      </c>
      <c r="E1316" s="729" t="s">
        <v>3693</v>
      </c>
      <c r="F1316" s="729"/>
      <c r="G1316" s="729"/>
      <c r="H1316" s="715"/>
      <c r="I1316" s="714"/>
      <c r="J1316" s="716"/>
      <c r="K1316" s="552"/>
      <c r="L1316" s="552"/>
      <c r="M1316" s="552"/>
      <c r="N1316" s="552">
        <v>100</v>
      </c>
      <c r="O1316" s="552">
        <v>100</v>
      </c>
      <c r="P1316" s="552"/>
      <c r="Q1316" s="552"/>
      <c r="R1316" s="552"/>
      <c r="S1316" s="552"/>
      <c r="T1316" s="552">
        <v>2</v>
      </c>
      <c r="U1316" s="552">
        <v>2</v>
      </c>
      <c r="V1316" s="552"/>
      <c r="W1316" s="552"/>
      <c r="X1316" s="552"/>
      <c r="Y1316" s="552"/>
      <c r="Z1316" s="552"/>
      <c r="AA1316" s="552"/>
      <c r="AB1316" s="552"/>
      <c r="AC1316" s="552"/>
      <c r="AD1316" s="552"/>
      <c r="AE1316" s="552"/>
      <c r="AF1316" s="552"/>
      <c r="AG1316" s="552"/>
      <c r="AH1316" s="552"/>
      <c r="AI1316" s="552"/>
      <c r="AJ1316" s="552"/>
      <c r="AK1316" s="552"/>
      <c r="AL1316" s="552"/>
      <c r="AM1316" s="552"/>
      <c r="AN1316" s="552"/>
      <c r="AO1316" s="709" t="s">
        <v>8573</v>
      </c>
      <c r="AP1316" s="709" t="s">
        <v>8574</v>
      </c>
      <c r="AQ1316" s="552" t="s">
        <v>726</v>
      </c>
      <c r="AR1316" s="552" t="s">
        <v>3011</v>
      </c>
      <c r="AS1316" s="552"/>
      <c r="AT1316" s="552" t="s">
        <v>726</v>
      </c>
    </row>
    <row r="1317" spans="1:46" ht="14.7" customHeight="1">
      <c r="A1317" s="710" t="s">
        <v>6682</v>
      </c>
      <c r="B1317" s="344" t="s">
        <v>3699</v>
      </c>
      <c r="C1317" s="728" t="s">
        <v>3693</v>
      </c>
      <c r="D1317" s="714" t="s">
        <v>8575</v>
      </c>
      <c r="E1317" s="729" t="s">
        <v>3693</v>
      </c>
      <c r="F1317" s="729"/>
      <c r="G1317" s="729"/>
      <c r="H1317" s="715"/>
      <c r="I1317" s="714"/>
      <c r="J1317" s="716"/>
      <c r="K1317" s="552"/>
      <c r="L1317" s="552"/>
      <c r="M1317" s="552"/>
      <c r="N1317" s="552"/>
      <c r="O1317" s="552"/>
      <c r="P1317" s="552"/>
      <c r="Q1317" s="552"/>
      <c r="R1317" s="552"/>
      <c r="S1317" s="552"/>
      <c r="T1317" s="552"/>
      <c r="U1317" s="552"/>
      <c r="V1317" s="552"/>
      <c r="W1317" s="552"/>
      <c r="X1317" s="552"/>
      <c r="Y1317" s="552"/>
      <c r="Z1317" s="552"/>
      <c r="AA1317" s="552"/>
      <c r="AB1317" s="552"/>
      <c r="AC1317" s="552"/>
      <c r="AD1317" s="552"/>
      <c r="AE1317" s="552"/>
      <c r="AF1317" s="552"/>
      <c r="AG1317" s="552"/>
      <c r="AH1317" s="552"/>
      <c r="AI1317" s="552"/>
      <c r="AJ1317" s="552"/>
      <c r="AK1317" s="552"/>
      <c r="AL1317" s="552"/>
      <c r="AM1317" s="552"/>
      <c r="AN1317" s="552"/>
      <c r="AO1317" s="552"/>
      <c r="AP1317" s="713" t="s">
        <v>8576</v>
      </c>
      <c r="AQ1317" s="552" t="s">
        <v>726</v>
      </c>
      <c r="AR1317" s="552" t="s">
        <v>3011</v>
      </c>
      <c r="AS1317" s="552"/>
      <c r="AT1317" s="552" t="s">
        <v>726</v>
      </c>
    </row>
    <row r="1318" spans="1:46" ht="14.7" customHeight="1">
      <c r="A1318" s="710" t="s">
        <v>6683</v>
      </c>
      <c r="B1318" s="344" t="s">
        <v>3699</v>
      </c>
      <c r="C1318" s="728" t="s">
        <v>3693</v>
      </c>
      <c r="D1318" s="714" t="s">
        <v>8577</v>
      </c>
      <c r="E1318" s="729" t="s">
        <v>3693</v>
      </c>
      <c r="F1318" s="729"/>
      <c r="G1318" s="729"/>
      <c r="H1318" s="715"/>
      <c r="I1318" s="714"/>
      <c r="J1318" s="716"/>
      <c r="K1318" s="552"/>
      <c r="L1318" s="552"/>
      <c r="M1318" s="552"/>
      <c r="N1318" s="552"/>
      <c r="O1318" s="552"/>
      <c r="P1318" s="552"/>
      <c r="Q1318" s="552"/>
      <c r="R1318" s="552"/>
      <c r="S1318" s="552"/>
      <c r="T1318" s="552"/>
      <c r="U1318" s="552"/>
      <c r="V1318" s="552"/>
      <c r="W1318" s="552"/>
      <c r="X1318" s="552"/>
      <c r="Y1318" s="552"/>
      <c r="Z1318" s="552"/>
      <c r="AA1318" s="552"/>
      <c r="AB1318" s="552"/>
      <c r="AC1318" s="552"/>
      <c r="AD1318" s="552"/>
      <c r="AE1318" s="552"/>
      <c r="AF1318" s="552"/>
      <c r="AG1318" s="552"/>
      <c r="AH1318" s="552"/>
      <c r="AI1318" s="552"/>
      <c r="AJ1318" s="552"/>
      <c r="AK1318" s="552"/>
      <c r="AL1318" s="552"/>
      <c r="AM1318" s="552"/>
      <c r="AN1318" s="552"/>
      <c r="AO1318" s="713" t="s">
        <v>8578</v>
      </c>
      <c r="AP1318" s="552"/>
      <c r="AQ1318" s="552" t="s">
        <v>726</v>
      </c>
      <c r="AR1318" s="552" t="s">
        <v>3011</v>
      </c>
      <c r="AS1318" s="552"/>
      <c r="AT1318" s="552" t="s">
        <v>726</v>
      </c>
    </row>
    <row r="1319" spans="1:46" ht="14.7" customHeight="1">
      <c r="A1319" s="706"/>
      <c r="B1319" s="344" t="s">
        <v>3699</v>
      </c>
      <c r="C1319" s="728" t="s">
        <v>3693</v>
      </c>
      <c r="D1319" s="727" t="s">
        <v>2783</v>
      </c>
      <c r="E1319" s="729" t="s">
        <v>3693</v>
      </c>
      <c r="F1319" s="729"/>
      <c r="G1319" s="729"/>
      <c r="H1319" s="715"/>
      <c r="I1319" s="714"/>
      <c r="J1319" s="716"/>
      <c r="K1319" s="552"/>
      <c r="L1319" s="552"/>
      <c r="M1319" s="552"/>
      <c r="N1319" s="552"/>
      <c r="O1319" s="552"/>
      <c r="P1319" s="552"/>
      <c r="Q1319" s="552"/>
      <c r="R1319" s="552"/>
      <c r="S1319" s="552"/>
      <c r="T1319" s="552"/>
      <c r="U1319" s="552"/>
      <c r="V1319" s="552"/>
      <c r="W1319" s="552"/>
      <c r="X1319" s="552"/>
      <c r="Y1319" s="552"/>
      <c r="Z1319" s="552"/>
      <c r="AA1319" s="552"/>
      <c r="AB1319" s="552"/>
      <c r="AC1319" s="552"/>
      <c r="AD1319" s="552"/>
      <c r="AE1319" s="552"/>
      <c r="AF1319" s="552"/>
      <c r="AG1319" s="552"/>
      <c r="AH1319" s="552"/>
      <c r="AI1319" s="552"/>
      <c r="AJ1319" s="552"/>
      <c r="AK1319" s="552"/>
      <c r="AL1319" s="552"/>
      <c r="AM1319" s="552"/>
      <c r="AN1319" s="552"/>
      <c r="AO1319" s="552"/>
      <c r="AP1319" s="552"/>
      <c r="AQ1319" s="552" t="s">
        <v>726</v>
      </c>
      <c r="AR1319" s="552" t="s">
        <v>3011</v>
      </c>
      <c r="AS1319" s="552"/>
      <c r="AT1319" s="552" t="s">
        <v>726</v>
      </c>
    </row>
    <row r="1320" spans="1:46" ht="14.7" customHeight="1">
      <c r="A1320" s="706"/>
      <c r="B1320" s="344" t="s">
        <v>3699</v>
      </c>
      <c r="C1320" s="728" t="s">
        <v>3693</v>
      </c>
      <c r="D1320" s="727" t="s">
        <v>2783</v>
      </c>
      <c r="E1320" s="729" t="s">
        <v>3693</v>
      </c>
      <c r="F1320" s="729"/>
      <c r="G1320" s="729"/>
      <c r="H1320" s="715"/>
      <c r="I1320" s="714"/>
      <c r="J1320" s="716"/>
      <c r="K1320" s="552"/>
      <c r="L1320" s="552"/>
      <c r="M1320" s="552"/>
      <c r="N1320" s="552"/>
      <c r="O1320" s="552"/>
      <c r="P1320" s="552"/>
      <c r="Q1320" s="552"/>
      <c r="R1320" s="552"/>
      <c r="S1320" s="552"/>
      <c r="T1320" s="552"/>
      <c r="U1320" s="552"/>
      <c r="V1320" s="552"/>
      <c r="W1320" s="552"/>
      <c r="X1320" s="552"/>
      <c r="Y1320" s="552"/>
      <c r="Z1320" s="552"/>
      <c r="AA1320" s="552"/>
      <c r="AB1320" s="552"/>
      <c r="AC1320" s="552"/>
      <c r="AD1320" s="552"/>
      <c r="AE1320" s="552"/>
      <c r="AF1320" s="552"/>
      <c r="AG1320" s="552"/>
      <c r="AH1320" s="552"/>
      <c r="AI1320" s="552"/>
      <c r="AJ1320" s="552"/>
      <c r="AK1320" s="552"/>
      <c r="AL1320" s="552"/>
      <c r="AM1320" s="552"/>
      <c r="AN1320" s="552"/>
      <c r="AO1320" s="552"/>
      <c r="AP1320" s="552"/>
      <c r="AQ1320" s="552" t="s">
        <v>726</v>
      </c>
      <c r="AR1320" s="552" t="s">
        <v>3011</v>
      </c>
      <c r="AS1320" s="552"/>
      <c r="AT1320" s="552" t="s">
        <v>726</v>
      </c>
    </row>
    <row r="1321" spans="1:46" ht="14.7" customHeight="1">
      <c r="A1321" s="706"/>
      <c r="B1321" s="344" t="s">
        <v>3699</v>
      </c>
      <c r="C1321" s="728" t="s">
        <v>3693</v>
      </c>
      <c r="D1321" s="727" t="s">
        <v>2783</v>
      </c>
      <c r="E1321" s="729" t="s">
        <v>3693</v>
      </c>
      <c r="F1321" s="729"/>
      <c r="G1321" s="729"/>
      <c r="H1321" s="715"/>
      <c r="I1321" s="714"/>
      <c r="J1321" s="716"/>
      <c r="K1321" s="552"/>
      <c r="L1321" s="552"/>
      <c r="M1321" s="552"/>
      <c r="N1321" s="552"/>
      <c r="O1321" s="552"/>
      <c r="P1321" s="552"/>
      <c r="Q1321" s="552"/>
      <c r="R1321" s="552"/>
      <c r="S1321" s="552"/>
      <c r="T1321" s="552"/>
      <c r="U1321" s="552"/>
      <c r="V1321" s="552"/>
      <c r="W1321" s="552"/>
      <c r="X1321" s="552"/>
      <c r="Y1321" s="552"/>
      <c r="Z1321" s="552"/>
      <c r="AA1321" s="552"/>
      <c r="AB1321" s="552"/>
      <c r="AC1321" s="552"/>
      <c r="AD1321" s="552"/>
      <c r="AE1321" s="552"/>
      <c r="AF1321" s="552"/>
      <c r="AG1321" s="552"/>
      <c r="AH1321" s="552"/>
      <c r="AI1321" s="552"/>
      <c r="AJ1321" s="552"/>
      <c r="AK1321" s="552"/>
      <c r="AL1321" s="552"/>
      <c r="AM1321" s="552"/>
      <c r="AN1321" s="552"/>
      <c r="AO1321" s="552"/>
      <c r="AP1321" s="552"/>
      <c r="AQ1321" s="552" t="s">
        <v>726</v>
      </c>
      <c r="AR1321" s="552" t="s">
        <v>3011</v>
      </c>
      <c r="AS1321" s="552"/>
      <c r="AT1321" s="552" t="s">
        <v>726</v>
      </c>
    </row>
    <row r="1322" spans="1:46" ht="14.7" customHeight="1">
      <c r="A1322" s="706"/>
      <c r="B1322" s="344" t="s">
        <v>3699</v>
      </c>
      <c r="C1322" s="728" t="s">
        <v>3693</v>
      </c>
      <c r="D1322" s="727" t="s">
        <v>2783</v>
      </c>
      <c r="E1322" s="729" t="s">
        <v>3693</v>
      </c>
      <c r="F1322" s="729"/>
      <c r="G1322" s="729"/>
      <c r="H1322" s="715"/>
      <c r="I1322" s="714"/>
      <c r="J1322" s="716"/>
      <c r="K1322" s="552"/>
      <c r="L1322" s="552"/>
      <c r="M1322" s="552"/>
      <c r="N1322" s="552"/>
      <c r="O1322" s="552"/>
      <c r="P1322" s="552"/>
      <c r="Q1322" s="552"/>
      <c r="R1322" s="552"/>
      <c r="S1322" s="552"/>
      <c r="T1322" s="552"/>
      <c r="U1322" s="552"/>
      <c r="V1322" s="552"/>
      <c r="W1322" s="552"/>
      <c r="X1322" s="552"/>
      <c r="Y1322" s="552"/>
      <c r="Z1322" s="552"/>
      <c r="AA1322" s="552"/>
      <c r="AB1322" s="552"/>
      <c r="AC1322" s="552"/>
      <c r="AD1322" s="552"/>
      <c r="AE1322" s="552"/>
      <c r="AF1322" s="552"/>
      <c r="AG1322" s="552"/>
      <c r="AH1322" s="552"/>
      <c r="AI1322" s="552"/>
      <c r="AJ1322" s="552"/>
      <c r="AK1322" s="552"/>
      <c r="AL1322" s="552"/>
      <c r="AM1322" s="552"/>
      <c r="AN1322" s="552"/>
      <c r="AO1322" s="552"/>
      <c r="AP1322" s="552"/>
      <c r="AQ1322" s="552" t="s">
        <v>726</v>
      </c>
      <c r="AR1322" s="552" t="s">
        <v>3011</v>
      </c>
      <c r="AS1322" s="552"/>
      <c r="AT1322" s="552" t="s">
        <v>726</v>
      </c>
    </row>
    <row r="1323" spans="1:46" ht="14.7" customHeight="1">
      <c r="A1323" s="710" t="s">
        <v>6684</v>
      </c>
      <c r="B1323" s="559" t="s">
        <v>3700</v>
      </c>
      <c r="C1323" s="728" t="s">
        <v>3693</v>
      </c>
      <c r="D1323" s="714" t="s">
        <v>6881</v>
      </c>
      <c r="E1323" s="729" t="s">
        <v>3693</v>
      </c>
      <c r="F1323" s="729"/>
      <c r="G1323" s="729"/>
      <c r="H1323" s="715"/>
      <c r="I1323" s="714"/>
      <c r="J1323" s="716"/>
      <c r="K1323" s="552"/>
      <c r="L1323" s="552"/>
      <c r="M1323" s="552"/>
      <c r="N1323" s="552">
        <v>100</v>
      </c>
      <c r="O1323" s="552"/>
      <c r="P1323" s="552"/>
      <c r="Q1323" s="552"/>
      <c r="R1323" s="552"/>
      <c r="S1323" s="552"/>
      <c r="T1323" s="552"/>
      <c r="U1323" s="552"/>
      <c r="V1323" s="552"/>
      <c r="W1323" s="552"/>
      <c r="X1323" s="552">
        <v>4</v>
      </c>
      <c r="Y1323" s="552"/>
      <c r="Z1323" s="552"/>
      <c r="AA1323" s="552"/>
      <c r="AB1323" s="552"/>
      <c r="AC1323" s="552"/>
      <c r="AD1323" s="552"/>
      <c r="AE1323" s="552"/>
      <c r="AF1323" s="552"/>
      <c r="AG1323" s="552"/>
      <c r="AH1323" s="552"/>
      <c r="AI1323" s="552"/>
      <c r="AJ1323" s="552"/>
      <c r="AK1323" s="552"/>
      <c r="AL1323" s="552"/>
      <c r="AM1323" s="552"/>
      <c r="AN1323" s="552"/>
      <c r="AO1323" s="713" t="s">
        <v>8579</v>
      </c>
      <c r="AP1323" s="552"/>
      <c r="AQ1323" s="552" t="s">
        <v>726</v>
      </c>
      <c r="AR1323" s="552" t="s">
        <v>2844</v>
      </c>
      <c r="AS1323" s="552"/>
      <c r="AT1323" s="552" t="s">
        <v>726</v>
      </c>
    </row>
    <row r="1324" spans="1:46" ht="14.7" customHeight="1">
      <c r="A1324" s="710" t="s">
        <v>8580</v>
      </c>
      <c r="B1324" s="559" t="s">
        <v>3700</v>
      </c>
      <c r="C1324" s="728" t="s">
        <v>3693</v>
      </c>
      <c r="D1324" s="714" t="s">
        <v>8581</v>
      </c>
      <c r="E1324" s="729" t="s">
        <v>3693</v>
      </c>
      <c r="F1324" s="729"/>
      <c r="G1324" s="729"/>
      <c r="H1324" s="715"/>
      <c r="I1324" s="714"/>
      <c r="J1324" s="716"/>
      <c r="K1324" s="552"/>
      <c r="L1324" s="552"/>
      <c r="M1324" s="552"/>
      <c r="N1324" s="552"/>
      <c r="O1324" s="552"/>
      <c r="P1324" s="552"/>
      <c r="Q1324" s="552"/>
      <c r="R1324" s="552"/>
      <c r="S1324" s="552">
        <v>-20</v>
      </c>
      <c r="T1324" s="552"/>
      <c r="U1324" s="552"/>
      <c r="V1324" s="552"/>
      <c r="W1324" s="552"/>
      <c r="X1324" s="552"/>
      <c r="Y1324" s="552"/>
      <c r="Z1324" s="552"/>
      <c r="AA1324" s="552"/>
      <c r="AB1324" s="552"/>
      <c r="AC1324" s="552"/>
      <c r="AD1324" s="552"/>
      <c r="AE1324" s="552"/>
      <c r="AF1324" s="552"/>
      <c r="AG1324" s="552"/>
      <c r="AH1324" s="552"/>
      <c r="AI1324" s="552"/>
      <c r="AJ1324" s="552"/>
      <c r="AK1324" s="552"/>
      <c r="AL1324" s="552"/>
      <c r="AM1324" s="552"/>
      <c r="AN1324" s="552">
        <v>-1</v>
      </c>
      <c r="AO1324" s="552"/>
      <c r="AP1324" s="709" t="s">
        <v>8582</v>
      </c>
      <c r="AQ1324" s="552" t="s">
        <v>726</v>
      </c>
      <c r="AR1324" s="552" t="s">
        <v>2844</v>
      </c>
      <c r="AS1324" s="552"/>
      <c r="AT1324" s="552" t="s">
        <v>726</v>
      </c>
    </row>
    <row r="1325" spans="1:46" ht="14.7" customHeight="1">
      <c r="A1325" s="710" t="s">
        <v>8583</v>
      </c>
      <c r="B1325" s="559" t="s">
        <v>3700</v>
      </c>
      <c r="C1325" s="728" t="s">
        <v>3693</v>
      </c>
      <c r="D1325" s="714" t="s">
        <v>8584</v>
      </c>
      <c r="E1325" s="729" t="s">
        <v>3693</v>
      </c>
      <c r="F1325" s="729"/>
      <c r="G1325" s="729"/>
      <c r="H1325" s="715"/>
      <c r="I1325" s="714"/>
      <c r="J1325" s="716"/>
      <c r="K1325" s="552"/>
      <c r="L1325" s="552"/>
      <c r="M1325" s="552"/>
      <c r="N1325" s="552"/>
      <c r="O1325" s="552"/>
      <c r="P1325" s="552"/>
      <c r="Q1325" s="552"/>
      <c r="R1325" s="552"/>
      <c r="S1325" s="552"/>
      <c r="T1325" s="552"/>
      <c r="U1325" s="552"/>
      <c r="V1325" s="552"/>
      <c r="W1325" s="552"/>
      <c r="X1325" s="552"/>
      <c r="Y1325" s="552"/>
      <c r="Z1325" s="552"/>
      <c r="AA1325" s="552"/>
      <c r="AB1325" s="552"/>
      <c r="AC1325" s="552"/>
      <c r="AD1325" s="552"/>
      <c r="AE1325" s="552"/>
      <c r="AF1325" s="552"/>
      <c r="AG1325" s="552"/>
      <c r="AH1325" s="552"/>
      <c r="AI1325" s="552"/>
      <c r="AJ1325" s="552"/>
      <c r="AK1325" s="552"/>
      <c r="AL1325" s="552"/>
      <c r="AM1325" s="552"/>
      <c r="AN1325" s="552"/>
      <c r="AO1325" s="552"/>
      <c r="AP1325" s="732" t="s">
        <v>8585</v>
      </c>
      <c r="AQ1325" s="552" t="s">
        <v>726</v>
      </c>
      <c r="AR1325" s="552" t="s">
        <v>2844</v>
      </c>
      <c r="AS1325" s="552"/>
      <c r="AT1325" s="552" t="s">
        <v>726</v>
      </c>
    </row>
    <row r="1326" spans="1:46" ht="14.7" customHeight="1">
      <c r="A1326" s="710" t="s">
        <v>8586</v>
      </c>
      <c r="B1326" s="559" t="s">
        <v>3700</v>
      </c>
      <c r="C1326" s="728" t="s">
        <v>3693</v>
      </c>
      <c r="D1326" s="714" t="s">
        <v>8587</v>
      </c>
      <c r="E1326" s="729" t="s">
        <v>3693</v>
      </c>
      <c r="F1326" s="729"/>
      <c r="G1326" s="729"/>
      <c r="H1326" s="715"/>
      <c r="I1326" s="714"/>
      <c r="J1326" s="716"/>
      <c r="K1326" s="552"/>
      <c r="L1326" s="552"/>
      <c r="M1326" s="552"/>
      <c r="N1326" s="552"/>
      <c r="O1326" s="552"/>
      <c r="P1326" s="552"/>
      <c r="Q1326" s="552"/>
      <c r="R1326" s="552"/>
      <c r="S1326" s="552"/>
      <c r="T1326" s="552"/>
      <c r="U1326" s="552"/>
      <c r="V1326" s="552"/>
      <c r="W1326" s="552"/>
      <c r="X1326" s="552"/>
      <c r="Y1326" s="552"/>
      <c r="Z1326" s="552"/>
      <c r="AA1326" s="552"/>
      <c r="AB1326" s="552"/>
      <c r="AC1326" s="552"/>
      <c r="AD1326" s="552"/>
      <c r="AE1326" s="552"/>
      <c r="AF1326" s="552"/>
      <c r="AG1326" s="552"/>
      <c r="AH1326" s="552"/>
      <c r="AI1326" s="552"/>
      <c r="AJ1326" s="552"/>
      <c r="AK1326" s="552"/>
      <c r="AL1326" s="552"/>
      <c r="AM1326" s="552"/>
      <c r="AN1326" s="552"/>
      <c r="AO1326" s="709" t="s">
        <v>8588</v>
      </c>
      <c r="AP1326" s="713" t="s">
        <v>8589</v>
      </c>
      <c r="AQ1326" s="552" t="s">
        <v>726</v>
      </c>
      <c r="AR1326" s="552" t="s">
        <v>2844</v>
      </c>
      <c r="AS1326" s="552"/>
      <c r="AT1326" s="552" t="s">
        <v>726</v>
      </c>
    </row>
    <row r="1327" spans="1:46" ht="14.7" customHeight="1">
      <c r="A1327" s="710" t="s">
        <v>6685</v>
      </c>
      <c r="B1327" s="559" t="s">
        <v>3700</v>
      </c>
      <c r="C1327" s="728" t="s">
        <v>3693</v>
      </c>
      <c r="D1327" s="714" t="s">
        <v>8590</v>
      </c>
      <c r="E1327" s="729" t="s">
        <v>3693</v>
      </c>
      <c r="F1327" s="733"/>
      <c r="G1327" s="733"/>
      <c r="H1327" s="713" t="s">
        <v>8591</v>
      </c>
      <c r="I1327" s="714"/>
      <c r="J1327" s="716"/>
      <c r="K1327" s="552"/>
      <c r="L1327" s="552"/>
      <c r="M1327" s="552"/>
      <c r="N1327" s="552"/>
      <c r="O1327" s="552"/>
      <c r="P1327" s="552"/>
      <c r="Q1327" s="552"/>
      <c r="R1327" s="552"/>
      <c r="S1327" s="552"/>
      <c r="T1327" s="552"/>
      <c r="U1327" s="552"/>
      <c r="V1327" s="552"/>
      <c r="W1327" s="552"/>
      <c r="X1327" s="552"/>
      <c r="Y1327" s="552"/>
      <c r="Z1327" s="552"/>
      <c r="AA1327" s="552"/>
      <c r="AB1327" s="552"/>
      <c r="AC1327" s="552"/>
      <c r="AD1327" s="552"/>
      <c r="AE1327" s="552"/>
      <c r="AF1327" s="552"/>
      <c r="AG1327" s="552"/>
      <c r="AH1327" s="552"/>
      <c r="AI1327" s="552"/>
      <c r="AJ1327" s="552"/>
      <c r="AK1327" s="552"/>
      <c r="AL1327" s="552"/>
      <c r="AM1327" s="552"/>
      <c r="AN1327" s="552"/>
      <c r="AO1327" s="709" t="s">
        <v>8592</v>
      </c>
      <c r="AP1327" s="709" t="s">
        <v>8593</v>
      </c>
      <c r="AQ1327" s="552" t="s">
        <v>726</v>
      </c>
      <c r="AR1327" s="552" t="s">
        <v>2844</v>
      </c>
      <c r="AS1327" s="552"/>
      <c r="AT1327" s="552" t="s">
        <v>726</v>
      </c>
    </row>
    <row r="1328" spans="1:46" ht="14.7" customHeight="1">
      <c r="A1328" s="706"/>
      <c r="B1328" s="559" t="s">
        <v>3700</v>
      </c>
      <c r="C1328" s="728" t="s">
        <v>3693</v>
      </c>
      <c r="D1328" s="727" t="s">
        <v>2783</v>
      </c>
      <c r="E1328" s="729" t="s">
        <v>3693</v>
      </c>
      <c r="F1328" s="729"/>
      <c r="G1328" s="729"/>
      <c r="H1328" s="715"/>
      <c r="I1328" s="714"/>
      <c r="J1328" s="716"/>
      <c r="K1328" s="552"/>
      <c r="L1328" s="552"/>
      <c r="M1328" s="552"/>
      <c r="N1328" s="552"/>
      <c r="O1328" s="552"/>
      <c r="P1328" s="552"/>
      <c r="Q1328" s="552"/>
      <c r="R1328" s="552"/>
      <c r="S1328" s="552"/>
      <c r="T1328" s="552"/>
      <c r="U1328" s="552"/>
      <c r="V1328" s="552"/>
      <c r="W1328" s="552"/>
      <c r="X1328" s="552"/>
      <c r="Y1328" s="552"/>
      <c r="Z1328" s="552"/>
      <c r="AA1328" s="552"/>
      <c r="AB1328" s="552"/>
      <c r="AC1328" s="552"/>
      <c r="AD1328" s="552"/>
      <c r="AE1328" s="552"/>
      <c r="AF1328" s="552"/>
      <c r="AG1328" s="552"/>
      <c r="AH1328" s="552"/>
      <c r="AI1328" s="552"/>
      <c r="AJ1328" s="552"/>
      <c r="AK1328" s="552"/>
      <c r="AL1328" s="552"/>
      <c r="AM1328" s="552"/>
      <c r="AN1328" s="552"/>
      <c r="AO1328" s="552"/>
      <c r="AP1328" s="552"/>
      <c r="AQ1328" s="552" t="s">
        <v>726</v>
      </c>
      <c r="AR1328" s="552" t="s">
        <v>2844</v>
      </c>
      <c r="AS1328" s="552"/>
      <c r="AT1328" s="552" t="s">
        <v>726</v>
      </c>
    </row>
    <row r="1329" spans="1:46" ht="14.7" customHeight="1">
      <c r="A1329" s="706"/>
      <c r="B1329" s="559" t="s">
        <v>3700</v>
      </c>
      <c r="C1329" s="728" t="s">
        <v>3693</v>
      </c>
      <c r="D1329" s="727" t="s">
        <v>2783</v>
      </c>
      <c r="E1329" s="729" t="s">
        <v>3693</v>
      </c>
      <c r="F1329" s="729"/>
      <c r="G1329" s="729"/>
      <c r="H1329" s="715"/>
      <c r="I1329" s="734"/>
      <c r="J1329" s="735"/>
      <c r="K1329" s="731"/>
      <c r="L1329" s="731"/>
      <c r="M1329" s="731"/>
      <c r="N1329" s="731"/>
      <c r="O1329" s="731"/>
      <c r="P1329" s="731"/>
      <c r="Q1329" s="731"/>
      <c r="R1329" s="731"/>
      <c r="S1329" s="731"/>
      <c r="T1329" s="731"/>
      <c r="U1329" s="731"/>
      <c r="V1329" s="731"/>
      <c r="W1329" s="731"/>
      <c r="X1329" s="731"/>
      <c r="Y1329" s="731"/>
      <c r="Z1329" s="731"/>
      <c r="AA1329" s="731"/>
      <c r="AB1329" s="731"/>
      <c r="AC1329" s="731"/>
      <c r="AD1329" s="731"/>
      <c r="AE1329" s="731"/>
      <c r="AF1329" s="731"/>
      <c r="AG1329" s="731"/>
      <c r="AH1329" s="731"/>
      <c r="AI1329" s="731"/>
      <c r="AJ1329" s="731"/>
      <c r="AK1329" s="731"/>
      <c r="AL1329" s="731"/>
      <c r="AM1329" s="731"/>
      <c r="AN1329" s="731"/>
      <c r="AO1329" s="731"/>
      <c r="AP1329" s="731"/>
      <c r="AQ1329" s="552" t="s">
        <v>726</v>
      </c>
      <c r="AR1329" s="552" t="s">
        <v>2844</v>
      </c>
      <c r="AS1329" s="552"/>
      <c r="AT1329" s="552" t="s">
        <v>726</v>
      </c>
    </row>
    <row r="1330" spans="1:46" ht="14.7" customHeight="1">
      <c r="A1330" s="706"/>
      <c r="B1330" s="559" t="s">
        <v>3700</v>
      </c>
      <c r="C1330" s="728" t="s">
        <v>3693</v>
      </c>
      <c r="D1330" s="727" t="s">
        <v>2783</v>
      </c>
      <c r="E1330" s="729" t="s">
        <v>3693</v>
      </c>
      <c r="F1330" s="729"/>
      <c r="G1330" s="729"/>
      <c r="H1330" s="715"/>
      <c r="I1330" s="714"/>
      <c r="J1330" s="716"/>
      <c r="K1330" s="552"/>
      <c r="L1330" s="552"/>
      <c r="M1330" s="552"/>
      <c r="N1330" s="552"/>
      <c r="O1330" s="552"/>
      <c r="P1330" s="552"/>
      <c r="Q1330" s="552"/>
      <c r="R1330" s="552"/>
      <c r="S1330" s="552"/>
      <c r="T1330" s="552"/>
      <c r="U1330" s="552"/>
      <c r="V1330" s="552"/>
      <c r="W1330" s="552"/>
      <c r="X1330" s="552"/>
      <c r="Y1330" s="552"/>
      <c r="Z1330" s="552"/>
      <c r="AA1330" s="552"/>
      <c r="AB1330" s="552"/>
      <c r="AC1330" s="552"/>
      <c r="AD1330" s="552"/>
      <c r="AE1330" s="552"/>
      <c r="AF1330" s="552"/>
      <c r="AG1330" s="552"/>
      <c r="AH1330" s="552"/>
      <c r="AI1330" s="552"/>
      <c r="AJ1330" s="552"/>
      <c r="AK1330" s="552"/>
      <c r="AL1330" s="552"/>
      <c r="AM1330" s="552"/>
      <c r="AN1330" s="552"/>
      <c r="AO1330" s="552"/>
      <c r="AP1330" s="552"/>
      <c r="AQ1330" s="552" t="s">
        <v>726</v>
      </c>
      <c r="AR1330" s="552" t="s">
        <v>2844</v>
      </c>
      <c r="AS1330" s="552"/>
      <c r="AT1330" s="552" t="s">
        <v>726</v>
      </c>
    </row>
    <row r="1331" spans="1:46" ht="14.7" customHeight="1">
      <c r="A1331" s="706" t="s">
        <v>6686</v>
      </c>
      <c r="B1331" s="711" t="s">
        <v>6055</v>
      </c>
      <c r="C1331" s="728" t="s">
        <v>3693</v>
      </c>
      <c r="D1331" s="714" t="s">
        <v>8594</v>
      </c>
      <c r="E1331" s="729" t="s">
        <v>3693</v>
      </c>
      <c r="F1331" s="729"/>
      <c r="G1331" s="729"/>
      <c r="H1331" s="715"/>
      <c r="I1331" s="714"/>
      <c r="J1331" s="716"/>
      <c r="K1331" s="552"/>
      <c r="L1331" s="552"/>
      <c r="M1331" s="552"/>
      <c r="N1331" s="552"/>
      <c r="O1331" s="552"/>
      <c r="P1331" s="552"/>
      <c r="Q1331" s="552"/>
      <c r="R1331" s="552"/>
      <c r="S1331" s="552"/>
      <c r="T1331" s="552"/>
      <c r="U1331" s="552"/>
      <c r="V1331" s="552"/>
      <c r="W1331" s="552"/>
      <c r="X1331" s="552"/>
      <c r="Y1331" s="552"/>
      <c r="Z1331" s="552"/>
      <c r="AA1331" s="552"/>
      <c r="AB1331" s="552"/>
      <c r="AC1331" s="552"/>
      <c r="AD1331" s="552"/>
      <c r="AE1331" s="552"/>
      <c r="AF1331" s="552"/>
      <c r="AG1331" s="552"/>
      <c r="AH1331" s="552"/>
      <c r="AI1331" s="552"/>
      <c r="AJ1331" s="552"/>
      <c r="AK1331" s="552"/>
      <c r="AL1331" s="552"/>
      <c r="AM1331" s="552"/>
      <c r="AN1331" s="552"/>
      <c r="AO1331" s="709" t="s">
        <v>8595</v>
      </c>
      <c r="AP1331" s="552"/>
      <c r="AQ1331" s="552" t="s">
        <v>726</v>
      </c>
      <c r="AR1331" s="552" t="s">
        <v>6698</v>
      </c>
      <c r="AS1331" s="552"/>
      <c r="AT1331" s="552" t="s">
        <v>726</v>
      </c>
    </row>
    <row r="1332" spans="1:46" ht="14.7" customHeight="1">
      <c r="A1332" s="710" t="s">
        <v>8596</v>
      </c>
      <c r="B1332" s="711" t="s">
        <v>6055</v>
      </c>
      <c r="C1332" s="728" t="s">
        <v>3693</v>
      </c>
      <c r="D1332" s="714" t="s">
        <v>8597</v>
      </c>
      <c r="E1332" s="729" t="s">
        <v>3693</v>
      </c>
      <c r="F1332" s="729"/>
      <c r="G1332" s="729"/>
      <c r="H1332" s="715"/>
      <c r="I1332" s="714"/>
      <c r="J1332" s="716"/>
      <c r="K1332" s="552"/>
      <c r="L1332" s="552"/>
      <c r="M1332" s="552"/>
      <c r="N1332" s="552"/>
      <c r="O1332" s="552"/>
      <c r="P1332" s="552"/>
      <c r="Q1332" s="552"/>
      <c r="R1332" s="552"/>
      <c r="S1332" s="552"/>
      <c r="T1332" s="552"/>
      <c r="U1332" s="552"/>
      <c r="V1332" s="552"/>
      <c r="W1332" s="552"/>
      <c r="X1332" s="552"/>
      <c r="Y1332" s="552"/>
      <c r="Z1332" s="552"/>
      <c r="AA1332" s="552"/>
      <c r="AB1332" s="552"/>
      <c r="AC1332" s="552"/>
      <c r="AD1332" s="552"/>
      <c r="AE1332" s="552"/>
      <c r="AF1332" s="552"/>
      <c r="AG1332" s="552"/>
      <c r="AH1332" s="552"/>
      <c r="AI1332" s="552"/>
      <c r="AJ1332" s="552"/>
      <c r="AK1332" s="552"/>
      <c r="AL1332" s="552"/>
      <c r="AM1332" s="552"/>
      <c r="AN1332" s="552"/>
      <c r="AO1332" s="552"/>
      <c r="AP1332" s="713" t="s">
        <v>8598</v>
      </c>
      <c r="AQ1332" s="552" t="s">
        <v>726</v>
      </c>
      <c r="AR1332" s="552" t="s">
        <v>6698</v>
      </c>
      <c r="AS1332" s="552"/>
      <c r="AT1332" s="552" t="s">
        <v>726</v>
      </c>
    </row>
    <row r="1333" spans="1:46" ht="14.7" customHeight="1">
      <c r="A1333" s="710"/>
      <c r="B1333" s="711" t="s">
        <v>6055</v>
      </c>
      <c r="C1333" s="552"/>
      <c r="D1333" s="552"/>
      <c r="E1333" s="552"/>
      <c r="F1333" s="552"/>
      <c r="G1333" s="552"/>
      <c r="H1333" s="552"/>
      <c r="I1333" s="552"/>
      <c r="J1333" s="552"/>
      <c r="K1333" s="552"/>
      <c r="L1333" s="552"/>
      <c r="M1333" s="552"/>
      <c r="N1333" s="552"/>
      <c r="O1333" s="552"/>
      <c r="P1333" s="552"/>
      <c r="Q1333" s="552"/>
      <c r="R1333" s="552"/>
      <c r="S1333" s="552"/>
      <c r="T1333" s="552"/>
      <c r="U1333" s="552"/>
      <c r="V1333" s="552"/>
      <c r="W1333" s="552"/>
      <c r="X1333" s="552"/>
      <c r="Y1333" s="552"/>
      <c r="Z1333" s="552"/>
      <c r="AA1333" s="552"/>
      <c r="AB1333" s="552"/>
      <c r="AC1333" s="552"/>
      <c r="AD1333" s="552"/>
      <c r="AE1333" s="552"/>
      <c r="AF1333" s="552"/>
      <c r="AG1333" s="552"/>
      <c r="AH1333" s="552"/>
      <c r="AI1333" s="552"/>
      <c r="AJ1333" s="552"/>
      <c r="AK1333" s="552"/>
      <c r="AL1333" s="552"/>
      <c r="AM1333" s="552"/>
      <c r="AN1333" s="552"/>
      <c r="AO1333" s="552"/>
      <c r="AP1333" s="552"/>
      <c r="AQ1333" s="552"/>
      <c r="AR1333" s="552" t="s">
        <v>6698</v>
      </c>
      <c r="AS1333" s="552"/>
      <c r="AT1333" s="552" t="s">
        <v>726</v>
      </c>
    </row>
    <row r="1334" spans="1:46" ht="14.7" customHeight="1">
      <c r="A1334" s="710"/>
      <c r="B1334" s="711" t="s">
        <v>6055</v>
      </c>
      <c r="C1334" s="728"/>
      <c r="D1334" s="714"/>
      <c r="E1334" s="729"/>
      <c r="F1334" s="733"/>
      <c r="G1334" s="733"/>
      <c r="H1334" s="713"/>
      <c r="I1334" s="709"/>
      <c r="J1334" s="716"/>
      <c r="K1334" s="552"/>
      <c r="L1334" s="552"/>
      <c r="M1334" s="552"/>
      <c r="N1334" s="552"/>
      <c r="O1334" s="552"/>
      <c r="P1334" s="552"/>
      <c r="Q1334" s="552"/>
      <c r="R1334" s="552"/>
      <c r="S1334" s="552"/>
      <c r="T1334" s="552"/>
      <c r="U1334" s="552"/>
      <c r="V1334" s="552"/>
      <c r="W1334" s="552"/>
      <c r="X1334" s="552"/>
      <c r="Y1334" s="552"/>
      <c r="Z1334" s="552"/>
      <c r="AA1334" s="552"/>
      <c r="AB1334" s="552"/>
      <c r="AC1334" s="552"/>
      <c r="AD1334" s="552"/>
      <c r="AE1334" s="552"/>
      <c r="AF1334" s="552"/>
      <c r="AG1334" s="552"/>
      <c r="AH1334" s="552"/>
      <c r="AI1334" s="552"/>
      <c r="AJ1334" s="552"/>
      <c r="AK1334" s="552"/>
      <c r="AL1334" s="552"/>
      <c r="AM1334" s="552"/>
      <c r="AN1334" s="552"/>
      <c r="AO1334" s="709"/>
      <c r="AP1334" s="552"/>
      <c r="AQ1334" s="552"/>
      <c r="AR1334" s="552" t="s">
        <v>6698</v>
      </c>
      <c r="AS1334" s="552"/>
      <c r="AT1334" s="552" t="s">
        <v>726</v>
      </c>
    </row>
    <row r="1335" spans="1:46" ht="14.7" customHeight="1">
      <c r="A1335" s="710"/>
      <c r="B1335" s="711" t="s">
        <v>6055</v>
      </c>
      <c r="C1335" s="728"/>
      <c r="D1335" s="714"/>
      <c r="E1335" s="729"/>
      <c r="F1335" s="729"/>
      <c r="G1335" s="729"/>
      <c r="H1335" s="715"/>
      <c r="I1335" s="709"/>
      <c r="J1335" s="716"/>
      <c r="K1335" s="552"/>
      <c r="L1335" s="552"/>
      <c r="M1335" s="552"/>
      <c r="N1335" s="552"/>
      <c r="O1335" s="552"/>
      <c r="P1335" s="552"/>
      <c r="Q1335" s="552"/>
      <c r="R1335" s="552"/>
      <c r="S1335" s="552"/>
      <c r="T1335" s="552"/>
      <c r="U1335" s="552"/>
      <c r="V1335" s="552"/>
      <c r="W1335" s="552"/>
      <c r="X1335" s="552"/>
      <c r="Y1335" s="552"/>
      <c r="Z1335" s="552"/>
      <c r="AA1335" s="552"/>
      <c r="AB1335" s="552"/>
      <c r="AC1335" s="552"/>
      <c r="AD1335" s="552"/>
      <c r="AE1335" s="552"/>
      <c r="AF1335" s="552"/>
      <c r="AG1335" s="552"/>
      <c r="AH1335" s="552"/>
      <c r="AI1335" s="552"/>
      <c r="AJ1335" s="552"/>
      <c r="AK1335" s="552"/>
      <c r="AL1335" s="552"/>
      <c r="AM1335" s="552"/>
      <c r="AN1335" s="552"/>
      <c r="AO1335" s="552"/>
      <c r="AP1335" s="713"/>
      <c r="AQ1335" s="552"/>
      <c r="AR1335" s="552" t="s">
        <v>6698</v>
      </c>
      <c r="AS1335" s="552"/>
      <c r="AT1335" s="552" t="s">
        <v>726</v>
      </c>
    </row>
    <row r="1336" spans="1:46" ht="14.7" customHeight="1">
      <c r="A1336" s="710" t="s">
        <v>6687</v>
      </c>
      <c r="B1336" s="711" t="s">
        <v>6055</v>
      </c>
      <c r="C1336" s="728" t="s">
        <v>3693</v>
      </c>
      <c r="D1336" s="714" t="s">
        <v>8599</v>
      </c>
      <c r="E1336" s="729" t="s">
        <v>8600</v>
      </c>
      <c r="F1336" s="729"/>
      <c r="G1336" s="729"/>
      <c r="H1336" s="714"/>
      <c r="I1336" s="714"/>
      <c r="J1336" s="713" t="s">
        <v>8601</v>
      </c>
      <c r="K1336" s="709" t="s">
        <v>8602</v>
      </c>
      <c r="L1336" s="552"/>
      <c r="M1336" s="552"/>
      <c r="N1336" s="552"/>
      <c r="O1336" s="552"/>
      <c r="P1336" s="552"/>
      <c r="Q1336" s="552"/>
      <c r="R1336" s="552"/>
      <c r="S1336" s="552"/>
      <c r="T1336" s="552"/>
      <c r="U1336" s="552"/>
      <c r="V1336" s="552"/>
      <c r="W1336" s="552"/>
      <c r="X1336" s="552"/>
      <c r="Y1336" s="552"/>
      <c r="Z1336" s="552"/>
      <c r="AA1336" s="552"/>
      <c r="AB1336" s="552"/>
      <c r="AC1336" s="552"/>
      <c r="AD1336" s="552"/>
      <c r="AE1336" s="552"/>
      <c r="AF1336" s="552"/>
      <c r="AG1336" s="552"/>
      <c r="AH1336" s="552"/>
      <c r="AI1336" s="552"/>
      <c r="AJ1336" s="552"/>
      <c r="AK1336" s="552"/>
      <c r="AL1336" s="552"/>
      <c r="AM1336" s="552"/>
      <c r="AN1336" s="552"/>
      <c r="AO1336" s="713" t="s">
        <v>8603</v>
      </c>
      <c r="AP1336" s="552"/>
      <c r="AQ1336" s="552" t="s">
        <v>726</v>
      </c>
      <c r="AR1336" s="552" t="s">
        <v>6698</v>
      </c>
      <c r="AS1336" s="552"/>
      <c r="AT1336" s="552" t="s">
        <v>726</v>
      </c>
    </row>
    <row r="1337" spans="1:46" ht="14.7" customHeight="1">
      <c r="A1337" s="710" t="s">
        <v>6688</v>
      </c>
      <c r="B1337" s="711" t="s">
        <v>6055</v>
      </c>
      <c r="C1337" s="728" t="s">
        <v>3693</v>
      </c>
      <c r="D1337" s="714" t="s">
        <v>8604</v>
      </c>
      <c r="E1337" s="729" t="s">
        <v>3693</v>
      </c>
      <c r="F1337" s="729"/>
      <c r="G1337" s="729"/>
      <c r="H1337" s="714"/>
      <c r="I1337" s="714"/>
      <c r="J1337" s="716"/>
      <c r="K1337" s="552"/>
      <c r="L1337" s="552"/>
      <c r="M1337" s="552"/>
      <c r="N1337" s="552"/>
      <c r="O1337" s="552"/>
      <c r="P1337" s="552"/>
      <c r="Q1337" s="552"/>
      <c r="R1337" s="552"/>
      <c r="S1337" s="552"/>
      <c r="T1337" s="552"/>
      <c r="U1337" s="552"/>
      <c r="V1337" s="552"/>
      <c r="W1337" s="552"/>
      <c r="X1337" s="552"/>
      <c r="Y1337" s="552"/>
      <c r="Z1337" s="552"/>
      <c r="AA1337" s="552"/>
      <c r="AB1337" s="552"/>
      <c r="AC1337" s="552"/>
      <c r="AD1337" s="552"/>
      <c r="AE1337" s="552"/>
      <c r="AF1337" s="552"/>
      <c r="AG1337" s="552"/>
      <c r="AH1337" s="552"/>
      <c r="AI1337" s="552"/>
      <c r="AJ1337" s="552"/>
      <c r="AK1337" s="552"/>
      <c r="AL1337" s="552"/>
      <c r="AM1337" s="552"/>
      <c r="AN1337" s="552"/>
      <c r="AO1337" s="552"/>
      <c r="AP1337" s="713" t="s">
        <v>8605</v>
      </c>
      <c r="AQ1337" s="552" t="s">
        <v>726</v>
      </c>
      <c r="AR1337" s="552" t="s">
        <v>6698</v>
      </c>
      <c r="AS1337" s="552"/>
      <c r="AT1337" s="552" t="s">
        <v>726</v>
      </c>
    </row>
    <row r="1338" spans="1:46" ht="14.7" customHeight="1">
      <c r="A1338" s="710" t="s">
        <v>6689</v>
      </c>
      <c r="B1338" s="711" t="s">
        <v>6055</v>
      </c>
      <c r="C1338" s="728" t="s">
        <v>3693</v>
      </c>
      <c r="D1338" s="714" t="s">
        <v>8606</v>
      </c>
      <c r="E1338" s="729" t="s">
        <v>3693</v>
      </c>
      <c r="F1338" s="729"/>
      <c r="G1338" s="729"/>
      <c r="H1338" s="727"/>
      <c r="I1338" s="714"/>
      <c r="J1338" s="716"/>
      <c r="K1338" s="552"/>
      <c r="L1338" s="552"/>
      <c r="M1338" s="552"/>
      <c r="N1338" s="552"/>
      <c r="O1338" s="552"/>
      <c r="P1338" s="552"/>
      <c r="Q1338" s="552"/>
      <c r="R1338" s="552"/>
      <c r="S1338" s="552"/>
      <c r="T1338" s="552"/>
      <c r="U1338" s="552"/>
      <c r="V1338" s="552"/>
      <c r="W1338" s="552"/>
      <c r="X1338" s="552"/>
      <c r="Y1338" s="552"/>
      <c r="Z1338" s="552"/>
      <c r="AA1338" s="552"/>
      <c r="AB1338" s="552"/>
      <c r="AC1338" s="552"/>
      <c r="AD1338" s="552"/>
      <c r="AE1338" s="552"/>
      <c r="AF1338" s="552"/>
      <c r="AG1338" s="552"/>
      <c r="AH1338" s="552"/>
      <c r="AI1338" s="552"/>
      <c r="AJ1338" s="552"/>
      <c r="AK1338" s="552"/>
      <c r="AL1338" s="552"/>
      <c r="AM1338" s="552"/>
      <c r="AN1338" s="552"/>
      <c r="AO1338" s="552"/>
      <c r="AP1338" s="713" t="s">
        <v>8607</v>
      </c>
      <c r="AQ1338" s="552" t="s">
        <v>726</v>
      </c>
      <c r="AR1338" s="552" t="s">
        <v>6698</v>
      </c>
      <c r="AS1338" s="552"/>
      <c r="AT1338" s="552" t="s">
        <v>726</v>
      </c>
    </row>
    <row r="1339" spans="1:46" ht="14.7" customHeight="1">
      <c r="A1339" s="710" t="s">
        <v>6690</v>
      </c>
      <c r="B1339" s="711" t="s">
        <v>6055</v>
      </c>
      <c r="C1339" s="728" t="s">
        <v>3693</v>
      </c>
      <c r="D1339" s="714" t="s">
        <v>8608</v>
      </c>
      <c r="E1339" s="729" t="s">
        <v>3693</v>
      </c>
      <c r="F1339" s="729"/>
      <c r="G1339" s="729"/>
      <c r="H1339" s="714"/>
      <c r="I1339" s="714"/>
      <c r="J1339" s="716"/>
      <c r="K1339" s="552"/>
      <c r="L1339" s="552"/>
      <c r="M1339" s="552"/>
      <c r="N1339" s="552"/>
      <c r="O1339" s="552">
        <v>800</v>
      </c>
      <c r="P1339" s="552"/>
      <c r="Q1339" s="552"/>
      <c r="R1339" s="552">
        <v>100</v>
      </c>
      <c r="S1339" s="552"/>
      <c r="T1339" s="552"/>
      <c r="U1339" s="552"/>
      <c r="V1339" s="552"/>
      <c r="W1339" s="552"/>
      <c r="X1339" s="552"/>
      <c r="Y1339" s="552"/>
      <c r="Z1339" s="552"/>
      <c r="AA1339" s="552"/>
      <c r="AB1339" s="552"/>
      <c r="AC1339" s="552"/>
      <c r="AD1339" s="552"/>
      <c r="AE1339" s="552"/>
      <c r="AF1339" s="552"/>
      <c r="AG1339" s="552"/>
      <c r="AH1339" s="552"/>
      <c r="AI1339" s="552"/>
      <c r="AJ1339" s="552"/>
      <c r="AK1339" s="552"/>
      <c r="AL1339" s="552"/>
      <c r="AM1339" s="552"/>
      <c r="AN1339" s="552"/>
      <c r="AO1339" s="709" t="s">
        <v>8609</v>
      </c>
      <c r="AP1339" s="552"/>
      <c r="AQ1339" s="552" t="s">
        <v>726</v>
      </c>
      <c r="AR1339" s="552" t="s">
        <v>6698</v>
      </c>
      <c r="AS1339" s="552"/>
      <c r="AT1339" s="552" t="s">
        <v>726</v>
      </c>
    </row>
    <row r="1340" spans="1:46" ht="14.7" customHeight="1">
      <c r="A1340" s="710" t="s">
        <v>8610</v>
      </c>
      <c r="B1340" s="711" t="s">
        <v>6055</v>
      </c>
      <c r="C1340" s="728" t="s">
        <v>3693</v>
      </c>
      <c r="D1340" s="714" t="s">
        <v>8611</v>
      </c>
      <c r="E1340" s="729" t="s">
        <v>3693</v>
      </c>
      <c r="F1340" s="729"/>
      <c r="G1340" s="729"/>
      <c r="H1340" s="714"/>
      <c r="I1340" s="714"/>
      <c r="J1340" s="716"/>
      <c r="K1340" s="552"/>
      <c r="L1340" s="552"/>
      <c r="M1340" s="552"/>
      <c r="N1340" s="552"/>
      <c r="O1340" s="552"/>
      <c r="P1340" s="552">
        <v>40</v>
      </c>
      <c r="Q1340" s="552"/>
      <c r="R1340" s="552"/>
      <c r="S1340" s="552"/>
      <c r="T1340" s="552"/>
      <c r="U1340" s="552"/>
      <c r="V1340" s="552"/>
      <c r="W1340" s="552"/>
      <c r="X1340" s="552"/>
      <c r="Y1340" s="552"/>
      <c r="Z1340" s="552"/>
      <c r="AA1340" s="552"/>
      <c r="AB1340" s="552"/>
      <c r="AC1340" s="552"/>
      <c r="AD1340" s="552"/>
      <c r="AE1340" s="552"/>
      <c r="AF1340" s="552"/>
      <c r="AG1340" s="552"/>
      <c r="AH1340" s="552"/>
      <c r="AI1340" s="552"/>
      <c r="AJ1340" s="552"/>
      <c r="AK1340" s="552"/>
      <c r="AL1340" s="552"/>
      <c r="AM1340" s="552"/>
      <c r="AN1340" s="552"/>
      <c r="AO1340" s="552"/>
      <c r="AP1340" s="709" t="s">
        <v>8612</v>
      </c>
      <c r="AQ1340" s="552" t="s">
        <v>726</v>
      </c>
      <c r="AR1340" s="552" t="s">
        <v>6698</v>
      </c>
      <c r="AS1340" s="552"/>
      <c r="AT1340" s="552" t="s">
        <v>726</v>
      </c>
    </row>
    <row r="1341" spans="1:46" ht="14.7" customHeight="1">
      <c r="A1341" s="710" t="s">
        <v>6691</v>
      </c>
      <c r="B1341" s="711" t="s">
        <v>6055</v>
      </c>
      <c r="C1341" s="728" t="s">
        <v>3693</v>
      </c>
      <c r="D1341" s="714" t="s">
        <v>8613</v>
      </c>
      <c r="E1341" s="729" t="s">
        <v>3693</v>
      </c>
      <c r="F1341" s="729"/>
      <c r="G1341" s="729"/>
      <c r="H1341" s="714"/>
      <c r="I1341" s="714"/>
      <c r="J1341" s="716"/>
      <c r="K1341" s="552"/>
      <c r="L1341" s="552"/>
      <c r="M1341" s="552"/>
      <c r="N1341" s="552">
        <v>400</v>
      </c>
      <c r="O1341" s="552"/>
      <c r="P1341" s="552"/>
      <c r="Q1341" s="552"/>
      <c r="R1341" s="552"/>
      <c r="S1341" s="552"/>
      <c r="T1341" s="552"/>
      <c r="U1341" s="552"/>
      <c r="V1341" s="552"/>
      <c r="W1341" s="552"/>
      <c r="X1341" s="552">
        <v>10</v>
      </c>
      <c r="Y1341" s="552">
        <v>10</v>
      </c>
      <c r="Z1341" s="552"/>
      <c r="AA1341" s="552"/>
      <c r="AB1341" s="552"/>
      <c r="AC1341" s="552"/>
      <c r="AD1341" s="552"/>
      <c r="AE1341" s="552"/>
      <c r="AF1341" s="552"/>
      <c r="AG1341" s="552"/>
      <c r="AH1341" s="552"/>
      <c r="AI1341" s="552"/>
      <c r="AJ1341" s="552"/>
      <c r="AK1341" s="552"/>
      <c r="AL1341" s="552"/>
      <c r="AM1341" s="552"/>
      <c r="AN1341" s="552"/>
      <c r="AO1341" s="709" t="s">
        <v>8614</v>
      </c>
      <c r="AP1341" s="552"/>
      <c r="AQ1341" s="552" t="s">
        <v>726</v>
      </c>
      <c r="AR1341" s="552" t="s">
        <v>6698</v>
      </c>
      <c r="AS1341" s="552"/>
      <c r="AT1341" s="552" t="s">
        <v>726</v>
      </c>
    </row>
    <row r="1342" spans="1:46" ht="14.7" customHeight="1">
      <c r="A1342" s="710" t="s">
        <v>6692</v>
      </c>
      <c r="B1342" s="711" t="s">
        <v>6055</v>
      </c>
      <c r="C1342" s="728" t="s">
        <v>3693</v>
      </c>
      <c r="D1342" s="714" t="s">
        <v>8615</v>
      </c>
      <c r="E1342" s="729" t="s">
        <v>3693</v>
      </c>
      <c r="F1342" s="729"/>
      <c r="G1342" s="729"/>
      <c r="H1342" s="714"/>
      <c r="I1342" s="714"/>
      <c r="J1342" s="716"/>
      <c r="K1342" s="552"/>
      <c r="L1342" s="552"/>
      <c r="M1342" s="552"/>
      <c r="N1342" s="552"/>
      <c r="O1342" s="552"/>
      <c r="P1342" s="552"/>
      <c r="Q1342" s="552"/>
      <c r="R1342" s="552"/>
      <c r="S1342" s="552"/>
      <c r="T1342" s="552"/>
      <c r="U1342" s="552"/>
      <c r="V1342" s="552"/>
      <c r="W1342" s="552"/>
      <c r="X1342" s="552"/>
      <c r="Y1342" s="552"/>
      <c r="Z1342" s="552"/>
      <c r="AA1342" s="552"/>
      <c r="AB1342" s="552"/>
      <c r="AC1342" s="552"/>
      <c r="AD1342" s="552"/>
      <c r="AE1342" s="552"/>
      <c r="AF1342" s="552"/>
      <c r="AG1342" s="552"/>
      <c r="AH1342" s="552"/>
      <c r="AI1342" s="552"/>
      <c r="AJ1342" s="552"/>
      <c r="AK1342" s="552"/>
      <c r="AL1342" s="552"/>
      <c r="AM1342" s="552"/>
      <c r="AN1342" s="552"/>
      <c r="AO1342" s="552" t="s">
        <v>8616</v>
      </c>
      <c r="AP1342" s="552"/>
      <c r="AQ1342" s="552" t="s">
        <v>726</v>
      </c>
      <c r="AR1342" s="552" t="s">
        <v>6698</v>
      </c>
      <c r="AS1342" s="552"/>
      <c r="AT1342" s="552" t="s">
        <v>726</v>
      </c>
    </row>
    <row r="1343" spans="1:46" ht="14.7" customHeight="1">
      <c r="A1343" s="710" t="s">
        <v>6693</v>
      </c>
      <c r="B1343" s="711" t="s">
        <v>6055</v>
      </c>
      <c r="C1343" s="728" t="s">
        <v>3693</v>
      </c>
      <c r="D1343" s="714" t="s">
        <v>8617</v>
      </c>
      <c r="E1343" s="729" t="s">
        <v>3693</v>
      </c>
      <c r="F1343" s="729"/>
      <c r="G1343" s="729"/>
      <c r="H1343" s="714"/>
      <c r="I1343" s="714"/>
      <c r="J1343" s="716"/>
      <c r="K1343" s="552"/>
      <c r="L1343" s="552"/>
      <c r="M1343" s="552"/>
      <c r="N1343" s="552"/>
      <c r="O1343" s="552"/>
      <c r="P1343" s="552"/>
      <c r="Q1343" s="552"/>
      <c r="R1343" s="552"/>
      <c r="S1343" s="552"/>
      <c r="T1343" s="552"/>
      <c r="U1343" s="552"/>
      <c r="V1343" s="552"/>
      <c r="W1343" s="552"/>
      <c r="X1343" s="552"/>
      <c r="Y1343" s="552"/>
      <c r="Z1343" s="552"/>
      <c r="AA1343" s="552"/>
      <c r="AB1343" s="552"/>
      <c r="AC1343" s="552"/>
      <c r="AD1343" s="552"/>
      <c r="AE1343" s="552"/>
      <c r="AF1343" s="552"/>
      <c r="AG1343" s="552"/>
      <c r="AH1343" s="552"/>
      <c r="AI1343" s="552"/>
      <c r="AJ1343" s="552"/>
      <c r="AK1343" s="552"/>
      <c r="AL1343" s="552"/>
      <c r="AM1343" s="552"/>
      <c r="AN1343" s="552"/>
      <c r="AO1343" s="552"/>
      <c r="AP1343" s="709" t="s">
        <v>8618</v>
      </c>
      <c r="AQ1343" s="552" t="s">
        <v>726</v>
      </c>
      <c r="AR1343" s="552" t="s">
        <v>6698</v>
      </c>
      <c r="AS1343" s="552"/>
      <c r="AT1343" s="552" t="s">
        <v>726</v>
      </c>
    </row>
    <row r="1344" spans="1:46" ht="14.7" customHeight="1">
      <c r="A1344" s="710" t="s">
        <v>6694</v>
      </c>
      <c r="B1344" s="711" t="s">
        <v>6055</v>
      </c>
      <c r="C1344" s="728" t="s">
        <v>3693</v>
      </c>
      <c r="D1344" s="714" t="s">
        <v>8619</v>
      </c>
      <c r="E1344" s="729" t="s">
        <v>3693</v>
      </c>
      <c r="F1344" s="729"/>
      <c r="G1344" s="729"/>
      <c r="H1344" s="715"/>
      <c r="I1344" s="714"/>
      <c r="J1344" s="716"/>
      <c r="K1344" s="552"/>
      <c r="L1344" s="552"/>
      <c r="M1344" s="552"/>
      <c r="N1344" s="552"/>
      <c r="O1344" s="552"/>
      <c r="P1344" s="552"/>
      <c r="Q1344" s="552"/>
      <c r="R1344" s="552"/>
      <c r="S1344" s="552"/>
      <c r="T1344" s="552"/>
      <c r="U1344" s="552"/>
      <c r="V1344" s="552"/>
      <c r="W1344" s="552"/>
      <c r="X1344" s="552"/>
      <c r="Y1344" s="552"/>
      <c r="Z1344" s="552"/>
      <c r="AA1344" s="552"/>
      <c r="AB1344" s="552"/>
      <c r="AC1344" s="552"/>
      <c r="AD1344" s="552"/>
      <c r="AE1344" s="552"/>
      <c r="AF1344" s="552"/>
      <c r="AG1344" s="552"/>
      <c r="AH1344" s="552"/>
      <c r="AI1344" s="552"/>
      <c r="AJ1344" s="552"/>
      <c r="AK1344" s="552"/>
      <c r="AL1344" s="552"/>
      <c r="AM1344" s="552"/>
      <c r="AN1344" s="552"/>
      <c r="AO1344" s="709" t="s">
        <v>8620</v>
      </c>
      <c r="AP1344" s="552"/>
      <c r="AQ1344" s="552" t="s">
        <v>726</v>
      </c>
      <c r="AR1344" s="552" t="s">
        <v>6698</v>
      </c>
      <c r="AS1344" s="552"/>
      <c r="AT1344" s="552" t="s">
        <v>726</v>
      </c>
    </row>
    <row r="1345" spans="1:46" ht="14.7" customHeight="1">
      <c r="A1345" s="710" t="s">
        <v>6695</v>
      </c>
      <c r="B1345" s="711" t="s">
        <v>6055</v>
      </c>
      <c r="C1345" s="728" t="s">
        <v>3693</v>
      </c>
      <c r="D1345" s="715" t="s">
        <v>8621</v>
      </c>
      <c r="E1345" s="729" t="s">
        <v>3693</v>
      </c>
      <c r="F1345" s="729"/>
      <c r="G1345" s="729"/>
      <c r="H1345" s="715"/>
      <c r="I1345" s="714"/>
      <c r="J1345" s="716"/>
      <c r="K1345" s="552"/>
      <c r="L1345" s="552"/>
      <c r="M1345" s="552"/>
      <c r="N1345" s="552"/>
      <c r="O1345" s="552"/>
      <c r="P1345" s="552"/>
      <c r="Q1345" s="552"/>
      <c r="R1345" s="552"/>
      <c r="S1345" s="552"/>
      <c r="T1345" s="552"/>
      <c r="U1345" s="552"/>
      <c r="V1345" s="552"/>
      <c r="W1345" s="552"/>
      <c r="X1345" s="552"/>
      <c r="Y1345" s="552"/>
      <c r="Z1345" s="552"/>
      <c r="AA1345" s="552"/>
      <c r="AB1345" s="552"/>
      <c r="AC1345" s="552"/>
      <c r="AD1345" s="552"/>
      <c r="AE1345" s="552"/>
      <c r="AF1345" s="552"/>
      <c r="AG1345" s="552"/>
      <c r="AH1345" s="552"/>
      <c r="AI1345" s="552"/>
      <c r="AJ1345" s="552"/>
      <c r="AK1345" s="552"/>
      <c r="AL1345" s="552"/>
      <c r="AM1345" s="552"/>
      <c r="AN1345" s="552"/>
      <c r="AO1345" s="709" t="s">
        <v>8622</v>
      </c>
      <c r="AP1345" s="552"/>
      <c r="AQ1345" s="552" t="s">
        <v>726</v>
      </c>
      <c r="AR1345" s="552" t="s">
        <v>6698</v>
      </c>
      <c r="AS1345" s="552"/>
      <c r="AT1345" s="552" t="s">
        <v>726</v>
      </c>
    </row>
    <row r="1346" spans="1:46" ht="14.7" customHeight="1">
      <c r="A1346" s="710" t="s">
        <v>6696</v>
      </c>
      <c r="B1346" s="711" t="s">
        <v>6055</v>
      </c>
      <c r="C1346" s="728" t="s">
        <v>3693</v>
      </c>
      <c r="D1346" s="727" t="s">
        <v>8623</v>
      </c>
      <c r="E1346" s="729" t="s">
        <v>3693</v>
      </c>
      <c r="F1346" s="729"/>
      <c r="G1346" s="729"/>
      <c r="H1346" s="715"/>
      <c r="I1346" s="714"/>
      <c r="J1346" s="716"/>
      <c r="K1346" s="552"/>
      <c r="L1346" s="552"/>
      <c r="M1346" s="552"/>
      <c r="N1346" s="552"/>
      <c r="O1346" s="552"/>
      <c r="P1346" s="552"/>
      <c r="Q1346" s="552"/>
      <c r="R1346" s="552"/>
      <c r="S1346" s="552"/>
      <c r="T1346" s="552"/>
      <c r="U1346" s="552"/>
      <c r="V1346" s="552"/>
      <c r="W1346" s="552"/>
      <c r="X1346" s="552"/>
      <c r="Y1346" s="552"/>
      <c r="Z1346" s="552"/>
      <c r="AA1346" s="552"/>
      <c r="AB1346" s="552"/>
      <c r="AC1346" s="552"/>
      <c r="AD1346" s="552"/>
      <c r="AE1346" s="552"/>
      <c r="AF1346" s="552"/>
      <c r="AG1346" s="552"/>
      <c r="AH1346" s="552"/>
      <c r="AI1346" s="552"/>
      <c r="AJ1346" s="552"/>
      <c r="AK1346" s="552"/>
      <c r="AL1346" s="552"/>
      <c r="AM1346" s="552"/>
      <c r="AN1346" s="552"/>
      <c r="AO1346" s="709" t="s">
        <v>8624</v>
      </c>
      <c r="AP1346" s="552"/>
      <c r="AQ1346" s="552" t="s">
        <v>726</v>
      </c>
      <c r="AR1346" s="552" t="s">
        <v>6698</v>
      </c>
      <c r="AS1346" s="552"/>
      <c r="AT1346" s="552" t="s">
        <v>726</v>
      </c>
    </row>
    <row r="1347" spans="1:46" ht="14.7" customHeight="1">
      <c r="A1347" s="710" t="s">
        <v>8625</v>
      </c>
      <c r="B1347" s="736" t="s">
        <v>8626</v>
      </c>
      <c r="C1347" s="728" t="s">
        <v>3693</v>
      </c>
      <c r="D1347" s="714" t="s">
        <v>8627</v>
      </c>
      <c r="E1347" s="729" t="s">
        <v>3693</v>
      </c>
      <c r="F1347" s="729"/>
      <c r="G1347" s="729"/>
      <c r="H1347" s="715"/>
      <c r="I1347" s="714"/>
      <c r="J1347" s="716"/>
      <c r="K1347" s="552"/>
      <c r="L1347" s="552"/>
      <c r="M1347" s="552"/>
      <c r="N1347" s="552"/>
      <c r="O1347" s="552"/>
      <c r="P1347" s="552"/>
      <c r="Q1347" s="552"/>
      <c r="R1347" s="552"/>
      <c r="S1347" s="552"/>
      <c r="T1347" s="552"/>
      <c r="U1347" s="552"/>
      <c r="V1347" s="552"/>
      <c r="W1347" s="552"/>
      <c r="X1347" s="552"/>
      <c r="Y1347" s="552"/>
      <c r="Z1347" s="552"/>
      <c r="AA1347" s="552"/>
      <c r="AB1347" s="552"/>
      <c r="AC1347" s="552"/>
      <c r="AD1347" s="552"/>
      <c r="AE1347" s="552"/>
      <c r="AF1347" s="552"/>
      <c r="AG1347" s="552"/>
      <c r="AH1347" s="552"/>
      <c r="AI1347" s="552"/>
      <c r="AJ1347" s="552"/>
      <c r="AK1347" s="552"/>
      <c r="AL1347" s="552"/>
      <c r="AM1347" s="552"/>
      <c r="AN1347" s="552"/>
      <c r="AO1347" s="709" t="s">
        <v>8628</v>
      </c>
      <c r="AP1347" s="709" t="s">
        <v>8629</v>
      </c>
      <c r="AQ1347" s="552" t="s">
        <v>726</v>
      </c>
      <c r="AR1347" s="552" t="s">
        <v>6699</v>
      </c>
      <c r="AS1347" s="552"/>
      <c r="AT1347" s="552" t="s">
        <v>726</v>
      </c>
    </row>
  </sheetData>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39997558519241921"/>
    <outlinePr summaryBelow="0" summaryRight="0"/>
  </sheetPr>
  <dimension ref="A1:D1585"/>
  <sheetViews>
    <sheetView topLeftCell="A264" zoomScaleNormal="100" workbookViewId="0">
      <selection activeCell="B298" sqref="B298"/>
    </sheetView>
  </sheetViews>
  <sheetFormatPr defaultRowHeight="15" customHeight="1"/>
  <cols>
    <col min="1" max="1" width="14.5" style="98" bestFit="1" customWidth="1"/>
    <col min="2" max="2" width="145.640625" style="98" bestFit="1" customWidth="1"/>
    <col min="3" max="3" width="9" style="341" customWidth="1"/>
    <col min="4" max="4" width="37.5" style="98" customWidth="1"/>
    <col min="5" max="5" width="12.640625" style="98" customWidth="1"/>
    <col min="6" max="16384" width="9.140625" style="98"/>
  </cols>
  <sheetData>
    <row r="1" spans="1:4" ht="14.25" customHeight="1">
      <c r="A1" s="2" t="s">
        <v>2784</v>
      </c>
      <c r="B1" s="2" t="s">
        <v>2785</v>
      </c>
      <c r="C1" s="341" t="s">
        <v>2786</v>
      </c>
      <c r="D1" s="154"/>
    </row>
    <row r="2" spans="1:4" ht="17.25" customHeight="1">
      <c r="A2" s="806" t="s">
        <v>2787</v>
      </c>
      <c r="B2" s="807"/>
      <c r="C2" s="574"/>
      <c r="D2" s="154"/>
    </row>
    <row r="3" spans="1:4" ht="17.25" customHeight="1">
      <c r="A3" s="566" t="s">
        <v>2788</v>
      </c>
      <c r="B3" s="639"/>
      <c r="C3" s="574"/>
      <c r="D3" s="154"/>
    </row>
    <row r="4" spans="1:4" ht="15" customHeight="1">
      <c r="A4" s="566" t="s">
        <v>2789</v>
      </c>
      <c r="B4" s="567" t="s">
        <v>2790</v>
      </c>
      <c r="C4" s="574"/>
      <c r="D4" s="154"/>
    </row>
    <row r="5" spans="1:4" ht="15" customHeight="1">
      <c r="A5" s="553" t="s">
        <v>2781</v>
      </c>
      <c r="B5" s="554" t="s">
        <v>2791</v>
      </c>
      <c r="C5" s="574" t="s">
        <v>2792</v>
      </c>
      <c r="D5" s="154"/>
    </row>
    <row r="6" spans="1:4" ht="15" customHeight="1">
      <c r="A6" s="555" t="s">
        <v>2782</v>
      </c>
      <c r="B6" s="568" t="s">
        <v>2793</v>
      </c>
      <c r="C6" s="574" t="s">
        <v>2794</v>
      </c>
      <c r="D6" s="154"/>
    </row>
    <row r="7" spans="1:4" ht="15" customHeight="1">
      <c r="A7" s="555" t="s">
        <v>2782</v>
      </c>
      <c r="B7" s="568" t="s">
        <v>2795</v>
      </c>
      <c r="C7" s="574" t="s">
        <v>2794</v>
      </c>
      <c r="D7" s="154"/>
    </row>
    <row r="8" spans="1:4" ht="15" customHeight="1">
      <c r="A8" s="556" t="s">
        <v>2796</v>
      </c>
      <c r="B8" s="554" t="s">
        <v>2797</v>
      </c>
      <c r="C8" s="574" t="s">
        <v>2798</v>
      </c>
      <c r="D8" s="154"/>
    </row>
    <row r="9" spans="1:4" ht="15" customHeight="1">
      <c r="A9" s="556" t="s">
        <v>2796</v>
      </c>
      <c r="B9" s="554" t="s">
        <v>2799</v>
      </c>
      <c r="C9" s="574" t="s">
        <v>2798</v>
      </c>
      <c r="D9" s="154"/>
    </row>
    <row r="10" spans="1:4" ht="15" customHeight="1">
      <c r="A10" s="557" t="s">
        <v>2800</v>
      </c>
      <c r="B10" s="554" t="s">
        <v>2801</v>
      </c>
      <c r="C10" s="574" t="s">
        <v>2802</v>
      </c>
      <c r="D10" s="154"/>
    </row>
    <row r="11" spans="1:4" ht="15" customHeight="1">
      <c r="A11" s="557" t="s">
        <v>2800</v>
      </c>
      <c r="B11" s="568" t="s">
        <v>2783</v>
      </c>
      <c r="C11" s="574" t="s">
        <v>2802</v>
      </c>
      <c r="D11" s="154"/>
    </row>
    <row r="12" spans="1:4" ht="15" customHeight="1">
      <c r="A12" s="557" t="s">
        <v>2800</v>
      </c>
      <c r="B12" s="568" t="s">
        <v>2783</v>
      </c>
      <c r="C12" s="574" t="s">
        <v>2802</v>
      </c>
      <c r="D12" s="154"/>
    </row>
    <row r="13" spans="1:4" ht="15" customHeight="1">
      <c r="A13" s="558" t="s">
        <v>2803</v>
      </c>
      <c r="B13" s="554" t="s">
        <v>2804</v>
      </c>
      <c r="C13" s="574" t="s">
        <v>2805</v>
      </c>
      <c r="D13" s="154"/>
    </row>
    <row r="14" spans="1:4" ht="15" customHeight="1">
      <c r="A14" s="558" t="s">
        <v>2803</v>
      </c>
      <c r="B14" s="554" t="s">
        <v>2806</v>
      </c>
      <c r="C14" s="574" t="s">
        <v>2805</v>
      </c>
      <c r="D14" s="154"/>
    </row>
    <row r="15" spans="1:4" ht="15" customHeight="1">
      <c r="A15" s="558" t="s">
        <v>2803</v>
      </c>
      <c r="B15" s="568" t="s">
        <v>2783</v>
      </c>
      <c r="C15" s="574" t="s">
        <v>2805</v>
      </c>
      <c r="D15" s="154"/>
    </row>
    <row r="16" spans="1:4" ht="15" customHeight="1">
      <c r="A16" s="559" t="s">
        <v>2807</v>
      </c>
      <c r="B16" s="554" t="s">
        <v>2808</v>
      </c>
      <c r="C16" s="574" t="s">
        <v>2809</v>
      </c>
      <c r="D16" s="154"/>
    </row>
    <row r="17" spans="1:4" ht="15" customHeight="1">
      <c r="A17" s="569" t="s">
        <v>2810</v>
      </c>
      <c r="B17" s="568" t="s">
        <v>2783</v>
      </c>
      <c r="C17" s="574"/>
      <c r="D17" s="154"/>
    </row>
    <row r="18" spans="1:4" ht="15" customHeight="1">
      <c r="A18" s="562"/>
      <c r="B18" s="562"/>
      <c r="C18" s="574"/>
      <c r="D18" s="154"/>
    </row>
    <row r="19" spans="1:4" ht="15" customHeight="1">
      <c r="A19" s="566" t="s">
        <v>2811</v>
      </c>
      <c r="B19" s="554" t="s">
        <v>2812</v>
      </c>
      <c r="C19" s="574"/>
      <c r="D19" s="154"/>
    </row>
    <row r="20" spans="1:4" ht="15" customHeight="1">
      <c r="A20" s="553" t="s">
        <v>2781</v>
      </c>
      <c r="B20" s="554" t="s">
        <v>2813</v>
      </c>
      <c r="C20" s="574" t="s">
        <v>2792</v>
      </c>
      <c r="D20" s="154"/>
    </row>
    <row r="21" spans="1:4" ht="15" customHeight="1">
      <c r="A21" s="555" t="s">
        <v>2782</v>
      </c>
      <c r="B21" s="568" t="s">
        <v>2814</v>
      </c>
      <c r="C21" s="574" t="s">
        <v>2794</v>
      </c>
      <c r="D21" s="154"/>
    </row>
    <row r="22" spans="1:4" ht="15" customHeight="1">
      <c r="A22" s="555" t="s">
        <v>2782</v>
      </c>
      <c r="B22" s="568" t="s">
        <v>2783</v>
      </c>
      <c r="C22" s="574" t="s">
        <v>2794</v>
      </c>
      <c r="D22" s="154"/>
    </row>
    <row r="23" spans="1:4" ht="15" customHeight="1">
      <c r="A23" s="556" t="s">
        <v>2796</v>
      </c>
      <c r="B23" s="554" t="s">
        <v>2815</v>
      </c>
      <c r="C23" s="574" t="s">
        <v>2798</v>
      </c>
      <c r="D23" s="154"/>
    </row>
    <row r="24" spans="1:4" ht="15" customHeight="1">
      <c r="A24" s="556" t="s">
        <v>2796</v>
      </c>
      <c r="B24" s="568" t="s">
        <v>2783</v>
      </c>
      <c r="C24" s="574" t="s">
        <v>2798</v>
      </c>
      <c r="D24" s="154"/>
    </row>
    <row r="25" spans="1:4" ht="15" customHeight="1">
      <c r="A25" s="557" t="s">
        <v>2800</v>
      </c>
      <c r="B25" s="554" t="s">
        <v>2816</v>
      </c>
      <c r="C25" s="574" t="s">
        <v>2802</v>
      </c>
      <c r="D25" s="154"/>
    </row>
    <row r="26" spans="1:4" ht="15" customHeight="1">
      <c r="A26" s="557" t="s">
        <v>2800</v>
      </c>
      <c r="B26" s="568" t="s">
        <v>2783</v>
      </c>
      <c r="C26" s="574" t="s">
        <v>2802</v>
      </c>
      <c r="D26" s="154"/>
    </row>
    <row r="27" spans="1:4" ht="15" customHeight="1">
      <c r="A27" s="557" t="s">
        <v>2800</v>
      </c>
      <c r="B27" s="568" t="s">
        <v>2783</v>
      </c>
      <c r="C27" s="574" t="s">
        <v>2802</v>
      </c>
      <c r="D27" s="154"/>
    </row>
    <row r="28" spans="1:4" ht="15" customHeight="1">
      <c r="A28" s="558" t="s">
        <v>2803</v>
      </c>
      <c r="B28" s="554" t="s">
        <v>2817</v>
      </c>
      <c r="C28" s="574" t="s">
        <v>2805</v>
      </c>
      <c r="D28" s="154"/>
    </row>
    <row r="29" spans="1:4" ht="15" customHeight="1">
      <c r="A29" s="558" t="s">
        <v>2803</v>
      </c>
      <c r="B29" s="568" t="s">
        <v>2783</v>
      </c>
      <c r="C29" s="574" t="s">
        <v>2805</v>
      </c>
      <c r="D29" s="154"/>
    </row>
    <row r="30" spans="1:4" ht="15" customHeight="1">
      <c r="A30" s="558" t="s">
        <v>2803</v>
      </c>
      <c r="B30" s="568" t="s">
        <v>2783</v>
      </c>
      <c r="C30" s="574" t="s">
        <v>2805</v>
      </c>
      <c r="D30" s="154"/>
    </row>
    <row r="31" spans="1:4" ht="15" customHeight="1">
      <c r="A31" s="559" t="s">
        <v>2807</v>
      </c>
      <c r="B31" s="554" t="s">
        <v>2818</v>
      </c>
      <c r="C31" s="574" t="s">
        <v>2809</v>
      </c>
      <c r="D31" s="154"/>
    </row>
    <row r="32" spans="1:4" ht="15" customHeight="1">
      <c r="A32" s="569" t="s">
        <v>2810</v>
      </c>
      <c r="B32" s="568" t="s">
        <v>2783</v>
      </c>
      <c r="C32" s="574"/>
      <c r="D32" s="154"/>
    </row>
    <row r="33" spans="1:4" ht="15" customHeight="1">
      <c r="A33" s="562"/>
      <c r="B33" s="562"/>
      <c r="C33" s="574"/>
      <c r="D33" s="154"/>
    </row>
    <row r="34" spans="1:4" ht="15" customHeight="1">
      <c r="A34" s="566" t="s">
        <v>2819</v>
      </c>
      <c r="B34" s="554" t="s">
        <v>2820</v>
      </c>
      <c r="C34" s="574"/>
      <c r="D34" s="154"/>
    </row>
    <row r="35" spans="1:4" ht="15" customHeight="1">
      <c r="A35" s="553" t="s">
        <v>2781</v>
      </c>
      <c r="B35" s="554" t="s">
        <v>2821</v>
      </c>
      <c r="C35" s="574" t="s">
        <v>2792</v>
      </c>
      <c r="D35" s="154"/>
    </row>
    <row r="36" spans="1:4" ht="15" customHeight="1">
      <c r="A36" s="555" t="s">
        <v>2782</v>
      </c>
      <c r="B36" s="568" t="s">
        <v>2822</v>
      </c>
      <c r="C36" s="574" t="s">
        <v>2794</v>
      </c>
      <c r="D36" s="154"/>
    </row>
    <row r="37" spans="1:4" ht="15" customHeight="1">
      <c r="A37" s="555" t="s">
        <v>2782</v>
      </c>
      <c r="B37" s="568" t="s">
        <v>2783</v>
      </c>
      <c r="C37" s="574" t="s">
        <v>2794</v>
      </c>
      <c r="D37" s="154"/>
    </row>
    <row r="38" spans="1:4" ht="15" customHeight="1">
      <c r="A38" s="556" t="s">
        <v>2796</v>
      </c>
      <c r="B38" s="554" t="s">
        <v>2823</v>
      </c>
      <c r="C38" s="574" t="s">
        <v>2798</v>
      </c>
      <c r="D38" s="154"/>
    </row>
    <row r="39" spans="1:4" ht="15" customHeight="1">
      <c r="A39" s="556" t="s">
        <v>2796</v>
      </c>
      <c r="B39" s="568" t="s">
        <v>2783</v>
      </c>
      <c r="C39" s="574" t="s">
        <v>2798</v>
      </c>
      <c r="D39" s="154"/>
    </row>
    <row r="40" spans="1:4" ht="15" customHeight="1">
      <c r="A40" s="557" t="s">
        <v>2800</v>
      </c>
      <c r="B40" s="568" t="s">
        <v>2824</v>
      </c>
      <c r="C40" s="574" t="s">
        <v>2802</v>
      </c>
      <c r="D40" s="154"/>
    </row>
    <row r="41" spans="1:4" ht="15" customHeight="1">
      <c r="A41" s="557" t="s">
        <v>2800</v>
      </c>
      <c r="B41" s="568" t="s">
        <v>2783</v>
      </c>
      <c r="C41" s="574" t="s">
        <v>2802</v>
      </c>
      <c r="D41" s="154"/>
    </row>
    <row r="42" spans="1:4" ht="15" customHeight="1">
      <c r="A42" s="557" t="s">
        <v>2800</v>
      </c>
      <c r="B42" s="554" t="s">
        <v>2825</v>
      </c>
      <c r="C42" s="574" t="s">
        <v>2802</v>
      </c>
      <c r="D42" s="154"/>
    </row>
    <row r="43" spans="1:4" ht="15" customHeight="1">
      <c r="A43" s="558" t="s">
        <v>2803</v>
      </c>
      <c r="B43" s="554" t="s">
        <v>2826</v>
      </c>
      <c r="C43" s="574" t="s">
        <v>2805</v>
      </c>
      <c r="D43" s="154"/>
    </row>
    <row r="44" spans="1:4" ht="15" customHeight="1">
      <c r="A44" s="558" t="s">
        <v>2803</v>
      </c>
      <c r="B44" s="554" t="s">
        <v>2827</v>
      </c>
      <c r="C44" s="574" t="s">
        <v>2805</v>
      </c>
      <c r="D44" s="154"/>
    </row>
    <row r="45" spans="1:4" ht="15" customHeight="1">
      <c r="A45" s="558" t="s">
        <v>2803</v>
      </c>
      <c r="B45" s="554" t="s">
        <v>2828</v>
      </c>
      <c r="C45" s="574" t="s">
        <v>2805</v>
      </c>
      <c r="D45" s="154"/>
    </row>
    <row r="46" spans="1:4" ht="15" customHeight="1">
      <c r="A46" s="559" t="s">
        <v>2807</v>
      </c>
      <c r="B46" s="554" t="s">
        <v>2829</v>
      </c>
      <c r="C46" s="574" t="s">
        <v>2809</v>
      </c>
      <c r="D46" s="154"/>
    </row>
    <row r="47" spans="1:4" ht="15" customHeight="1">
      <c r="A47" s="569" t="s">
        <v>2810</v>
      </c>
      <c r="B47" s="568" t="s">
        <v>2783</v>
      </c>
      <c r="C47" s="574"/>
      <c r="D47" s="154"/>
    </row>
    <row r="48" spans="1:4" ht="15" customHeight="1">
      <c r="A48" s="562"/>
      <c r="B48" s="562"/>
      <c r="C48" s="574"/>
      <c r="D48" s="154"/>
    </row>
    <row r="49" spans="1:4" ht="15" customHeight="1">
      <c r="A49" s="566" t="s">
        <v>2830</v>
      </c>
      <c r="B49" s="554" t="s">
        <v>2831</v>
      </c>
      <c r="C49" s="574"/>
      <c r="D49" s="154"/>
    </row>
    <row r="50" spans="1:4" ht="15" customHeight="1">
      <c r="A50" s="553" t="s">
        <v>2781</v>
      </c>
      <c r="B50" s="554" t="s">
        <v>2832</v>
      </c>
      <c r="C50" s="574" t="s">
        <v>2792</v>
      </c>
      <c r="D50" s="154"/>
    </row>
    <row r="51" spans="1:4" ht="15" customHeight="1">
      <c r="A51" s="555" t="s">
        <v>2782</v>
      </c>
      <c r="B51" s="568" t="s">
        <v>2833</v>
      </c>
      <c r="C51" s="574" t="s">
        <v>2794</v>
      </c>
      <c r="D51" s="154"/>
    </row>
    <row r="52" spans="1:4" ht="15" customHeight="1">
      <c r="A52" s="555" t="s">
        <v>2782</v>
      </c>
      <c r="B52" s="568" t="s">
        <v>2783</v>
      </c>
      <c r="C52" s="574" t="s">
        <v>2794</v>
      </c>
      <c r="D52" s="154"/>
    </row>
    <row r="53" spans="1:4" ht="15" customHeight="1">
      <c r="A53" s="556" t="s">
        <v>2796</v>
      </c>
      <c r="B53" s="554" t="s">
        <v>2834</v>
      </c>
      <c r="C53" s="574" t="s">
        <v>2798</v>
      </c>
      <c r="D53" s="154"/>
    </row>
    <row r="54" spans="1:4" s="51" customFormat="1" ht="15" customHeight="1">
      <c r="A54" s="556" t="s">
        <v>2796</v>
      </c>
      <c r="B54" s="554" t="s">
        <v>2835</v>
      </c>
      <c r="C54" s="574" t="s">
        <v>2798</v>
      </c>
      <c r="D54" s="98"/>
    </row>
    <row r="55" spans="1:4" ht="15" customHeight="1">
      <c r="A55" s="557" t="s">
        <v>2800</v>
      </c>
      <c r="B55" s="554" t="s">
        <v>2836</v>
      </c>
      <c r="C55" s="574" t="s">
        <v>2802</v>
      </c>
    </row>
    <row r="56" spans="1:4" ht="15" customHeight="1">
      <c r="A56" s="557" t="s">
        <v>2800</v>
      </c>
      <c r="B56" s="554" t="s">
        <v>2837</v>
      </c>
      <c r="C56" s="574" t="s">
        <v>2802</v>
      </c>
    </row>
    <row r="57" spans="1:4" ht="15" customHeight="1">
      <c r="A57" s="557" t="s">
        <v>2800</v>
      </c>
      <c r="B57" s="554" t="s">
        <v>2838</v>
      </c>
      <c r="C57" s="574" t="s">
        <v>2802</v>
      </c>
    </row>
    <row r="58" spans="1:4" ht="15" customHeight="1">
      <c r="A58" s="558" t="s">
        <v>2803</v>
      </c>
      <c r="B58" s="554" t="s">
        <v>2839</v>
      </c>
      <c r="C58" s="574" t="s">
        <v>2805</v>
      </c>
    </row>
    <row r="59" spans="1:4" ht="15" customHeight="1">
      <c r="A59" s="558" t="s">
        <v>2803</v>
      </c>
      <c r="B59" s="568" t="s">
        <v>2840</v>
      </c>
      <c r="C59" s="574" t="s">
        <v>2805</v>
      </c>
    </row>
    <row r="60" spans="1:4" ht="15" customHeight="1">
      <c r="A60" s="558" t="s">
        <v>2803</v>
      </c>
      <c r="B60" s="554" t="s">
        <v>2841</v>
      </c>
      <c r="C60" s="574" t="s">
        <v>2805</v>
      </c>
    </row>
    <row r="61" spans="1:4" ht="15" customHeight="1">
      <c r="A61" s="559" t="s">
        <v>2807</v>
      </c>
      <c r="B61" s="554" t="s">
        <v>2842</v>
      </c>
      <c r="C61" s="574" t="s">
        <v>2809</v>
      </c>
    </row>
    <row r="62" spans="1:4" ht="15" customHeight="1">
      <c r="A62" s="569" t="s">
        <v>2810</v>
      </c>
      <c r="B62" s="554" t="s">
        <v>2843</v>
      </c>
      <c r="C62" s="574" t="s">
        <v>2844</v>
      </c>
    </row>
    <row r="63" spans="1:4" ht="15" customHeight="1">
      <c r="A63" s="562"/>
      <c r="B63" s="570" t="s">
        <v>2845</v>
      </c>
      <c r="C63" s="574"/>
    </row>
    <row r="64" spans="1:4" ht="15" customHeight="1">
      <c r="A64" s="554"/>
      <c r="B64" s="562"/>
      <c r="C64" s="574"/>
    </row>
    <row r="65" spans="1:4" ht="15" customHeight="1">
      <c r="A65" s="571" t="s">
        <v>2846</v>
      </c>
      <c r="B65" s="554"/>
      <c r="C65" s="574"/>
    </row>
    <row r="66" spans="1:4" ht="15" customHeight="1">
      <c r="A66" s="553" t="s">
        <v>2781</v>
      </c>
      <c r="B66" s="553" t="s">
        <v>2847</v>
      </c>
      <c r="C66" s="574" t="s">
        <v>2802</v>
      </c>
    </row>
    <row r="67" spans="1:4" ht="15" customHeight="1">
      <c r="A67" s="553" t="s">
        <v>2781</v>
      </c>
      <c r="B67" s="553" t="s">
        <v>2848</v>
      </c>
      <c r="C67" s="574" t="s">
        <v>2802</v>
      </c>
    </row>
    <row r="68" spans="1:4" ht="15" customHeight="1">
      <c r="A68" s="553" t="s">
        <v>2781</v>
      </c>
      <c r="B68" s="553" t="s">
        <v>2849</v>
      </c>
      <c r="C68" s="574" t="s">
        <v>2802</v>
      </c>
    </row>
    <row r="69" spans="1:4" ht="16.5" customHeight="1">
      <c r="A69" s="553" t="s">
        <v>2781</v>
      </c>
      <c r="B69" s="553" t="s">
        <v>2850</v>
      </c>
      <c r="C69" s="574" t="s">
        <v>2802</v>
      </c>
    </row>
    <row r="70" spans="1:4" ht="15" customHeight="1">
      <c r="A70" s="553" t="s">
        <v>2781</v>
      </c>
      <c r="B70" s="553" t="s">
        <v>2851</v>
      </c>
      <c r="C70" s="574" t="s">
        <v>2802</v>
      </c>
    </row>
    <row r="71" spans="1:4" ht="15" customHeight="1">
      <c r="A71" s="553" t="s">
        <v>2781</v>
      </c>
      <c r="B71" s="553" t="s">
        <v>2852</v>
      </c>
      <c r="C71" s="574" t="s">
        <v>2802</v>
      </c>
    </row>
    <row r="72" spans="1:4" ht="15" customHeight="1">
      <c r="A72" s="553" t="s">
        <v>2781</v>
      </c>
      <c r="B72" s="553" t="s">
        <v>2853</v>
      </c>
      <c r="C72" s="574" t="s">
        <v>2802</v>
      </c>
    </row>
    <row r="73" spans="1:4" ht="15" customHeight="1">
      <c r="A73" s="553" t="s">
        <v>2781</v>
      </c>
      <c r="B73" s="553" t="s">
        <v>2854</v>
      </c>
      <c r="C73" s="574" t="s">
        <v>2802</v>
      </c>
    </row>
    <row r="74" spans="1:4" ht="15" customHeight="1">
      <c r="A74" s="553" t="s">
        <v>2781</v>
      </c>
      <c r="B74" s="553" t="s">
        <v>2855</v>
      </c>
      <c r="C74" s="574" t="s">
        <v>2802</v>
      </c>
    </row>
    <row r="75" spans="1:4" ht="15" customHeight="1">
      <c r="A75" s="553" t="s">
        <v>2781</v>
      </c>
      <c r="B75" s="553" t="s">
        <v>2856</v>
      </c>
      <c r="C75" s="574" t="s">
        <v>2802</v>
      </c>
    </row>
    <row r="76" spans="1:4" ht="15" customHeight="1">
      <c r="A76" s="553" t="s">
        <v>2781</v>
      </c>
      <c r="B76" s="553" t="s">
        <v>2857</v>
      </c>
      <c r="C76" s="574" t="s">
        <v>2802</v>
      </c>
    </row>
    <row r="77" spans="1:4" ht="15" customHeight="1">
      <c r="A77" s="553" t="s">
        <v>2781</v>
      </c>
      <c r="B77" s="553" t="s">
        <v>2858</v>
      </c>
      <c r="C77" s="574" t="s">
        <v>2802</v>
      </c>
    </row>
    <row r="78" spans="1:4" ht="15" customHeight="1">
      <c r="A78" s="555" t="s">
        <v>2782</v>
      </c>
      <c r="B78" s="555" t="s">
        <v>2859</v>
      </c>
      <c r="C78" s="574" t="s">
        <v>2805</v>
      </c>
    </row>
    <row r="79" spans="1:4" ht="15" customHeight="1">
      <c r="A79" s="555" t="s">
        <v>2782</v>
      </c>
      <c r="B79" s="555" t="s">
        <v>2860</v>
      </c>
      <c r="C79" s="574" t="s">
        <v>2805</v>
      </c>
      <c r="D79" s="154"/>
    </row>
    <row r="80" spans="1:4" ht="15" customHeight="1">
      <c r="A80" s="555" t="s">
        <v>2782</v>
      </c>
      <c r="B80" s="555" t="s">
        <v>2861</v>
      </c>
      <c r="C80" s="574" t="s">
        <v>2805</v>
      </c>
      <c r="D80" s="154"/>
    </row>
    <row r="81" spans="1:4" ht="15" customHeight="1">
      <c r="A81" s="555" t="s">
        <v>2782</v>
      </c>
      <c r="B81" s="555" t="s">
        <v>2862</v>
      </c>
      <c r="C81" s="574" t="s">
        <v>2805</v>
      </c>
      <c r="D81" s="154"/>
    </row>
    <row r="82" spans="1:4" ht="15" customHeight="1">
      <c r="A82" s="555" t="s">
        <v>2782</v>
      </c>
      <c r="B82" s="555" t="s">
        <v>2863</v>
      </c>
      <c r="C82" s="574" t="s">
        <v>2805</v>
      </c>
      <c r="D82" s="154"/>
    </row>
    <row r="83" spans="1:4" ht="15" customHeight="1">
      <c r="A83" s="555" t="s">
        <v>2782</v>
      </c>
      <c r="B83" s="555" t="s">
        <v>2864</v>
      </c>
      <c r="C83" s="574" t="s">
        <v>2805</v>
      </c>
      <c r="D83" s="154"/>
    </row>
    <row r="84" spans="1:4" ht="15" customHeight="1">
      <c r="A84" s="555" t="s">
        <v>2782</v>
      </c>
      <c r="B84" s="555" t="s">
        <v>2865</v>
      </c>
      <c r="C84" s="574" t="s">
        <v>2805</v>
      </c>
      <c r="D84" s="154"/>
    </row>
    <row r="85" spans="1:4" ht="15" customHeight="1">
      <c r="A85" s="555" t="s">
        <v>2782</v>
      </c>
      <c r="B85" s="555" t="s">
        <v>2866</v>
      </c>
      <c r="C85" s="574" t="s">
        <v>2805</v>
      </c>
      <c r="D85" s="154"/>
    </row>
    <row r="86" spans="1:4" ht="15" customHeight="1">
      <c r="A86" s="555" t="s">
        <v>2782</v>
      </c>
      <c r="B86" s="555" t="s">
        <v>2867</v>
      </c>
      <c r="C86" s="574" t="s">
        <v>2805</v>
      </c>
      <c r="D86" s="154"/>
    </row>
    <row r="87" spans="1:4" ht="15" customHeight="1">
      <c r="A87" s="555" t="s">
        <v>2782</v>
      </c>
      <c r="B87" s="555" t="s">
        <v>2868</v>
      </c>
      <c r="C87" s="574" t="s">
        <v>2805</v>
      </c>
      <c r="D87" s="154"/>
    </row>
    <row r="88" spans="1:4" ht="15" customHeight="1">
      <c r="A88" s="555" t="s">
        <v>2782</v>
      </c>
      <c r="B88" s="555" t="s">
        <v>2869</v>
      </c>
      <c r="C88" s="574" t="s">
        <v>2805</v>
      </c>
      <c r="D88" s="154"/>
    </row>
    <row r="89" spans="1:4" ht="15" customHeight="1">
      <c r="A89" s="555" t="s">
        <v>2782</v>
      </c>
      <c r="B89" s="555" t="s">
        <v>2870</v>
      </c>
      <c r="C89" s="574" t="s">
        <v>2805</v>
      </c>
      <c r="D89" s="154"/>
    </row>
    <row r="90" spans="1:4" ht="15" customHeight="1">
      <c r="A90" s="555" t="s">
        <v>2782</v>
      </c>
      <c r="B90" s="555" t="s">
        <v>2871</v>
      </c>
      <c r="C90" s="574" t="s">
        <v>2805</v>
      </c>
      <c r="D90" s="154"/>
    </row>
    <row r="91" spans="1:4" ht="15" customHeight="1">
      <c r="A91" s="555" t="s">
        <v>2782</v>
      </c>
      <c r="B91" s="555" t="s">
        <v>2872</v>
      </c>
      <c r="C91" s="574" t="s">
        <v>2805</v>
      </c>
      <c r="D91" s="154"/>
    </row>
    <row r="92" spans="1:4" ht="15" customHeight="1">
      <c r="A92" s="555" t="s">
        <v>2782</v>
      </c>
      <c r="B92" s="555" t="s">
        <v>2873</v>
      </c>
      <c r="C92" s="574" t="s">
        <v>2805</v>
      </c>
      <c r="D92" s="154"/>
    </row>
    <row r="93" spans="1:4" ht="15" customHeight="1">
      <c r="A93" s="556" t="s">
        <v>2796</v>
      </c>
      <c r="B93" s="556" t="s">
        <v>2874</v>
      </c>
      <c r="C93" s="574" t="s">
        <v>2875</v>
      </c>
      <c r="D93" s="154"/>
    </row>
    <row r="94" spans="1:4" ht="15" customHeight="1">
      <c r="A94" s="556" t="s">
        <v>2796</v>
      </c>
      <c r="B94" s="556" t="s">
        <v>2876</v>
      </c>
      <c r="C94" s="574" t="s">
        <v>2875</v>
      </c>
      <c r="D94" s="154"/>
    </row>
    <row r="95" spans="1:4" ht="15" customHeight="1">
      <c r="A95" s="556" t="s">
        <v>2796</v>
      </c>
      <c r="B95" s="556" t="s">
        <v>2877</v>
      </c>
      <c r="C95" s="574" t="s">
        <v>2875</v>
      </c>
      <c r="D95" s="154"/>
    </row>
    <row r="96" spans="1:4" ht="15" customHeight="1">
      <c r="A96" s="556" t="s">
        <v>2796</v>
      </c>
      <c r="B96" s="556" t="s">
        <v>2878</v>
      </c>
      <c r="C96" s="574" t="s">
        <v>2875</v>
      </c>
      <c r="D96" s="154"/>
    </row>
    <row r="97" spans="1:4" ht="15" customHeight="1">
      <c r="A97" s="556" t="s">
        <v>2796</v>
      </c>
      <c r="B97" s="556" t="s">
        <v>2879</v>
      </c>
      <c r="C97" s="574" t="s">
        <v>2875</v>
      </c>
      <c r="D97" s="154"/>
    </row>
    <row r="98" spans="1:4" ht="15" customHeight="1">
      <c r="A98" s="556" t="s">
        <v>2796</v>
      </c>
      <c r="B98" s="556" t="s">
        <v>2880</v>
      </c>
      <c r="C98" s="574" t="s">
        <v>2875</v>
      </c>
      <c r="D98" s="154"/>
    </row>
    <row r="99" spans="1:4" ht="15" customHeight="1">
      <c r="A99" s="556" t="s">
        <v>2796</v>
      </c>
      <c r="B99" s="556" t="s">
        <v>2881</v>
      </c>
      <c r="C99" s="574" t="s">
        <v>2875</v>
      </c>
      <c r="D99" s="154"/>
    </row>
    <row r="100" spans="1:4" ht="15" customHeight="1">
      <c r="A100" s="556" t="s">
        <v>2796</v>
      </c>
      <c r="B100" s="556" t="s">
        <v>2882</v>
      </c>
      <c r="C100" s="574" t="s">
        <v>2875</v>
      </c>
      <c r="D100" s="154"/>
    </row>
    <row r="101" spans="1:4" ht="15" customHeight="1">
      <c r="A101" s="556" t="s">
        <v>2796</v>
      </c>
      <c r="B101" s="556" t="s">
        <v>2883</v>
      </c>
      <c r="C101" s="574" t="s">
        <v>2875</v>
      </c>
      <c r="D101" s="154"/>
    </row>
    <row r="102" spans="1:4" ht="15" customHeight="1">
      <c r="A102" s="562"/>
      <c r="B102" s="554"/>
      <c r="C102" s="574"/>
      <c r="D102" s="154"/>
    </row>
    <row r="103" spans="1:4" ht="15" customHeight="1">
      <c r="A103" s="566" t="s">
        <v>2884</v>
      </c>
      <c r="B103" s="554" t="s">
        <v>2885</v>
      </c>
      <c r="C103" s="574"/>
      <c r="D103" s="154"/>
    </row>
    <row r="104" spans="1:4" ht="15" customHeight="1">
      <c r="A104" s="558" t="s">
        <v>2803</v>
      </c>
      <c r="B104" s="554" t="s">
        <v>2886</v>
      </c>
      <c r="C104" s="574" t="s">
        <v>2809</v>
      </c>
      <c r="D104" s="154"/>
    </row>
    <row r="105" spans="1:4" ht="15" customHeight="1">
      <c r="A105" s="558" t="s">
        <v>2803</v>
      </c>
      <c r="B105" s="560" t="s">
        <v>2887</v>
      </c>
      <c r="C105" s="574" t="s">
        <v>2809</v>
      </c>
      <c r="D105" s="154"/>
    </row>
    <row r="106" spans="1:4" ht="15" customHeight="1">
      <c r="A106" s="558" t="s">
        <v>2803</v>
      </c>
      <c r="B106" s="554" t="s">
        <v>2888</v>
      </c>
      <c r="C106" s="574" t="s">
        <v>2809</v>
      </c>
      <c r="D106" s="154"/>
    </row>
    <row r="107" spans="1:4" ht="15" customHeight="1">
      <c r="A107" s="558" t="s">
        <v>2803</v>
      </c>
      <c r="B107" s="554" t="s">
        <v>2889</v>
      </c>
      <c r="C107" s="574" t="s">
        <v>2809</v>
      </c>
      <c r="D107" s="154"/>
    </row>
    <row r="108" spans="1:4" ht="15" customHeight="1">
      <c r="A108" s="558" t="s">
        <v>2803</v>
      </c>
      <c r="B108" s="554" t="s">
        <v>2890</v>
      </c>
      <c r="C108" s="574" t="s">
        <v>2809</v>
      </c>
      <c r="D108" s="154"/>
    </row>
    <row r="109" spans="1:4" ht="15" customHeight="1">
      <c r="A109" s="558" t="s">
        <v>2803</v>
      </c>
      <c r="B109" s="554" t="s">
        <v>2891</v>
      </c>
      <c r="C109" s="574" t="s">
        <v>2809</v>
      </c>
      <c r="D109" s="154"/>
    </row>
    <row r="110" spans="1:4" ht="15" customHeight="1">
      <c r="A110" s="558" t="s">
        <v>2803</v>
      </c>
      <c r="B110" s="554" t="s">
        <v>2892</v>
      </c>
      <c r="C110" s="574" t="s">
        <v>2809</v>
      </c>
      <c r="D110" s="154"/>
    </row>
    <row r="111" spans="1:4" ht="15" customHeight="1">
      <c r="A111" s="558" t="s">
        <v>2803</v>
      </c>
      <c r="B111" s="554" t="s">
        <v>2893</v>
      </c>
      <c r="C111" s="574" t="s">
        <v>2809</v>
      </c>
      <c r="D111" s="154"/>
    </row>
    <row r="112" spans="1:4" ht="15" customHeight="1">
      <c r="A112" s="562"/>
      <c r="B112" s="562"/>
      <c r="C112" s="574"/>
      <c r="D112" s="154"/>
    </row>
    <row r="113" spans="1:4" ht="15" customHeight="1">
      <c r="A113" s="571" t="s">
        <v>2894</v>
      </c>
      <c r="B113" s="554"/>
      <c r="C113" s="574"/>
      <c r="D113" s="154"/>
    </row>
    <row r="114" spans="1:4" ht="15" customHeight="1">
      <c r="A114" s="553" t="s">
        <v>2781</v>
      </c>
      <c r="B114" s="554" t="s">
        <v>2895</v>
      </c>
      <c r="C114" s="574" t="s">
        <v>2794</v>
      </c>
      <c r="D114" s="154"/>
    </row>
    <row r="115" spans="1:4" ht="15" customHeight="1">
      <c r="A115" s="553" t="s">
        <v>2781</v>
      </c>
      <c r="B115" s="554" t="s">
        <v>2896</v>
      </c>
      <c r="C115" s="574" t="s">
        <v>2794</v>
      </c>
      <c r="D115" s="154"/>
    </row>
    <row r="116" spans="1:4" ht="15" customHeight="1">
      <c r="A116" s="553" t="s">
        <v>2781</v>
      </c>
      <c r="B116" s="554" t="s">
        <v>2897</v>
      </c>
      <c r="C116" s="574" t="s">
        <v>2794</v>
      </c>
      <c r="D116" s="154"/>
    </row>
    <row r="117" spans="1:4" ht="15" customHeight="1">
      <c r="A117" s="553" t="s">
        <v>2781</v>
      </c>
      <c r="B117" s="554" t="s">
        <v>2898</v>
      </c>
      <c r="C117" s="574" t="s">
        <v>2794</v>
      </c>
      <c r="D117" s="154"/>
    </row>
    <row r="118" spans="1:4" ht="15" customHeight="1">
      <c r="A118" s="553" t="s">
        <v>2781</v>
      </c>
      <c r="B118" s="554" t="s">
        <v>2899</v>
      </c>
      <c r="C118" s="574" t="s">
        <v>2794</v>
      </c>
      <c r="D118" s="154"/>
    </row>
    <row r="119" spans="1:4" ht="15" customHeight="1">
      <c r="A119" s="553" t="s">
        <v>2781</v>
      </c>
      <c r="B119" s="554" t="s">
        <v>2900</v>
      </c>
      <c r="C119" s="574" t="s">
        <v>2794</v>
      </c>
      <c r="D119" s="154"/>
    </row>
    <row r="120" spans="1:4" ht="15" customHeight="1">
      <c r="A120" s="553" t="s">
        <v>2781</v>
      </c>
      <c r="B120" s="554" t="s">
        <v>2901</v>
      </c>
      <c r="C120" s="574" t="s">
        <v>2794</v>
      </c>
      <c r="D120" s="154"/>
    </row>
    <row r="121" spans="1:4" ht="15" customHeight="1">
      <c r="A121" s="553" t="s">
        <v>2781</v>
      </c>
      <c r="B121" s="554" t="s">
        <v>2902</v>
      </c>
      <c r="C121" s="574" t="s">
        <v>2794</v>
      </c>
      <c r="D121" s="154"/>
    </row>
    <row r="122" spans="1:4" ht="15" customHeight="1">
      <c r="A122" s="553" t="s">
        <v>2781</v>
      </c>
      <c r="B122" s="554" t="s">
        <v>2903</v>
      </c>
      <c r="C122" s="574" t="s">
        <v>2794</v>
      </c>
      <c r="D122" s="154"/>
    </row>
    <row r="123" spans="1:4" ht="15" customHeight="1">
      <c r="A123" s="553" t="s">
        <v>2781</v>
      </c>
      <c r="B123" s="554" t="s">
        <v>2904</v>
      </c>
      <c r="C123" s="574" t="s">
        <v>2794</v>
      </c>
      <c r="D123" s="154"/>
    </row>
    <row r="124" spans="1:4" ht="15" customHeight="1">
      <c r="A124" s="553" t="s">
        <v>2781</v>
      </c>
      <c r="B124" s="554" t="s">
        <v>2905</v>
      </c>
      <c r="C124" s="574" t="s">
        <v>2794</v>
      </c>
      <c r="D124" s="154"/>
    </row>
    <row r="125" spans="1:4" ht="15" customHeight="1">
      <c r="A125" s="553" t="s">
        <v>2781</v>
      </c>
      <c r="B125" s="554" t="s">
        <v>2906</v>
      </c>
      <c r="C125" s="574" t="s">
        <v>2794</v>
      </c>
      <c r="D125" s="154"/>
    </row>
    <row r="126" spans="1:4" ht="15" customHeight="1">
      <c r="A126" s="553" t="s">
        <v>2781</v>
      </c>
      <c r="B126" s="554" t="s">
        <v>2783</v>
      </c>
      <c r="C126" s="574" t="s">
        <v>2794</v>
      </c>
      <c r="D126" s="154"/>
    </row>
    <row r="127" spans="1:4" ht="15" customHeight="1">
      <c r="A127" s="553" t="s">
        <v>2781</v>
      </c>
      <c r="B127" s="554" t="s">
        <v>2783</v>
      </c>
      <c r="C127" s="574" t="s">
        <v>2794</v>
      </c>
      <c r="D127" s="154"/>
    </row>
    <row r="128" spans="1:4" ht="15" customHeight="1">
      <c r="A128" s="553" t="s">
        <v>2781</v>
      </c>
      <c r="B128" s="554" t="s">
        <v>2783</v>
      </c>
      <c r="C128" s="574" t="s">
        <v>2794</v>
      </c>
      <c r="D128" s="154"/>
    </row>
    <row r="129" spans="1:4" ht="15" customHeight="1">
      <c r="A129" s="553" t="s">
        <v>2781</v>
      </c>
      <c r="B129" s="554" t="s">
        <v>2783</v>
      </c>
      <c r="C129" s="574" t="s">
        <v>2794</v>
      </c>
      <c r="D129" s="154"/>
    </row>
    <row r="130" spans="1:4" ht="15" customHeight="1">
      <c r="A130" s="553" t="s">
        <v>2781</v>
      </c>
      <c r="B130" s="554" t="s">
        <v>2783</v>
      </c>
      <c r="C130" s="574" t="s">
        <v>2794</v>
      </c>
      <c r="D130" s="154"/>
    </row>
    <row r="131" spans="1:4" ht="15" customHeight="1">
      <c r="A131" s="553" t="s">
        <v>2781</v>
      </c>
      <c r="B131" s="554" t="s">
        <v>2783</v>
      </c>
      <c r="C131" s="574" t="s">
        <v>2794</v>
      </c>
      <c r="D131" s="154"/>
    </row>
    <row r="132" spans="1:4" ht="15" customHeight="1">
      <c r="A132" s="553" t="s">
        <v>2781</v>
      </c>
      <c r="B132" s="554" t="s">
        <v>2907</v>
      </c>
      <c r="C132" s="574" t="s">
        <v>2794</v>
      </c>
      <c r="D132" s="154"/>
    </row>
    <row r="133" spans="1:4" ht="15" customHeight="1">
      <c r="A133" s="553" t="s">
        <v>2781</v>
      </c>
      <c r="B133" s="554" t="s">
        <v>2908</v>
      </c>
      <c r="C133" s="574" t="s">
        <v>2794</v>
      </c>
      <c r="D133" s="154"/>
    </row>
    <row r="134" spans="1:4" ht="15" customHeight="1">
      <c r="A134" s="555" t="s">
        <v>2782</v>
      </c>
      <c r="B134" s="554" t="s">
        <v>2909</v>
      </c>
      <c r="C134" s="574" t="s">
        <v>2802</v>
      </c>
      <c r="D134" s="154"/>
    </row>
    <row r="135" spans="1:4" ht="15" customHeight="1">
      <c r="A135" s="555" t="s">
        <v>2782</v>
      </c>
      <c r="B135" s="554" t="s">
        <v>2910</v>
      </c>
      <c r="C135" s="574" t="s">
        <v>2802</v>
      </c>
      <c r="D135" s="154"/>
    </row>
    <row r="136" spans="1:4" ht="15" customHeight="1">
      <c r="A136" s="555" t="s">
        <v>2782</v>
      </c>
      <c r="B136" s="554" t="s">
        <v>2911</v>
      </c>
      <c r="C136" s="574" t="s">
        <v>2802</v>
      </c>
      <c r="D136" s="154"/>
    </row>
    <row r="137" spans="1:4" ht="15" customHeight="1">
      <c r="A137" s="555" t="s">
        <v>2782</v>
      </c>
      <c r="B137" s="554" t="s">
        <v>2912</v>
      </c>
      <c r="C137" s="574" t="s">
        <v>2802</v>
      </c>
      <c r="D137" s="154"/>
    </row>
    <row r="138" spans="1:4" ht="15" customHeight="1">
      <c r="A138" s="555" t="s">
        <v>2782</v>
      </c>
      <c r="B138" s="554" t="s">
        <v>2913</v>
      </c>
      <c r="C138" s="574" t="s">
        <v>2802</v>
      </c>
      <c r="D138" s="154"/>
    </row>
    <row r="139" spans="1:4" ht="15" customHeight="1">
      <c r="A139" s="555" t="s">
        <v>2782</v>
      </c>
      <c r="B139" s="554" t="s">
        <v>2914</v>
      </c>
      <c r="C139" s="574" t="s">
        <v>2802</v>
      </c>
      <c r="D139" s="154"/>
    </row>
    <row r="140" spans="1:4" ht="15" customHeight="1">
      <c r="A140" s="555" t="s">
        <v>2782</v>
      </c>
      <c r="B140" s="554" t="s">
        <v>2915</v>
      </c>
      <c r="C140" s="574" t="s">
        <v>2802</v>
      </c>
      <c r="D140" s="154"/>
    </row>
    <row r="141" spans="1:4" ht="15" customHeight="1">
      <c r="A141" s="555" t="s">
        <v>2782</v>
      </c>
      <c r="B141" s="554" t="s">
        <v>2916</v>
      </c>
      <c r="C141" s="574" t="s">
        <v>2802</v>
      </c>
      <c r="D141" s="154"/>
    </row>
    <row r="142" spans="1:4" ht="15" customHeight="1">
      <c r="A142" s="555" t="s">
        <v>2782</v>
      </c>
      <c r="B142" s="554" t="s">
        <v>2783</v>
      </c>
      <c r="C142" s="574" t="s">
        <v>2802</v>
      </c>
      <c r="D142" s="154"/>
    </row>
    <row r="143" spans="1:4" ht="15" customHeight="1">
      <c r="A143" s="555" t="s">
        <v>2782</v>
      </c>
      <c r="B143" s="554" t="s">
        <v>2783</v>
      </c>
      <c r="C143" s="574" t="s">
        <v>2802</v>
      </c>
      <c r="D143" s="154"/>
    </row>
    <row r="144" spans="1:4" ht="15" customHeight="1">
      <c r="A144" s="555" t="s">
        <v>2782</v>
      </c>
      <c r="B144" s="554" t="s">
        <v>2783</v>
      </c>
      <c r="C144" s="574" t="s">
        <v>2802</v>
      </c>
      <c r="D144" s="154"/>
    </row>
    <row r="145" spans="1:4" ht="15" customHeight="1">
      <c r="A145" s="555" t="s">
        <v>2782</v>
      </c>
      <c r="B145" s="554" t="s">
        <v>2783</v>
      </c>
      <c r="C145" s="574" t="s">
        <v>2802</v>
      </c>
      <c r="D145" s="154"/>
    </row>
    <row r="146" spans="1:4" ht="15" customHeight="1">
      <c r="A146" s="555" t="s">
        <v>2782</v>
      </c>
      <c r="B146" s="554" t="s">
        <v>2783</v>
      </c>
      <c r="C146" s="574" t="s">
        <v>2802</v>
      </c>
      <c r="D146" s="154"/>
    </row>
    <row r="147" spans="1:4" ht="15" customHeight="1">
      <c r="A147" s="555" t="s">
        <v>2782</v>
      </c>
      <c r="B147" s="554" t="s">
        <v>2783</v>
      </c>
      <c r="C147" s="574" t="s">
        <v>2802</v>
      </c>
      <c r="D147" s="154"/>
    </row>
    <row r="148" spans="1:4" ht="15" customHeight="1">
      <c r="A148" s="555" t="s">
        <v>2782</v>
      </c>
      <c r="B148" s="554" t="s">
        <v>2783</v>
      </c>
      <c r="C148" s="574" t="s">
        <v>2802</v>
      </c>
      <c r="D148" s="154"/>
    </row>
    <row r="149" spans="1:4" ht="15" customHeight="1">
      <c r="A149" s="555" t="s">
        <v>2782</v>
      </c>
      <c r="B149" s="554" t="s">
        <v>2783</v>
      </c>
      <c r="C149" s="574" t="s">
        <v>2802</v>
      </c>
      <c r="D149" s="154"/>
    </row>
    <row r="150" spans="1:4" ht="15" customHeight="1">
      <c r="A150" s="555" t="s">
        <v>2782</v>
      </c>
      <c r="B150" s="554" t="s">
        <v>2783</v>
      </c>
      <c r="C150" s="574" t="s">
        <v>2802</v>
      </c>
      <c r="D150" s="154"/>
    </row>
    <row r="151" spans="1:4" ht="15" customHeight="1">
      <c r="A151" s="555" t="s">
        <v>2782</v>
      </c>
      <c r="B151" s="554" t="s">
        <v>2783</v>
      </c>
      <c r="C151" s="574" t="s">
        <v>2802</v>
      </c>
      <c r="D151" s="154"/>
    </row>
    <row r="152" spans="1:4" ht="15" customHeight="1">
      <c r="A152" s="555" t="s">
        <v>2782</v>
      </c>
      <c r="B152" s="554" t="s">
        <v>2783</v>
      </c>
      <c r="C152" s="574" t="s">
        <v>2802</v>
      </c>
      <c r="D152" s="154"/>
    </row>
    <row r="153" spans="1:4" ht="15" customHeight="1">
      <c r="A153" s="555" t="s">
        <v>2782</v>
      </c>
      <c r="B153" s="554" t="s">
        <v>2783</v>
      </c>
      <c r="C153" s="574" t="s">
        <v>2802</v>
      </c>
      <c r="D153" s="154"/>
    </row>
    <row r="154" spans="1:4" ht="15" customHeight="1">
      <c r="A154" s="555" t="s">
        <v>2782</v>
      </c>
      <c r="B154" s="554" t="s">
        <v>2783</v>
      </c>
      <c r="C154" s="574" t="s">
        <v>2802</v>
      </c>
      <c r="D154" s="154"/>
    </row>
    <row r="155" spans="1:4" ht="15" customHeight="1">
      <c r="A155" s="555" t="s">
        <v>2782</v>
      </c>
      <c r="B155" s="554" t="s">
        <v>2783</v>
      </c>
      <c r="C155" s="574" t="s">
        <v>2802</v>
      </c>
      <c r="D155" s="154"/>
    </row>
    <row r="156" spans="1:4" ht="15" customHeight="1">
      <c r="A156" s="555" t="s">
        <v>2782</v>
      </c>
      <c r="B156" s="554" t="s">
        <v>2783</v>
      </c>
      <c r="C156" s="574" t="s">
        <v>2802</v>
      </c>
      <c r="D156" s="154"/>
    </row>
    <row r="157" spans="1:4" ht="15" customHeight="1">
      <c r="A157" s="556" t="s">
        <v>2796</v>
      </c>
      <c r="B157" s="554" t="s">
        <v>2917</v>
      </c>
      <c r="C157" s="574" t="s">
        <v>2918</v>
      </c>
      <c r="D157" s="154"/>
    </row>
    <row r="158" spans="1:4" ht="15" customHeight="1">
      <c r="A158" s="556" t="s">
        <v>2796</v>
      </c>
      <c r="B158" s="554" t="s">
        <v>2919</v>
      </c>
      <c r="C158" s="574" t="s">
        <v>2918</v>
      </c>
      <c r="D158" s="154"/>
    </row>
    <row r="159" spans="1:4" ht="15" customHeight="1">
      <c r="A159" s="556" t="s">
        <v>2796</v>
      </c>
      <c r="B159" s="554" t="s">
        <v>2920</v>
      </c>
      <c r="C159" s="574" t="s">
        <v>2918</v>
      </c>
      <c r="D159" s="154"/>
    </row>
    <row r="160" spans="1:4" ht="15" customHeight="1">
      <c r="A160" s="556" t="s">
        <v>2796</v>
      </c>
      <c r="B160" s="554" t="s">
        <v>2921</v>
      </c>
      <c r="C160" s="574" t="s">
        <v>2918</v>
      </c>
      <c r="D160" s="154"/>
    </row>
    <row r="161" spans="1:4" ht="15" customHeight="1">
      <c r="A161" s="556" t="s">
        <v>2796</v>
      </c>
      <c r="B161" s="561" t="s">
        <v>2922</v>
      </c>
      <c r="C161" s="574" t="s">
        <v>2918</v>
      </c>
      <c r="D161" s="154"/>
    </row>
    <row r="162" spans="1:4" ht="15" customHeight="1">
      <c r="A162" s="556" t="s">
        <v>2796</v>
      </c>
      <c r="B162" s="554" t="s">
        <v>2923</v>
      </c>
      <c r="C162" s="574" t="s">
        <v>2918</v>
      </c>
      <c r="D162" s="154"/>
    </row>
    <row r="163" spans="1:4" ht="15" customHeight="1">
      <c r="A163" s="556" t="s">
        <v>2796</v>
      </c>
      <c r="B163" s="568" t="s">
        <v>2924</v>
      </c>
      <c r="C163" s="574" t="s">
        <v>2918</v>
      </c>
      <c r="D163" s="154"/>
    </row>
    <row r="164" spans="1:4" ht="15" customHeight="1">
      <c r="A164" s="556" t="s">
        <v>2796</v>
      </c>
      <c r="B164" s="554" t="s">
        <v>2925</v>
      </c>
      <c r="C164" s="574" t="s">
        <v>2918</v>
      </c>
      <c r="D164" s="154"/>
    </row>
    <row r="165" spans="1:4" ht="15" customHeight="1">
      <c r="A165" s="556" t="s">
        <v>2796</v>
      </c>
      <c r="B165" s="554" t="s">
        <v>2926</v>
      </c>
      <c r="C165" s="574" t="s">
        <v>2918</v>
      </c>
      <c r="D165" s="154"/>
    </row>
    <row r="166" spans="1:4" ht="15" customHeight="1">
      <c r="A166" s="556" t="s">
        <v>2796</v>
      </c>
      <c r="B166" s="554" t="s">
        <v>2927</v>
      </c>
      <c r="C166" s="574" t="s">
        <v>2918</v>
      </c>
      <c r="D166" s="154"/>
    </row>
    <row r="167" spans="1:4" ht="15" customHeight="1">
      <c r="A167" s="556" t="s">
        <v>2796</v>
      </c>
      <c r="B167" s="554" t="s">
        <v>2928</v>
      </c>
      <c r="C167" s="574" t="s">
        <v>2918</v>
      </c>
      <c r="D167" s="154"/>
    </row>
    <row r="168" spans="1:4" ht="15" customHeight="1">
      <c r="A168" s="556" t="s">
        <v>2796</v>
      </c>
      <c r="B168" s="568" t="s">
        <v>2929</v>
      </c>
      <c r="C168" s="574" t="s">
        <v>2918</v>
      </c>
      <c r="D168" s="154"/>
    </row>
    <row r="169" spans="1:4" ht="15" customHeight="1">
      <c r="A169" s="556" t="s">
        <v>2796</v>
      </c>
      <c r="B169" s="554" t="s">
        <v>2930</v>
      </c>
      <c r="C169" s="574" t="s">
        <v>2918</v>
      </c>
      <c r="D169" s="154"/>
    </row>
    <row r="170" spans="1:4" ht="15" customHeight="1">
      <c r="A170" s="556" t="s">
        <v>2796</v>
      </c>
      <c r="B170" s="554" t="s">
        <v>2931</v>
      </c>
      <c r="C170" s="574" t="s">
        <v>2918</v>
      </c>
      <c r="D170" s="154"/>
    </row>
    <row r="171" spans="1:4" ht="15" customHeight="1">
      <c r="A171" s="556" t="s">
        <v>2796</v>
      </c>
      <c r="B171" s="554" t="s">
        <v>2932</v>
      </c>
      <c r="C171" s="574" t="s">
        <v>2918</v>
      </c>
      <c r="D171" s="154"/>
    </row>
    <row r="172" spans="1:4" ht="15" customHeight="1">
      <c r="A172" s="556" t="s">
        <v>2796</v>
      </c>
      <c r="B172" s="554" t="s">
        <v>2933</v>
      </c>
      <c r="C172" s="574" t="s">
        <v>2918</v>
      </c>
      <c r="D172" s="154"/>
    </row>
    <row r="173" spans="1:4" ht="15" customHeight="1">
      <c r="A173" s="556" t="s">
        <v>2796</v>
      </c>
      <c r="B173" s="554" t="s">
        <v>2934</v>
      </c>
      <c r="C173" s="574" t="s">
        <v>2918</v>
      </c>
      <c r="D173" s="154"/>
    </row>
    <row r="174" spans="1:4" ht="15" customHeight="1">
      <c r="A174" s="557" t="s">
        <v>2800</v>
      </c>
      <c r="B174" s="568" t="s">
        <v>2935</v>
      </c>
      <c r="C174" s="574" t="s">
        <v>2805</v>
      </c>
      <c r="D174" s="154"/>
    </row>
    <row r="175" spans="1:4" ht="15" customHeight="1">
      <c r="A175" s="557" t="s">
        <v>2800</v>
      </c>
      <c r="B175" s="568" t="s">
        <v>2936</v>
      </c>
      <c r="C175" s="574" t="s">
        <v>2805</v>
      </c>
      <c r="D175" s="154"/>
    </row>
    <row r="176" spans="1:4" ht="15" customHeight="1">
      <c r="A176" s="557" t="s">
        <v>2800</v>
      </c>
      <c r="B176" s="568" t="s">
        <v>2937</v>
      </c>
      <c r="C176" s="574" t="s">
        <v>2805</v>
      </c>
      <c r="D176" s="154"/>
    </row>
    <row r="177" spans="1:4" ht="15" customHeight="1">
      <c r="A177" s="557" t="s">
        <v>2800</v>
      </c>
      <c r="B177" s="568" t="s">
        <v>2938</v>
      </c>
      <c r="C177" s="574" t="s">
        <v>2805</v>
      </c>
      <c r="D177" s="154"/>
    </row>
    <row r="178" spans="1:4" ht="15" customHeight="1">
      <c r="A178" s="557" t="s">
        <v>2800</v>
      </c>
      <c r="B178" s="568" t="s">
        <v>2939</v>
      </c>
      <c r="C178" s="574" t="s">
        <v>2805</v>
      </c>
      <c r="D178" s="154"/>
    </row>
    <row r="179" spans="1:4" ht="15" customHeight="1">
      <c r="A179" s="557" t="s">
        <v>2800</v>
      </c>
      <c r="B179" s="568" t="s">
        <v>2940</v>
      </c>
      <c r="C179" s="574" t="s">
        <v>2805</v>
      </c>
      <c r="D179" s="154"/>
    </row>
    <row r="180" spans="1:4" ht="15" customHeight="1">
      <c r="A180" s="557" t="s">
        <v>2800</v>
      </c>
      <c r="B180" s="568" t="s">
        <v>2941</v>
      </c>
      <c r="C180" s="574" t="s">
        <v>2805</v>
      </c>
      <c r="D180" s="154"/>
    </row>
    <row r="181" spans="1:4" ht="15" customHeight="1">
      <c r="A181" s="557" t="s">
        <v>2800</v>
      </c>
      <c r="B181" s="568" t="s">
        <v>2942</v>
      </c>
      <c r="C181" s="574" t="s">
        <v>2805</v>
      </c>
      <c r="D181" s="154"/>
    </row>
    <row r="182" spans="1:4" ht="15" customHeight="1">
      <c r="A182" s="557" t="s">
        <v>2800</v>
      </c>
      <c r="B182" s="568" t="s">
        <v>2943</v>
      </c>
      <c r="C182" s="574" t="s">
        <v>2805</v>
      </c>
      <c r="D182" s="154"/>
    </row>
    <row r="183" spans="1:4" ht="15" customHeight="1">
      <c r="A183" s="557" t="s">
        <v>2800</v>
      </c>
      <c r="B183" s="568" t="s">
        <v>2944</v>
      </c>
      <c r="C183" s="574" t="s">
        <v>2805</v>
      </c>
      <c r="D183" s="154"/>
    </row>
    <row r="184" spans="1:4" ht="15" customHeight="1">
      <c r="A184" s="557" t="s">
        <v>2800</v>
      </c>
      <c r="B184" s="568" t="s">
        <v>2945</v>
      </c>
      <c r="C184" s="574" t="s">
        <v>2805</v>
      </c>
      <c r="D184" s="154"/>
    </row>
    <row r="185" spans="1:4" ht="15" customHeight="1">
      <c r="A185" s="557" t="s">
        <v>2800</v>
      </c>
      <c r="B185" s="568" t="s">
        <v>2946</v>
      </c>
      <c r="C185" s="574" t="s">
        <v>2805</v>
      </c>
      <c r="D185" s="154"/>
    </row>
    <row r="186" spans="1:4" ht="15" customHeight="1">
      <c r="A186" s="557" t="s">
        <v>2800</v>
      </c>
      <c r="B186" s="568" t="s">
        <v>2947</v>
      </c>
      <c r="C186" s="574" t="s">
        <v>2805</v>
      </c>
      <c r="D186" s="154"/>
    </row>
    <row r="187" spans="1:4" ht="15" customHeight="1">
      <c r="A187" s="557" t="s">
        <v>2800</v>
      </c>
      <c r="B187" s="568" t="s">
        <v>2948</v>
      </c>
      <c r="C187" s="574" t="s">
        <v>2805</v>
      </c>
      <c r="D187" s="154"/>
    </row>
    <row r="188" spans="1:4" ht="15" customHeight="1">
      <c r="A188" s="557" t="s">
        <v>2800</v>
      </c>
      <c r="B188" s="568" t="s">
        <v>2949</v>
      </c>
      <c r="C188" s="574" t="s">
        <v>2805</v>
      </c>
      <c r="D188" s="154"/>
    </row>
    <row r="189" spans="1:4" ht="15" customHeight="1">
      <c r="A189" s="557" t="s">
        <v>2800</v>
      </c>
      <c r="B189" s="568" t="s">
        <v>2950</v>
      </c>
      <c r="C189" s="574" t="s">
        <v>2805</v>
      </c>
      <c r="D189" s="154"/>
    </row>
    <row r="190" spans="1:4" ht="15" customHeight="1">
      <c r="A190" s="557" t="s">
        <v>2800</v>
      </c>
      <c r="B190" s="568" t="s">
        <v>2951</v>
      </c>
      <c r="C190" s="574" t="s">
        <v>2805</v>
      </c>
      <c r="D190" s="154"/>
    </row>
    <row r="191" spans="1:4" ht="15" customHeight="1">
      <c r="A191" s="557" t="s">
        <v>2800</v>
      </c>
      <c r="B191" s="568" t="s">
        <v>2783</v>
      </c>
      <c r="C191" s="574" t="s">
        <v>2805</v>
      </c>
      <c r="D191" s="154"/>
    </row>
    <row r="192" spans="1:4" ht="15" customHeight="1">
      <c r="A192" s="557" t="s">
        <v>2800</v>
      </c>
      <c r="B192" s="568" t="s">
        <v>2783</v>
      </c>
      <c r="C192" s="574" t="s">
        <v>2805</v>
      </c>
      <c r="D192" s="154"/>
    </row>
    <row r="193" spans="1:4" s="344" customFormat="1" ht="15" customHeight="1">
      <c r="A193" s="557" t="s">
        <v>2800</v>
      </c>
      <c r="B193" s="562" t="s">
        <v>2783</v>
      </c>
      <c r="C193" s="574" t="s">
        <v>2805</v>
      </c>
      <c r="D193" s="340"/>
    </row>
    <row r="194" spans="1:4" s="344" customFormat="1" ht="15" customHeight="1">
      <c r="A194" s="558" t="s">
        <v>2803</v>
      </c>
      <c r="B194" s="554" t="s">
        <v>2952</v>
      </c>
      <c r="C194" s="574" t="s">
        <v>2809</v>
      </c>
      <c r="D194" s="340"/>
    </row>
    <row r="195" spans="1:4" s="344" customFormat="1" ht="15" customHeight="1">
      <c r="A195" s="558" t="s">
        <v>2803</v>
      </c>
      <c r="B195" s="554" t="s">
        <v>2953</v>
      </c>
      <c r="C195" s="574" t="s">
        <v>2809</v>
      </c>
      <c r="D195" s="340"/>
    </row>
    <row r="196" spans="1:4" s="344" customFormat="1" ht="15" customHeight="1">
      <c r="A196" s="558" t="s">
        <v>2803</v>
      </c>
      <c r="B196" s="554" t="s">
        <v>2954</v>
      </c>
      <c r="C196" s="574" t="s">
        <v>2809</v>
      </c>
      <c r="D196" s="340"/>
    </row>
    <row r="197" spans="1:4" ht="15" customHeight="1">
      <c r="A197" s="558" t="s">
        <v>2803</v>
      </c>
      <c r="B197" s="554" t="s">
        <v>2955</v>
      </c>
      <c r="C197" s="574" t="s">
        <v>2809</v>
      </c>
      <c r="D197" s="154"/>
    </row>
    <row r="198" spans="1:4" ht="15" customHeight="1">
      <c r="A198" s="558" t="s">
        <v>2803</v>
      </c>
      <c r="B198" s="554" t="s">
        <v>2956</v>
      </c>
      <c r="C198" s="574" t="s">
        <v>2809</v>
      </c>
      <c r="D198" s="154"/>
    </row>
    <row r="199" spans="1:4" ht="15" customHeight="1">
      <c r="A199" s="558" t="s">
        <v>2803</v>
      </c>
      <c r="B199" s="554" t="s">
        <v>2957</v>
      </c>
      <c r="C199" s="574" t="s">
        <v>2809</v>
      </c>
      <c r="D199" s="154"/>
    </row>
    <row r="200" spans="1:4" ht="15" customHeight="1">
      <c r="A200" s="558" t="s">
        <v>2803</v>
      </c>
      <c r="B200" s="554" t="s">
        <v>2958</v>
      </c>
      <c r="C200" s="574" t="s">
        <v>2809</v>
      </c>
      <c r="D200" s="154"/>
    </row>
    <row r="201" spans="1:4" ht="15" customHeight="1">
      <c r="A201" s="558" t="s">
        <v>2803</v>
      </c>
      <c r="B201" s="554" t="s">
        <v>2959</v>
      </c>
      <c r="C201" s="574" t="s">
        <v>2809</v>
      </c>
      <c r="D201" s="154"/>
    </row>
    <row r="202" spans="1:4" ht="15" customHeight="1">
      <c r="A202" s="558" t="s">
        <v>2803</v>
      </c>
      <c r="B202" s="554" t="s">
        <v>2960</v>
      </c>
      <c r="C202" s="574" t="s">
        <v>2809</v>
      </c>
      <c r="D202" s="154"/>
    </row>
    <row r="203" spans="1:4" ht="15" customHeight="1">
      <c r="A203" s="558" t="s">
        <v>2803</v>
      </c>
      <c r="B203" s="554" t="s">
        <v>2961</v>
      </c>
      <c r="C203" s="574" t="s">
        <v>2809</v>
      </c>
      <c r="D203" s="154"/>
    </row>
    <row r="204" spans="1:4" ht="15" customHeight="1">
      <c r="A204" s="558" t="s">
        <v>2803</v>
      </c>
      <c r="B204" s="554" t="s">
        <v>2962</v>
      </c>
      <c r="C204" s="574" t="s">
        <v>2809</v>
      </c>
      <c r="D204" s="154"/>
    </row>
    <row r="205" spans="1:4" ht="15" customHeight="1">
      <c r="A205" s="558" t="s">
        <v>2803</v>
      </c>
      <c r="B205" s="554" t="s">
        <v>2963</v>
      </c>
      <c r="C205" s="574" t="s">
        <v>2809</v>
      </c>
      <c r="D205" s="154"/>
    </row>
    <row r="206" spans="1:4" ht="15" customHeight="1">
      <c r="A206" s="558" t="s">
        <v>2803</v>
      </c>
      <c r="B206" s="554" t="s">
        <v>2964</v>
      </c>
      <c r="C206" s="574" t="s">
        <v>2809</v>
      </c>
      <c r="D206" s="154"/>
    </row>
    <row r="207" spans="1:4" ht="15" customHeight="1">
      <c r="A207" s="558" t="s">
        <v>2803</v>
      </c>
      <c r="B207" s="554" t="s">
        <v>2965</v>
      </c>
      <c r="C207" s="574" t="s">
        <v>2809</v>
      </c>
      <c r="D207" s="154"/>
    </row>
    <row r="208" spans="1:4" ht="15" customHeight="1">
      <c r="A208" s="558" t="s">
        <v>2803</v>
      </c>
      <c r="B208" s="554" t="s">
        <v>2966</v>
      </c>
      <c r="C208" s="574" t="s">
        <v>2809</v>
      </c>
      <c r="D208" s="154"/>
    </row>
    <row r="209" spans="1:4" ht="15" customHeight="1">
      <c r="A209" s="558" t="s">
        <v>2803</v>
      </c>
      <c r="B209" s="568" t="s">
        <v>2967</v>
      </c>
      <c r="C209" s="574" t="s">
        <v>2809</v>
      </c>
      <c r="D209" s="154"/>
    </row>
    <row r="210" spans="1:4" ht="15" customHeight="1">
      <c r="A210" s="558" t="s">
        <v>2803</v>
      </c>
      <c r="B210" s="563" t="s">
        <v>2968</v>
      </c>
      <c r="C210" s="574" t="s">
        <v>2809</v>
      </c>
      <c r="D210" s="154"/>
    </row>
    <row r="211" spans="1:4" ht="15" customHeight="1">
      <c r="A211" s="558" t="s">
        <v>2803</v>
      </c>
      <c r="B211" s="568" t="s">
        <v>2783</v>
      </c>
      <c r="C211" s="574" t="s">
        <v>2809</v>
      </c>
      <c r="D211" s="154"/>
    </row>
    <row r="212" spans="1:4" ht="15" customHeight="1">
      <c r="A212" s="558" t="s">
        <v>2803</v>
      </c>
      <c r="B212" s="568" t="s">
        <v>2783</v>
      </c>
      <c r="C212" s="574" t="s">
        <v>2809</v>
      </c>
      <c r="D212" s="154"/>
    </row>
    <row r="213" spans="1:4" ht="15" customHeight="1">
      <c r="A213" s="558" t="s">
        <v>2803</v>
      </c>
      <c r="B213" s="554" t="s">
        <v>2969</v>
      </c>
      <c r="C213" s="574" t="s">
        <v>2809</v>
      </c>
      <c r="D213" s="154"/>
    </row>
    <row r="214" spans="1:4" ht="15" customHeight="1">
      <c r="A214" s="559" t="s">
        <v>2807</v>
      </c>
      <c r="B214" s="568" t="s">
        <v>2970</v>
      </c>
      <c r="C214" s="574" t="s">
        <v>2971</v>
      </c>
      <c r="D214" s="154"/>
    </row>
    <row r="215" spans="1:4" ht="15" customHeight="1">
      <c r="A215" s="559" t="s">
        <v>2807</v>
      </c>
      <c r="B215" s="568" t="s">
        <v>2972</v>
      </c>
      <c r="C215" s="574" t="s">
        <v>2971</v>
      </c>
      <c r="D215" s="154"/>
    </row>
    <row r="216" spans="1:4" ht="15" customHeight="1">
      <c r="A216" s="559" t="s">
        <v>2807</v>
      </c>
      <c r="B216" s="568" t="s">
        <v>2973</v>
      </c>
      <c r="C216" s="574" t="s">
        <v>2971</v>
      </c>
      <c r="D216" s="154"/>
    </row>
    <row r="217" spans="1:4" ht="15" customHeight="1">
      <c r="A217" s="559" t="s">
        <v>2807</v>
      </c>
      <c r="B217" s="554" t="s">
        <v>2974</v>
      </c>
      <c r="C217" s="574" t="s">
        <v>2971</v>
      </c>
      <c r="D217" s="154"/>
    </row>
    <row r="218" spans="1:4" ht="15" customHeight="1">
      <c r="A218" s="559" t="s">
        <v>2807</v>
      </c>
      <c r="B218" s="568" t="s">
        <v>2783</v>
      </c>
      <c r="C218" s="574" t="s">
        <v>2971</v>
      </c>
      <c r="D218" s="154"/>
    </row>
    <row r="219" spans="1:4" ht="15" customHeight="1">
      <c r="A219" s="572"/>
      <c r="B219" s="562"/>
      <c r="C219" s="574"/>
      <c r="D219" s="154"/>
    </row>
    <row r="220" spans="1:4" ht="15" customHeight="1">
      <c r="A220" s="572" t="s">
        <v>2975</v>
      </c>
      <c r="B220" s="562"/>
      <c r="C220" s="574"/>
      <c r="D220" s="154"/>
    </row>
    <row r="221" spans="1:4" ht="15" customHeight="1">
      <c r="A221" s="553"/>
      <c r="B221" s="562"/>
      <c r="C221" s="574"/>
      <c r="D221" s="154"/>
    </row>
    <row r="222" spans="1:4" ht="15" customHeight="1">
      <c r="A222" s="553" t="s">
        <v>2781</v>
      </c>
      <c r="B222" s="554" t="s">
        <v>2976</v>
      </c>
      <c r="C222" s="574" t="s">
        <v>2802</v>
      </c>
      <c r="D222" s="154"/>
    </row>
    <row r="223" spans="1:4" ht="15" customHeight="1">
      <c r="A223" s="553" t="s">
        <v>2781</v>
      </c>
      <c r="B223" s="554" t="s">
        <v>2977</v>
      </c>
      <c r="C223" s="574" t="s">
        <v>2802</v>
      </c>
      <c r="D223" s="154"/>
    </row>
    <row r="224" spans="1:4" ht="15" customHeight="1">
      <c r="A224" s="553" t="s">
        <v>2781</v>
      </c>
      <c r="B224" s="554" t="s">
        <v>2978</v>
      </c>
      <c r="C224" s="574" t="s">
        <v>2802</v>
      </c>
      <c r="D224" s="154"/>
    </row>
    <row r="225" spans="1:4" ht="15" customHeight="1">
      <c r="A225" s="553" t="s">
        <v>2781</v>
      </c>
      <c r="B225" s="554" t="s">
        <v>2979</v>
      </c>
      <c r="C225" s="574" t="s">
        <v>2802</v>
      </c>
      <c r="D225" s="154"/>
    </row>
    <row r="226" spans="1:4" ht="15" customHeight="1">
      <c r="A226" s="553" t="s">
        <v>2781</v>
      </c>
      <c r="B226" s="554" t="s">
        <v>2980</v>
      </c>
      <c r="C226" s="574" t="s">
        <v>2802</v>
      </c>
      <c r="D226" s="154"/>
    </row>
    <row r="227" spans="1:4" ht="15" customHeight="1">
      <c r="A227" s="555" t="s">
        <v>2782</v>
      </c>
      <c r="B227" s="554" t="s">
        <v>2981</v>
      </c>
      <c r="C227" s="574" t="s">
        <v>2805</v>
      </c>
      <c r="D227" s="154"/>
    </row>
    <row r="228" spans="1:4" ht="15" customHeight="1">
      <c r="A228" s="555" t="s">
        <v>2782</v>
      </c>
      <c r="B228" s="554" t="s">
        <v>2982</v>
      </c>
      <c r="C228" s="574" t="s">
        <v>2805</v>
      </c>
      <c r="D228" s="154"/>
    </row>
    <row r="229" spans="1:4" ht="15" customHeight="1">
      <c r="A229" s="555" t="s">
        <v>2782</v>
      </c>
      <c r="B229" s="554" t="s">
        <v>2983</v>
      </c>
      <c r="C229" s="574" t="s">
        <v>2805</v>
      </c>
      <c r="D229" s="154"/>
    </row>
    <row r="230" spans="1:4" ht="15" customHeight="1">
      <c r="A230" s="555" t="s">
        <v>2782</v>
      </c>
      <c r="B230" s="554" t="s">
        <v>2984</v>
      </c>
      <c r="C230" s="574" t="s">
        <v>2805</v>
      </c>
      <c r="D230" s="154"/>
    </row>
    <row r="231" spans="1:4" ht="15" customHeight="1">
      <c r="A231" s="555" t="s">
        <v>2782</v>
      </c>
      <c r="B231" s="554" t="s">
        <v>2985</v>
      </c>
      <c r="C231" s="574" t="s">
        <v>2805</v>
      </c>
      <c r="D231" s="154"/>
    </row>
    <row r="232" spans="1:4" ht="15" customHeight="1">
      <c r="A232" s="555" t="s">
        <v>2782</v>
      </c>
      <c r="B232" s="554" t="s">
        <v>2986</v>
      </c>
      <c r="C232" s="574" t="s">
        <v>2805</v>
      </c>
      <c r="D232" s="154"/>
    </row>
    <row r="233" spans="1:4" ht="15" customHeight="1">
      <c r="A233" s="555" t="s">
        <v>2782</v>
      </c>
      <c r="B233" s="554" t="s">
        <v>2987</v>
      </c>
      <c r="C233" s="574" t="s">
        <v>2805</v>
      </c>
      <c r="D233" s="154"/>
    </row>
    <row r="234" spans="1:4" ht="15" customHeight="1">
      <c r="A234" s="555" t="s">
        <v>2782</v>
      </c>
      <c r="B234" s="554" t="s">
        <v>2988</v>
      </c>
      <c r="C234" s="574" t="s">
        <v>2805</v>
      </c>
      <c r="D234" s="154"/>
    </row>
    <row r="235" spans="1:4" ht="15" customHeight="1">
      <c r="A235" s="555" t="s">
        <v>2782</v>
      </c>
      <c r="B235" s="554" t="s">
        <v>2989</v>
      </c>
      <c r="C235" s="574" t="s">
        <v>2805</v>
      </c>
      <c r="D235" s="154"/>
    </row>
    <row r="236" spans="1:4" ht="15" customHeight="1">
      <c r="A236" s="556" t="s">
        <v>2796</v>
      </c>
      <c r="B236" s="554" t="s">
        <v>2990</v>
      </c>
      <c r="C236" s="574" t="s">
        <v>2875</v>
      </c>
      <c r="D236" s="154"/>
    </row>
    <row r="237" spans="1:4" ht="15" customHeight="1">
      <c r="A237" s="556" t="s">
        <v>2796</v>
      </c>
      <c r="B237" s="554" t="s">
        <v>2991</v>
      </c>
      <c r="C237" s="574" t="s">
        <v>2875</v>
      </c>
      <c r="D237" s="154"/>
    </row>
    <row r="238" spans="1:4" ht="15" customHeight="1">
      <c r="A238" s="556" t="s">
        <v>2796</v>
      </c>
      <c r="B238" s="554" t="s">
        <v>2992</v>
      </c>
      <c r="C238" s="574" t="s">
        <v>2875</v>
      </c>
      <c r="D238" s="154"/>
    </row>
    <row r="239" spans="1:4" ht="15" customHeight="1">
      <c r="A239" s="556" t="s">
        <v>2796</v>
      </c>
      <c r="B239" s="554" t="s">
        <v>2993</v>
      </c>
      <c r="C239" s="574" t="s">
        <v>2875</v>
      </c>
      <c r="D239" s="154"/>
    </row>
    <row r="240" spans="1:4" ht="15" customHeight="1">
      <c r="A240" s="556" t="s">
        <v>2796</v>
      </c>
      <c r="B240" s="554" t="s">
        <v>2994</v>
      </c>
      <c r="C240" s="574" t="s">
        <v>2875</v>
      </c>
      <c r="D240" s="154"/>
    </row>
    <row r="241" spans="1:4" ht="15" customHeight="1">
      <c r="A241" s="556" t="s">
        <v>2796</v>
      </c>
      <c r="B241" s="554" t="s">
        <v>2995</v>
      </c>
      <c r="C241" s="574" t="s">
        <v>2875</v>
      </c>
      <c r="D241" s="154"/>
    </row>
    <row r="242" spans="1:4" ht="15" customHeight="1">
      <c r="A242" s="556" t="s">
        <v>2796</v>
      </c>
      <c r="B242" s="554" t="s">
        <v>2996</v>
      </c>
      <c r="C242" s="574" t="s">
        <v>2875</v>
      </c>
      <c r="D242" s="154"/>
    </row>
    <row r="243" spans="1:4" ht="15" customHeight="1">
      <c r="A243" s="556" t="s">
        <v>2796</v>
      </c>
      <c r="B243" s="554" t="s">
        <v>2783</v>
      </c>
      <c r="C243" s="574" t="s">
        <v>2875</v>
      </c>
      <c r="D243" s="154"/>
    </row>
    <row r="244" spans="1:4" ht="15" customHeight="1">
      <c r="A244" s="556" t="s">
        <v>2796</v>
      </c>
      <c r="B244" s="554" t="s">
        <v>2783</v>
      </c>
      <c r="C244" s="574" t="s">
        <v>2875</v>
      </c>
      <c r="D244" s="154"/>
    </row>
    <row r="245" spans="1:4" ht="15" customHeight="1">
      <c r="A245" s="557" t="s">
        <v>2800</v>
      </c>
      <c r="B245" s="554" t="s">
        <v>2997</v>
      </c>
      <c r="C245" s="574" t="s">
        <v>2998</v>
      </c>
      <c r="D245" s="154"/>
    </row>
    <row r="246" spans="1:4" ht="15" customHeight="1">
      <c r="A246" s="557" t="s">
        <v>2800</v>
      </c>
      <c r="B246" s="554" t="s">
        <v>2783</v>
      </c>
      <c r="C246" s="574" t="s">
        <v>2998</v>
      </c>
      <c r="D246" s="154"/>
    </row>
    <row r="247" spans="1:4" ht="15" customHeight="1">
      <c r="A247" s="557" t="s">
        <v>2800</v>
      </c>
      <c r="B247" s="554" t="s">
        <v>2999</v>
      </c>
      <c r="C247" s="574" t="s">
        <v>2998</v>
      </c>
      <c r="D247" s="154"/>
    </row>
    <row r="248" spans="1:4" ht="15" customHeight="1">
      <c r="A248" s="557" t="s">
        <v>2800</v>
      </c>
      <c r="B248" s="554" t="s">
        <v>3000</v>
      </c>
      <c r="C248" s="574" t="s">
        <v>2998</v>
      </c>
      <c r="D248" s="154"/>
    </row>
    <row r="249" spans="1:4" ht="15" customHeight="1">
      <c r="A249" s="557" t="s">
        <v>2800</v>
      </c>
      <c r="B249" s="554" t="s">
        <v>3001</v>
      </c>
      <c r="C249" s="574" t="s">
        <v>2998</v>
      </c>
      <c r="D249" s="154"/>
    </row>
    <row r="250" spans="1:4" ht="15" customHeight="1">
      <c r="A250" s="557" t="s">
        <v>2800</v>
      </c>
      <c r="B250" s="554" t="s">
        <v>3002</v>
      </c>
      <c r="C250" s="574" t="s">
        <v>2998</v>
      </c>
      <c r="D250" s="154"/>
    </row>
    <row r="251" spans="1:4" ht="15" customHeight="1">
      <c r="A251" s="557" t="s">
        <v>2800</v>
      </c>
      <c r="B251" s="554" t="s">
        <v>3003</v>
      </c>
      <c r="C251" s="574" t="s">
        <v>2998</v>
      </c>
      <c r="D251" s="154"/>
    </row>
    <row r="252" spans="1:4" ht="15" customHeight="1">
      <c r="A252" s="557" t="s">
        <v>2800</v>
      </c>
      <c r="B252" s="554" t="s">
        <v>3004</v>
      </c>
      <c r="C252" s="574" t="s">
        <v>2998</v>
      </c>
      <c r="D252" s="154"/>
    </row>
    <row r="253" spans="1:4" ht="15" customHeight="1">
      <c r="A253" s="558" t="s">
        <v>2803</v>
      </c>
      <c r="B253" s="554" t="s">
        <v>3005</v>
      </c>
      <c r="C253" s="574" t="s">
        <v>2809</v>
      </c>
      <c r="D253" s="154"/>
    </row>
    <row r="254" spans="1:4" ht="15" customHeight="1">
      <c r="A254" s="558" t="s">
        <v>2803</v>
      </c>
      <c r="B254" s="554" t="s">
        <v>3006</v>
      </c>
      <c r="C254" s="574" t="s">
        <v>2809</v>
      </c>
      <c r="D254" s="154"/>
    </row>
    <row r="255" spans="1:4" ht="15" customHeight="1">
      <c r="A255" s="558" t="s">
        <v>2803</v>
      </c>
      <c r="B255" s="554" t="s">
        <v>3007</v>
      </c>
      <c r="C255" s="574" t="s">
        <v>2809</v>
      </c>
      <c r="D255" s="154"/>
    </row>
    <row r="256" spans="1:4" ht="15" customHeight="1">
      <c r="A256" s="558" t="s">
        <v>2803</v>
      </c>
      <c r="B256" s="554" t="s">
        <v>2783</v>
      </c>
      <c r="C256" s="574" t="s">
        <v>2809</v>
      </c>
      <c r="D256" s="154"/>
    </row>
    <row r="257" spans="1:4" ht="15" customHeight="1">
      <c r="A257" s="558" t="s">
        <v>2803</v>
      </c>
      <c r="B257" s="554" t="s">
        <v>2783</v>
      </c>
      <c r="C257" s="574" t="s">
        <v>2809</v>
      </c>
      <c r="D257" s="154"/>
    </row>
    <row r="258" spans="1:4" ht="15" customHeight="1">
      <c r="A258" s="558" t="s">
        <v>2803</v>
      </c>
      <c r="B258" s="554" t="s">
        <v>2783</v>
      </c>
      <c r="C258" s="574" t="s">
        <v>2809</v>
      </c>
      <c r="D258" s="154"/>
    </row>
    <row r="259" spans="1:4" ht="15" customHeight="1">
      <c r="A259" s="558" t="s">
        <v>2803</v>
      </c>
      <c r="B259" s="554" t="s">
        <v>3008</v>
      </c>
      <c r="C259" s="574" t="s">
        <v>2809</v>
      </c>
      <c r="D259" s="154"/>
    </row>
    <row r="260" spans="1:4" ht="15" customHeight="1">
      <c r="A260" s="558" t="s">
        <v>2803</v>
      </c>
      <c r="B260" s="554" t="s">
        <v>3009</v>
      </c>
      <c r="C260" s="574" t="s">
        <v>2809</v>
      </c>
      <c r="D260" s="154"/>
    </row>
    <row r="261" spans="1:4" ht="15" customHeight="1">
      <c r="A261" s="559" t="s">
        <v>2807</v>
      </c>
      <c r="B261" s="554" t="s">
        <v>3010</v>
      </c>
      <c r="C261" s="574" t="s">
        <v>3011</v>
      </c>
      <c r="D261" s="154"/>
    </row>
    <row r="262" spans="1:4" ht="15" customHeight="1">
      <c r="A262" s="562"/>
      <c r="B262" s="562"/>
      <c r="C262" s="574"/>
      <c r="D262" s="343"/>
    </row>
    <row r="263" spans="1:4" ht="15" customHeight="1">
      <c r="A263" s="572" t="s">
        <v>3012</v>
      </c>
      <c r="B263" s="554"/>
      <c r="C263" s="574"/>
      <c r="D263" s="343"/>
    </row>
    <row r="264" spans="1:4" ht="15" customHeight="1">
      <c r="A264" s="554"/>
      <c r="B264" s="554"/>
      <c r="C264" s="574"/>
      <c r="D264" s="154"/>
    </row>
    <row r="265" spans="1:4" ht="15" customHeight="1">
      <c r="A265" s="553" t="s">
        <v>2781</v>
      </c>
      <c r="B265" s="554" t="s">
        <v>3013</v>
      </c>
      <c r="C265" s="574" t="s">
        <v>3014</v>
      </c>
      <c r="D265" s="154"/>
    </row>
    <row r="266" spans="1:4" ht="15" customHeight="1">
      <c r="A266" s="553" t="s">
        <v>2781</v>
      </c>
      <c r="B266" s="554" t="s">
        <v>3015</v>
      </c>
      <c r="C266" s="574" t="s">
        <v>3014</v>
      </c>
      <c r="D266" s="154"/>
    </row>
    <row r="267" spans="1:4" ht="15" customHeight="1">
      <c r="A267" s="555" t="s">
        <v>2782</v>
      </c>
      <c r="B267" s="554" t="s">
        <v>3016</v>
      </c>
      <c r="C267" s="574" t="s">
        <v>3017</v>
      </c>
      <c r="D267" s="154"/>
    </row>
    <row r="268" spans="1:4" ht="15" customHeight="1">
      <c r="A268" s="555" t="s">
        <v>2782</v>
      </c>
      <c r="B268" s="554" t="s">
        <v>3018</v>
      </c>
      <c r="C268" s="574" t="s">
        <v>3017</v>
      </c>
      <c r="D268" s="154"/>
    </row>
    <row r="269" spans="1:4" ht="15" customHeight="1">
      <c r="A269" s="556" t="s">
        <v>2796</v>
      </c>
      <c r="B269" s="554" t="s">
        <v>3019</v>
      </c>
      <c r="C269" s="574" t="s">
        <v>3020</v>
      </c>
      <c r="D269" s="154"/>
    </row>
    <row r="270" spans="1:4" ht="15" customHeight="1">
      <c r="A270" s="556" t="s">
        <v>2796</v>
      </c>
      <c r="B270" s="554" t="s">
        <v>3021</v>
      </c>
      <c r="C270" s="574" t="s">
        <v>3020</v>
      </c>
      <c r="D270" s="154"/>
    </row>
    <row r="271" spans="1:4" ht="15" customHeight="1">
      <c r="A271" s="557" t="s">
        <v>2800</v>
      </c>
      <c r="B271" s="554" t="s">
        <v>3022</v>
      </c>
      <c r="C271" s="574" t="s">
        <v>2809</v>
      </c>
      <c r="D271" s="154"/>
    </row>
    <row r="272" spans="1:4" ht="15" customHeight="1">
      <c r="A272" s="557" t="s">
        <v>2800</v>
      </c>
      <c r="B272" s="554" t="s">
        <v>3023</v>
      </c>
      <c r="C272" s="574" t="s">
        <v>2809</v>
      </c>
      <c r="D272" s="154"/>
    </row>
    <row r="273" spans="1:4" ht="15" customHeight="1">
      <c r="A273" s="558" t="s">
        <v>2803</v>
      </c>
      <c r="B273" s="554" t="s">
        <v>3024</v>
      </c>
      <c r="C273" s="574" t="s">
        <v>3011</v>
      </c>
      <c r="D273" s="154"/>
    </row>
    <row r="274" spans="1:4" ht="15" customHeight="1">
      <c r="A274" s="558" t="s">
        <v>2803</v>
      </c>
      <c r="B274" s="554" t="s">
        <v>3025</v>
      </c>
      <c r="C274" s="574" t="s">
        <v>3011</v>
      </c>
      <c r="D274" s="154"/>
    </row>
    <row r="275" spans="1:4" ht="15" customHeight="1">
      <c r="A275" s="559" t="s">
        <v>2807</v>
      </c>
      <c r="B275" s="554" t="s">
        <v>3026</v>
      </c>
      <c r="C275" s="574" t="s">
        <v>3027</v>
      </c>
      <c r="D275" s="154"/>
    </row>
    <row r="276" spans="1:4" ht="15" customHeight="1">
      <c r="A276" s="559" t="s">
        <v>2807</v>
      </c>
      <c r="B276" s="554" t="s">
        <v>3028</v>
      </c>
      <c r="C276" s="574" t="s">
        <v>3027</v>
      </c>
      <c r="D276" s="154"/>
    </row>
    <row r="277" spans="1:4" ht="15" customHeight="1">
      <c r="A277" s="559"/>
      <c r="B277" s="554"/>
      <c r="C277" s="574"/>
      <c r="D277" s="154"/>
    </row>
    <row r="278" spans="1:4" ht="15" customHeight="1">
      <c r="A278" s="562"/>
      <c r="B278" s="570" t="s">
        <v>3029</v>
      </c>
      <c r="C278" s="574"/>
      <c r="D278" s="154"/>
    </row>
    <row r="279" spans="1:4" ht="15" customHeight="1">
      <c r="A279" s="572" t="s">
        <v>3030</v>
      </c>
      <c r="B279" s="554"/>
      <c r="C279" s="574"/>
      <c r="D279" s="154"/>
    </row>
    <row r="280" spans="1:4" ht="15" customHeight="1">
      <c r="A280" s="553"/>
      <c r="B280" s="554"/>
      <c r="C280" s="574"/>
      <c r="D280" s="154"/>
    </row>
    <row r="281" spans="1:4" ht="15" customHeight="1">
      <c r="A281" s="553" t="s">
        <v>2781</v>
      </c>
      <c r="B281" s="645" t="s">
        <v>3031</v>
      </c>
      <c r="C281" s="574" t="s">
        <v>2802</v>
      </c>
      <c r="D281" s="154"/>
    </row>
    <row r="282" spans="1:4" ht="15" customHeight="1">
      <c r="A282" s="553" t="s">
        <v>2781</v>
      </c>
      <c r="B282" s="646" t="s">
        <v>3032</v>
      </c>
      <c r="C282" s="574" t="s">
        <v>2802</v>
      </c>
      <c r="D282" s="154"/>
    </row>
    <row r="283" spans="1:4" ht="15" customHeight="1">
      <c r="A283" s="553" t="s">
        <v>2781</v>
      </c>
      <c r="B283" s="646" t="s">
        <v>3033</v>
      </c>
      <c r="C283" s="574" t="s">
        <v>2802</v>
      </c>
      <c r="D283" s="154"/>
    </row>
    <row r="284" spans="1:4" ht="15" customHeight="1">
      <c r="A284" s="553" t="s">
        <v>2781</v>
      </c>
      <c r="B284" s="646" t="s">
        <v>3034</v>
      </c>
      <c r="C284" s="574" t="s">
        <v>2802</v>
      </c>
      <c r="D284" s="154"/>
    </row>
    <row r="285" spans="1:4" ht="15" customHeight="1">
      <c r="A285" s="553" t="s">
        <v>2781</v>
      </c>
      <c r="B285" s="646" t="s">
        <v>3035</v>
      </c>
      <c r="C285" s="574" t="s">
        <v>2802</v>
      </c>
      <c r="D285" s="154"/>
    </row>
    <row r="286" spans="1:4" ht="15" customHeight="1">
      <c r="A286" s="553" t="s">
        <v>2781</v>
      </c>
      <c r="B286" s="646" t="s">
        <v>3036</v>
      </c>
      <c r="C286" s="574" t="s">
        <v>2802</v>
      </c>
      <c r="D286" s="154"/>
    </row>
    <row r="287" spans="1:4" ht="15" customHeight="1">
      <c r="A287" s="553" t="s">
        <v>2781</v>
      </c>
      <c r="B287" s="646" t="s">
        <v>3037</v>
      </c>
      <c r="C287" s="574" t="s">
        <v>2802</v>
      </c>
      <c r="D287" s="154"/>
    </row>
    <row r="288" spans="1:4" ht="15" customHeight="1">
      <c r="A288" s="553" t="s">
        <v>2781</v>
      </c>
      <c r="B288" s="646" t="s">
        <v>3038</v>
      </c>
      <c r="C288" s="574" t="s">
        <v>2802</v>
      </c>
      <c r="D288" s="154"/>
    </row>
    <row r="289" spans="1:4" ht="15" customHeight="1">
      <c r="A289" s="553" t="s">
        <v>2781</v>
      </c>
      <c r="B289" s="646" t="s">
        <v>3039</v>
      </c>
      <c r="C289" s="574" t="s">
        <v>2802</v>
      </c>
      <c r="D289" s="154"/>
    </row>
    <row r="290" spans="1:4" ht="15" customHeight="1">
      <c r="A290" s="553" t="s">
        <v>2781</v>
      </c>
      <c r="B290" s="646" t="s">
        <v>3040</v>
      </c>
      <c r="C290" s="574" t="s">
        <v>2802</v>
      </c>
      <c r="D290" s="154"/>
    </row>
    <row r="291" spans="1:4" ht="15" customHeight="1">
      <c r="A291" s="553" t="s">
        <v>2781</v>
      </c>
      <c r="B291" s="646" t="s">
        <v>3041</v>
      </c>
      <c r="C291" s="574" t="s">
        <v>2802</v>
      </c>
      <c r="D291" s="154"/>
    </row>
    <row r="292" spans="1:4" ht="15" customHeight="1">
      <c r="A292" s="553" t="s">
        <v>2781</v>
      </c>
      <c r="B292" s="646" t="s">
        <v>3042</v>
      </c>
      <c r="C292" s="574" t="s">
        <v>2802</v>
      </c>
      <c r="D292" s="154"/>
    </row>
    <row r="293" spans="1:4" ht="15" customHeight="1">
      <c r="A293" s="555" t="s">
        <v>2782</v>
      </c>
      <c r="B293" s="555" t="s">
        <v>3633</v>
      </c>
      <c r="C293" s="574" t="s">
        <v>2805</v>
      </c>
      <c r="D293" s="154"/>
    </row>
    <row r="294" spans="1:4" ht="15" customHeight="1">
      <c r="A294" s="555" t="s">
        <v>2782</v>
      </c>
      <c r="B294" s="555" t="s">
        <v>3634</v>
      </c>
      <c r="C294" s="574" t="s">
        <v>2805</v>
      </c>
      <c r="D294" s="154"/>
    </row>
    <row r="295" spans="1:4" ht="15" customHeight="1">
      <c r="A295" s="555" t="s">
        <v>2782</v>
      </c>
      <c r="B295" s="555" t="s">
        <v>3635</v>
      </c>
      <c r="C295" s="574" t="s">
        <v>2805</v>
      </c>
      <c r="D295" s="154"/>
    </row>
    <row r="296" spans="1:4" ht="15" customHeight="1">
      <c r="A296" s="555" t="s">
        <v>2782</v>
      </c>
      <c r="B296" s="555" t="s">
        <v>3636</v>
      </c>
      <c r="C296" s="574" t="s">
        <v>2805</v>
      </c>
      <c r="D296" s="154"/>
    </row>
    <row r="297" spans="1:4" ht="15" customHeight="1">
      <c r="A297" s="555" t="s">
        <v>2782</v>
      </c>
      <c r="B297" s="555" t="s">
        <v>3637</v>
      </c>
      <c r="C297" s="574" t="s">
        <v>2805</v>
      </c>
      <c r="D297" s="154"/>
    </row>
    <row r="298" spans="1:4" ht="15" customHeight="1">
      <c r="A298" s="555" t="s">
        <v>2782</v>
      </c>
      <c r="B298" s="555" t="s">
        <v>3638</v>
      </c>
      <c r="C298" s="574" t="s">
        <v>2805</v>
      </c>
      <c r="D298" s="154"/>
    </row>
    <row r="299" spans="1:4" ht="15" customHeight="1">
      <c r="A299" s="555" t="s">
        <v>2782</v>
      </c>
      <c r="B299" s="555" t="s">
        <v>3639</v>
      </c>
      <c r="C299" s="574" t="s">
        <v>2805</v>
      </c>
      <c r="D299" s="154"/>
    </row>
    <row r="300" spans="1:4" ht="15" customHeight="1">
      <c r="A300" s="555" t="s">
        <v>2782</v>
      </c>
      <c r="B300" s="555" t="s">
        <v>3640</v>
      </c>
      <c r="C300" s="574" t="s">
        <v>2805</v>
      </c>
      <c r="D300" s="154"/>
    </row>
    <row r="301" spans="1:4" ht="15" customHeight="1">
      <c r="A301" s="555" t="s">
        <v>2782</v>
      </c>
      <c r="B301" s="555" t="s">
        <v>3642</v>
      </c>
      <c r="C301" s="574" t="s">
        <v>2805</v>
      </c>
      <c r="D301" s="154"/>
    </row>
    <row r="302" spans="1:4" ht="15" customHeight="1">
      <c r="A302" s="555" t="s">
        <v>2782</v>
      </c>
      <c r="B302" s="555" t="s">
        <v>3643</v>
      </c>
      <c r="C302" s="574" t="s">
        <v>2805</v>
      </c>
      <c r="D302" s="154"/>
    </row>
    <row r="303" spans="1:4" ht="15" customHeight="1">
      <c r="A303" s="555" t="s">
        <v>2782</v>
      </c>
      <c r="B303" s="555" t="s">
        <v>3644</v>
      </c>
      <c r="C303" s="574" t="s">
        <v>2805</v>
      </c>
      <c r="D303" s="154"/>
    </row>
    <row r="304" spans="1:4" ht="15" customHeight="1">
      <c r="A304" s="555" t="s">
        <v>2782</v>
      </c>
      <c r="B304" s="555" t="s">
        <v>3645</v>
      </c>
      <c r="C304" s="574" t="s">
        <v>2805</v>
      </c>
      <c r="D304" s="154"/>
    </row>
    <row r="305" spans="1:4" ht="15" customHeight="1">
      <c r="A305" s="555" t="s">
        <v>2782</v>
      </c>
      <c r="B305" s="555" t="s">
        <v>3646</v>
      </c>
      <c r="C305" s="574" t="s">
        <v>2805</v>
      </c>
      <c r="D305" s="154"/>
    </row>
    <row r="306" spans="1:4" ht="15" customHeight="1">
      <c r="A306" s="555" t="s">
        <v>2782</v>
      </c>
      <c r="B306" s="555" t="s">
        <v>3647</v>
      </c>
      <c r="C306" s="574" t="s">
        <v>2805</v>
      </c>
      <c r="D306" s="154"/>
    </row>
    <row r="307" spans="1:4" ht="15" customHeight="1">
      <c r="A307" s="555" t="s">
        <v>2782</v>
      </c>
      <c r="B307" s="555" t="s">
        <v>3648</v>
      </c>
      <c r="C307" s="574" t="s">
        <v>2805</v>
      </c>
      <c r="D307" s="154"/>
    </row>
    <row r="308" spans="1:4" ht="15" customHeight="1">
      <c r="A308" s="555" t="s">
        <v>2782</v>
      </c>
      <c r="B308" s="555" t="s">
        <v>3649</v>
      </c>
      <c r="C308" s="574" t="s">
        <v>2805</v>
      </c>
      <c r="D308" s="154"/>
    </row>
    <row r="309" spans="1:4" ht="15" customHeight="1">
      <c r="A309" s="555" t="s">
        <v>2782</v>
      </c>
      <c r="B309" s="555" t="s">
        <v>3650</v>
      </c>
      <c r="C309" s="574" t="s">
        <v>2805</v>
      </c>
      <c r="D309" s="154"/>
    </row>
    <row r="310" spans="1:4" ht="15" customHeight="1">
      <c r="A310" s="555" t="s">
        <v>2782</v>
      </c>
      <c r="B310" s="555" t="s">
        <v>3651</v>
      </c>
      <c r="C310" s="574" t="s">
        <v>2805</v>
      </c>
      <c r="D310" s="154"/>
    </row>
    <row r="311" spans="1:4" ht="15" customHeight="1">
      <c r="A311" s="555" t="s">
        <v>2782</v>
      </c>
      <c r="B311" s="555" t="s">
        <v>3652</v>
      </c>
      <c r="C311" s="574" t="s">
        <v>2805</v>
      </c>
      <c r="D311" s="154"/>
    </row>
    <row r="312" spans="1:4" ht="15" customHeight="1">
      <c r="A312" s="555" t="s">
        <v>2782</v>
      </c>
      <c r="B312" s="555" t="s">
        <v>3653</v>
      </c>
      <c r="C312" s="574" t="s">
        <v>2805</v>
      </c>
      <c r="D312" s="154"/>
    </row>
    <row r="313" spans="1:4" ht="15" customHeight="1">
      <c r="A313" s="555" t="s">
        <v>2782</v>
      </c>
      <c r="B313" s="555" t="s">
        <v>3654</v>
      </c>
      <c r="C313" s="574" t="s">
        <v>2805</v>
      </c>
      <c r="D313" s="154"/>
    </row>
    <row r="314" spans="1:4" ht="15" customHeight="1">
      <c r="A314" s="555" t="s">
        <v>2782</v>
      </c>
      <c r="B314" s="555" t="s">
        <v>3655</v>
      </c>
      <c r="C314" s="574" t="s">
        <v>2805</v>
      </c>
      <c r="D314" s="154"/>
    </row>
    <row r="315" spans="1:4" ht="15" customHeight="1">
      <c r="A315" s="555" t="s">
        <v>2782</v>
      </c>
      <c r="B315" s="555" t="s">
        <v>3656</v>
      </c>
      <c r="C315" s="574" t="s">
        <v>2805</v>
      </c>
      <c r="D315" s="154"/>
    </row>
    <row r="316" spans="1:4" ht="15" customHeight="1">
      <c r="A316" s="555" t="s">
        <v>2782</v>
      </c>
      <c r="B316" s="555" t="s">
        <v>3657</v>
      </c>
      <c r="C316" s="574" t="s">
        <v>2805</v>
      </c>
      <c r="D316" s="154"/>
    </row>
    <row r="317" spans="1:4" ht="15" customHeight="1">
      <c r="A317" s="555" t="s">
        <v>2782</v>
      </c>
      <c r="B317" s="555" t="s">
        <v>3658</v>
      </c>
      <c r="C317" s="574" t="s">
        <v>2805</v>
      </c>
      <c r="D317" s="154"/>
    </row>
    <row r="318" spans="1:4" ht="15" customHeight="1">
      <c r="A318" s="555" t="s">
        <v>2782</v>
      </c>
      <c r="B318" s="555" t="s">
        <v>3659</v>
      </c>
      <c r="C318" s="574" t="s">
        <v>2805</v>
      </c>
      <c r="D318" s="154"/>
    </row>
    <row r="319" spans="1:4" ht="15" customHeight="1">
      <c r="A319" s="555" t="s">
        <v>2782</v>
      </c>
      <c r="B319" s="555" t="s">
        <v>3660</v>
      </c>
      <c r="C319" s="574" t="s">
        <v>2805</v>
      </c>
      <c r="D319" s="154"/>
    </row>
    <row r="320" spans="1:4" ht="15" customHeight="1">
      <c r="A320" s="555" t="s">
        <v>2782</v>
      </c>
      <c r="B320" s="555" t="s">
        <v>3661</v>
      </c>
      <c r="C320" s="574" t="s">
        <v>2805</v>
      </c>
      <c r="D320" s="154"/>
    </row>
    <row r="321" spans="1:4" ht="15" customHeight="1">
      <c r="A321" s="555" t="s">
        <v>2782</v>
      </c>
      <c r="B321" s="555" t="s">
        <v>3662</v>
      </c>
      <c r="C321" s="574" t="s">
        <v>2805</v>
      </c>
      <c r="D321" s="154"/>
    </row>
    <row r="322" spans="1:4" ht="15" customHeight="1">
      <c r="A322" s="555" t="s">
        <v>2782</v>
      </c>
      <c r="B322" s="555" t="s">
        <v>3663</v>
      </c>
      <c r="C322" s="574" t="s">
        <v>2805</v>
      </c>
      <c r="D322" s="154"/>
    </row>
    <row r="323" spans="1:4" ht="15" customHeight="1">
      <c r="A323" s="555" t="s">
        <v>2782</v>
      </c>
      <c r="B323" s="555" t="s">
        <v>3664</v>
      </c>
      <c r="C323" s="574" t="s">
        <v>2805</v>
      </c>
      <c r="D323" s="154"/>
    </row>
    <row r="324" spans="1:4" ht="15" customHeight="1">
      <c r="A324" s="555" t="s">
        <v>2782</v>
      </c>
      <c r="B324" s="555" t="s">
        <v>3665</v>
      </c>
      <c r="C324" s="574" t="s">
        <v>2805</v>
      </c>
      <c r="D324" s="154"/>
    </row>
    <row r="325" spans="1:4" ht="15" customHeight="1">
      <c r="A325" s="555" t="s">
        <v>2782</v>
      </c>
      <c r="B325" s="555" t="s">
        <v>3666</v>
      </c>
      <c r="C325" s="574" t="s">
        <v>2805</v>
      </c>
      <c r="D325" s="154"/>
    </row>
    <row r="326" spans="1:4" ht="15" customHeight="1">
      <c r="A326" s="555" t="s">
        <v>2782</v>
      </c>
      <c r="B326" s="555" t="s">
        <v>3667</v>
      </c>
      <c r="C326" s="574" t="s">
        <v>2805</v>
      </c>
      <c r="D326" s="154"/>
    </row>
    <row r="327" spans="1:4" ht="15" customHeight="1">
      <c r="A327" s="555" t="s">
        <v>2782</v>
      </c>
      <c r="B327" s="555" t="s">
        <v>3668</v>
      </c>
      <c r="C327" s="574" t="s">
        <v>2805</v>
      </c>
      <c r="D327" s="154"/>
    </row>
    <row r="328" spans="1:4" ht="15" customHeight="1">
      <c r="A328" s="555" t="s">
        <v>2782</v>
      </c>
      <c r="B328" s="555" t="s">
        <v>3669</v>
      </c>
      <c r="C328" s="574" t="s">
        <v>2805</v>
      </c>
      <c r="D328" s="154"/>
    </row>
    <row r="329" spans="1:4" ht="15" customHeight="1">
      <c r="A329" s="555" t="s">
        <v>2782</v>
      </c>
      <c r="B329" s="555" t="s">
        <v>3670</v>
      </c>
      <c r="C329" s="574" t="s">
        <v>2805</v>
      </c>
      <c r="D329" s="154"/>
    </row>
    <row r="330" spans="1:4" ht="15" customHeight="1">
      <c r="A330" s="555" t="s">
        <v>2782</v>
      </c>
      <c r="B330" s="555" t="s">
        <v>3671</v>
      </c>
      <c r="C330" s="574" t="s">
        <v>2805</v>
      </c>
      <c r="D330" s="154"/>
    </row>
    <row r="331" spans="1:4" ht="15" customHeight="1">
      <c r="A331" s="555" t="s">
        <v>2782</v>
      </c>
      <c r="B331" s="555" t="s">
        <v>3672</v>
      </c>
      <c r="C331" s="574" t="s">
        <v>2805</v>
      </c>
      <c r="D331" s="154"/>
    </row>
    <row r="332" spans="1:4" ht="15" customHeight="1">
      <c r="A332" s="555" t="s">
        <v>2782</v>
      </c>
      <c r="B332" s="555" t="s">
        <v>5785</v>
      </c>
      <c r="C332" s="574" t="s">
        <v>2805</v>
      </c>
      <c r="D332" s="154"/>
    </row>
    <row r="333" spans="1:4" ht="15" customHeight="1">
      <c r="A333" s="555" t="s">
        <v>2782</v>
      </c>
      <c r="B333" s="555" t="s">
        <v>3673</v>
      </c>
      <c r="C333" s="574" t="s">
        <v>2805</v>
      </c>
      <c r="D333" s="154"/>
    </row>
    <row r="334" spans="1:4" ht="15" customHeight="1">
      <c r="A334" s="555" t="s">
        <v>2782</v>
      </c>
      <c r="B334" s="555" t="s">
        <v>3674</v>
      </c>
      <c r="C334" s="574" t="s">
        <v>2805</v>
      </c>
      <c r="D334" s="154"/>
    </row>
    <row r="335" spans="1:4" ht="15" customHeight="1">
      <c r="A335" s="555" t="s">
        <v>2782</v>
      </c>
      <c r="B335" s="555" t="s">
        <v>3675</v>
      </c>
      <c r="C335" s="574" t="s">
        <v>2805</v>
      </c>
      <c r="D335" s="154"/>
    </row>
    <row r="336" spans="1:4" ht="15" customHeight="1">
      <c r="A336" s="556" t="s">
        <v>2796</v>
      </c>
      <c r="B336" s="647" t="s">
        <v>3123</v>
      </c>
      <c r="C336" s="574" t="s">
        <v>2875</v>
      </c>
      <c r="D336" s="154"/>
    </row>
    <row r="337" spans="1:4" ht="15" customHeight="1">
      <c r="A337" s="556" t="s">
        <v>2796</v>
      </c>
      <c r="B337" s="647" t="s">
        <v>3641</v>
      </c>
      <c r="C337" s="574" t="s">
        <v>2875</v>
      </c>
      <c r="D337" s="154"/>
    </row>
    <row r="338" spans="1:4" ht="15" customHeight="1">
      <c r="A338" s="556" t="s">
        <v>2796</v>
      </c>
      <c r="B338" s="647" t="s">
        <v>3124</v>
      </c>
      <c r="C338" s="574" t="s">
        <v>2875</v>
      </c>
      <c r="D338" s="154"/>
    </row>
    <row r="339" spans="1:4" ht="15" customHeight="1">
      <c r="A339" s="556" t="s">
        <v>2796</v>
      </c>
      <c r="B339" s="647" t="s">
        <v>3125</v>
      </c>
      <c r="C339" s="574" t="s">
        <v>2875</v>
      </c>
      <c r="D339" s="154"/>
    </row>
    <row r="340" spans="1:4" ht="15" customHeight="1">
      <c r="A340" s="556" t="s">
        <v>2796</v>
      </c>
      <c r="B340" s="647" t="s">
        <v>3278</v>
      </c>
      <c r="C340" s="574" t="s">
        <v>2875</v>
      </c>
      <c r="D340" s="154"/>
    </row>
    <row r="341" spans="1:4" ht="15" customHeight="1">
      <c r="A341" s="556" t="s">
        <v>2796</v>
      </c>
      <c r="B341" s="647" t="s">
        <v>3126</v>
      </c>
      <c r="C341" s="574" t="s">
        <v>2875</v>
      </c>
      <c r="D341" s="154"/>
    </row>
    <row r="342" spans="1:4" ht="15" customHeight="1">
      <c r="A342" s="556" t="s">
        <v>2796</v>
      </c>
      <c r="B342" s="647" t="s">
        <v>3127</v>
      </c>
      <c r="C342" s="574" t="s">
        <v>2875</v>
      </c>
      <c r="D342" s="154"/>
    </row>
    <row r="343" spans="1:4" ht="15" customHeight="1">
      <c r="A343" s="556" t="s">
        <v>2796</v>
      </c>
      <c r="B343" s="647" t="s">
        <v>3128</v>
      </c>
      <c r="C343" s="574" t="s">
        <v>2875</v>
      </c>
      <c r="D343" s="154"/>
    </row>
    <row r="344" spans="1:4" ht="15" customHeight="1">
      <c r="A344" s="556" t="s">
        <v>2796</v>
      </c>
      <c r="B344" s="647" t="s">
        <v>3129</v>
      </c>
      <c r="C344" s="574" t="s">
        <v>2875</v>
      </c>
      <c r="D344" s="154"/>
    </row>
    <row r="345" spans="1:4" ht="15" customHeight="1">
      <c r="A345" s="556" t="s">
        <v>2796</v>
      </c>
      <c r="B345" s="647" t="s">
        <v>3130</v>
      </c>
      <c r="C345" s="574" t="s">
        <v>2875</v>
      </c>
      <c r="D345" s="154"/>
    </row>
    <row r="346" spans="1:4" ht="15" customHeight="1">
      <c r="A346" s="556" t="s">
        <v>2796</v>
      </c>
      <c r="B346" s="647" t="s">
        <v>3131</v>
      </c>
      <c r="C346" s="574" t="s">
        <v>2875</v>
      </c>
      <c r="D346" s="154"/>
    </row>
    <row r="347" spans="1:4" ht="15" customHeight="1">
      <c r="A347" s="556" t="s">
        <v>2796</v>
      </c>
      <c r="B347" s="647" t="s">
        <v>3132</v>
      </c>
      <c r="C347" s="574" t="s">
        <v>2875</v>
      </c>
      <c r="D347" s="154"/>
    </row>
    <row r="348" spans="1:4" ht="15" customHeight="1">
      <c r="A348" s="556" t="s">
        <v>2796</v>
      </c>
      <c r="B348" s="647" t="s">
        <v>3133</v>
      </c>
      <c r="C348" s="574" t="s">
        <v>2875</v>
      </c>
      <c r="D348" s="154"/>
    </row>
    <row r="349" spans="1:4" ht="15" customHeight="1">
      <c r="A349" s="556" t="s">
        <v>2796</v>
      </c>
      <c r="B349" s="647" t="s">
        <v>3134</v>
      </c>
      <c r="C349" s="574" t="s">
        <v>2875</v>
      </c>
      <c r="D349" s="154"/>
    </row>
    <row r="350" spans="1:4" ht="15" customHeight="1">
      <c r="A350" s="556" t="s">
        <v>2796</v>
      </c>
      <c r="B350" s="647" t="s">
        <v>3135</v>
      </c>
      <c r="C350" s="574" t="s">
        <v>2875</v>
      </c>
      <c r="D350" s="154"/>
    </row>
    <row r="351" spans="1:4" ht="15" customHeight="1">
      <c r="A351" s="556" t="s">
        <v>2796</v>
      </c>
      <c r="B351" s="647" t="s">
        <v>3136</v>
      </c>
      <c r="C351" s="574" t="s">
        <v>2875</v>
      </c>
      <c r="D351" s="154"/>
    </row>
    <row r="352" spans="1:4" ht="15" customHeight="1">
      <c r="A352" s="556" t="s">
        <v>2796</v>
      </c>
      <c r="B352" s="647" t="s">
        <v>3137</v>
      </c>
      <c r="C352" s="574" t="s">
        <v>2875</v>
      </c>
      <c r="D352" s="154"/>
    </row>
    <row r="353" spans="1:4" ht="15" customHeight="1">
      <c r="A353" s="556" t="s">
        <v>2796</v>
      </c>
      <c r="B353" s="647" t="s">
        <v>3138</v>
      </c>
      <c r="C353" s="574" t="s">
        <v>2875</v>
      </c>
      <c r="D353" s="154"/>
    </row>
    <row r="354" spans="1:4" ht="15" customHeight="1">
      <c r="A354" s="556" t="s">
        <v>2796</v>
      </c>
      <c r="B354" s="647" t="s">
        <v>3139</v>
      </c>
      <c r="C354" s="574" t="s">
        <v>2875</v>
      </c>
      <c r="D354" s="154"/>
    </row>
    <row r="355" spans="1:4" ht="15" customHeight="1">
      <c r="A355" s="556" t="s">
        <v>2796</v>
      </c>
      <c r="B355" s="647" t="s">
        <v>3140</v>
      </c>
      <c r="C355" s="574" t="s">
        <v>2875</v>
      </c>
      <c r="D355" s="154"/>
    </row>
    <row r="356" spans="1:4" ht="15" customHeight="1">
      <c r="A356" s="556" t="s">
        <v>2796</v>
      </c>
      <c r="B356" s="647" t="s">
        <v>3141</v>
      </c>
      <c r="C356" s="574" t="s">
        <v>2875</v>
      </c>
      <c r="D356" s="154"/>
    </row>
    <row r="357" spans="1:4" ht="15" customHeight="1">
      <c r="A357" s="556" t="s">
        <v>2796</v>
      </c>
      <c r="B357" s="647" t="s">
        <v>3142</v>
      </c>
      <c r="C357" s="574" t="s">
        <v>2875</v>
      </c>
      <c r="D357" s="154"/>
    </row>
    <row r="358" spans="1:4" ht="15" customHeight="1">
      <c r="A358" s="556" t="s">
        <v>2796</v>
      </c>
      <c r="B358" s="647" t="s">
        <v>3143</v>
      </c>
      <c r="C358" s="574" t="s">
        <v>2875</v>
      </c>
      <c r="D358" s="154"/>
    </row>
    <row r="359" spans="1:4" ht="15" customHeight="1">
      <c r="A359" s="556" t="s">
        <v>2796</v>
      </c>
      <c r="B359" s="647" t="s">
        <v>3144</v>
      </c>
      <c r="C359" s="574" t="s">
        <v>2875</v>
      </c>
      <c r="D359" s="154"/>
    </row>
    <row r="360" spans="1:4" ht="15" customHeight="1">
      <c r="A360" s="556" t="s">
        <v>2796</v>
      </c>
      <c r="B360" s="647" t="s">
        <v>3145</v>
      </c>
      <c r="C360" s="574" t="s">
        <v>2875</v>
      </c>
      <c r="D360" s="154"/>
    </row>
    <row r="361" spans="1:4" ht="15" customHeight="1">
      <c r="A361" s="556" t="s">
        <v>2796</v>
      </c>
      <c r="B361" s="647" t="s">
        <v>3146</v>
      </c>
      <c r="C361" s="574" t="s">
        <v>2875</v>
      </c>
      <c r="D361" s="154"/>
    </row>
    <row r="362" spans="1:4" ht="15" customHeight="1">
      <c r="A362" s="556" t="s">
        <v>2796</v>
      </c>
      <c r="B362" s="647" t="s">
        <v>3147</v>
      </c>
      <c r="C362" s="574" t="s">
        <v>2875</v>
      </c>
      <c r="D362" s="154"/>
    </row>
    <row r="363" spans="1:4" ht="15" customHeight="1">
      <c r="A363" s="556" t="s">
        <v>2796</v>
      </c>
      <c r="B363" s="647" t="s">
        <v>3148</v>
      </c>
      <c r="C363" s="574" t="s">
        <v>2875</v>
      </c>
      <c r="D363" s="154"/>
    </row>
    <row r="364" spans="1:4" ht="15" customHeight="1">
      <c r="A364" s="556" t="s">
        <v>2796</v>
      </c>
      <c r="B364" s="647" t="s">
        <v>3149</v>
      </c>
      <c r="C364" s="574" t="s">
        <v>2875</v>
      </c>
      <c r="D364" s="154"/>
    </row>
    <row r="365" spans="1:4" ht="15" customHeight="1">
      <c r="A365" s="556" t="s">
        <v>2796</v>
      </c>
      <c r="B365" s="647" t="s">
        <v>3150</v>
      </c>
      <c r="C365" s="574" t="s">
        <v>2875</v>
      </c>
      <c r="D365" s="154"/>
    </row>
    <row r="366" spans="1:4" ht="15" customHeight="1">
      <c r="A366" s="556" t="s">
        <v>2796</v>
      </c>
      <c r="B366" s="647" t="s">
        <v>3151</v>
      </c>
      <c r="C366" s="574" t="s">
        <v>2875</v>
      </c>
      <c r="D366" s="154"/>
    </row>
    <row r="367" spans="1:4" ht="15" customHeight="1">
      <c r="A367" s="556" t="s">
        <v>2796</v>
      </c>
      <c r="B367" s="647" t="s">
        <v>3152</v>
      </c>
      <c r="C367" s="574" t="s">
        <v>2875</v>
      </c>
      <c r="D367" s="154"/>
    </row>
    <row r="368" spans="1:4" ht="15" customHeight="1">
      <c r="A368" s="556" t="s">
        <v>2796</v>
      </c>
      <c r="B368" s="647" t="s">
        <v>3153</v>
      </c>
      <c r="C368" s="574" t="s">
        <v>2875</v>
      </c>
      <c r="D368" s="154"/>
    </row>
    <row r="369" spans="1:4" ht="15" customHeight="1">
      <c r="A369" s="556" t="s">
        <v>2796</v>
      </c>
      <c r="B369" s="647" t="s">
        <v>3154</v>
      </c>
      <c r="C369" s="574" t="s">
        <v>2875</v>
      </c>
      <c r="D369" s="154"/>
    </row>
    <row r="370" spans="1:4" ht="15" customHeight="1">
      <c r="A370" s="556" t="s">
        <v>2796</v>
      </c>
      <c r="B370" s="647" t="s">
        <v>3155</v>
      </c>
      <c r="C370" s="574" t="s">
        <v>2875</v>
      </c>
      <c r="D370" s="154"/>
    </row>
    <row r="371" spans="1:4" ht="15" customHeight="1">
      <c r="A371" s="556" t="s">
        <v>2796</v>
      </c>
      <c r="B371" s="647" t="s">
        <v>3156</v>
      </c>
      <c r="C371" s="574" t="s">
        <v>2875</v>
      </c>
      <c r="D371" s="154"/>
    </row>
    <row r="372" spans="1:4" ht="15" customHeight="1">
      <c r="A372" s="556" t="s">
        <v>2796</v>
      </c>
      <c r="B372" s="647" t="s">
        <v>3157</v>
      </c>
      <c r="C372" s="574" t="s">
        <v>2875</v>
      </c>
      <c r="D372" s="154"/>
    </row>
    <row r="373" spans="1:4" ht="15" customHeight="1">
      <c r="A373" s="556" t="s">
        <v>2796</v>
      </c>
      <c r="B373" s="647" t="s">
        <v>3158</v>
      </c>
      <c r="C373" s="574" t="s">
        <v>2875</v>
      </c>
      <c r="D373" s="154"/>
    </row>
    <row r="374" spans="1:4" ht="15" customHeight="1">
      <c r="A374" s="556" t="s">
        <v>2796</v>
      </c>
      <c r="B374" s="647" t="s">
        <v>3159</v>
      </c>
      <c r="C374" s="574" t="s">
        <v>2875</v>
      </c>
      <c r="D374" s="154"/>
    </row>
    <row r="375" spans="1:4" ht="15" customHeight="1">
      <c r="A375" s="556" t="s">
        <v>2796</v>
      </c>
      <c r="B375" s="647" t="s">
        <v>3160</v>
      </c>
      <c r="C375" s="574" t="s">
        <v>2875</v>
      </c>
      <c r="D375" s="154"/>
    </row>
    <row r="376" spans="1:4" ht="15" customHeight="1">
      <c r="A376" s="556" t="s">
        <v>2796</v>
      </c>
      <c r="B376" s="647" t="s">
        <v>3161</v>
      </c>
      <c r="C376" s="574" t="s">
        <v>2875</v>
      </c>
      <c r="D376" s="154"/>
    </row>
    <row r="377" spans="1:4" ht="15" customHeight="1">
      <c r="A377" s="556" t="s">
        <v>2796</v>
      </c>
      <c r="B377" s="647" t="s">
        <v>3162</v>
      </c>
      <c r="C377" s="574" t="s">
        <v>2875</v>
      </c>
      <c r="D377" s="154"/>
    </row>
    <row r="378" spans="1:4" ht="15" customHeight="1">
      <c r="A378" s="556" t="s">
        <v>2796</v>
      </c>
      <c r="B378" s="647" t="s">
        <v>3163</v>
      </c>
      <c r="C378" s="574" t="s">
        <v>2875</v>
      </c>
      <c r="D378" s="154"/>
    </row>
    <row r="379" spans="1:4" ht="15" customHeight="1">
      <c r="A379" s="556" t="s">
        <v>2796</v>
      </c>
      <c r="B379" s="647" t="s">
        <v>3164</v>
      </c>
      <c r="C379" s="574" t="s">
        <v>2875</v>
      </c>
      <c r="D379" s="154"/>
    </row>
    <row r="380" spans="1:4" ht="15" customHeight="1">
      <c r="A380" s="556" t="s">
        <v>2796</v>
      </c>
      <c r="B380" s="647" t="s">
        <v>3165</v>
      </c>
      <c r="C380" s="574" t="s">
        <v>2875</v>
      </c>
      <c r="D380" s="154"/>
    </row>
    <row r="381" spans="1:4" ht="15" customHeight="1">
      <c r="A381" s="556" t="s">
        <v>2796</v>
      </c>
      <c r="B381" s="647" t="s">
        <v>3166</v>
      </c>
      <c r="C381" s="574" t="s">
        <v>2875</v>
      </c>
      <c r="D381" s="154"/>
    </row>
    <row r="382" spans="1:4" ht="15" customHeight="1">
      <c r="A382" s="556" t="s">
        <v>2796</v>
      </c>
      <c r="B382" s="647" t="s">
        <v>3167</v>
      </c>
      <c r="C382" s="574" t="s">
        <v>2875</v>
      </c>
      <c r="D382" s="154"/>
    </row>
    <row r="383" spans="1:4" ht="15" customHeight="1">
      <c r="A383" s="556" t="s">
        <v>2796</v>
      </c>
      <c r="B383" s="647" t="s">
        <v>3168</v>
      </c>
      <c r="C383" s="574" t="s">
        <v>2875</v>
      </c>
      <c r="D383" s="154"/>
    </row>
    <row r="384" spans="1:4" ht="15" customHeight="1">
      <c r="A384" s="556" t="s">
        <v>2796</v>
      </c>
      <c r="B384" s="647" t="s">
        <v>3169</v>
      </c>
      <c r="C384" s="574" t="s">
        <v>2875</v>
      </c>
      <c r="D384" s="154"/>
    </row>
    <row r="385" spans="1:4" ht="15" customHeight="1">
      <c r="A385" s="556" t="s">
        <v>2796</v>
      </c>
      <c r="B385" s="647" t="s">
        <v>3170</v>
      </c>
      <c r="C385" s="574" t="s">
        <v>2875</v>
      </c>
      <c r="D385" s="154"/>
    </row>
    <row r="386" spans="1:4" ht="15" customHeight="1">
      <c r="A386" s="556" t="s">
        <v>2796</v>
      </c>
      <c r="B386" s="647" t="s">
        <v>3171</v>
      </c>
      <c r="C386" s="574" t="s">
        <v>2875</v>
      </c>
      <c r="D386" s="154"/>
    </row>
    <row r="387" spans="1:4" ht="15" customHeight="1">
      <c r="A387" s="556" t="s">
        <v>2796</v>
      </c>
      <c r="B387" s="647" t="s">
        <v>3172</v>
      </c>
      <c r="C387" s="574" t="s">
        <v>2875</v>
      </c>
      <c r="D387" s="154"/>
    </row>
    <row r="388" spans="1:4" ht="15" customHeight="1">
      <c r="A388" s="556" t="s">
        <v>2796</v>
      </c>
      <c r="B388" s="649" t="s">
        <v>3581</v>
      </c>
      <c r="C388" s="574" t="s">
        <v>2875</v>
      </c>
      <c r="D388" s="154"/>
    </row>
    <row r="389" spans="1:4" ht="15" customHeight="1">
      <c r="A389" s="556" t="s">
        <v>2796</v>
      </c>
      <c r="B389" s="647" t="s">
        <v>3173</v>
      </c>
      <c r="C389" s="574" t="s">
        <v>2875</v>
      </c>
      <c r="D389" s="154"/>
    </row>
    <row r="390" spans="1:4" ht="15" customHeight="1">
      <c r="A390" s="556" t="s">
        <v>2796</v>
      </c>
      <c r="B390" s="649" t="s">
        <v>3174</v>
      </c>
      <c r="C390" s="574" t="s">
        <v>2875</v>
      </c>
      <c r="D390" s="154"/>
    </row>
    <row r="391" spans="1:4" ht="15" customHeight="1">
      <c r="A391" s="556" t="s">
        <v>2796</v>
      </c>
      <c r="B391" s="649" t="s">
        <v>3175</v>
      </c>
      <c r="C391" s="574" t="s">
        <v>2875</v>
      </c>
      <c r="D391" s="154"/>
    </row>
    <row r="392" spans="1:4" ht="15" customHeight="1">
      <c r="A392" s="556" t="s">
        <v>2796</v>
      </c>
      <c r="B392" s="649" t="s">
        <v>3176</v>
      </c>
      <c r="C392" s="574" t="s">
        <v>2875</v>
      </c>
      <c r="D392" s="154"/>
    </row>
    <row r="393" spans="1:4" ht="15" customHeight="1">
      <c r="A393" s="556" t="s">
        <v>2796</v>
      </c>
      <c r="B393" s="649" t="s">
        <v>3177</v>
      </c>
      <c r="C393" s="574" t="s">
        <v>2875</v>
      </c>
      <c r="D393" s="154"/>
    </row>
    <row r="394" spans="1:4" ht="15" customHeight="1">
      <c r="A394" s="556" t="s">
        <v>2796</v>
      </c>
      <c r="B394" s="649" t="s">
        <v>3178</v>
      </c>
      <c r="C394" s="574" t="s">
        <v>2875</v>
      </c>
      <c r="D394" s="154"/>
    </row>
    <row r="395" spans="1:4" ht="15" customHeight="1">
      <c r="A395" s="556" t="s">
        <v>2796</v>
      </c>
      <c r="B395" s="649" t="s">
        <v>3179</v>
      </c>
      <c r="C395" s="574" t="s">
        <v>2875</v>
      </c>
      <c r="D395" s="154"/>
    </row>
    <row r="396" spans="1:4" ht="15" customHeight="1">
      <c r="A396" s="556" t="s">
        <v>2796</v>
      </c>
      <c r="B396" s="649" t="s">
        <v>3180</v>
      </c>
      <c r="C396" s="574" t="s">
        <v>2875</v>
      </c>
      <c r="D396" s="154"/>
    </row>
    <row r="397" spans="1:4" ht="15" customHeight="1">
      <c r="A397" s="556" t="s">
        <v>2796</v>
      </c>
      <c r="B397" s="649" t="s">
        <v>3181</v>
      </c>
      <c r="C397" s="574" t="s">
        <v>2875</v>
      </c>
      <c r="D397" s="154"/>
    </row>
    <row r="398" spans="1:4" ht="15" customHeight="1">
      <c r="A398" s="556" t="s">
        <v>2796</v>
      </c>
      <c r="B398" s="649" t="s">
        <v>3182</v>
      </c>
      <c r="C398" s="574" t="s">
        <v>2875</v>
      </c>
      <c r="D398" s="154"/>
    </row>
    <row r="399" spans="1:4" ht="15" customHeight="1">
      <c r="A399" s="556" t="s">
        <v>2796</v>
      </c>
      <c r="B399" s="647" t="s">
        <v>3183</v>
      </c>
      <c r="C399" s="574" t="s">
        <v>2875</v>
      </c>
      <c r="D399" s="154"/>
    </row>
    <row r="400" spans="1:4" ht="15" customHeight="1">
      <c r="A400" s="556" t="s">
        <v>2796</v>
      </c>
      <c r="B400" s="647" t="s">
        <v>3184</v>
      </c>
      <c r="C400" s="574" t="s">
        <v>2875</v>
      </c>
      <c r="D400" s="154"/>
    </row>
    <row r="401" spans="1:4" ht="15" customHeight="1">
      <c r="A401" s="556" t="s">
        <v>2796</v>
      </c>
      <c r="B401" s="647" t="s">
        <v>3185</v>
      </c>
      <c r="C401" s="574" t="s">
        <v>2875</v>
      </c>
      <c r="D401" s="154"/>
    </row>
    <row r="402" spans="1:4" ht="15" customHeight="1">
      <c r="A402" s="556" t="s">
        <v>2796</v>
      </c>
      <c r="B402" s="647" t="s">
        <v>3186</v>
      </c>
      <c r="C402" s="574" t="s">
        <v>2875</v>
      </c>
      <c r="D402" s="154"/>
    </row>
    <row r="403" spans="1:4" ht="15" customHeight="1">
      <c r="A403" s="556" t="s">
        <v>2796</v>
      </c>
      <c r="B403" s="647" t="s">
        <v>3187</v>
      </c>
      <c r="C403" s="574" t="s">
        <v>2875</v>
      </c>
      <c r="D403" s="154"/>
    </row>
    <row r="404" spans="1:4" ht="15" customHeight="1">
      <c r="A404" s="556" t="s">
        <v>2796</v>
      </c>
      <c r="B404" s="647" t="s">
        <v>3188</v>
      </c>
      <c r="C404" s="574" t="s">
        <v>2875</v>
      </c>
      <c r="D404" s="154"/>
    </row>
    <row r="405" spans="1:4" ht="15" customHeight="1">
      <c r="A405" s="556" t="s">
        <v>2796</v>
      </c>
      <c r="B405" s="647" t="s">
        <v>3189</v>
      </c>
      <c r="C405" s="574" t="s">
        <v>2875</v>
      </c>
      <c r="D405" s="154"/>
    </row>
    <row r="406" spans="1:4" ht="15" customHeight="1">
      <c r="A406" s="556" t="s">
        <v>2796</v>
      </c>
      <c r="B406" s="647" t="s">
        <v>3190</v>
      </c>
      <c r="C406" s="574" t="s">
        <v>2875</v>
      </c>
      <c r="D406" s="154"/>
    </row>
    <row r="407" spans="1:4" ht="15" customHeight="1">
      <c r="A407" s="556" t="s">
        <v>2796</v>
      </c>
      <c r="B407" s="647" t="s">
        <v>3191</v>
      </c>
      <c r="C407" s="574" t="s">
        <v>2875</v>
      </c>
      <c r="D407" s="154"/>
    </row>
    <row r="408" spans="1:4" ht="15" customHeight="1">
      <c r="A408" s="556" t="s">
        <v>2796</v>
      </c>
      <c r="B408" s="647" t="s">
        <v>3192</v>
      </c>
      <c r="C408" s="574" t="s">
        <v>2875</v>
      </c>
      <c r="D408" s="154"/>
    </row>
    <row r="409" spans="1:4" ht="15" customHeight="1">
      <c r="A409" s="556" t="s">
        <v>2796</v>
      </c>
      <c r="B409" s="647" t="s">
        <v>3193</v>
      </c>
      <c r="C409" s="574" t="s">
        <v>2875</v>
      </c>
      <c r="D409" s="154"/>
    </row>
    <row r="410" spans="1:4" ht="15" customHeight="1">
      <c r="A410" s="556" t="s">
        <v>2796</v>
      </c>
      <c r="B410" s="647" t="s">
        <v>3194</v>
      </c>
      <c r="C410" s="574" t="s">
        <v>2875</v>
      </c>
      <c r="D410" s="154"/>
    </row>
    <row r="411" spans="1:4" ht="15" customHeight="1">
      <c r="A411" s="556" t="s">
        <v>2796</v>
      </c>
      <c r="B411" s="647" t="s">
        <v>3195</v>
      </c>
      <c r="C411" s="574" t="s">
        <v>2875</v>
      </c>
      <c r="D411" s="154"/>
    </row>
    <row r="412" spans="1:4" ht="15" customHeight="1">
      <c r="A412" s="556" t="s">
        <v>2796</v>
      </c>
      <c r="B412" s="647" t="s">
        <v>3196</v>
      </c>
      <c r="C412" s="574" t="s">
        <v>2875</v>
      </c>
      <c r="D412" s="154"/>
    </row>
    <row r="413" spans="1:4" ht="15" customHeight="1">
      <c r="A413" s="556" t="s">
        <v>2796</v>
      </c>
      <c r="B413" s="647" t="s">
        <v>3197</v>
      </c>
      <c r="C413" s="574" t="s">
        <v>2875</v>
      </c>
      <c r="D413" s="154"/>
    </row>
    <row r="414" spans="1:4" ht="15" customHeight="1">
      <c r="A414" s="556" t="s">
        <v>2796</v>
      </c>
      <c r="B414" s="647" t="s">
        <v>3198</v>
      </c>
      <c r="C414" s="574" t="s">
        <v>2875</v>
      </c>
      <c r="D414" s="154"/>
    </row>
    <row r="415" spans="1:4" ht="15" customHeight="1">
      <c r="A415" s="556" t="s">
        <v>2796</v>
      </c>
      <c r="B415" s="647" t="s">
        <v>3199</v>
      </c>
      <c r="C415" s="574" t="s">
        <v>2875</v>
      </c>
      <c r="D415" s="154"/>
    </row>
    <row r="416" spans="1:4" ht="15" customHeight="1">
      <c r="A416" s="556" t="s">
        <v>2796</v>
      </c>
      <c r="B416" s="647" t="s">
        <v>3200</v>
      </c>
      <c r="C416" s="574" t="s">
        <v>2875</v>
      </c>
      <c r="D416" s="154"/>
    </row>
    <row r="417" spans="1:4" ht="15" customHeight="1">
      <c r="A417" s="556" t="s">
        <v>2796</v>
      </c>
      <c r="B417" s="647" t="s">
        <v>3201</v>
      </c>
      <c r="C417" s="574" t="s">
        <v>2875</v>
      </c>
      <c r="D417" s="154"/>
    </row>
    <row r="418" spans="1:4" ht="15" customHeight="1">
      <c r="A418" s="556" t="s">
        <v>2796</v>
      </c>
      <c r="B418" s="647" t="s">
        <v>3202</v>
      </c>
      <c r="C418" s="574" t="s">
        <v>2875</v>
      </c>
      <c r="D418" s="154"/>
    </row>
    <row r="419" spans="1:4" ht="15" customHeight="1">
      <c r="A419" s="556" t="s">
        <v>2796</v>
      </c>
      <c r="B419" s="647" t="s">
        <v>5786</v>
      </c>
      <c r="C419" s="574" t="s">
        <v>2875</v>
      </c>
      <c r="D419" s="154"/>
    </row>
    <row r="420" spans="1:4" ht="15" customHeight="1">
      <c r="A420" s="556" t="s">
        <v>2796</v>
      </c>
      <c r="B420" s="647" t="s">
        <v>3203</v>
      </c>
      <c r="C420" s="574" t="s">
        <v>2875</v>
      </c>
      <c r="D420" s="154"/>
    </row>
    <row r="421" spans="1:4" ht="15" customHeight="1">
      <c r="A421" s="556" t="s">
        <v>2796</v>
      </c>
      <c r="B421" s="647" t="s">
        <v>3204</v>
      </c>
      <c r="C421" s="574" t="s">
        <v>2875</v>
      </c>
      <c r="D421" s="154"/>
    </row>
    <row r="422" spans="1:4" ht="15" customHeight="1">
      <c r="A422" s="556" t="s">
        <v>2796</v>
      </c>
      <c r="B422" s="647" t="s">
        <v>3205</v>
      </c>
      <c r="C422" s="574" t="s">
        <v>2875</v>
      </c>
      <c r="D422" s="154"/>
    </row>
    <row r="423" spans="1:4" ht="15" customHeight="1">
      <c r="A423" s="556" t="s">
        <v>2796</v>
      </c>
      <c r="B423" s="647" t="s">
        <v>3206</v>
      </c>
      <c r="C423" s="574" t="s">
        <v>2875</v>
      </c>
      <c r="D423" s="154"/>
    </row>
    <row r="424" spans="1:4" ht="15" customHeight="1">
      <c r="A424" s="556" t="s">
        <v>2796</v>
      </c>
      <c r="B424" s="647" t="s">
        <v>3207</v>
      </c>
      <c r="C424" s="574" t="s">
        <v>2875</v>
      </c>
      <c r="D424" s="154"/>
    </row>
    <row r="425" spans="1:4" ht="15" customHeight="1">
      <c r="A425" s="556" t="s">
        <v>2796</v>
      </c>
      <c r="B425" s="647" t="s">
        <v>3208</v>
      </c>
      <c r="C425" s="574" t="s">
        <v>2875</v>
      </c>
      <c r="D425" s="154"/>
    </row>
    <row r="426" spans="1:4" ht="15" customHeight="1">
      <c r="A426" s="556" t="s">
        <v>2796</v>
      </c>
      <c r="B426" s="647" t="s">
        <v>3209</v>
      </c>
      <c r="C426" s="574" t="s">
        <v>2875</v>
      </c>
      <c r="D426" s="154"/>
    </row>
    <row r="427" spans="1:4" ht="15" customHeight="1">
      <c r="A427" s="556" t="s">
        <v>2796</v>
      </c>
      <c r="B427" s="647" t="s">
        <v>3210</v>
      </c>
      <c r="C427" s="574" t="s">
        <v>2875</v>
      </c>
      <c r="D427" s="154"/>
    </row>
    <row r="428" spans="1:4" ht="15" customHeight="1">
      <c r="A428" s="556" t="s">
        <v>2796</v>
      </c>
      <c r="B428" s="647" t="s">
        <v>6053</v>
      </c>
      <c r="C428" s="574" t="s">
        <v>2875</v>
      </c>
      <c r="D428" s="154"/>
    </row>
    <row r="429" spans="1:4" ht="15" customHeight="1">
      <c r="A429" s="556" t="s">
        <v>2796</v>
      </c>
      <c r="B429" s="647" t="s">
        <v>3211</v>
      </c>
      <c r="C429" s="574" t="s">
        <v>2875</v>
      </c>
      <c r="D429" s="154"/>
    </row>
    <row r="430" spans="1:4" ht="15" customHeight="1">
      <c r="A430" s="556" t="s">
        <v>2796</v>
      </c>
      <c r="B430" s="647" t="s">
        <v>3212</v>
      </c>
      <c r="C430" s="574" t="s">
        <v>2875</v>
      </c>
      <c r="D430" s="154"/>
    </row>
    <row r="431" spans="1:4" ht="15" customHeight="1">
      <c r="A431" s="556" t="s">
        <v>2796</v>
      </c>
      <c r="B431" s="647" t="s">
        <v>3213</v>
      </c>
      <c r="C431" s="574" t="s">
        <v>2875</v>
      </c>
      <c r="D431" s="154"/>
    </row>
    <row r="432" spans="1:4" ht="15" customHeight="1">
      <c r="A432" s="556" t="s">
        <v>2796</v>
      </c>
      <c r="B432" s="647" t="s">
        <v>3214</v>
      </c>
      <c r="C432" s="574" t="s">
        <v>2875</v>
      </c>
      <c r="D432" s="154"/>
    </row>
    <row r="433" spans="1:4" ht="15" customHeight="1">
      <c r="A433" s="556" t="s">
        <v>2796</v>
      </c>
      <c r="B433" s="647" t="s">
        <v>3215</v>
      </c>
      <c r="C433" s="574" t="s">
        <v>2875</v>
      </c>
      <c r="D433" s="154"/>
    </row>
    <row r="434" spans="1:4" ht="15" customHeight="1">
      <c r="A434" s="556" t="s">
        <v>2796</v>
      </c>
      <c r="B434" s="647" t="s">
        <v>3216</v>
      </c>
      <c r="C434" s="574" t="s">
        <v>2875</v>
      </c>
      <c r="D434" s="154"/>
    </row>
    <row r="435" spans="1:4" ht="15" customHeight="1">
      <c r="A435" s="556" t="s">
        <v>2796</v>
      </c>
      <c r="B435" s="647" t="s">
        <v>3217</v>
      </c>
      <c r="C435" s="574" t="s">
        <v>2875</v>
      </c>
      <c r="D435" s="154"/>
    </row>
    <row r="436" spans="1:4" ht="15" customHeight="1">
      <c r="A436" s="556" t="s">
        <v>2796</v>
      </c>
      <c r="B436" s="647" t="s">
        <v>3218</v>
      </c>
      <c r="C436" s="574" t="s">
        <v>2875</v>
      </c>
      <c r="D436" s="154"/>
    </row>
    <row r="437" spans="1:4" ht="15" customHeight="1">
      <c r="A437" s="556" t="s">
        <v>2796</v>
      </c>
      <c r="B437" s="647" t="s">
        <v>3219</v>
      </c>
      <c r="C437" s="574" t="s">
        <v>2875</v>
      </c>
      <c r="D437" s="154"/>
    </row>
    <row r="438" spans="1:4" ht="15" customHeight="1">
      <c r="A438" s="556" t="s">
        <v>2796</v>
      </c>
      <c r="B438" s="647" t="s">
        <v>3220</v>
      </c>
      <c r="C438" s="574" t="s">
        <v>2875</v>
      </c>
      <c r="D438" s="154"/>
    </row>
    <row r="439" spans="1:4" ht="15" customHeight="1">
      <c r="A439" s="556" t="s">
        <v>2796</v>
      </c>
      <c r="B439" s="647" t="s">
        <v>3221</v>
      </c>
      <c r="C439" s="574" t="s">
        <v>2875</v>
      </c>
      <c r="D439" s="154"/>
    </row>
    <row r="440" spans="1:4" ht="15" customHeight="1">
      <c r="A440" s="556" t="s">
        <v>2796</v>
      </c>
      <c r="B440" s="647" t="s">
        <v>3222</v>
      </c>
      <c r="C440" s="574" t="s">
        <v>2875</v>
      </c>
      <c r="D440" s="154"/>
    </row>
    <row r="441" spans="1:4" ht="15" customHeight="1">
      <c r="A441" s="556" t="s">
        <v>2796</v>
      </c>
      <c r="B441" s="647" t="s">
        <v>3223</v>
      </c>
      <c r="C441" s="574" t="s">
        <v>2875</v>
      </c>
      <c r="D441" s="154"/>
    </row>
    <row r="442" spans="1:4" ht="15" customHeight="1">
      <c r="A442" s="556" t="s">
        <v>2796</v>
      </c>
      <c r="B442" s="647" t="s">
        <v>3224</v>
      </c>
      <c r="C442" s="574" t="s">
        <v>2875</v>
      </c>
      <c r="D442" s="154"/>
    </row>
    <row r="443" spans="1:4" ht="15" customHeight="1">
      <c r="A443" s="556" t="s">
        <v>2796</v>
      </c>
      <c r="B443" s="647" t="s">
        <v>3225</v>
      </c>
      <c r="C443" s="574" t="s">
        <v>2875</v>
      </c>
      <c r="D443" s="154"/>
    </row>
    <row r="444" spans="1:4" ht="15" customHeight="1">
      <c r="A444" s="556" t="s">
        <v>2796</v>
      </c>
      <c r="B444" s="647" t="s">
        <v>3226</v>
      </c>
      <c r="C444" s="574" t="s">
        <v>2875</v>
      </c>
      <c r="D444" s="154"/>
    </row>
    <row r="445" spans="1:4" ht="15" customHeight="1">
      <c r="A445" s="556" t="s">
        <v>2796</v>
      </c>
      <c r="B445" s="647" t="s">
        <v>3227</v>
      </c>
      <c r="C445" s="574" t="s">
        <v>2875</v>
      </c>
      <c r="D445" s="154"/>
    </row>
    <row r="446" spans="1:4" ht="15" customHeight="1">
      <c r="A446" s="556" t="s">
        <v>2796</v>
      </c>
      <c r="B446" s="647" t="s">
        <v>3228</v>
      </c>
      <c r="C446" s="574" t="s">
        <v>2875</v>
      </c>
      <c r="D446" s="154"/>
    </row>
    <row r="447" spans="1:4" ht="15" customHeight="1">
      <c r="A447" s="556" t="s">
        <v>2796</v>
      </c>
      <c r="B447" s="647" t="s">
        <v>3229</v>
      </c>
      <c r="C447" s="574" t="s">
        <v>2875</v>
      </c>
      <c r="D447" s="154"/>
    </row>
    <row r="448" spans="1:4" ht="15" customHeight="1">
      <c r="A448" s="556" t="s">
        <v>2796</v>
      </c>
      <c r="B448" s="647" t="s">
        <v>3230</v>
      </c>
      <c r="C448" s="574" t="s">
        <v>2875</v>
      </c>
      <c r="D448" s="154"/>
    </row>
    <row r="449" spans="1:4" ht="15" customHeight="1">
      <c r="A449" s="556" t="s">
        <v>2796</v>
      </c>
      <c r="B449" s="647" t="s">
        <v>3231</v>
      </c>
      <c r="C449" s="574" t="s">
        <v>2875</v>
      </c>
      <c r="D449" s="154"/>
    </row>
    <row r="450" spans="1:4" ht="15" customHeight="1">
      <c r="A450" s="556" t="s">
        <v>2796</v>
      </c>
      <c r="B450" s="647" t="s">
        <v>3232</v>
      </c>
      <c r="C450" s="574" t="s">
        <v>2875</v>
      </c>
      <c r="D450" s="154"/>
    </row>
    <row r="451" spans="1:4" ht="15" customHeight="1">
      <c r="A451" s="556" t="s">
        <v>2796</v>
      </c>
      <c r="B451" s="647" t="s">
        <v>3233</v>
      </c>
      <c r="C451" s="574" t="s">
        <v>2875</v>
      </c>
      <c r="D451" s="154"/>
    </row>
    <row r="452" spans="1:4" ht="15" customHeight="1">
      <c r="A452" s="556" t="s">
        <v>2796</v>
      </c>
      <c r="B452" s="647" t="s">
        <v>3234</v>
      </c>
      <c r="C452" s="574" t="s">
        <v>2875</v>
      </c>
      <c r="D452" s="154"/>
    </row>
    <row r="453" spans="1:4" ht="15" customHeight="1">
      <c r="A453" s="556" t="s">
        <v>2796</v>
      </c>
      <c r="B453" s="647" t="s">
        <v>3235</v>
      </c>
      <c r="C453" s="574" t="s">
        <v>2875</v>
      </c>
      <c r="D453" s="154"/>
    </row>
    <row r="454" spans="1:4" ht="15" customHeight="1">
      <c r="A454" s="556" t="s">
        <v>2796</v>
      </c>
      <c r="B454" s="647" t="s">
        <v>3236</v>
      </c>
      <c r="C454" s="574" t="s">
        <v>2875</v>
      </c>
      <c r="D454" s="154"/>
    </row>
    <row r="455" spans="1:4" ht="15" customHeight="1">
      <c r="A455" s="556" t="s">
        <v>2796</v>
      </c>
      <c r="B455" s="647" t="s">
        <v>3237</v>
      </c>
      <c r="C455" s="574" t="s">
        <v>2875</v>
      </c>
      <c r="D455" s="154"/>
    </row>
    <row r="456" spans="1:4" ht="15" customHeight="1">
      <c r="A456" s="556" t="s">
        <v>2796</v>
      </c>
      <c r="B456" s="647" t="s">
        <v>3238</v>
      </c>
      <c r="C456" s="574" t="s">
        <v>2875</v>
      </c>
      <c r="D456" s="154"/>
    </row>
    <row r="457" spans="1:4" ht="15" customHeight="1">
      <c r="A457" s="556" t="s">
        <v>2796</v>
      </c>
      <c r="B457" s="647" t="s">
        <v>3239</v>
      </c>
      <c r="C457" s="574" t="s">
        <v>2875</v>
      </c>
      <c r="D457" s="154"/>
    </row>
    <row r="458" spans="1:4" ht="15" customHeight="1">
      <c r="A458" s="556" t="s">
        <v>2796</v>
      </c>
      <c r="B458" s="647" t="s">
        <v>3240</v>
      </c>
      <c r="C458" s="574" t="s">
        <v>2875</v>
      </c>
      <c r="D458" s="154"/>
    </row>
    <row r="459" spans="1:4" ht="15" customHeight="1">
      <c r="A459" s="556" t="s">
        <v>2796</v>
      </c>
      <c r="B459" s="647" t="s">
        <v>3241</v>
      </c>
      <c r="C459" s="574" t="s">
        <v>2875</v>
      </c>
      <c r="D459" s="154"/>
    </row>
    <row r="460" spans="1:4" ht="15" customHeight="1">
      <c r="A460" s="556" t="s">
        <v>2796</v>
      </c>
      <c r="B460" s="647" t="s">
        <v>3242</v>
      </c>
      <c r="C460" s="574" t="s">
        <v>2875</v>
      </c>
      <c r="D460" s="154"/>
    </row>
    <row r="461" spans="1:4" ht="15" customHeight="1">
      <c r="A461" s="556" t="s">
        <v>2796</v>
      </c>
      <c r="B461" s="647" t="s">
        <v>3243</v>
      </c>
      <c r="C461" s="574" t="s">
        <v>2875</v>
      </c>
      <c r="D461" s="154"/>
    </row>
    <row r="462" spans="1:4" ht="15" customHeight="1">
      <c r="A462" s="556" t="s">
        <v>2796</v>
      </c>
      <c r="B462" s="647" t="s">
        <v>3244</v>
      </c>
      <c r="C462" s="574" t="s">
        <v>2875</v>
      </c>
      <c r="D462" s="154"/>
    </row>
    <row r="463" spans="1:4" ht="15" customHeight="1">
      <c r="A463" s="556" t="s">
        <v>2796</v>
      </c>
      <c r="B463" s="647" t="s">
        <v>3245</v>
      </c>
      <c r="C463" s="574" t="s">
        <v>2875</v>
      </c>
      <c r="D463" s="154"/>
    </row>
    <row r="464" spans="1:4" ht="15" customHeight="1">
      <c r="A464" s="556" t="s">
        <v>2796</v>
      </c>
      <c r="B464" s="647" t="s">
        <v>3246</v>
      </c>
      <c r="C464" s="574" t="s">
        <v>2875</v>
      </c>
      <c r="D464" s="154"/>
    </row>
    <row r="465" spans="1:4" ht="15" customHeight="1">
      <c r="A465" s="556" t="s">
        <v>2796</v>
      </c>
      <c r="B465" s="647" t="s">
        <v>3247</v>
      </c>
      <c r="C465" s="574" t="s">
        <v>2875</v>
      </c>
      <c r="D465" s="154"/>
    </row>
    <row r="466" spans="1:4" ht="15" customHeight="1">
      <c r="A466" s="556" t="s">
        <v>2796</v>
      </c>
      <c r="B466" s="647" t="s">
        <v>3248</v>
      </c>
      <c r="C466" s="574" t="s">
        <v>2875</v>
      </c>
      <c r="D466" s="154"/>
    </row>
    <row r="467" spans="1:4" ht="15" customHeight="1">
      <c r="A467" s="556" t="s">
        <v>2796</v>
      </c>
      <c r="B467" s="647" t="s">
        <v>3249</v>
      </c>
      <c r="C467" s="574" t="s">
        <v>2875</v>
      </c>
      <c r="D467" s="154"/>
    </row>
    <row r="468" spans="1:4" ht="15" customHeight="1">
      <c r="A468" s="556" t="s">
        <v>2796</v>
      </c>
      <c r="B468" s="647" t="s">
        <v>3250</v>
      </c>
      <c r="C468" s="574" t="s">
        <v>2875</v>
      </c>
      <c r="D468" s="154"/>
    </row>
    <row r="469" spans="1:4" ht="15" customHeight="1">
      <c r="A469" s="556" t="s">
        <v>2796</v>
      </c>
      <c r="B469" s="647" t="s">
        <v>3251</v>
      </c>
      <c r="C469" s="574" t="s">
        <v>2875</v>
      </c>
      <c r="D469" s="154"/>
    </row>
    <row r="470" spans="1:4" ht="15" customHeight="1">
      <c r="A470" s="556" t="s">
        <v>2796</v>
      </c>
      <c r="B470" s="647" t="s">
        <v>3252</v>
      </c>
      <c r="C470" s="574" t="s">
        <v>2875</v>
      </c>
      <c r="D470" s="154"/>
    </row>
    <row r="471" spans="1:4" ht="15" customHeight="1">
      <c r="A471" s="556" t="s">
        <v>2796</v>
      </c>
      <c r="B471" s="647" t="s">
        <v>3253</v>
      </c>
      <c r="C471" s="574" t="s">
        <v>2875</v>
      </c>
      <c r="D471" s="154"/>
    </row>
    <row r="472" spans="1:4" ht="15" customHeight="1">
      <c r="A472" s="556" t="s">
        <v>2796</v>
      </c>
      <c r="B472" s="647" t="s">
        <v>3254</v>
      </c>
      <c r="C472" s="574" t="s">
        <v>2875</v>
      </c>
      <c r="D472" s="154"/>
    </row>
    <row r="473" spans="1:4" ht="15" customHeight="1">
      <c r="A473" s="556" t="s">
        <v>2796</v>
      </c>
      <c r="B473" s="647" t="s">
        <v>3255</v>
      </c>
      <c r="C473" s="574" t="s">
        <v>2875</v>
      </c>
      <c r="D473" s="154"/>
    </row>
    <row r="474" spans="1:4" ht="15" customHeight="1">
      <c r="A474" s="556" t="s">
        <v>2796</v>
      </c>
      <c r="B474" s="647" t="s">
        <v>3256</v>
      </c>
      <c r="C474" s="574" t="s">
        <v>2875</v>
      </c>
      <c r="D474" s="154"/>
    </row>
    <row r="475" spans="1:4" ht="15" customHeight="1">
      <c r="A475" s="556" t="s">
        <v>2796</v>
      </c>
      <c r="B475" s="647" t="s">
        <v>3257</v>
      </c>
      <c r="C475" s="574" t="s">
        <v>2875</v>
      </c>
      <c r="D475" s="154"/>
    </row>
    <row r="476" spans="1:4" ht="15" customHeight="1">
      <c r="A476" s="556" t="s">
        <v>2796</v>
      </c>
      <c r="B476" s="647" t="s">
        <v>3492</v>
      </c>
      <c r="C476" s="574" t="s">
        <v>2875</v>
      </c>
      <c r="D476" s="154"/>
    </row>
    <row r="477" spans="1:4" ht="15" customHeight="1">
      <c r="A477" s="556" t="s">
        <v>2796</v>
      </c>
      <c r="B477" s="647" t="s">
        <v>3393</v>
      </c>
      <c r="C477" s="574" t="s">
        <v>2875</v>
      </c>
      <c r="D477" s="154"/>
    </row>
    <row r="478" spans="1:4" ht="15" customHeight="1">
      <c r="A478" s="556" t="s">
        <v>2796</v>
      </c>
      <c r="B478" s="647" t="s">
        <v>3406</v>
      </c>
      <c r="C478" s="574" t="s">
        <v>2875</v>
      </c>
      <c r="D478" s="154"/>
    </row>
    <row r="479" spans="1:4" ht="15" customHeight="1">
      <c r="A479" s="556" t="s">
        <v>2796</v>
      </c>
      <c r="B479" s="647" t="s">
        <v>3416</v>
      </c>
      <c r="C479" s="574" t="s">
        <v>2875</v>
      </c>
      <c r="D479" s="154"/>
    </row>
    <row r="480" spans="1:4" ht="15" customHeight="1">
      <c r="A480" s="556" t="s">
        <v>2796</v>
      </c>
      <c r="B480" s="647" t="s">
        <v>3429</v>
      </c>
      <c r="C480" s="574" t="s">
        <v>2875</v>
      </c>
      <c r="D480" s="154"/>
    </row>
    <row r="481" spans="1:4" ht="15" customHeight="1">
      <c r="A481" s="556" t="s">
        <v>2796</v>
      </c>
      <c r="B481" s="647" t="s">
        <v>3441</v>
      </c>
      <c r="C481" s="574" t="s">
        <v>2875</v>
      </c>
      <c r="D481" s="154"/>
    </row>
    <row r="482" spans="1:4" ht="15" customHeight="1">
      <c r="A482" s="556" t="s">
        <v>2796</v>
      </c>
      <c r="B482" s="647" t="s">
        <v>3451</v>
      </c>
      <c r="C482" s="574" t="s">
        <v>2875</v>
      </c>
      <c r="D482" s="154"/>
    </row>
    <row r="483" spans="1:4" ht="15" customHeight="1">
      <c r="A483" s="556" t="s">
        <v>2796</v>
      </c>
      <c r="B483" s="647" t="s">
        <v>3462</v>
      </c>
      <c r="C483" s="574" t="s">
        <v>2875</v>
      </c>
      <c r="D483" s="154"/>
    </row>
    <row r="484" spans="1:4" ht="15" customHeight="1">
      <c r="A484" s="556" t="s">
        <v>2796</v>
      </c>
      <c r="B484" s="647" t="s">
        <v>3471</v>
      </c>
      <c r="C484" s="574" t="s">
        <v>2875</v>
      </c>
      <c r="D484" s="154"/>
    </row>
    <row r="485" spans="1:4" ht="15" customHeight="1">
      <c r="A485" s="556" t="s">
        <v>2796</v>
      </c>
      <c r="B485" s="647" t="s">
        <v>3478</v>
      </c>
      <c r="C485" s="574" t="s">
        <v>2875</v>
      </c>
      <c r="D485" s="154"/>
    </row>
    <row r="486" spans="1:4" ht="15" customHeight="1">
      <c r="A486" s="556" t="s">
        <v>2796</v>
      </c>
      <c r="B486" s="647" t="s">
        <v>3258</v>
      </c>
      <c r="C486" s="574" t="s">
        <v>2875</v>
      </c>
      <c r="D486" s="154"/>
    </row>
    <row r="487" spans="1:4" ht="15" customHeight="1">
      <c r="A487" s="556" t="s">
        <v>2796</v>
      </c>
      <c r="B487" s="647" t="s">
        <v>3494</v>
      </c>
      <c r="C487" s="574" t="s">
        <v>2875</v>
      </c>
      <c r="D487" s="154"/>
    </row>
    <row r="488" spans="1:4" ht="15" customHeight="1">
      <c r="A488" s="556" t="s">
        <v>2796</v>
      </c>
      <c r="B488" s="647" t="s">
        <v>3259</v>
      </c>
      <c r="C488" s="574" t="s">
        <v>2875</v>
      </c>
      <c r="D488" s="154"/>
    </row>
    <row r="489" spans="1:4" ht="15" customHeight="1">
      <c r="A489" s="556" t="s">
        <v>2796</v>
      </c>
      <c r="B489" s="647" t="s">
        <v>3260</v>
      </c>
      <c r="C489" s="574" t="s">
        <v>2875</v>
      </c>
      <c r="D489" s="154"/>
    </row>
    <row r="490" spans="1:4" ht="15" customHeight="1">
      <c r="A490" s="556" t="s">
        <v>2796</v>
      </c>
      <c r="B490" s="647" t="s">
        <v>3261</v>
      </c>
      <c r="C490" s="574" t="s">
        <v>2875</v>
      </c>
      <c r="D490" s="154"/>
    </row>
    <row r="491" spans="1:4" ht="15" customHeight="1">
      <c r="A491" s="556" t="s">
        <v>2796</v>
      </c>
      <c r="B491" s="647" t="s">
        <v>3262</v>
      </c>
      <c r="C491" s="574" t="s">
        <v>2875</v>
      </c>
      <c r="D491" s="154"/>
    </row>
    <row r="492" spans="1:4" ht="15" customHeight="1">
      <c r="A492" s="556" t="s">
        <v>2796</v>
      </c>
      <c r="B492" s="647" t="s">
        <v>3264</v>
      </c>
      <c r="C492" s="574" t="s">
        <v>2875</v>
      </c>
      <c r="D492" s="154"/>
    </row>
    <row r="493" spans="1:4" ht="15" customHeight="1">
      <c r="A493" s="556" t="s">
        <v>2796</v>
      </c>
      <c r="B493" s="647" t="s">
        <v>3265</v>
      </c>
      <c r="C493" s="574" t="s">
        <v>2875</v>
      </c>
      <c r="D493" s="154"/>
    </row>
    <row r="494" spans="1:4" ht="15" customHeight="1">
      <c r="A494" s="556" t="s">
        <v>2796</v>
      </c>
      <c r="B494" s="647" t="s">
        <v>3266</v>
      </c>
      <c r="C494" s="574" t="s">
        <v>2875</v>
      </c>
      <c r="D494" s="154"/>
    </row>
    <row r="495" spans="1:4" ht="15" customHeight="1">
      <c r="A495" s="556" t="s">
        <v>2796</v>
      </c>
      <c r="B495" s="647" t="s">
        <v>3267</v>
      </c>
      <c r="C495" s="574" t="s">
        <v>2875</v>
      </c>
      <c r="D495" s="154"/>
    </row>
    <row r="496" spans="1:4" ht="15" customHeight="1">
      <c r="A496" s="556" t="s">
        <v>2796</v>
      </c>
      <c r="B496" s="647" t="s">
        <v>3268</v>
      </c>
      <c r="C496" s="574" t="s">
        <v>2875</v>
      </c>
      <c r="D496" s="154"/>
    </row>
    <row r="497" spans="1:4" ht="15" customHeight="1">
      <c r="A497" s="556" t="s">
        <v>2796</v>
      </c>
      <c r="B497" s="647" t="s">
        <v>3269</v>
      </c>
      <c r="C497" s="574" t="s">
        <v>2875</v>
      </c>
      <c r="D497" s="154"/>
    </row>
    <row r="498" spans="1:4" ht="15" customHeight="1">
      <c r="A498" s="556" t="s">
        <v>2796</v>
      </c>
      <c r="B498" s="647" t="s">
        <v>3270</v>
      </c>
      <c r="C498" s="574" t="s">
        <v>2875</v>
      </c>
      <c r="D498" s="154"/>
    </row>
    <row r="499" spans="1:4" ht="15" customHeight="1">
      <c r="A499" s="556" t="s">
        <v>2796</v>
      </c>
      <c r="B499" s="647" t="s">
        <v>3271</v>
      </c>
      <c r="C499" s="574" t="s">
        <v>2875</v>
      </c>
      <c r="D499" s="154"/>
    </row>
    <row r="500" spans="1:4" ht="15" customHeight="1">
      <c r="A500" s="556" t="s">
        <v>2796</v>
      </c>
      <c r="B500" s="647" t="s">
        <v>3272</v>
      </c>
      <c r="C500" s="574" t="s">
        <v>2875</v>
      </c>
      <c r="D500" s="154"/>
    </row>
    <row r="501" spans="1:4" ht="15" customHeight="1">
      <c r="A501" s="556" t="s">
        <v>2796</v>
      </c>
      <c r="B501" s="647" t="s">
        <v>3273</v>
      </c>
      <c r="C501" s="574" t="s">
        <v>2875</v>
      </c>
      <c r="D501" s="154"/>
    </row>
    <row r="502" spans="1:4" ht="15" customHeight="1">
      <c r="A502" s="556" t="s">
        <v>2796</v>
      </c>
      <c r="B502" s="647" t="s">
        <v>3274</v>
      </c>
      <c r="C502" s="574" t="s">
        <v>2875</v>
      </c>
      <c r="D502" s="154"/>
    </row>
    <row r="503" spans="1:4" ht="15" customHeight="1">
      <c r="A503" s="556" t="s">
        <v>2796</v>
      </c>
      <c r="B503" s="647" t="s">
        <v>3276</v>
      </c>
      <c r="C503" s="574" t="s">
        <v>2875</v>
      </c>
      <c r="D503" s="154"/>
    </row>
    <row r="504" spans="1:4" ht="15" customHeight="1">
      <c r="A504" s="556" t="s">
        <v>2796</v>
      </c>
      <c r="B504" s="647" t="s">
        <v>3277</v>
      </c>
      <c r="C504" s="574" t="s">
        <v>2875</v>
      </c>
      <c r="D504" s="154"/>
    </row>
    <row r="505" spans="1:4" ht="15" customHeight="1">
      <c r="A505" s="557" t="s">
        <v>2800</v>
      </c>
      <c r="B505" s="652" t="s">
        <v>3279</v>
      </c>
      <c r="C505" s="574" t="s">
        <v>2998</v>
      </c>
      <c r="D505" s="154"/>
    </row>
    <row r="506" spans="1:4" ht="15" customHeight="1">
      <c r="A506" s="557" t="s">
        <v>2800</v>
      </c>
      <c r="B506" s="648" t="s">
        <v>3280</v>
      </c>
      <c r="C506" s="574" t="s">
        <v>2998</v>
      </c>
      <c r="D506" s="154"/>
    </row>
    <row r="507" spans="1:4" ht="15" customHeight="1">
      <c r="A507" s="557" t="s">
        <v>2800</v>
      </c>
      <c r="B507" s="648" t="s">
        <v>3281</v>
      </c>
      <c r="C507" s="574" t="s">
        <v>2998</v>
      </c>
      <c r="D507" s="154"/>
    </row>
    <row r="508" spans="1:4" ht="15" customHeight="1">
      <c r="A508" s="557" t="s">
        <v>2800</v>
      </c>
      <c r="B508" s="648" t="s">
        <v>3282</v>
      </c>
      <c r="C508" s="574" t="s">
        <v>2998</v>
      </c>
      <c r="D508" s="154"/>
    </row>
    <row r="509" spans="1:4" ht="15" customHeight="1">
      <c r="A509" s="557" t="s">
        <v>2800</v>
      </c>
      <c r="B509" s="648" t="s">
        <v>3283</v>
      </c>
      <c r="C509" s="574" t="s">
        <v>2998</v>
      </c>
      <c r="D509" s="154"/>
    </row>
    <row r="510" spans="1:4" ht="15" customHeight="1">
      <c r="A510" s="557" t="s">
        <v>2800</v>
      </c>
      <c r="B510" s="648" t="s">
        <v>3284</v>
      </c>
      <c r="C510" s="574" t="s">
        <v>2998</v>
      </c>
      <c r="D510" s="154"/>
    </row>
    <row r="511" spans="1:4" ht="15" customHeight="1">
      <c r="A511" s="557" t="s">
        <v>2800</v>
      </c>
      <c r="B511" s="648" t="s">
        <v>3285</v>
      </c>
      <c r="C511" s="574" t="s">
        <v>2998</v>
      </c>
      <c r="D511" s="154"/>
    </row>
    <row r="512" spans="1:4" ht="15" customHeight="1">
      <c r="A512" s="557" t="s">
        <v>2800</v>
      </c>
      <c r="B512" s="648" t="s">
        <v>3286</v>
      </c>
      <c r="C512" s="574" t="s">
        <v>2998</v>
      </c>
      <c r="D512" s="154"/>
    </row>
    <row r="513" spans="1:4" ht="15" customHeight="1">
      <c r="A513" s="557" t="s">
        <v>2800</v>
      </c>
      <c r="B513" s="648" t="s">
        <v>3287</v>
      </c>
      <c r="C513" s="574" t="s">
        <v>2998</v>
      </c>
      <c r="D513" s="154"/>
    </row>
    <row r="514" spans="1:4" ht="15" customHeight="1">
      <c r="A514" s="557" t="s">
        <v>2800</v>
      </c>
      <c r="B514" s="648" t="s">
        <v>3288</v>
      </c>
      <c r="C514" s="574" t="s">
        <v>2998</v>
      </c>
      <c r="D514" s="154"/>
    </row>
    <row r="515" spans="1:4" ht="15" customHeight="1">
      <c r="A515" s="557" t="s">
        <v>2800</v>
      </c>
      <c r="B515" s="648" t="s">
        <v>3289</v>
      </c>
      <c r="C515" s="574" t="s">
        <v>2998</v>
      </c>
      <c r="D515" s="154"/>
    </row>
    <row r="516" spans="1:4" ht="15" customHeight="1">
      <c r="A516" s="557" t="s">
        <v>2800</v>
      </c>
      <c r="B516" s="648" t="s">
        <v>3290</v>
      </c>
      <c r="C516" s="574" t="s">
        <v>2998</v>
      </c>
      <c r="D516" s="154"/>
    </row>
    <row r="517" spans="1:4" ht="15" customHeight="1">
      <c r="A517" s="557" t="s">
        <v>2800</v>
      </c>
      <c r="B517" s="648" t="s">
        <v>3291</v>
      </c>
      <c r="C517" s="574" t="s">
        <v>2998</v>
      </c>
      <c r="D517" s="154"/>
    </row>
    <row r="518" spans="1:4" ht="15" customHeight="1">
      <c r="A518" s="557" t="s">
        <v>2800</v>
      </c>
      <c r="B518" s="648" t="s">
        <v>3292</v>
      </c>
      <c r="C518" s="574" t="s">
        <v>2998</v>
      </c>
      <c r="D518" s="154"/>
    </row>
    <row r="519" spans="1:4" ht="15" customHeight="1">
      <c r="A519" s="557" t="s">
        <v>2800</v>
      </c>
      <c r="B519" s="648" t="s">
        <v>3293</v>
      </c>
      <c r="C519" s="574" t="s">
        <v>2998</v>
      </c>
      <c r="D519" s="154"/>
    </row>
    <row r="520" spans="1:4" ht="15" customHeight="1">
      <c r="A520" s="557" t="s">
        <v>2800</v>
      </c>
      <c r="B520" s="648" t="s">
        <v>3294</v>
      </c>
      <c r="C520" s="574" t="s">
        <v>2998</v>
      </c>
      <c r="D520" s="154"/>
    </row>
    <row r="521" spans="1:4" ht="15" customHeight="1">
      <c r="A521" s="557" t="s">
        <v>2800</v>
      </c>
      <c r="B521" s="648" t="s">
        <v>3295</v>
      </c>
      <c r="C521" s="574" t="s">
        <v>2998</v>
      </c>
      <c r="D521" s="154"/>
    </row>
    <row r="522" spans="1:4" ht="15" customHeight="1">
      <c r="A522" s="557" t="s">
        <v>2800</v>
      </c>
      <c r="B522" s="648" t="s">
        <v>3296</v>
      </c>
      <c r="C522" s="574" t="s">
        <v>2998</v>
      </c>
      <c r="D522" s="154"/>
    </row>
    <row r="523" spans="1:4" ht="15" customHeight="1">
      <c r="A523" s="557" t="s">
        <v>2800</v>
      </c>
      <c r="B523" s="648" t="s">
        <v>3297</v>
      </c>
      <c r="C523" s="574" t="s">
        <v>2998</v>
      </c>
      <c r="D523" s="154"/>
    </row>
    <row r="524" spans="1:4" ht="15" customHeight="1">
      <c r="A524" s="557" t="s">
        <v>2800</v>
      </c>
      <c r="B524" s="648" t="s">
        <v>3298</v>
      </c>
      <c r="C524" s="574" t="s">
        <v>2998</v>
      </c>
      <c r="D524" s="154"/>
    </row>
    <row r="525" spans="1:4" ht="15" customHeight="1">
      <c r="A525" s="557" t="s">
        <v>2800</v>
      </c>
      <c r="B525" s="648" t="s">
        <v>3299</v>
      </c>
      <c r="C525" s="574" t="s">
        <v>2998</v>
      </c>
      <c r="D525" s="154"/>
    </row>
    <row r="526" spans="1:4" ht="15" customHeight="1">
      <c r="A526" s="557" t="s">
        <v>2800</v>
      </c>
      <c r="B526" s="648" t="s">
        <v>3300</v>
      </c>
      <c r="C526" s="574" t="s">
        <v>2998</v>
      </c>
      <c r="D526" s="154"/>
    </row>
    <row r="527" spans="1:4" ht="15" customHeight="1">
      <c r="A527" s="557" t="s">
        <v>2800</v>
      </c>
      <c r="B527" s="648" t="s">
        <v>3301</v>
      </c>
      <c r="C527" s="574" t="s">
        <v>2998</v>
      </c>
      <c r="D527" s="154"/>
    </row>
    <row r="528" spans="1:4" ht="15" customHeight="1">
      <c r="A528" s="557" t="s">
        <v>2800</v>
      </c>
      <c r="B528" s="648" t="s">
        <v>3302</v>
      </c>
      <c r="C528" s="574" t="s">
        <v>2998</v>
      </c>
      <c r="D528" s="154"/>
    </row>
    <row r="529" spans="1:4" ht="15" customHeight="1">
      <c r="A529" s="557" t="s">
        <v>2800</v>
      </c>
      <c r="B529" s="648" t="s">
        <v>3303</v>
      </c>
      <c r="C529" s="574" t="s">
        <v>2998</v>
      </c>
      <c r="D529" s="154"/>
    </row>
    <row r="530" spans="1:4" ht="15" customHeight="1">
      <c r="A530" s="557" t="s">
        <v>2800</v>
      </c>
      <c r="B530" s="648" t="s">
        <v>3304</v>
      </c>
      <c r="C530" s="574" t="s">
        <v>2998</v>
      </c>
      <c r="D530" s="154"/>
    </row>
    <row r="531" spans="1:4" ht="15" customHeight="1">
      <c r="A531" s="557" t="s">
        <v>2800</v>
      </c>
      <c r="B531" s="648" t="s">
        <v>3305</v>
      </c>
      <c r="C531" s="574" t="s">
        <v>2998</v>
      </c>
      <c r="D531" s="154"/>
    </row>
    <row r="532" spans="1:4" ht="15" customHeight="1">
      <c r="A532" s="557" t="s">
        <v>2800</v>
      </c>
      <c r="B532" s="648" t="s">
        <v>3306</v>
      </c>
      <c r="C532" s="574" t="s">
        <v>2998</v>
      </c>
      <c r="D532" s="154"/>
    </row>
    <row r="533" spans="1:4" ht="15" customHeight="1">
      <c r="A533" s="557" t="s">
        <v>2800</v>
      </c>
      <c r="B533" s="648" t="s">
        <v>3307</v>
      </c>
      <c r="C533" s="574" t="s">
        <v>2998</v>
      </c>
      <c r="D533" s="154"/>
    </row>
    <row r="534" spans="1:4" ht="15" customHeight="1">
      <c r="A534" s="557" t="s">
        <v>2800</v>
      </c>
      <c r="B534" s="648" t="s">
        <v>3308</v>
      </c>
      <c r="C534" s="574" t="s">
        <v>2998</v>
      </c>
      <c r="D534" s="154"/>
    </row>
    <row r="535" spans="1:4" ht="15" customHeight="1">
      <c r="A535" s="557" t="s">
        <v>2800</v>
      </c>
      <c r="B535" s="648" t="s">
        <v>3309</v>
      </c>
      <c r="C535" s="574" t="s">
        <v>2998</v>
      </c>
      <c r="D535" s="154"/>
    </row>
    <row r="536" spans="1:4" ht="15" customHeight="1">
      <c r="A536" s="557" t="s">
        <v>2800</v>
      </c>
      <c r="B536" s="648" t="s">
        <v>3310</v>
      </c>
      <c r="C536" s="574" t="s">
        <v>2998</v>
      </c>
      <c r="D536" s="154"/>
    </row>
    <row r="537" spans="1:4" ht="15" customHeight="1">
      <c r="A537" s="557" t="s">
        <v>2800</v>
      </c>
      <c r="B537" s="648" t="s">
        <v>3311</v>
      </c>
      <c r="C537" s="574" t="s">
        <v>2998</v>
      </c>
      <c r="D537" s="154"/>
    </row>
    <row r="538" spans="1:4" ht="15" customHeight="1">
      <c r="A538" s="557" t="s">
        <v>2800</v>
      </c>
      <c r="B538" s="648" t="s">
        <v>3312</v>
      </c>
      <c r="C538" s="574" t="s">
        <v>2998</v>
      </c>
      <c r="D538" s="154"/>
    </row>
    <row r="539" spans="1:4" ht="15" customHeight="1">
      <c r="A539" s="557" t="s">
        <v>2800</v>
      </c>
      <c r="B539" s="648" t="s">
        <v>3313</v>
      </c>
      <c r="C539" s="574" t="s">
        <v>2998</v>
      </c>
      <c r="D539" s="154"/>
    </row>
    <row r="540" spans="1:4" ht="15" customHeight="1">
      <c r="A540" s="557" t="s">
        <v>2800</v>
      </c>
      <c r="B540" s="648" t="s">
        <v>3314</v>
      </c>
      <c r="C540" s="574" t="s">
        <v>2998</v>
      </c>
      <c r="D540" s="154"/>
    </row>
    <row r="541" spans="1:4" ht="15" customHeight="1">
      <c r="A541" s="557" t="s">
        <v>2800</v>
      </c>
      <c r="B541" s="648" t="s">
        <v>3315</v>
      </c>
      <c r="C541" s="574" t="s">
        <v>2998</v>
      </c>
      <c r="D541" s="154"/>
    </row>
    <row r="542" spans="1:4" ht="15" customHeight="1">
      <c r="A542" s="557" t="s">
        <v>2800</v>
      </c>
      <c r="B542" s="648" t="s">
        <v>3316</v>
      </c>
      <c r="C542" s="574" t="s">
        <v>2998</v>
      </c>
      <c r="D542" s="154"/>
    </row>
    <row r="543" spans="1:4" ht="15" customHeight="1">
      <c r="A543" s="557" t="s">
        <v>2800</v>
      </c>
      <c r="B543" s="648" t="s">
        <v>3317</v>
      </c>
      <c r="C543" s="574" t="s">
        <v>2998</v>
      </c>
      <c r="D543" s="154"/>
    </row>
    <row r="544" spans="1:4" ht="15" customHeight="1">
      <c r="A544" s="557" t="s">
        <v>2800</v>
      </c>
      <c r="B544" s="648" t="s">
        <v>3318</v>
      </c>
      <c r="C544" s="574" t="s">
        <v>2998</v>
      </c>
      <c r="D544" s="154"/>
    </row>
    <row r="545" spans="1:4" ht="15" customHeight="1">
      <c r="A545" s="557" t="s">
        <v>2800</v>
      </c>
      <c r="B545" s="648" t="s">
        <v>3319</v>
      </c>
      <c r="C545" s="574" t="s">
        <v>2998</v>
      </c>
      <c r="D545" s="154"/>
    </row>
    <row r="546" spans="1:4" ht="15" customHeight="1">
      <c r="A546" s="557" t="s">
        <v>2800</v>
      </c>
      <c r="B546" s="648" t="s">
        <v>3320</v>
      </c>
      <c r="C546" s="574" t="s">
        <v>2998</v>
      </c>
      <c r="D546" s="154"/>
    </row>
    <row r="547" spans="1:4" ht="15" customHeight="1">
      <c r="A547" s="557" t="s">
        <v>2800</v>
      </c>
      <c r="B547" s="648" t="s">
        <v>3321</v>
      </c>
      <c r="C547" s="574" t="s">
        <v>2998</v>
      </c>
      <c r="D547" s="154"/>
    </row>
    <row r="548" spans="1:4" ht="15" customHeight="1">
      <c r="A548" s="557" t="s">
        <v>2800</v>
      </c>
      <c r="B548" s="648" t="s">
        <v>3322</v>
      </c>
      <c r="C548" s="574" t="s">
        <v>2998</v>
      </c>
      <c r="D548" s="154"/>
    </row>
    <row r="549" spans="1:4" ht="15" customHeight="1">
      <c r="A549" s="557" t="s">
        <v>2800</v>
      </c>
      <c r="B549" s="648" t="s">
        <v>3323</v>
      </c>
      <c r="C549" s="574" t="s">
        <v>2998</v>
      </c>
      <c r="D549" s="154"/>
    </row>
    <row r="550" spans="1:4" ht="15" customHeight="1">
      <c r="A550" s="557" t="s">
        <v>2800</v>
      </c>
      <c r="B550" s="648" t="s">
        <v>3324</v>
      </c>
      <c r="C550" s="574" t="s">
        <v>2998</v>
      </c>
      <c r="D550" s="154"/>
    </row>
    <row r="551" spans="1:4" ht="15" customHeight="1">
      <c r="A551" s="557" t="s">
        <v>2800</v>
      </c>
      <c r="B551" s="648" t="s">
        <v>3325</v>
      </c>
      <c r="C551" s="574" t="s">
        <v>2998</v>
      </c>
      <c r="D551" s="154"/>
    </row>
    <row r="552" spans="1:4" ht="15" customHeight="1">
      <c r="A552" s="557" t="s">
        <v>2800</v>
      </c>
      <c r="B552" s="648" t="s">
        <v>3326</v>
      </c>
      <c r="C552" s="574" t="s">
        <v>2998</v>
      </c>
      <c r="D552" s="154"/>
    </row>
    <row r="553" spans="1:4" ht="15" customHeight="1">
      <c r="A553" s="557" t="s">
        <v>2800</v>
      </c>
      <c r="B553" s="648" t="s">
        <v>3327</v>
      </c>
      <c r="C553" s="574" t="s">
        <v>2998</v>
      </c>
      <c r="D553" s="154"/>
    </row>
    <row r="554" spans="1:4" ht="15" customHeight="1">
      <c r="A554" s="557" t="s">
        <v>2800</v>
      </c>
      <c r="B554" s="648" t="s">
        <v>3328</v>
      </c>
      <c r="C554" s="574" t="s">
        <v>2998</v>
      </c>
      <c r="D554" s="154"/>
    </row>
    <row r="555" spans="1:4" ht="15" customHeight="1">
      <c r="A555" s="557" t="s">
        <v>2800</v>
      </c>
      <c r="B555" s="648" t="s">
        <v>3329</v>
      </c>
      <c r="C555" s="574" t="s">
        <v>2998</v>
      </c>
      <c r="D555" s="154"/>
    </row>
    <row r="556" spans="1:4" ht="15" customHeight="1">
      <c r="A556" s="557" t="s">
        <v>2800</v>
      </c>
      <c r="B556" s="648" t="s">
        <v>3330</v>
      </c>
      <c r="C556" s="574" t="s">
        <v>2998</v>
      </c>
      <c r="D556" s="154"/>
    </row>
    <row r="557" spans="1:4" ht="15" customHeight="1">
      <c r="A557" s="557" t="s">
        <v>2800</v>
      </c>
      <c r="B557" s="648" t="s">
        <v>3331</v>
      </c>
      <c r="C557" s="574" t="s">
        <v>2998</v>
      </c>
      <c r="D557" s="154"/>
    </row>
    <row r="558" spans="1:4" ht="15" customHeight="1">
      <c r="A558" s="557" t="s">
        <v>2800</v>
      </c>
      <c r="B558" s="648" t="s">
        <v>3332</v>
      </c>
      <c r="C558" s="574" t="s">
        <v>2998</v>
      </c>
      <c r="D558" s="154"/>
    </row>
    <row r="559" spans="1:4" ht="15" customHeight="1">
      <c r="A559" s="557" t="s">
        <v>2800</v>
      </c>
      <c r="B559" s="648" t="s">
        <v>3631</v>
      </c>
      <c r="C559" s="574" t="s">
        <v>2998</v>
      </c>
      <c r="D559" s="154"/>
    </row>
    <row r="560" spans="1:4" ht="15" customHeight="1">
      <c r="A560" s="557" t="s">
        <v>2800</v>
      </c>
      <c r="B560" s="648" t="s">
        <v>3333</v>
      </c>
      <c r="C560" s="574" t="s">
        <v>2998</v>
      </c>
      <c r="D560" s="154"/>
    </row>
    <row r="561" spans="1:4" ht="15" customHeight="1">
      <c r="A561" s="557" t="s">
        <v>2800</v>
      </c>
      <c r="B561" s="648" t="s">
        <v>3334</v>
      </c>
      <c r="C561" s="574" t="s">
        <v>2998</v>
      </c>
      <c r="D561" s="154"/>
    </row>
    <row r="562" spans="1:4" ht="15" customHeight="1">
      <c r="A562" s="557" t="s">
        <v>2800</v>
      </c>
      <c r="B562" s="648" t="s">
        <v>3335</v>
      </c>
      <c r="C562" s="574" t="s">
        <v>2998</v>
      </c>
      <c r="D562" s="154"/>
    </row>
    <row r="563" spans="1:4" ht="15" customHeight="1">
      <c r="A563" s="557" t="s">
        <v>2800</v>
      </c>
      <c r="B563" s="648" t="s">
        <v>3336</v>
      </c>
      <c r="C563" s="574" t="s">
        <v>2998</v>
      </c>
      <c r="D563" s="154"/>
    </row>
    <row r="564" spans="1:4" ht="15" customHeight="1">
      <c r="A564" s="557" t="s">
        <v>2800</v>
      </c>
      <c r="B564" s="648" t="s">
        <v>3337</v>
      </c>
      <c r="C564" s="574" t="s">
        <v>2998</v>
      </c>
      <c r="D564" s="154"/>
    </row>
    <row r="565" spans="1:4" ht="15" customHeight="1">
      <c r="A565" s="557" t="s">
        <v>2800</v>
      </c>
      <c r="B565" s="648" t="s">
        <v>3338</v>
      </c>
      <c r="C565" s="574" t="s">
        <v>2998</v>
      </c>
      <c r="D565" s="154"/>
    </row>
    <row r="566" spans="1:4" ht="15" customHeight="1">
      <c r="A566" s="557" t="s">
        <v>2800</v>
      </c>
      <c r="B566" s="648" t="s">
        <v>3339</v>
      </c>
      <c r="C566" s="574" t="s">
        <v>2998</v>
      </c>
      <c r="D566" s="154"/>
    </row>
    <row r="567" spans="1:4" ht="15" customHeight="1">
      <c r="A567" s="557" t="s">
        <v>2800</v>
      </c>
      <c r="B567" s="648" t="s">
        <v>3340</v>
      </c>
      <c r="C567" s="574" t="s">
        <v>2998</v>
      </c>
      <c r="D567" s="154"/>
    </row>
    <row r="568" spans="1:4" ht="15" customHeight="1">
      <c r="A568" s="557" t="s">
        <v>2800</v>
      </c>
      <c r="B568" s="652" t="s">
        <v>3341</v>
      </c>
      <c r="C568" s="574" t="s">
        <v>2998</v>
      </c>
      <c r="D568" s="154"/>
    </row>
    <row r="569" spans="1:4" ht="15" customHeight="1">
      <c r="A569" s="557" t="s">
        <v>2800</v>
      </c>
      <c r="B569" s="648" t="s">
        <v>3342</v>
      </c>
      <c r="C569" s="574" t="s">
        <v>2998</v>
      </c>
      <c r="D569" s="154"/>
    </row>
    <row r="570" spans="1:4" ht="15" customHeight="1">
      <c r="A570" s="557" t="s">
        <v>2800</v>
      </c>
      <c r="B570" s="648" t="s">
        <v>3343</v>
      </c>
      <c r="C570" s="574" t="s">
        <v>2998</v>
      </c>
      <c r="D570" s="154"/>
    </row>
    <row r="571" spans="1:4" ht="15" customHeight="1">
      <c r="A571" s="557" t="s">
        <v>2800</v>
      </c>
      <c r="B571" s="648" t="s">
        <v>3345</v>
      </c>
      <c r="C571" s="574" t="s">
        <v>2998</v>
      </c>
      <c r="D571" s="154"/>
    </row>
    <row r="572" spans="1:4" ht="15" customHeight="1">
      <c r="A572" s="557" t="s">
        <v>2800</v>
      </c>
      <c r="B572" s="648" t="s">
        <v>3346</v>
      </c>
      <c r="C572" s="574" t="s">
        <v>2998</v>
      </c>
      <c r="D572" s="154"/>
    </row>
    <row r="573" spans="1:4" ht="15" customHeight="1">
      <c r="A573" s="557" t="s">
        <v>2800</v>
      </c>
      <c r="B573" s="648" t="s">
        <v>3347</v>
      </c>
      <c r="C573" s="574" t="s">
        <v>2998</v>
      </c>
      <c r="D573" s="154"/>
    </row>
    <row r="574" spans="1:4" ht="15" customHeight="1">
      <c r="A574" s="557" t="s">
        <v>2800</v>
      </c>
      <c r="B574" s="648" t="s">
        <v>3348</v>
      </c>
      <c r="C574" s="574" t="s">
        <v>2998</v>
      </c>
      <c r="D574" s="154"/>
    </row>
    <row r="575" spans="1:4" ht="15" customHeight="1">
      <c r="A575" s="557" t="s">
        <v>2800</v>
      </c>
      <c r="B575" s="648" t="s">
        <v>3349</v>
      </c>
      <c r="C575" s="574" t="s">
        <v>2998</v>
      </c>
      <c r="D575" s="154"/>
    </row>
    <row r="576" spans="1:4" ht="15" customHeight="1">
      <c r="A576" s="557" t="s">
        <v>2800</v>
      </c>
      <c r="B576" s="648" t="s">
        <v>3350</v>
      </c>
      <c r="C576" s="574" t="s">
        <v>2998</v>
      </c>
      <c r="D576" s="154"/>
    </row>
    <row r="577" spans="1:4" ht="15" customHeight="1">
      <c r="A577" s="557" t="s">
        <v>2800</v>
      </c>
      <c r="B577" s="648" t="s">
        <v>3351</v>
      </c>
      <c r="C577" s="574" t="s">
        <v>2998</v>
      </c>
      <c r="D577" s="154"/>
    </row>
    <row r="578" spans="1:4" ht="15" customHeight="1">
      <c r="A578" s="557" t="s">
        <v>2800</v>
      </c>
      <c r="B578" s="648" t="s">
        <v>3352</v>
      </c>
      <c r="C578" s="574" t="s">
        <v>2998</v>
      </c>
      <c r="D578" s="154"/>
    </row>
    <row r="579" spans="1:4" ht="15" customHeight="1">
      <c r="A579" s="557" t="s">
        <v>2800</v>
      </c>
      <c r="B579" s="648" t="s">
        <v>3353</v>
      </c>
      <c r="C579" s="574" t="s">
        <v>2998</v>
      </c>
      <c r="D579" s="154"/>
    </row>
    <row r="580" spans="1:4" ht="15" customHeight="1">
      <c r="A580" s="557" t="s">
        <v>2800</v>
      </c>
      <c r="B580" s="648" t="s">
        <v>3354</v>
      </c>
      <c r="C580" s="574" t="s">
        <v>2998</v>
      </c>
      <c r="D580" s="154"/>
    </row>
    <row r="581" spans="1:4" ht="15" customHeight="1">
      <c r="A581" s="557" t="s">
        <v>2800</v>
      </c>
      <c r="B581" s="648" t="s">
        <v>3592</v>
      </c>
      <c r="C581" s="574" t="s">
        <v>2998</v>
      </c>
      <c r="D581" s="154"/>
    </row>
    <row r="582" spans="1:4" ht="15" customHeight="1">
      <c r="A582" s="557" t="s">
        <v>2800</v>
      </c>
      <c r="B582" s="648" t="s">
        <v>3355</v>
      </c>
      <c r="C582" s="574" t="s">
        <v>2998</v>
      </c>
      <c r="D582" s="154"/>
    </row>
    <row r="583" spans="1:4" ht="15" customHeight="1">
      <c r="A583" s="557" t="s">
        <v>2800</v>
      </c>
      <c r="B583" s="648" t="s">
        <v>3594</v>
      </c>
      <c r="C583" s="574" t="s">
        <v>2998</v>
      </c>
      <c r="D583" s="154"/>
    </row>
    <row r="584" spans="1:4" ht="15" customHeight="1">
      <c r="A584" s="557" t="s">
        <v>2800</v>
      </c>
      <c r="B584" s="648" t="s">
        <v>3356</v>
      </c>
      <c r="C584" s="574" t="s">
        <v>2998</v>
      </c>
      <c r="D584" s="154"/>
    </row>
    <row r="585" spans="1:4" ht="15" customHeight="1">
      <c r="A585" s="557" t="s">
        <v>2800</v>
      </c>
      <c r="B585" s="648" t="s">
        <v>3357</v>
      </c>
      <c r="C585" s="574" t="s">
        <v>2998</v>
      </c>
      <c r="D585" s="154"/>
    </row>
    <row r="586" spans="1:4" ht="15" customHeight="1">
      <c r="A586" s="557" t="s">
        <v>2800</v>
      </c>
      <c r="B586" s="648" t="s">
        <v>3358</v>
      </c>
      <c r="C586" s="574" t="s">
        <v>2998</v>
      </c>
      <c r="D586" s="154"/>
    </row>
    <row r="587" spans="1:4" ht="15" customHeight="1">
      <c r="A587" s="557" t="s">
        <v>2800</v>
      </c>
      <c r="B587" s="648" t="s">
        <v>3359</v>
      </c>
      <c r="C587" s="574" t="s">
        <v>2998</v>
      </c>
      <c r="D587" s="154"/>
    </row>
    <row r="588" spans="1:4" ht="15" customHeight="1">
      <c r="A588" s="557" t="s">
        <v>2800</v>
      </c>
      <c r="B588" s="648" t="s">
        <v>3360</v>
      </c>
      <c r="C588" s="574" t="s">
        <v>2998</v>
      </c>
      <c r="D588" s="154"/>
    </row>
    <row r="589" spans="1:4" ht="15" customHeight="1">
      <c r="A589" s="557" t="s">
        <v>2800</v>
      </c>
      <c r="B589" s="648" t="s">
        <v>3361</v>
      </c>
      <c r="C589" s="574" t="s">
        <v>2998</v>
      </c>
      <c r="D589" s="154"/>
    </row>
    <row r="590" spans="1:4" ht="15" customHeight="1">
      <c r="A590" s="557" t="s">
        <v>2800</v>
      </c>
      <c r="B590" s="648" t="s">
        <v>3362</v>
      </c>
      <c r="C590" s="574" t="s">
        <v>2998</v>
      </c>
      <c r="D590" s="154"/>
    </row>
    <row r="591" spans="1:4" ht="15" customHeight="1">
      <c r="A591" s="557" t="s">
        <v>2800</v>
      </c>
      <c r="B591" s="648" t="s">
        <v>3363</v>
      </c>
      <c r="C591" s="574" t="s">
        <v>2998</v>
      </c>
      <c r="D591" s="154"/>
    </row>
    <row r="592" spans="1:4" ht="15" customHeight="1">
      <c r="A592" s="557" t="s">
        <v>2800</v>
      </c>
      <c r="B592" s="648" t="s">
        <v>3364</v>
      </c>
      <c r="C592" s="574" t="s">
        <v>2998</v>
      </c>
      <c r="D592" s="154"/>
    </row>
    <row r="593" spans="1:4" ht="15" customHeight="1">
      <c r="A593" s="557" t="s">
        <v>2800</v>
      </c>
      <c r="B593" s="648" t="s">
        <v>3365</v>
      </c>
      <c r="C593" s="574" t="s">
        <v>2998</v>
      </c>
      <c r="D593" s="154"/>
    </row>
    <row r="594" spans="1:4" ht="15" customHeight="1">
      <c r="A594" s="557" t="s">
        <v>2800</v>
      </c>
      <c r="B594" s="648" t="s">
        <v>3366</v>
      </c>
      <c r="C594" s="574" t="s">
        <v>2998</v>
      </c>
      <c r="D594" s="154"/>
    </row>
    <row r="595" spans="1:4" ht="15" customHeight="1">
      <c r="A595" s="557" t="s">
        <v>2800</v>
      </c>
      <c r="B595" s="648" t="s">
        <v>3367</v>
      </c>
      <c r="C595" s="574" t="s">
        <v>2998</v>
      </c>
      <c r="D595" s="154"/>
    </row>
    <row r="596" spans="1:4" ht="15" customHeight="1">
      <c r="A596" s="557" t="s">
        <v>2800</v>
      </c>
      <c r="B596" s="648" t="s">
        <v>3368</v>
      </c>
      <c r="C596" s="574" t="s">
        <v>2998</v>
      </c>
      <c r="D596" s="154"/>
    </row>
    <row r="597" spans="1:4" ht="15" customHeight="1">
      <c r="A597" s="557" t="s">
        <v>2800</v>
      </c>
      <c r="B597" s="648" t="s">
        <v>3369</v>
      </c>
      <c r="C597" s="574" t="s">
        <v>2998</v>
      </c>
      <c r="D597" s="154"/>
    </row>
    <row r="598" spans="1:4" ht="15" customHeight="1">
      <c r="A598" s="557" t="s">
        <v>2800</v>
      </c>
      <c r="B598" s="648" t="s">
        <v>3370</v>
      </c>
      <c r="C598" s="574" t="s">
        <v>2998</v>
      </c>
      <c r="D598" s="154"/>
    </row>
    <row r="599" spans="1:4" ht="15" customHeight="1">
      <c r="A599" s="557" t="s">
        <v>2800</v>
      </c>
      <c r="B599" s="648" t="s">
        <v>3371</v>
      </c>
      <c r="C599" s="574" t="s">
        <v>2998</v>
      </c>
      <c r="D599" s="154"/>
    </row>
    <row r="600" spans="1:4" ht="15" customHeight="1">
      <c r="A600" s="557" t="s">
        <v>2800</v>
      </c>
      <c r="B600" s="648" t="s">
        <v>3372</v>
      </c>
      <c r="C600" s="574" t="s">
        <v>2998</v>
      </c>
      <c r="D600" s="154"/>
    </row>
    <row r="601" spans="1:4" ht="15" customHeight="1">
      <c r="A601" s="557" t="s">
        <v>2800</v>
      </c>
      <c r="B601" s="648" t="s">
        <v>3373</v>
      </c>
      <c r="C601" s="574" t="s">
        <v>2998</v>
      </c>
      <c r="D601" s="154"/>
    </row>
    <row r="602" spans="1:4" ht="15" customHeight="1">
      <c r="A602" s="557" t="s">
        <v>2800</v>
      </c>
      <c r="B602" s="648" t="s">
        <v>3374</v>
      </c>
      <c r="C602" s="574" t="s">
        <v>2998</v>
      </c>
      <c r="D602" s="154"/>
    </row>
    <row r="603" spans="1:4" ht="15" customHeight="1">
      <c r="A603" s="557" t="s">
        <v>2800</v>
      </c>
      <c r="B603" s="648" t="s">
        <v>3375</v>
      </c>
      <c r="C603" s="574" t="s">
        <v>2998</v>
      </c>
      <c r="D603" s="154"/>
    </row>
    <row r="604" spans="1:4" ht="15" customHeight="1">
      <c r="A604" s="557" t="s">
        <v>2800</v>
      </c>
      <c r="B604" s="648" t="s">
        <v>3376</v>
      </c>
      <c r="C604" s="574" t="s">
        <v>2998</v>
      </c>
      <c r="D604" s="154"/>
    </row>
    <row r="605" spans="1:4" ht="15" customHeight="1">
      <c r="A605" s="557" t="s">
        <v>2800</v>
      </c>
      <c r="B605" s="648" t="s">
        <v>3377</v>
      </c>
      <c r="C605" s="574" t="s">
        <v>2998</v>
      </c>
      <c r="D605" s="154"/>
    </row>
    <row r="606" spans="1:4" ht="15" customHeight="1">
      <c r="A606" s="557" t="s">
        <v>2800</v>
      </c>
      <c r="B606" s="648" t="s">
        <v>3378</v>
      </c>
      <c r="C606" s="574" t="s">
        <v>2998</v>
      </c>
      <c r="D606" s="154"/>
    </row>
    <row r="607" spans="1:4" ht="15" customHeight="1">
      <c r="A607" s="557" t="s">
        <v>2800</v>
      </c>
      <c r="B607" s="648" t="s">
        <v>3379</v>
      </c>
      <c r="C607" s="574" t="s">
        <v>2998</v>
      </c>
      <c r="D607" s="154"/>
    </row>
    <row r="608" spans="1:4" ht="15" customHeight="1">
      <c r="A608" s="557" t="s">
        <v>2800</v>
      </c>
      <c r="B608" s="648" t="s">
        <v>3380</v>
      </c>
      <c r="C608" s="574" t="s">
        <v>2998</v>
      </c>
      <c r="D608" s="154"/>
    </row>
    <row r="609" spans="1:4" ht="15" customHeight="1">
      <c r="A609" s="557" t="s">
        <v>2800</v>
      </c>
      <c r="B609" s="648" t="s">
        <v>3381</v>
      </c>
      <c r="C609" s="574" t="s">
        <v>2998</v>
      </c>
      <c r="D609" s="154"/>
    </row>
    <row r="610" spans="1:4" ht="15" customHeight="1">
      <c r="A610" s="557" t="s">
        <v>2800</v>
      </c>
      <c r="B610" s="648" t="s">
        <v>3382</v>
      </c>
      <c r="C610" s="574" t="s">
        <v>2998</v>
      </c>
      <c r="D610" s="154"/>
    </row>
    <row r="611" spans="1:4" ht="15" customHeight="1">
      <c r="A611" s="557" t="s">
        <v>2800</v>
      </c>
      <c r="B611" s="648" t="s">
        <v>3383</v>
      </c>
      <c r="C611" s="574" t="s">
        <v>2998</v>
      </c>
      <c r="D611" s="154"/>
    </row>
    <row r="612" spans="1:4" ht="15" customHeight="1">
      <c r="A612" s="557" t="s">
        <v>2800</v>
      </c>
      <c r="B612" s="648" t="s">
        <v>3384</v>
      </c>
      <c r="C612" s="574" t="s">
        <v>2998</v>
      </c>
      <c r="D612" s="154"/>
    </row>
    <row r="613" spans="1:4" ht="15" customHeight="1">
      <c r="A613" s="557" t="s">
        <v>2800</v>
      </c>
      <c r="B613" s="648" t="s">
        <v>3385</v>
      </c>
      <c r="C613" s="574" t="s">
        <v>2998</v>
      </c>
      <c r="D613" s="154"/>
    </row>
    <row r="614" spans="1:4" ht="15" customHeight="1">
      <c r="A614" s="557" t="s">
        <v>2800</v>
      </c>
      <c r="B614" s="648" t="s">
        <v>3386</v>
      </c>
      <c r="C614" s="574" t="s">
        <v>2998</v>
      </c>
      <c r="D614" s="154"/>
    </row>
    <row r="615" spans="1:4" ht="15" customHeight="1">
      <c r="A615" s="557" t="s">
        <v>2800</v>
      </c>
      <c r="B615" s="648" t="s">
        <v>3387</v>
      </c>
      <c r="C615" s="574" t="s">
        <v>2998</v>
      </c>
      <c r="D615" s="154"/>
    </row>
    <row r="616" spans="1:4" ht="15" customHeight="1">
      <c r="A616" s="557" t="s">
        <v>2800</v>
      </c>
      <c r="B616" s="648" t="s">
        <v>3388</v>
      </c>
      <c r="C616" s="574" t="s">
        <v>2998</v>
      </c>
      <c r="D616" s="154"/>
    </row>
    <row r="617" spans="1:4" ht="15" customHeight="1">
      <c r="A617" s="557" t="s">
        <v>2800</v>
      </c>
      <c r="B617" s="648" t="s">
        <v>3389</v>
      </c>
      <c r="C617" s="574" t="s">
        <v>2998</v>
      </c>
      <c r="D617" s="154"/>
    </row>
    <row r="618" spans="1:4" ht="15" customHeight="1">
      <c r="A618" s="557" t="s">
        <v>2800</v>
      </c>
      <c r="B618" s="648" t="s">
        <v>3390</v>
      </c>
      <c r="C618" s="574" t="s">
        <v>2998</v>
      </c>
      <c r="D618" s="154"/>
    </row>
    <row r="619" spans="1:4" ht="15" customHeight="1">
      <c r="A619" s="557" t="s">
        <v>2800</v>
      </c>
      <c r="B619" s="648" t="s">
        <v>3391</v>
      </c>
      <c r="C619" s="574" t="s">
        <v>2998</v>
      </c>
      <c r="D619" s="154"/>
    </row>
    <row r="620" spans="1:4" ht="15" customHeight="1">
      <c r="A620" s="557" t="s">
        <v>2800</v>
      </c>
      <c r="B620" s="648" t="s">
        <v>3392</v>
      </c>
      <c r="C620" s="574" t="s">
        <v>2998</v>
      </c>
      <c r="D620" s="154"/>
    </row>
    <row r="621" spans="1:4" ht="15" customHeight="1">
      <c r="A621" s="557" t="s">
        <v>2800</v>
      </c>
      <c r="B621" s="648" t="s">
        <v>3394</v>
      </c>
      <c r="C621" s="574" t="s">
        <v>2998</v>
      </c>
      <c r="D621" s="154"/>
    </row>
    <row r="622" spans="1:4" ht="15" customHeight="1">
      <c r="A622" s="557" t="s">
        <v>2800</v>
      </c>
      <c r="B622" s="648" t="s">
        <v>3395</v>
      </c>
      <c r="C622" s="574" t="s">
        <v>2998</v>
      </c>
      <c r="D622" s="154"/>
    </row>
    <row r="623" spans="1:4" ht="15" customHeight="1">
      <c r="A623" s="557" t="s">
        <v>2800</v>
      </c>
      <c r="B623" s="648" t="s">
        <v>3396</v>
      </c>
      <c r="C623" s="574" t="s">
        <v>2998</v>
      </c>
      <c r="D623" s="154"/>
    </row>
    <row r="624" spans="1:4" ht="15" customHeight="1">
      <c r="A624" s="557" t="s">
        <v>2800</v>
      </c>
      <c r="B624" s="648" t="s">
        <v>3397</v>
      </c>
      <c r="C624" s="574" t="s">
        <v>2998</v>
      </c>
      <c r="D624" s="154"/>
    </row>
    <row r="625" spans="1:4" ht="15" customHeight="1">
      <c r="A625" s="557" t="s">
        <v>2800</v>
      </c>
      <c r="B625" s="648" t="s">
        <v>3398</v>
      </c>
      <c r="C625" s="574" t="s">
        <v>2998</v>
      </c>
      <c r="D625" s="154"/>
    </row>
    <row r="626" spans="1:4" ht="15" customHeight="1">
      <c r="A626" s="557" t="s">
        <v>2800</v>
      </c>
      <c r="B626" s="648" t="s">
        <v>3399</v>
      </c>
      <c r="C626" s="574" t="s">
        <v>2998</v>
      </c>
      <c r="D626" s="154"/>
    </row>
    <row r="627" spans="1:4" ht="15" customHeight="1">
      <c r="A627" s="557" t="s">
        <v>2800</v>
      </c>
      <c r="B627" s="648" t="s">
        <v>5787</v>
      </c>
      <c r="C627" s="574" t="s">
        <v>2998</v>
      </c>
      <c r="D627" s="154"/>
    </row>
    <row r="628" spans="1:4" ht="15" customHeight="1">
      <c r="A628" s="557" t="s">
        <v>2800</v>
      </c>
      <c r="B628" s="648" t="s">
        <v>3444</v>
      </c>
      <c r="C628" s="574" t="s">
        <v>2998</v>
      </c>
      <c r="D628" s="154"/>
    </row>
    <row r="629" spans="1:4" ht="15" customHeight="1">
      <c r="A629" s="557" t="s">
        <v>2800</v>
      </c>
      <c r="B629" s="648" t="s">
        <v>3400</v>
      </c>
      <c r="C629" s="574" t="s">
        <v>2998</v>
      </c>
      <c r="D629" s="154"/>
    </row>
    <row r="630" spans="1:4" ht="15" customHeight="1">
      <c r="A630" s="557" t="s">
        <v>2800</v>
      </c>
      <c r="B630" s="648" t="s">
        <v>3401</v>
      </c>
      <c r="C630" s="574" t="s">
        <v>2998</v>
      </c>
      <c r="D630" s="154"/>
    </row>
    <row r="631" spans="1:4" ht="15" customHeight="1">
      <c r="A631" s="557" t="s">
        <v>2800</v>
      </c>
      <c r="B631" s="648" t="s">
        <v>3402</v>
      </c>
      <c r="C631" s="574" t="s">
        <v>2998</v>
      </c>
      <c r="D631" s="154"/>
    </row>
    <row r="632" spans="1:4" ht="15" customHeight="1">
      <c r="A632" s="557" t="s">
        <v>2800</v>
      </c>
      <c r="B632" s="648" t="s">
        <v>3403</v>
      </c>
      <c r="C632" s="574" t="s">
        <v>2998</v>
      </c>
      <c r="D632" s="154"/>
    </row>
    <row r="633" spans="1:4" ht="15" customHeight="1">
      <c r="A633" s="557" t="s">
        <v>2800</v>
      </c>
      <c r="B633" s="648" t="s">
        <v>3404</v>
      </c>
      <c r="C633" s="574" t="s">
        <v>2998</v>
      </c>
      <c r="D633" s="154"/>
    </row>
    <row r="634" spans="1:4" ht="15" customHeight="1">
      <c r="A634" s="557" t="s">
        <v>2800</v>
      </c>
      <c r="B634" s="648" t="s">
        <v>3405</v>
      </c>
      <c r="C634" s="574" t="s">
        <v>2998</v>
      </c>
      <c r="D634" s="154"/>
    </row>
    <row r="635" spans="1:4" ht="15" customHeight="1">
      <c r="A635" s="557" t="s">
        <v>2800</v>
      </c>
      <c r="B635" s="648" t="s">
        <v>3407</v>
      </c>
      <c r="C635" s="574" t="s">
        <v>2998</v>
      </c>
      <c r="D635" s="154"/>
    </row>
    <row r="636" spans="1:4" ht="15" customHeight="1">
      <c r="A636" s="557" t="s">
        <v>2800</v>
      </c>
      <c r="B636" s="648" t="s">
        <v>3408</v>
      </c>
      <c r="C636" s="574" t="s">
        <v>2998</v>
      </c>
      <c r="D636" s="154"/>
    </row>
    <row r="637" spans="1:4" ht="15" customHeight="1">
      <c r="A637" s="557" t="s">
        <v>2800</v>
      </c>
      <c r="B637" s="648" t="s">
        <v>6054</v>
      </c>
      <c r="C637" s="574" t="s">
        <v>2998</v>
      </c>
      <c r="D637" s="154"/>
    </row>
    <row r="638" spans="1:4" ht="15" customHeight="1">
      <c r="A638" s="557" t="s">
        <v>2800</v>
      </c>
      <c r="B638" s="648" t="s">
        <v>3409</v>
      </c>
      <c r="C638" s="574" t="s">
        <v>2998</v>
      </c>
      <c r="D638" s="154"/>
    </row>
    <row r="639" spans="1:4" ht="15" customHeight="1">
      <c r="A639" s="557" t="s">
        <v>2800</v>
      </c>
      <c r="B639" s="648" t="s">
        <v>3410</v>
      </c>
      <c r="C639" s="574" t="s">
        <v>2998</v>
      </c>
      <c r="D639" s="154"/>
    </row>
    <row r="640" spans="1:4" ht="15" customHeight="1">
      <c r="A640" s="557" t="s">
        <v>2800</v>
      </c>
      <c r="B640" s="648" t="s">
        <v>3419</v>
      </c>
      <c r="C640" s="574" t="s">
        <v>2998</v>
      </c>
      <c r="D640" s="154"/>
    </row>
    <row r="641" spans="1:4" ht="15" customHeight="1">
      <c r="A641" s="557" t="s">
        <v>2800</v>
      </c>
      <c r="B641" s="648" t="s">
        <v>3411</v>
      </c>
      <c r="C641" s="574" t="s">
        <v>2998</v>
      </c>
      <c r="D641" s="154"/>
    </row>
    <row r="642" spans="1:4" ht="15" customHeight="1">
      <c r="A642" s="557" t="s">
        <v>2800</v>
      </c>
      <c r="B642" s="648" t="s">
        <v>3456</v>
      </c>
      <c r="C642" s="574" t="s">
        <v>2998</v>
      </c>
      <c r="D642" s="154"/>
    </row>
    <row r="643" spans="1:4" ht="15" customHeight="1">
      <c r="A643" s="557" t="s">
        <v>2800</v>
      </c>
      <c r="B643" s="648" t="s">
        <v>3412</v>
      </c>
      <c r="C643" s="574" t="s">
        <v>2998</v>
      </c>
      <c r="D643" s="154"/>
    </row>
    <row r="644" spans="1:4" ht="15" customHeight="1">
      <c r="A644" s="557" t="s">
        <v>2800</v>
      </c>
      <c r="B644" s="648" t="s">
        <v>3413</v>
      </c>
      <c r="C644" s="574" t="s">
        <v>2998</v>
      </c>
      <c r="D644" s="154"/>
    </row>
    <row r="645" spans="1:4" ht="15" customHeight="1">
      <c r="A645" s="557" t="s">
        <v>2800</v>
      </c>
      <c r="B645" s="648" t="s">
        <v>3414</v>
      </c>
      <c r="C645" s="574" t="s">
        <v>2998</v>
      </c>
      <c r="D645" s="154"/>
    </row>
    <row r="646" spans="1:4" ht="15" customHeight="1">
      <c r="A646" s="557" t="s">
        <v>2800</v>
      </c>
      <c r="B646" s="648" t="s">
        <v>3415</v>
      </c>
      <c r="C646" s="574" t="s">
        <v>2998</v>
      </c>
      <c r="D646" s="154"/>
    </row>
    <row r="647" spans="1:4" ht="15" customHeight="1">
      <c r="A647" s="557" t="s">
        <v>2800</v>
      </c>
      <c r="B647" s="648" t="s">
        <v>3417</v>
      </c>
      <c r="C647" s="574" t="s">
        <v>2998</v>
      </c>
      <c r="D647" s="154"/>
    </row>
    <row r="648" spans="1:4" ht="15" customHeight="1">
      <c r="A648" s="557" t="s">
        <v>2800</v>
      </c>
      <c r="B648" s="648" t="s">
        <v>3418</v>
      </c>
      <c r="C648" s="574" t="s">
        <v>2998</v>
      </c>
      <c r="D648" s="154"/>
    </row>
    <row r="649" spans="1:4" ht="15" customHeight="1">
      <c r="A649" s="557" t="s">
        <v>2800</v>
      </c>
      <c r="B649" s="648" t="s">
        <v>3420</v>
      </c>
      <c r="C649" s="574" t="s">
        <v>2998</v>
      </c>
      <c r="D649" s="154"/>
    </row>
    <row r="650" spans="1:4" ht="15" customHeight="1">
      <c r="A650" s="557" t="s">
        <v>2800</v>
      </c>
      <c r="B650" s="648" t="s">
        <v>3421</v>
      </c>
      <c r="C650" s="574" t="s">
        <v>2998</v>
      </c>
      <c r="D650" s="154"/>
    </row>
    <row r="651" spans="1:4" ht="15" customHeight="1">
      <c r="A651" s="557" t="s">
        <v>2800</v>
      </c>
      <c r="B651" s="648" t="s">
        <v>3422</v>
      </c>
      <c r="C651" s="574" t="s">
        <v>2998</v>
      </c>
      <c r="D651" s="154"/>
    </row>
    <row r="652" spans="1:4" ht="15" customHeight="1">
      <c r="A652" s="557" t="s">
        <v>2800</v>
      </c>
      <c r="B652" s="648" t="s">
        <v>3423</v>
      </c>
      <c r="C652" s="574" t="s">
        <v>2998</v>
      </c>
      <c r="D652" s="154"/>
    </row>
    <row r="653" spans="1:4" ht="15" customHeight="1">
      <c r="A653" s="557" t="s">
        <v>2800</v>
      </c>
      <c r="B653" s="648" t="s">
        <v>3424</v>
      </c>
      <c r="C653" s="574" t="s">
        <v>2998</v>
      </c>
      <c r="D653" s="154"/>
    </row>
    <row r="654" spans="1:4" ht="15" customHeight="1">
      <c r="A654" s="557" t="s">
        <v>2800</v>
      </c>
      <c r="B654" s="648" t="s">
        <v>3425</v>
      </c>
      <c r="C654" s="574" t="s">
        <v>2998</v>
      </c>
      <c r="D654" s="154"/>
    </row>
    <row r="655" spans="1:4" ht="15" customHeight="1">
      <c r="A655" s="557" t="s">
        <v>2800</v>
      </c>
      <c r="B655" s="648" t="s">
        <v>3426</v>
      </c>
      <c r="C655" s="574" t="s">
        <v>2998</v>
      </c>
      <c r="D655" s="154"/>
    </row>
    <row r="656" spans="1:4" ht="15" customHeight="1">
      <c r="A656" s="557" t="s">
        <v>2800</v>
      </c>
      <c r="B656" s="648" t="s">
        <v>3427</v>
      </c>
      <c r="C656" s="574" t="s">
        <v>2998</v>
      </c>
      <c r="D656" s="154"/>
    </row>
    <row r="657" spans="1:4" ht="15" customHeight="1">
      <c r="A657" s="557" t="s">
        <v>2800</v>
      </c>
      <c r="B657" s="648" t="s">
        <v>3428</v>
      </c>
      <c r="C657" s="574" t="s">
        <v>2998</v>
      </c>
      <c r="D657" s="154"/>
    </row>
    <row r="658" spans="1:4" ht="15" customHeight="1">
      <c r="A658" s="557" t="s">
        <v>2800</v>
      </c>
      <c r="B658" s="648" t="s">
        <v>3430</v>
      </c>
      <c r="C658" s="574" t="s">
        <v>2998</v>
      </c>
      <c r="D658" s="154"/>
    </row>
    <row r="659" spans="1:4" ht="15" customHeight="1">
      <c r="A659" s="557" t="s">
        <v>2800</v>
      </c>
      <c r="B659" s="648" t="s">
        <v>3431</v>
      </c>
      <c r="C659" s="574" t="s">
        <v>2998</v>
      </c>
      <c r="D659" s="154"/>
    </row>
    <row r="660" spans="1:4" ht="15" customHeight="1">
      <c r="A660" s="557" t="s">
        <v>2800</v>
      </c>
      <c r="B660" s="648" t="s">
        <v>3432</v>
      </c>
      <c r="C660" s="574" t="s">
        <v>2998</v>
      </c>
      <c r="D660" s="154"/>
    </row>
    <row r="661" spans="1:4" ht="15" customHeight="1">
      <c r="A661" s="557" t="s">
        <v>2800</v>
      </c>
      <c r="B661" s="648" t="s">
        <v>3433</v>
      </c>
      <c r="C661" s="574" t="s">
        <v>2998</v>
      </c>
      <c r="D661" s="154"/>
    </row>
    <row r="662" spans="1:4" ht="15" customHeight="1">
      <c r="A662" s="557" t="s">
        <v>2800</v>
      </c>
      <c r="B662" s="648" t="s">
        <v>3434</v>
      </c>
      <c r="C662" s="574" t="s">
        <v>2998</v>
      </c>
      <c r="D662" s="154"/>
    </row>
    <row r="663" spans="1:4" ht="15" customHeight="1">
      <c r="A663" s="557" t="s">
        <v>2800</v>
      </c>
      <c r="B663" s="648" t="s">
        <v>3435</v>
      </c>
      <c r="C663" s="574" t="s">
        <v>2998</v>
      </c>
      <c r="D663" s="154"/>
    </row>
    <row r="664" spans="1:4" ht="15" customHeight="1">
      <c r="A664" s="557" t="s">
        <v>2800</v>
      </c>
      <c r="B664" s="648" t="s">
        <v>3436</v>
      </c>
      <c r="C664" s="574" t="s">
        <v>2998</v>
      </c>
      <c r="D664" s="154"/>
    </row>
    <row r="665" spans="1:4" ht="15" customHeight="1">
      <c r="A665" s="557" t="s">
        <v>2800</v>
      </c>
      <c r="B665" s="648" t="s">
        <v>3437</v>
      </c>
      <c r="C665" s="574" t="s">
        <v>2998</v>
      </c>
      <c r="D665" s="154"/>
    </row>
    <row r="666" spans="1:4" ht="15" customHeight="1">
      <c r="A666" s="557" t="s">
        <v>2800</v>
      </c>
      <c r="B666" s="648" t="s">
        <v>3438</v>
      </c>
      <c r="C666" s="574" t="s">
        <v>2998</v>
      </c>
      <c r="D666" s="154"/>
    </row>
    <row r="667" spans="1:4" ht="15" customHeight="1">
      <c r="A667" s="557" t="s">
        <v>2800</v>
      </c>
      <c r="B667" s="648" t="s">
        <v>3439</v>
      </c>
      <c r="C667" s="574" t="s">
        <v>2998</v>
      </c>
      <c r="D667" s="154"/>
    </row>
    <row r="668" spans="1:4" ht="15" customHeight="1">
      <c r="A668" s="557" t="s">
        <v>2800</v>
      </c>
      <c r="B668" s="648" t="s">
        <v>3440</v>
      </c>
      <c r="C668" s="574" t="s">
        <v>2998</v>
      </c>
      <c r="D668" s="154"/>
    </row>
    <row r="669" spans="1:4" ht="15" customHeight="1">
      <c r="A669" s="557" t="s">
        <v>2800</v>
      </c>
      <c r="B669" s="648" t="s">
        <v>3442</v>
      </c>
      <c r="C669" s="574" t="s">
        <v>2998</v>
      </c>
      <c r="D669" s="154"/>
    </row>
    <row r="670" spans="1:4" ht="15" customHeight="1">
      <c r="A670" s="557" t="s">
        <v>2800</v>
      </c>
      <c r="B670" s="648" t="s">
        <v>3443</v>
      </c>
      <c r="C670" s="574" t="s">
        <v>2998</v>
      </c>
      <c r="D670" s="154"/>
    </row>
    <row r="671" spans="1:4" ht="15" customHeight="1">
      <c r="A671" s="557" t="s">
        <v>2800</v>
      </c>
      <c r="B671" s="648" t="s">
        <v>3445</v>
      </c>
      <c r="C671" s="574" t="s">
        <v>2998</v>
      </c>
      <c r="D671" s="154"/>
    </row>
    <row r="672" spans="1:4" ht="15" customHeight="1">
      <c r="A672" s="557" t="s">
        <v>2800</v>
      </c>
      <c r="B672" s="648" t="s">
        <v>3446</v>
      </c>
      <c r="C672" s="574" t="s">
        <v>2998</v>
      </c>
      <c r="D672" s="154"/>
    </row>
    <row r="673" spans="1:4" ht="15" customHeight="1">
      <c r="A673" s="557" t="s">
        <v>2800</v>
      </c>
      <c r="B673" s="648" t="s">
        <v>3447</v>
      </c>
      <c r="C673" s="574" t="s">
        <v>2998</v>
      </c>
      <c r="D673" s="154"/>
    </row>
    <row r="674" spans="1:4" ht="15" customHeight="1">
      <c r="A674" s="557" t="s">
        <v>2800</v>
      </c>
      <c r="B674" s="648" t="s">
        <v>3448</v>
      </c>
      <c r="C674" s="574" t="s">
        <v>2998</v>
      </c>
      <c r="D674" s="154"/>
    </row>
    <row r="675" spans="1:4" ht="15" customHeight="1">
      <c r="A675" s="557" t="s">
        <v>2800</v>
      </c>
      <c r="B675" s="648" t="s">
        <v>3449</v>
      </c>
      <c r="C675" s="574" t="s">
        <v>2998</v>
      </c>
      <c r="D675" s="154"/>
    </row>
    <row r="676" spans="1:4" ht="15" customHeight="1">
      <c r="A676" s="557" t="s">
        <v>2800</v>
      </c>
      <c r="B676" s="648" t="s">
        <v>3450</v>
      </c>
      <c r="C676" s="574" t="s">
        <v>2998</v>
      </c>
      <c r="D676" s="154"/>
    </row>
    <row r="677" spans="1:4" ht="15" customHeight="1">
      <c r="A677" s="557" t="s">
        <v>2800</v>
      </c>
      <c r="B677" s="648" t="s">
        <v>3452</v>
      </c>
      <c r="C677" s="574" t="s">
        <v>2998</v>
      </c>
      <c r="D677" s="154"/>
    </row>
    <row r="678" spans="1:4" ht="15" customHeight="1">
      <c r="A678" s="557" t="s">
        <v>2800</v>
      </c>
      <c r="B678" s="648" t="s">
        <v>3453</v>
      </c>
      <c r="C678" s="574" t="s">
        <v>2998</v>
      </c>
      <c r="D678" s="154"/>
    </row>
    <row r="679" spans="1:4" ht="15" customHeight="1">
      <c r="A679" s="557" t="s">
        <v>2800</v>
      </c>
      <c r="B679" s="648" t="s">
        <v>3454</v>
      </c>
      <c r="C679" s="574" t="s">
        <v>2998</v>
      </c>
      <c r="D679" s="154"/>
    </row>
    <row r="680" spans="1:4" ht="15" customHeight="1">
      <c r="A680" s="557" t="s">
        <v>2800</v>
      </c>
      <c r="B680" s="648" t="s">
        <v>3455</v>
      </c>
      <c r="C680" s="574" t="s">
        <v>2998</v>
      </c>
      <c r="D680" s="154"/>
    </row>
    <row r="681" spans="1:4" ht="15" customHeight="1">
      <c r="A681" s="557" t="s">
        <v>2800</v>
      </c>
      <c r="B681" s="648" t="s">
        <v>3457</v>
      </c>
      <c r="C681" s="574" t="s">
        <v>2998</v>
      </c>
      <c r="D681" s="154"/>
    </row>
    <row r="682" spans="1:4" ht="15" customHeight="1">
      <c r="A682" s="557" t="s">
        <v>2800</v>
      </c>
      <c r="B682" s="648" t="s">
        <v>3458</v>
      </c>
      <c r="C682" s="574" t="s">
        <v>2998</v>
      </c>
      <c r="D682" s="154"/>
    </row>
    <row r="683" spans="1:4" ht="15" customHeight="1">
      <c r="A683" s="557" t="s">
        <v>2800</v>
      </c>
      <c r="B683" s="648" t="s">
        <v>3459</v>
      </c>
      <c r="C683" s="574" t="s">
        <v>2998</v>
      </c>
      <c r="D683" s="154"/>
    </row>
    <row r="684" spans="1:4" ht="15" customHeight="1">
      <c r="A684" s="557" t="s">
        <v>2800</v>
      </c>
      <c r="B684" s="648" t="s">
        <v>3460</v>
      </c>
      <c r="C684" s="574" t="s">
        <v>2998</v>
      </c>
      <c r="D684" s="154"/>
    </row>
    <row r="685" spans="1:4" ht="15" customHeight="1">
      <c r="A685" s="557" t="s">
        <v>2800</v>
      </c>
      <c r="B685" s="648" t="s">
        <v>3461</v>
      </c>
      <c r="C685" s="574" t="s">
        <v>2998</v>
      </c>
      <c r="D685" s="154"/>
    </row>
    <row r="686" spans="1:4" ht="15" customHeight="1">
      <c r="A686" s="557" t="s">
        <v>2800</v>
      </c>
      <c r="B686" s="648" t="s">
        <v>3463</v>
      </c>
      <c r="C686" s="574" t="s">
        <v>2998</v>
      </c>
      <c r="D686" s="154"/>
    </row>
    <row r="687" spans="1:4" ht="15" customHeight="1">
      <c r="A687" s="557" t="s">
        <v>2800</v>
      </c>
      <c r="B687" s="648" t="s">
        <v>3464</v>
      </c>
      <c r="C687" s="574" t="s">
        <v>2998</v>
      </c>
      <c r="D687" s="154"/>
    </row>
    <row r="688" spans="1:4" ht="15" customHeight="1">
      <c r="A688" s="557" t="s">
        <v>2800</v>
      </c>
      <c r="B688" s="648" t="s">
        <v>3465</v>
      </c>
      <c r="C688" s="574" t="s">
        <v>2998</v>
      </c>
      <c r="D688" s="154"/>
    </row>
    <row r="689" spans="1:4" ht="15" customHeight="1">
      <c r="A689" s="557" t="s">
        <v>2800</v>
      </c>
      <c r="B689" s="648" t="s">
        <v>3466</v>
      </c>
      <c r="C689" s="574" t="s">
        <v>2998</v>
      </c>
      <c r="D689" s="154"/>
    </row>
    <row r="690" spans="1:4" ht="15" customHeight="1">
      <c r="A690" s="557" t="s">
        <v>2800</v>
      </c>
      <c r="B690" s="648" t="s">
        <v>3467</v>
      </c>
      <c r="C690" s="574" t="s">
        <v>2998</v>
      </c>
      <c r="D690" s="154"/>
    </row>
    <row r="691" spans="1:4" ht="15" customHeight="1">
      <c r="A691" s="557" t="s">
        <v>2800</v>
      </c>
      <c r="B691" s="648" t="s">
        <v>3468</v>
      </c>
      <c r="C691" s="574" t="s">
        <v>2998</v>
      </c>
      <c r="D691" s="154"/>
    </row>
    <row r="692" spans="1:4" ht="15" customHeight="1">
      <c r="A692" s="557" t="s">
        <v>2800</v>
      </c>
      <c r="B692" s="648" t="s">
        <v>3469</v>
      </c>
      <c r="C692" s="574" t="s">
        <v>2998</v>
      </c>
      <c r="D692" s="154"/>
    </row>
    <row r="693" spans="1:4" ht="15" customHeight="1">
      <c r="A693" s="557" t="s">
        <v>2800</v>
      </c>
      <c r="B693" s="648" t="s">
        <v>3470</v>
      </c>
      <c r="C693" s="574" t="s">
        <v>2998</v>
      </c>
      <c r="D693" s="154"/>
    </row>
    <row r="694" spans="1:4" ht="15" customHeight="1">
      <c r="A694" s="557" t="s">
        <v>2800</v>
      </c>
      <c r="B694" s="648" t="s">
        <v>3472</v>
      </c>
      <c r="C694" s="574" t="s">
        <v>2998</v>
      </c>
      <c r="D694" s="154"/>
    </row>
    <row r="695" spans="1:4" ht="15" customHeight="1">
      <c r="A695" s="557" t="s">
        <v>2800</v>
      </c>
      <c r="B695" s="648" t="s">
        <v>3473</v>
      </c>
      <c r="C695" s="574" t="s">
        <v>2998</v>
      </c>
      <c r="D695" s="154"/>
    </row>
    <row r="696" spans="1:4" ht="15" customHeight="1">
      <c r="A696" s="557" t="s">
        <v>2800</v>
      </c>
      <c r="B696" s="648" t="s">
        <v>3474</v>
      </c>
      <c r="C696" s="574" t="s">
        <v>2998</v>
      </c>
      <c r="D696" s="154"/>
    </row>
    <row r="697" spans="1:4" ht="15" customHeight="1">
      <c r="A697" s="557" t="s">
        <v>2800</v>
      </c>
      <c r="B697" s="648" t="s">
        <v>3475</v>
      </c>
      <c r="C697" s="574" t="s">
        <v>2998</v>
      </c>
      <c r="D697" s="154"/>
    </row>
    <row r="698" spans="1:4" ht="15" customHeight="1">
      <c r="A698" s="557" t="s">
        <v>2800</v>
      </c>
      <c r="B698" s="648" t="s">
        <v>3476</v>
      </c>
      <c r="C698" s="574" t="s">
        <v>2998</v>
      </c>
      <c r="D698" s="154"/>
    </row>
    <row r="699" spans="1:4" ht="15" customHeight="1">
      <c r="A699" s="557" t="s">
        <v>2800</v>
      </c>
      <c r="B699" s="648" t="s">
        <v>3477</v>
      </c>
      <c r="C699" s="574" t="s">
        <v>2998</v>
      </c>
      <c r="D699" s="154"/>
    </row>
    <row r="700" spans="1:4" ht="15" customHeight="1">
      <c r="A700" s="557" t="s">
        <v>2800</v>
      </c>
      <c r="B700" s="648" t="s">
        <v>3479</v>
      </c>
      <c r="C700" s="574" t="s">
        <v>2998</v>
      </c>
      <c r="D700" s="154"/>
    </row>
    <row r="701" spans="1:4" ht="15" customHeight="1">
      <c r="A701" s="557" t="s">
        <v>2800</v>
      </c>
      <c r="B701" s="648" t="s">
        <v>3480</v>
      </c>
      <c r="C701" s="574" t="s">
        <v>2998</v>
      </c>
      <c r="D701" s="154"/>
    </row>
    <row r="702" spans="1:4" ht="15" customHeight="1">
      <c r="A702" s="557" t="s">
        <v>2800</v>
      </c>
      <c r="B702" s="648" t="s">
        <v>5788</v>
      </c>
      <c r="C702" s="574" t="s">
        <v>2998</v>
      </c>
      <c r="D702" s="154"/>
    </row>
    <row r="703" spans="1:4" ht="15" customHeight="1">
      <c r="A703" s="557" t="s">
        <v>2800</v>
      </c>
      <c r="B703" s="648" t="s">
        <v>3482</v>
      </c>
      <c r="C703" s="574" t="s">
        <v>2998</v>
      </c>
      <c r="D703" s="154"/>
    </row>
    <row r="704" spans="1:4" ht="15" customHeight="1">
      <c r="A704" s="557" t="s">
        <v>2800</v>
      </c>
      <c r="B704" s="648" t="s">
        <v>3483</v>
      </c>
      <c r="C704" s="574" t="s">
        <v>2998</v>
      </c>
      <c r="D704" s="154"/>
    </row>
    <row r="705" spans="1:4" ht="15" customHeight="1">
      <c r="A705" s="557" t="s">
        <v>2800</v>
      </c>
      <c r="B705" s="648" t="s">
        <v>3484</v>
      </c>
      <c r="C705" s="574" t="s">
        <v>2998</v>
      </c>
      <c r="D705" s="154"/>
    </row>
    <row r="706" spans="1:4" ht="15" customHeight="1">
      <c r="A706" s="557" t="s">
        <v>2800</v>
      </c>
      <c r="B706" s="648" t="s">
        <v>3485</v>
      </c>
      <c r="C706" s="574" t="s">
        <v>2998</v>
      </c>
      <c r="D706" s="154"/>
    </row>
    <row r="707" spans="1:4" ht="15" customHeight="1">
      <c r="A707" s="557" t="s">
        <v>2800</v>
      </c>
      <c r="B707" s="648" t="s">
        <v>3486</v>
      </c>
      <c r="C707" s="574" t="s">
        <v>2998</v>
      </c>
      <c r="D707" s="154"/>
    </row>
    <row r="708" spans="1:4" ht="15" customHeight="1">
      <c r="A708" s="557" t="s">
        <v>2800</v>
      </c>
      <c r="B708" s="648" t="s">
        <v>3487</v>
      </c>
      <c r="C708" s="574" t="s">
        <v>2998</v>
      </c>
      <c r="D708" s="154"/>
    </row>
    <row r="709" spans="1:4" ht="15" customHeight="1">
      <c r="A709" s="557" t="s">
        <v>2800</v>
      </c>
      <c r="B709" s="648" t="s">
        <v>3488</v>
      </c>
      <c r="C709" s="574" t="s">
        <v>2998</v>
      </c>
      <c r="D709" s="154"/>
    </row>
    <row r="710" spans="1:4" ht="15" customHeight="1">
      <c r="A710" s="557" t="s">
        <v>2800</v>
      </c>
      <c r="B710" s="648" t="s">
        <v>3489</v>
      </c>
      <c r="C710" s="574" t="s">
        <v>2998</v>
      </c>
      <c r="D710" s="154"/>
    </row>
    <row r="711" spans="1:4" ht="15" customHeight="1">
      <c r="A711" s="557" t="s">
        <v>2800</v>
      </c>
      <c r="B711" s="648" t="s">
        <v>3490</v>
      </c>
      <c r="C711" s="574" t="s">
        <v>2998</v>
      </c>
      <c r="D711" s="154"/>
    </row>
    <row r="712" spans="1:4" ht="15" customHeight="1">
      <c r="A712" s="557" t="s">
        <v>2800</v>
      </c>
      <c r="B712" s="648" t="s">
        <v>3491</v>
      </c>
      <c r="C712" s="574" t="s">
        <v>2998</v>
      </c>
      <c r="D712" s="154"/>
    </row>
    <row r="713" spans="1:4" ht="15" customHeight="1">
      <c r="A713" s="557" t="s">
        <v>2800</v>
      </c>
      <c r="B713" s="648" t="s">
        <v>3493</v>
      </c>
      <c r="C713" s="574" t="s">
        <v>2998</v>
      </c>
      <c r="D713" s="154"/>
    </row>
    <row r="714" spans="1:4" ht="15" customHeight="1">
      <c r="A714" s="557" t="s">
        <v>2800</v>
      </c>
      <c r="B714" s="648" t="s">
        <v>3495</v>
      </c>
      <c r="C714" s="574" t="s">
        <v>2998</v>
      </c>
      <c r="D714" s="154"/>
    </row>
    <row r="715" spans="1:4" ht="15" customHeight="1">
      <c r="A715" s="557" t="s">
        <v>2800</v>
      </c>
      <c r="B715" s="648" t="s">
        <v>3496</v>
      </c>
      <c r="C715" s="574" t="s">
        <v>2998</v>
      </c>
      <c r="D715" s="154"/>
    </row>
    <row r="716" spans="1:4" ht="15" customHeight="1">
      <c r="A716" s="557" t="s">
        <v>2800</v>
      </c>
      <c r="B716" s="648" t="s">
        <v>3497</v>
      </c>
      <c r="C716" s="574" t="s">
        <v>2998</v>
      </c>
      <c r="D716" s="154"/>
    </row>
    <row r="717" spans="1:4" ht="15" customHeight="1">
      <c r="A717" s="557" t="s">
        <v>2800</v>
      </c>
      <c r="B717" s="648" t="s">
        <v>3498</v>
      </c>
      <c r="C717" s="574" t="s">
        <v>2998</v>
      </c>
      <c r="D717" s="154"/>
    </row>
    <row r="718" spans="1:4" ht="15" customHeight="1">
      <c r="A718" s="557" t="s">
        <v>2800</v>
      </c>
      <c r="B718" s="648" t="s">
        <v>3499</v>
      </c>
      <c r="C718" s="574" t="s">
        <v>2998</v>
      </c>
      <c r="D718" s="154"/>
    </row>
    <row r="719" spans="1:4" ht="15" customHeight="1">
      <c r="A719" s="557" t="s">
        <v>2800</v>
      </c>
      <c r="B719" s="648" t="s">
        <v>3500</v>
      </c>
      <c r="C719" s="574" t="s">
        <v>2998</v>
      </c>
      <c r="D719" s="154"/>
    </row>
    <row r="720" spans="1:4" ht="15" customHeight="1">
      <c r="A720" s="557" t="s">
        <v>2800</v>
      </c>
      <c r="B720" s="648" t="s">
        <v>3501</v>
      </c>
      <c r="C720" s="574" t="s">
        <v>2998</v>
      </c>
      <c r="D720" s="154"/>
    </row>
    <row r="721" spans="1:4" ht="15" customHeight="1">
      <c r="A721" s="557" t="s">
        <v>2800</v>
      </c>
      <c r="B721" s="648" t="s">
        <v>3481</v>
      </c>
      <c r="C721" s="574" t="s">
        <v>2998</v>
      </c>
      <c r="D721" s="154"/>
    </row>
    <row r="722" spans="1:4" ht="15" customHeight="1">
      <c r="A722" s="557" t="s">
        <v>2800</v>
      </c>
      <c r="B722" s="648" t="s">
        <v>3502</v>
      </c>
      <c r="C722" s="574" t="s">
        <v>2998</v>
      </c>
      <c r="D722" s="154"/>
    </row>
    <row r="723" spans="1:4" ht="15" customHeight="1">
      <c r="A723" s="564" t="s">
        <v>2803</v>
      </c>
      <c r="B723" s="651" t="s">
        <v>3503</v>
      </c>
      <c r="C723" s="574" t="s">
        <v>2809</v>
      </c>
      <c r="D723" s="154"/>
    </row>
    <row r="724" spans="1:4" ht="15" customHeight="1">
      <c r="A724" s="564" t="s">
        <v>2803</v>
      </c>
      <c r="B724" s="651" t="s">
        <v>3504</v>
      </c>
      <c r="C724" s="574" t="s">
        <v>2809</v>
      </c>
      <c r="D724" s="154"/>
    </row>
    <row r="725" spans="1:4" ht="15" customHeight="1">
      <c r="A725" s="564" t="s">
        <v>2803</v>
      </c>
      <c r="B725" s="651" t="s">
        <v>3505</v>
      </c>
      <c r="C725" s="574" t="s">
        <v>2809</v>
      </c>
      <c r="D725" s="154"/>
    </row>
    <row r="726" spans="1:4" ht="15" customHeight="1">
      <c r="A726" s="564" t="s">
        <v>2803</v>
      </c>
      <c r="B726" s="651" t="s">
        <v>3506</v>
      </c>
      <c r="C726" s="574" t="s">
        <v>2809</v>
      </c>
      <c r="D726" s="154"/>
    </row>
    <row r="727" spans="1:4" ht="15" customHeight="1">
      <c r="A727" s="564" t="s">
        <v>2803</v>
      </c>
      <c r="B727" s="651" t="s">
        <v>3507</v>
      </c>
      <c r="C727" s="574" t="s">
        <v>2809</v>
      </c>
      <c r="D727" s="154"/>
    </row>
    <row r="728" spans="1:4" ht="15" customHeight="1">
      <c r="A728" s="564" t="s">
        <v>2803</v>
      </c>
      <c r="B728" s="651" t="s">
        <v>3508</v>
      </c>
      <c r="C728" s="574" t="s">
        <v>2809</v>
      </c>
      <c r="D728" s="154"/>
    </row>
    <row r="729" spans="1:4" ht="15" customHeight="1">
      <c r="A729" s="564" t="s">
        <v>2803</v>
      </c>
      <c r="B729" s="650" t="s">
        <v>3509</v>
      </c>
      <c r="C729" s="574" t="s">
        <v>2809</v>
      </c>
      <c r="D729" s="154"/>
    </row>
    <row r="730" spans="1:4" ht="15" customHeight="1">
      <c r="A730" s="564" t="s">
        <v>2803</v>
      </c>
      <c r="B730" s="651" t="s">
        <v>3510</v>
      </c>
      <c r="C730" s="574" t="s">
        <v>2809</v>
      </c>
      <c r="D730" s="154"/>
    </row>
    <row r="731" spans="1:4" ht="15" customHeight="1">
      <c r="A731" s="564" t="s">
        <v>2803</v>
      </c>
      <c r="B731" s="651" t="s">
        <v>3511</v>
      </c>
      <c r="C731" s="574" t="s">
        <v>2809</v>
      </c>
      <c r="D731" s="154"/>
    </row>
    <row r="732" spans="1:4" ht="15" customHeight="1">
      <c r="A732" s="564" t="s">
        <v>2803</v>
      </c>
      <c r="B732" s="651" t="s">
        <v>3512</v>
      </c>
      <c r="C732" s="574" t="s">
        <v>2809</v>
      </c>
      <c r="D732" s="154"/>
    </row>
    <row r="733" spans="1:4" ht="15" customHeight="1">
      <c r="A733" s="564" t="s">
        <v>2803</v>
      </c>
      <c r="B733" s="655" t="s">
        <v>3513</v>
      </c>
      <c r="C733" s="574" t="s">
        <v>2809</v>
      </c>
      <c r="D733" s="154"/>
    </row>
    <row r="734" spans="1:4" ht="15" customHeight="1">
      <c r="A734" s="564" t="s">
        <v>2803</v>
      </c>
      <c r="B734" s="651" t="s">
        <v>3514</v>
      </c>
      <c r="C734" s="574" t="s">
        <v>2809</v>
      </c>
      <c r="D734" s="154"/>
    </row>
    <row r="735" spans="1:4" ht="15" customHeight="1">
      <c r="A735" s="564" t="s">
        <v>2803</v>
      </c>
      <c r="B735" s="651" t="s">
        <v>3515</v>
      </c>
      <c r="C735" s="574" t="s">
        <v>2809</v>
      </c>
      <c r="D735" s="154"/>
    </row>
    <row r="736" spans="1:4" ht="15" customHeight="1">
      <c r="A736" s="564" t="s">
        <v>2803</v>
      </c>
      <c r="B736" s="651" t="s">
        <v>3516</v>
      </c>
      <c r="C736" s="574" t="s">
        <v>2809</v>
      </c>
      <c r="D736" s="154"/>
    </row>
    <row r="737" spans="1:4" ht="15" customHeight="1">
      <c r="A737" s="564" t="s">
        <v>2803</v>
      </c>
      <c r="B737" s="651" t="s">
        <v>3517</v>
      </c>
      <c r="C737" s="574" t="s">
        <v>2809</v>
      </c>
      <c r="D737" s="154"/>
    </row>
    <row r="738" spans="1:4" ht="15" customHeight="1">
      <c r="A738" s="564" t="s">
        <v>2803</v>
      </c>
      <c r="B738" s="651" t="s">
        <v>3518</v>
      </c>
      <c r="C738" s="574" t="s">
        <v>2809</v>
      </c>
      <c r="D738" s="154"/>
    </row>
    <row r="739" spans="1:4" ht="15" customHeight="1">
      <c r="A739" s="564" t="s">
        <v>2803</v>
      </c>
      <c r="B739" s="651" t="s">
        <v>3519</v>
      </c>
      <c r="C739" s="574" t="s">
        <v>2809</v>
      </c>
      <c r="D739" s="154"/>
    </row>
    <row r="740" spans="1:4" ht="15" customHeight="1">
      <c r="A740" s="564" t="s">
        <v>2803</v>
      </c>
      <c r="B740" s="651" t="s">
        <v>3520</v>
      </c>
      <c r="C740" s="574" t="s">
        <v>2809</v>
      </c>
      <c r="D740" s="154"/>
    </row>
    <row r="741" spans="1:4" ht="15" customHeight="1">
      <c r="A741" s="564" t="s">
        <v>2803</v>
      </c>
      <c r="B741" s="651" t="s">
        <v>3521</v>
      </c>
      <c r="C741" s="574" t="s">
        <v>2809</v>
      </c>
      <c r="D741" s="154"/>
    </row>
    <row r="742" spans="1:4" ht="15" customHeight="1">
      <c r="A742" s="564" t="s">
        <v>2803</v>
      </c>
      <c r="B742" s="651" t="s">
        <v>3522</v>
      </c>
      <c r="C742" s="574" t="s">
        <v>2809</v>
      </c>
      <c r="D742" s="154"/>
    </row>
    <row r="743" spans="1:4" ht="15" customHeight="1">
      <c r="A743" s="564" t="s">
        <v>2803</v>
      </c>
      <c r="B743" s="651" t="s">
        <v>3523</v>
      </c>
      <c r="C743" s="574" t="s">
        <v>2809</v>
      </c>
      <c r="D743" s="154"/>
    </row>
    <row r="744" spans="1:4" ht="15" customHeight="1">
      <c r="A744" s="564" t="s">
        <v>2803</v>
      </c>
      <c r="B744" s="651" t="s">
        <v>3524</v>
      </c>
      <c r="C744" s="574" t="s">
        <v>2809</v>
      </c>
      <c r="D744" s="154"/>
    </row>
    <row r="745" spans="1:4" ht="15" customHeight="1">
      <c r="A745" s="564" t="s">
        <v>2803</v>
      </c>
      <c r="B745" s="651" t="s">
        <v>3525</v>
      </c>
      <c r="C745" s="574" t="s">
        <v>2809</v>
      </c>
      <c r="D745" s="154"/>
    </row>
    <row r="746" spans="1:4" ht="15" customHeight="1">
      <c r="A746" s="564" t="s">
        <v>2803</v>
      </c>
      <c r="B746" s="651" t="s">
        <v>3526</v>
      </c>
      <c r="C746" s="574" t="s">
        <v>2809</v>
      </c>
      <c r="D746" s="154"/>
    </row>
    <row r="747" spans="1:4" ht="15" customHeight="1">
      <c r="A747" s="564" t="s">
        <v>2803</v>
      </c>
      <c r="B747" s="651" t="s">
        <v>3527</v>
      </c>
      <c r="C747" s="574" t="s">
        <v>2809</v>
      </c>
      <c r="D747" s="154"/>
    </row>
    <row r="748" spans="1:4" ht="15" customHeight="1">
      <c r="A748" s="564" t="s">
        <v>2803</v>
      </c>
      <c r="B748" s="651" t="s">
        <v>3528</v>
      </c>
      <c r="C748" s="574" t="s">
        <v>2809</v>
      </c>
      <c r="D748" s="154"/>
    </row>
    <row r="749" spans="1:4" ht="15" customHeight="1">
      <c r="A749" s="564" t="s">
        <v>2803</v>
      </c>
      <c r="B749" s="651" t="s">
        <v>3529</v>
      </c>
      <c r="C749" s="574" t="s">
        <v>2809</v>
      </c>
      <c r="D749" s="154"/>
    </row>
    <row r="750" spans="1:4" ht="15" customHeight="1">
      <c r="A750" s="564" t="s">
        <v>2803</v>
      </c>
      <c r="B750" s="651" t="s">
        <v>3530</v>
      </c>
      <c r="C750" s="574" t="s">
        <v>2809</v>
      </c>
      <c r="D750" s="154"/>
    </row>
    <row r="751" spans="1:4" ht="15" customHeight="1">
      <c r="A751" s="564" t="s">
        <v>2803</v>
      </c>
      <c r="B751" s="651" t="s">
        <v>3531</v>
      </c>
      <c r="C751" s="574" t="s">
        <v>2809</v>
      </c>
      <c r="D751" s="154"/>
    </row>
    <row r="752" spans="1:4" ht="15" customHeight="1">
      <c r="A752" s="564" t="s">
        <v>2803</v>
      </c>
      <c r="B752" s="651" t="s">
        <v>3532</v>
      </c>
      <c r="C752" s="574" t="s">
        <v>2809</v>
      </c>
      <c r="D752" s="154"/>
    </row>
    <row r="753" spans="1:4" ht="15" customHeight="1">
      <c r="A753" s="564" t="s">
        <v>2803</v>
      </c>
      <c r="B753" s="651" t="s">
        <v>3533</v>
      </c>
      <c r="C753" s="574" t="s">
        <v>2809</v>
      </c>
      <c r="D753" s="154"/>
    </row>
    <row r="754" spans="1:4" ht="15" customHeight="1">
      <c r="A754" s="564" t="s">
        <v>2803</v>
      </c>
      <c r="B754" s="651" t="s">
        <v>3534</v>
      </c>
      <c r="C754" s="574" t="s">
        <v>2809</v>
      </c>
      <c r="D754" s="154"/>
    </row>
    <row r="755" spans="1:4" ht="15" customHeight="1">
      <c r="A755" s="564" t="s">
        <v>2803</v>
      </c>
      <c r="B755" s="651" t="s">
        <v>3535</v>
      </c>
      <c r="C755" s="574" t="s">
        <v>2809</v>
      </c>
      <c r="D755" s="154"/>
    </row>
    <row r="756" spans="1:4" ht="15" customHeight="1">
      <c r="A756" s="564" t="s">
        <v>2803</v>
      </c>
      <c r="B756" s="651" t="s">
        <v>3536</v>
      </c>
      <c r="C756" s="574" t="s">
        <v>2809</v>
      </c>
      <c r="D756" s="154"/>
    </row>
    <row r="757" spans="1:4" ht="15" customHeight="1">
      <c r="A757" s="564" t="s">
        <v>2803</v>
      </c>
      <c r="B757" s="651" t="s">
        <v>3537</v>
      </c>
      <c r="C757" s="574" t="s">
        <v>2809</v>
      </c>
      <c r="D757" s="154"/>
    </row>
    <row r="758" spans="1:4" ht="15" customHeight="1">
      <c r="A758" s="564" t="s">
        <v>2803</v>
      </c>
      <c r="B758" s="651" t="s">
        <v>3538</v>
      </c>
      <c r="C758" s="574" t="s">
        <v>2809</v>
      </c>
      <c r="D758" s="154"/>
    </row>
    <row r="759" spans="1:4" ht="15" customHeight="1">
      <c r="A759" s="564" t="s">
        <v>2803</v>
      </c>
      <c r="B759" s="651" t="s">
        <v>3539</v>
      </c>
      <c r="C759" s="574" t="s">
        <v>2809</v>
      </c>
      <c r="D759" s="154"/>
    </row>
    <row r="760" spans="1:4" ht="15" customHeight="1">
      <c r="A760" s="564" t="s">
        <v>2803</v>
      </c>
      <c r="B760" s="651" t="s">
        <v>3540</v>
      </c>
      <c r="C760" s="574" t="s">
        <v>2809</v>
      </c>
      <c r="D760" s="154"/>
    </row>
    <row r="761" spans="1:4" ht="15" customHeight="1">
      <c r="A761" s="564" t="s">
        <v>2803</v>
      </c>
      <c r="B761" s="651" t="s">
        <v>3541</v>
      </c>
      <c r="C761" s="574" t="s">
        <v>2809</v>
      </c>
      <c r="D761" s="154"/>
    </row>
    <row r="762" spans="1:4" ht="15" customHeight="1">
      <c r="A762" s="564" t="s">
        <v>2803</v>
      </c>
      <c r="B762" s="651" t="s">
        <v>3542</v>
      </c>
      <c r="C762" s="574" t="s">
        <v>2809</v>
      </c>
      <c r="D762" s="154"/>
    </row>
    <row r="763" spans="1:4" ht="15" customHeight="1">
      <c r="A763" s="564" t="s">
        <v>2803</v>
      </c>
      <c r="B763" s="651" t="s">
        <v>3543</v>
      </c>
      <c r="C763" s="574" t="s">
        <v>2809</v>
      </c>
      <c r="D763" s="154"/>
    </row>
    <row r="764" spans="1:4" ht="15" customHeight="1">
      <c r="A764" s="564" t="s">
        <v>2803</v>
      </c>
      <c r="B764" s="651" t="s">
        <v>3544</v>
      </c>
      <c r="C764" s="574" t="s">
        <v>2809</v>
      </c>
      <c r="D764" s="154"/>
    </row>
    <row r="765" spans="1:4" ht="15" customHeight="1">
      <c r="A765" s="564" t="s">
        <v>2803</v>
      </c>
      <c r="B765" s="651" t="s">
        <v>3545</v>
      </c>
      <c r="C765" s="574" t="s">
        <v>2809</v>
      </c>
      <c r="D765" s="154"/>
    </row>
    <row r="766" spans="1:4" ht="15" customHeight="1">
      <c r="A766" s="564" t="s">
        <v>2803</v>
      </c>
      <c r="B766" s="655" t="s">
        <v>3546</v>
      </c>
      <c r="C766" s="574" t="s">
        <v>2809</v>
      </c>
      <c r="D766" s="154"/>
    </row>
    <row r="767" spans="1:4" ht="15" customHeight="1">
      <c r="A767" s="564" t="s">
        <v>2803</v>
      </c>
      <c r="B767" s="651" t="s">
        <v>3547</v>
      </c>
      <c r="C767" s="574" t="s">
        <v>2809</v>
      </c>
      <c r="D767" s="154"/>
    </row>
    <row r="768" spans="1:4" ht="15" customHeight="1">
      <c r="A768" s="564" t="s">
        <v>2803</v>
      </c>
      <c r="B768" s="651" t="s">
        <v>3548</v>
      </c>
      <c r="C768" s="574" t="s">
        <v>2809</v>
      </c>
      <c r="D768" s="154"/>
    </row>
    <row r="769" spans="1:4" ht="15" customHeight="1">
      <c r="A769" s="564" t="s">
        <v>2803</v>
      </c>
      <c r="B769" s="651" t="s">
        <v>3549</v>
      </c>
      <c r="C769" s="574" t="s">
        <v>2809</v>
      </c>
      <c r="D769" s="154"/>
    </row>
    <row r="770" spans="1:4" ht="15" customHeight="1">
      <c r="A770" s="564" t="s">
        <v>2803</v>
      </c>
      <c r="B770" s="651" t="s">
        <v>3550</v>
      </c>
      <c r="C770" s="574" t="s">
        <v>2809</v>
      </c>
      <c r="D770" s="154"/>
    </row>
    <row r="771" spans="1:4" ht="15" customHeight="1">
      <c r="A771" s="564" t="s">
        <v>2803</v>
      </c>
      <c r="B771" s="651" t="s">
        <v>3551</v>
      </c>
      <c r="C771" s="574" t="s">
        <v>2809</v>
      </c>
      <c r="D771" s="154"/>
    </row>
    <row r="772" spans="1:4" ht="15" customHeight="1">
      <c r="A772" s="564" t="s">
        <v>2803</v>
      </c>
      <c r="B772" s="651" t="s">
        <v>3552</v>
      </c>
      <c r="C772" s="574" t="s">
        <v>2809</v>
      </c>
      <c r="D772" s="154"/>
    </row>
    <row r="773" spans="1:4" ht="15" customHeight="1">
      <c r="A773" s="564" t="s">
        <v>2803</v>
      </c>
      <c r="B773" s="651" t="s">
        <v>3553</v>
      </c>
      <c r="C773" s="574" t="s">
        <v>2809</v>
      </c>
      <c r="D773" s="154"/>
    </row>
    <row r="774" spans="1:4" ht="15" customHeight="1">
      <c r="A774" s="564" t="s">
        <v>2803</v>
      </c>
      <c r="B774" s="655" t="s">
        <v>3554</v>
      </c>
      <c r="C774" s="574" t="s">
        <v>2809</v>
      </c>
      <c r="D774" s="154"/>
    </row>
    <row r="775" spans="1:4" ht="15" customHeight="1">
      <c r="A775" s="564" t="s">
        <v>2803</v>
      </c>
      <c r="B775" s="651" t="s">
        <v>3555</v>
      </c>
      <c r="C775" s="574" t="s">
        <v>2809</v>
      </c>
      <c r="D775" s="154"/>
    </row>
    <row r="776" spans="1:4" ht="15" customHeight="1">
      <c r="A776" s="564" t="s">
        <v>2803</v>
      </c>
      <c r="B776" s="651" t="s">
        <v>3556</v>
      </c>
      <c r="C776" s="574" t="s">
        <v>2809</v>
      </c>
      <c r="D776" s="154"/>
    </row>
    <row r="777" spans="1:4" ht="15" customHeight="1">
      <c r="A777" s="564" t="s">
        <v>2803</v>
      </c>
      <c r="B777" s="651" t="s">
        <v>3557</v>
      </c>
      <c r="C777" s="574" t="s">
        <v>2809</v>
      </c>
      <c r="D777" s="154"/>
    </row>
    <row r="778" spans="1:4" ht="15" customHeight="1">
      <c r="A778" s="564" t="s">
        <v>2803</v>
      </c>
      <c r="B778" s="651" t="s">
        <v>3558</v>
      </c>
      <c r="C778" s="574" t="s">
        <v>2809</v>
      </c>
      <c r="D778" s="154"/>
    </row>
    <row r="779" spans="1:4" ht="15" customHeight="1">
      <c r="A779" s="564" t="s">
        <v>2803</v>
      </c>
      <c r="B779" s="651" t="s">
        <v>3559</v>
      </c>
      <c r="C779" s="574" t="s">
        <v>2809</v>
      </c>
      <c r="D779" s="154"/>
    </row>
    <row r="780" spans="1:4" ht="15" customHeight="1">
      <c r="A780" s="564" t="s">
        <v>2803</v>
      </c>
      <c r="B780" s="651" t="s">
        <v>3560</v>
      </c>
      <c r="C780" s="574" t="s">
        <v>2809</v>
      </c>
      <c r="D780" s="154"/>
    </row>
    <row r="781" spans="1:4" ht="15" customHeight="1">
      <c r="A781" s="564" t="s">
        <v>2803</v>
      </c>
      <c r="B781" s="651" t="s">
        <v>3561</v>
      </c>
      <c r="C781" s="574" t="s">
        <v>2809</v>
      </c>
      <c r="D781" s="154"/>
    </row>
    <row r="782" spans="1:4" ht="15" customHeight="1">
      <c r="A782" s="564" t="s">
        <v>2803</v>
      </c>
      <c r="B782" s="651" t="s">
        <v>3562</v>
      </c>
      <c r="C782" s="574" t="s">
        <v>2809</v>
      </c>
      <c r="D782" s="154"/>
    </row>
    <row r="783" spans="1:4" ht="15" customHeight="1">
      <c r="A783" s="564" t="s">
        <v>2803</v>
      </c>
      <c r="B783" s="651" t="s">
        <v>3563</v>
      </c>
      <c r="C783" s="574" t="s">
        <v>2809</v>
      </c>
      <c r="D783" s="154"/>
    </row>
    <row r="784" spans="1:4" ht="15" customHeight="1">
      <c r="A784" s="564" t="s">
        <v>2803</v>
      </c>
      <c r="B784" s="651" t="s">
        <v>3564</v>
      </c>
      <c r="C784" s="574" t="s">
        <v>2809</v>
      </c>
      <c r="D784" s="154"/>
    </row>
    <row r="785" spans="1:4" ht="15" customHeight="1">
      <c r="A785" s="564" t="s">
        <v>2803</v>
      </c>
      <c r="B785" s="651" t="s">
        <v>3565</v>
      </c>
      <c r="C785" s="574" t="s">
        <v>2809</v>
      </c>
      <c r="D785" s="154"/>
    </row>
    <row r="786" spans="1:4" ht="15" customHeight="1">
      <c r="A786" s="564" t="s">
        <v>2803</v>
      </c>
      <c r="B786" s="651" t="s">
        <v>3566</v>
      </c>
      <c r="C786" s="574" t="s">
        <v>2809</v>
      </c>
      <c r="D786" s="154"/>
    </row>
    <row r="787" spans="1:4" ht="15" customHeight="1">
      <c r="A787" s="564" t="s">
        <v>2803</v>
      </c>
      <c r="B787" s="651" t="s">
        <v>3567</v>
      </c>
      <c r="C787" s="574" t="s">
        <v>2809</v>
      </c>
      <c r="D787" s="154"/>
    </row>
    <row r="788" spans="1:4" ht="15" customHeight="1">
      <c r="A788" s="564" t="s">
        <v>2803</v>
      </c>
      <c r="B788" s="651" t="s">
        <v>3568</v>
      </c>
      <c r="C788" s="574" t="s">
        <v>2809</v>
      </c>
      <c r="D788" s="154"/>
    </row>
    <row r="789" spans="1:4" ht="15" customHeight="1">
      <c r="A789" s="564" t="s">
        <v>2803</v>
      </c>
      <c r="B789" s="651" t="s">
        <v>3569</v>
      </c>
      <c r="C789" s="574" t="s">
        <v>2809</v>
      </c>
      <c r="D789" s="154"/>
    </row>
    <row r="790" spans="1:4" ht="15" customHeight="1">
      <c r="A790" s="564" t="s">
        <v>2803</v>
      </c>
      <c r="B790" s="651" t="s">
        <v>3570</v>
      </c>
      <c r="C790" s="574" t="s">
        <v>2809</v>
      </c>
      <c r="D790" s="154"/>
    </row>
    <row r="791" spans="1:4" ht="15" customHeight="1">
      <c r="A791" s="564" t="s">
        <v>2803</v>
      </c>
      <c r="B791" s="651" t="s">
        <v>3571</v>
      </c>
      <c r="C791" s="574" t="s">
        <v>2809</v>
      </c>
      <c r="D791" s="154"/>
    </row>
    <row r="792" spans="1:4" ht="15" customHeight="1">
      <c r="A792" s="564" t="s">
        <v>2803</v>
      </c>
      <c r="B792" s="655" t="s">
        <v>3572</v>
      </c>
      <c r="C792" s="574" t="s">
        <v>2809</v>
      </c>
      <c r="D792" s="154"/>
    </row>
    <row r="793" spans="1:4" ht="15" customHeight="1">
      <c r="A793" s="564" t="s">
        <v>2803</v>
      </c>
      <c r="B793" s="651" t="s">
        <v>3573</v>
      </c>
      <c r="C793" s="574" t="s">
        <v>2809</v>
      </c>
      <c r="D793" s="154"/>
    </row>
    <row r="794" spans="1:4" ht="15" customHeight="1">
      <c r="A794" s="564" t="s">
        <v>2803</v>
      </c>
      <c r="B794" s="651" t="s">
        <v>3574</v>
      </c>
      <c r="C794" s="574" t="s">
        <v>2809</v>
      </c>
      <c r="D794" s="154"/>
    </row>
    <row r="795" spans="1:4" ht="15" customHeight="1">
      <c r="A795" s="564" t="s">
        <v>2803</v>
      </c>
      <c r="B795" s="651" t="s">
        <v>3575</v>
      </c>
      <c r="C795" s="574" t="s">
        <v>2809</v>
      </c>
      <c r="D795" s="154"/>
    </row>
    <row r="796" spans="1:4" ht="15" customHeight="1">
      <c r="A796" s="564" t="s">
        <v>2803</v>
      </c>
      <c r="B796" s="651" t="s">
        <v>3576</v>
      </c>
      <c r="C796" s="574" t="s">
        <v>2809</v>
      </c>
      <c r="D796" s="154"/>
    </row>
    <row r="797" spans="1:4" ht="15" customHeight="1">
      <c r="A797" s="564" t="s">
        <v>2803</v>
      </c>
      <c r="B797" s="651" t="s">
        <v>3577</v>
      </c>
      <c r="C797" s="574" t="s">
        <v>2809</v>
      </c>
      <c r="D797" s="154"/>
    </row>
    <row r="798" spans="1:4" ht="15" customHeight="1">
      <c r="A798" s="564" t="s">
        <v>2803</v>
      </c>
      <c r="B798" s="650" t="s">
        <v>3578</v>
      </c>
      <c r="C798" s="574" t="s">
        <v>2809</v>
      </c>
      <c r="D798" s="154"/>
    </row>
    <row r="799" spans="1:4" ht="15" customHeight="1">
      <c r="A799" s="564" t="s">
        <v>2803</v>
      </c>
      <c r="B799" s="651" t="s">
        <v>3579</v>
      </c>
      <c r="C799" s="574" t="s">
        <v>2809</v>
      </c>
      <c r="D799" s="154"/>
    </row>
    <row r="800" spans="1:4" ht="15" customHeight="1">
      <c r="A800" s="564" t="s">
        <v>2803</v>
      </c>
      <c r="B800" s="651" t="s">
        <v>3580</v>
      </c>
      <c r="C800" s="574" t="s">
        <v>2809</v>
      </c>
      <c r="D800" s="154"/>
    </row>
    <row r="801" spans="1:4" ht="15" customHeight="1">
      <c r="A801" s="564" t="s">
        <v>2803</v>
      </c>
      <c r="B801" s="651" t="s">
        <v>3582</v>
      </c>
      <c r="C801" s="574" t="s">
        <v>2809</v>
      </c>
      <c r="D801" s="154"/>
    </row>
    <row r="802" spans="1:4" ht="15" customHeight="1">
      <c r="A802" s="564" t="s">
        <v>2803</v>
      </c>
      <c r="B802" s="651" t="s">
        <v>3583</v>
      </c>
      <c r="C802" s="574" t="s">
        <v>2809</v>
      </c>
      <c r="D802" s="154"/>
    </row>
    <row r="803" spans="1:4" ht="15" customHeight="1">
      <c r="A803" s="564" t="s">
        <v>2803</v>
      </c>
      <c r="B803" s="651" t="s">
        <v>3584</v>
      </c>
      <c r="C803" s="574" t="s">
        <v>2809</v>
      </c>
      <c r="D803" s="154"/>
    </row>
    <row r="804" spans="1:4" ht="15" customHeight="1">
      <c r="A804" s="564" t="s">
        <v>2803</v>
      </c>
      <c r="B804" s="651" t="s">
        <v>3585</v>
      </c>
      <c r="C804" s="574" t="s">
        <v>2809</v>
      </c>
      <c r="D804" s="154"/>
    </row>
    <row r="805" spans="1:4" ht="15" customHeight="1">
      <c r="A805" s="564" t="s">
        <v>2803</v>
      </c>
      <c r="B805" s="651" t="s">
        <v>3586</v>
      </c>
      <c r="C805" s="574" t="s">
        <v>2809</v>
      </c>
      <c r="D805" s="154"/>
    </row>
    <row r="806" spans="1:4" ht="15" customHeight="1">
      <c r="A806" s="564" t="s">
        <v>2803</v>
      </c>
      <c r="B806" s="651" t="s">
        <v>3587</v>
      </c>
      <c r="C806" s="574" t="s">
        <v>2809</v>
      </c>
      <c r="D806" s="154"/>
    </row>
    <row r="807" spans="1:4" ht="15" customHeight="1">
      <c r="A807" s="564" t="s">
        <v>2803</v>
      </c>
      <c r="B807" s="651" t="s">
        <v>3588</v>
      </c>
      <c r="C807" s="574" t="s">
        <v>2809</v>
      </c>
      <c r="D807" s="154"/>
    </row>
    <row r="808" spans="1:4" ht="15" customHeight="1">
      <c r="A808" s="564" t="s">
        <v>2803</v>
      </c>
      <c r="B808" s="651" t="s">
        <v>3589</v>
      </c>
      <c r="C808" s="574" t="s">
        <v>2809</v>
      </c>
      <c r="D808" s="154"/>
    </row>
    <row r="809" spans="1:4" ht="15" customHeight="1">
      <c r="A809" s="564" t="s">
        <v>2803</v>
      </c>
      <c r="B809" s="651" t="s">
        <v>3590</v>
      </c>
      <c r="C809" s="574" t="s">
        <v>2809</v>
      </c>
      <c r="D809" s="154"/>
    </row>
    <row r="810" spans="1:4" ht="15" customHeight="1">
      <c r="A810" s="564" t="s">
        <v>2803</v>
      </c>
      <c r="B810" s="651" t="s">
        <v>3591</v>
      </c>
      <c r="C810" s="574" t="s">
        <v>2809</v>
      </c>
      <c r="D810" s="154"/>
    </row>
    <row r="811" spans="1:4" ht="15" customHeight="1">
      <c r="A811" s="564" t="s">
        <v>2803</v>
      </c>
      <c r="B811" s="651" t="s">
        <v>3593</v>
      </c>
      <c r="C811" s="574" t="s">
        <v>2809</v>
      </c>
      <c r="D811" s="154"/>
    </row>
    <row r="812" spans="1:4" ht="15" customHeight="1">
      <c r="A812" s="564" t="s">
        <v>2803</v>
      </c>
      <c r="B812" s="651" t="s">
        <v>3595</v>
      </c>
      <c r="C812" s="574" t="s">
        <v>2809</v>
      </c>
      <c r="D812" s="154"/>
    </row>
    <row r="813" spans="1:4" ht="15" customHeight="1">
      <c r="A813" s="564" t="s">
        <v>2803</v>
      </c>
      <c r="B813" s="651" t="s">
        <v>3596</v>
      </c>
      <c r="C813" s="574" t="s">
        <v>2809</v>
      </c>
      <c r="D813" s="154"/>
    </row>
    <row r="814" spans="1:4" ht="15" customHeight="1">
      <c r="A814" s="564" t="s">
        <v>2803</v>
      </c>
      <c r="B814" s="651" t="s">
        <v>3597</v>
      </c>
      <c r="C814" s="574" t="s">
        <v>2809</v>
      </c>
      <c r="D814" s="154"/>
    </row>
    <row r="815" spans="1:4" ht="15" customHeight="1">
      <c r="A815" s="564" t="s">
        <v>2803</v>
      </c>
      <c r="B815" s="651" t="s">
        <v>3598</v>
      </c>
      <c r="C815" s="574" t="s">
        <v>2809</v>
      </c>
      <c r="D815" s="154"/>
    </row>
    <row r="816" spans="1:4" ht="15" customHeight="1">
      <c r="A816" s="564" t="s">
        <v>2803</v>
      </c>
      <c r="B816" s="651" t="s">
        <v>3599</v>
      </c>
      <c r="C816" s="574" t="s">
        <v>2809</v>
      </c>
      <c r="D816" s="154"/>
    </row>
    <row r="817" spans="1:4" ht="15" customHeight="1">
      <c r="A817" s="564" t="s">
        <v>2803</v>
      </c>
      <c r="B817" s="651" t="s">
        <v>3600</v>
      </c>
      <c r="C817" s="574" t="s">
        <v>2809</v>
      </c>
      <c r="D817" s="154"/>
    </row>
    <row r="818" spans="1:4" ht="15" customHeight="1">
      <c r="A818" s="564" t="s">
        <v>2803</v>
      </c>
      <c r="B818" s="651" t="s">
        <v>3601</v>
      </c>
      <c r="C818" s="574" t="s">
        <v>2809</v>
      </c>
      <c r="D818" s="154"/>
    </row>
    <row r="819" spans="1:4" ht="15" customHeight="1">
      <c r="A819" s="564" t="s">
        <v>2803</v>
      </c>
      <c r="B819" s="651" t="s">
        <v>3602</v>
      </c>
      <c r="C819" s="574" t="s">
        <v>2809</v>
      </c>
      <c r="D819" s="154"/>
    </row>
    <row r="820" spans="1:4" ht="15" customHeight="1">
      <c r="A820" s="564" t="s">
        <v>2803</v>
      </c>
      <c r="B820" s="651" t="s">
        <v>3603</v>
      </c>
      <c r="C820" s="574" t="s">
        <v>2809</v>
      </c>
      <c r="D820" s="154"/>
    </row>
    <row r="821" spans="1:4" ht="15" customHeight="1">
      <c r="A821" s="564" t="s">
        <v>2803</v>
      </c>
      <c r="B821" s="651" t="s">
        <v>3604</v>
      </c>
      <c r="C821" s="574" t="s">
        <v>2809</v>
      </c>
      <c r="D821" s="154"/>
    </row>
    <row r="822" spans="1:4" ht="15" customHeight="1">
      <c r="A822" s="564" t="s">
        <v>2803</v>
      </c>
      <c r="B822" s="651" t="s">
        <v>3605</v>
      </c>
      <c r="C822" s="574" t="s">
        <v>2809</v>
      </c>
      <c r="D822" s="154"/>
    </row>
    <row r="823" spans="1:4" ht="15" customHeight="1">
      <c r="A823" s="564" t="s">
        <v>2803</v>
      </c>
      <c r="B823" s="651" t="s">
        <v>3606</v>
      </c>
      <c r="C823" s="574" t="s">
        <v>2809</v>
      </c>
      <c r="D823" s="154"/>
    </row>
    <row r="824" spans="1:4" ht="15" customHeight="1">
      <c r="A824" s="564" t="s">
        <v>2803</v>
      </c>
      <c r="B824" s="651" t="s">
        <v>3607</v>
      </c>
      <c r="C824" s="574" t="s">
        <v>2809</v>
      </c>
      <c r="D824" s="154"/>
    </row>
    <row r="825" spans="1:4" ht="15" customHeight="1">
      <c r="A825" s="564" t="s">
        <v>2803</v>
      </c>
      <c r="B825" s="650" t="s">
        <v>3608</v>
      </c>
      <c r="C825" s="574" t="s">
        <v>2809</v>
      </c>
      <c r="D825" s="154"/>
    </row>
    <row r="826" spans="1:4" ht="15" customHeight="1">
      <c r="A826" s="564" t="s">
        <v>2803</v>
      </c>
      <c r="B826" s="651" t="s">
        <v>3609</v>
      </c>
      <c r="C826" s="574" t="s">
        <v>2809</v>
      </c>
      <c r="D826" s="154"/>
    </row>
    <row r="827" spans="1:4" ht="15" customHeight="1">
      <c r="A827" s="564" t="s">
        <v>2803</v>
      </c>
      <c r="B827" s="651" t="s">
        <v>3610</v>
      </c>
      <c r="C827" s="574" t="s">
        <v>2809</v>
      </c>
      <c r="D827" s="154"/>
    </row>
    <row r="828" spans="1:4" ht="15" customHeight="1">
      <c r="A828" s="564" t="s">
        <v>2803</v>
      </c>
      <c r="B828" s="651" t="s">
        <v>3611</v>
      </c>
      <c r="C828" s="574" t="s">
        <v>2809</v>
      </c>
      <c r="D828" s="154"/>
    </row>
    <row r="829" spans="1:4" ht="15" customHeight="1">
      <c r="A829" s="564" t="s">
        <v>2803</v>
      </c>
      <c r="B829" s="651" t="s">
        <v>3612</v>
      </c>
      <c r="C829" s="574" t="s">
        <v>2809</v>
      </c>
      <c r="D829" s="154"/>
    </row>
    <row r="830" spans="1:4" ht="15" customHeight="1">
      <c r="A830" s="564" t="s">
        <v>2803</v>
      </c>
      <c r="B830" s="651" t="s">
        <v>3613</v>
      </c>
      <c r="C830" s="574" t="s">
        <v>2809</v>
      </c>
      <c r="D830" s="154"/>
    </row>
    <row r="831" spans="1:4" ht="15" customHeight="1">
      <c r="A831" s="564" t="s">
        <v>2803</v>
      </c>
      <c r="B831" s="651" t="s">
        <v>3614</v>
      </c>
      <c r="C831" s="574" t="s">
        <v>2809</v>
      </c>
      <c r="D831" s="154"/>
    </row>
    <row r="832" spans="1:4" ht="15" customHeight="1">
      <c r="A832" s="564" t="s">
        <v>2803</v>
      </c>
      <c r="B832" s="651" t="s">
        <v>3615</v>
      </c>
      <c r="C832" s="574" t="s">
        <v>2809</v>
      </c>
      <c r="D832" s="154"/>
    </row>
    <row r="833" spans="1:4" ht="15" customHeight="1">
      <c r="A833" s="564" t="s">
        <v>2803</v>
      </c>
      <c r="B833" s="651" t="s">
        <v>3616</v>
      </c>
      <c r="C833" s="574" t="s">
        <v>2809</v>
      </c>
      <c r="D833" s="154"/>
    </row>
    <row r="834" spans="1:4" ht="15" customHeight="1">
      <c r="A834" s="564" t="s">
        <v>2803</v>
      </c>
      <c r="B834" s="651" t="s">
        <v>3617</v>
      </c>
      <c r="C834" s="574" t="s">
        <v>2809</v>
      </c>
      <c r="D834" s="154"/>
    </row>
    <row r="835" spans="1:4" ht="15" customHeight="1">
      <c r="A835" s="564" t="s">
        <v>2803</v>
      </c>
      <c r="B835" s="651" t="s">
        <v>3618</v>
      </c>
      <c r="C835" s="574" t="s">
        <v>2809</v>
      </c>
      <c r="D835" s="154"/>
    </row>
    <row r="836" spans="1:4" ht="15" customHeight="1">
      <c r="A836" s="564" t="s">
        <v>2803</v>
      </c>
      <c r="B836" s="651" t="s">
        <v>3619</v>
      </c>
      <c r="C836" s="574" t="s">
        <v>2809</v>
      </c>
      <c r="D836" s="154"/>
    </row>
    <row r="837" spans="1:4" ht="15" customHeight="1">
      <c r="A837" s="564" t="s">
        <v>2803</v>
      </c>
      <c r="B837" s="650" t="s">
        <v>3620</v>
      </c>
      <c r="C837" s="574" t="s">
        <v>2809</v>
      </c>
      <c r="D837" s="154"/>
    </row>
    <row r="838" spans="1:4" ht="15" customHeight="1">
      <c r="A838" s="564" t="s">
        <v>2803</v>
      </c>
      <c r="B838" s="651" t="s">
        <v>3621</v>
      </c>
      <c r="C838" s="574" t="s">
        <v>2809</v>
      </c>
      <c r="D838" s="154"/>
    </row>
    <row r="839" spans="1:4" ht="15" customHeight="1">
      <c r="A839" s="564" t="s">
        <v>2803</v>
      </c>
      <c r="B839" s="651" t="s">
        <v>3622</v>
      </c>
      <c r="C839" s="574" t="s">
        <v>2809</v>
      </c>
      <c r="D839" s="154"/>
    </row>
    <row r="840" spans="1:4" ht="15" customHeight="1">
      <c r="A840" s="564" t="s">
        <v>2803</v>
      </c>
      <c r="B840" s="651" t="s">
        <v>3623</v>
      </c>
      <c r="C840" s="574" t="s">
        <v>2809</v>
      </c>
      <c r="D840" s="154"/>
    </row>
    <row r="841" spans="1:4" ht="15" customHeight="1">
      <c r="A841" s="564" t="s">
        <v>2803</v>
      </c>
      <c r="B841" s="651" t="s">
        <v>3624</v>
      </c>
      <c r="C841" s="574" t="s">
        <v>2809</v>
      </c>
      <c r="D841" s="154"/>
    </row>
    <row r="842" spans="1:4" ht="15" customHeight="1">
      <c r="A842" s="564" t="s">
        <v>2803</v>
      </c>
      <c r="B842" s="651" t="s">
        <v>3625</v>
      </c>
      <c r="C842" s="574" t="s">
        <v>2809</v>
      </c>
      <c r="D842" s="154"/>
    </row>
    <row r="843" spans="1:4" ht="15" customHeight="1">
      <c r="A843" s="564" t="s">
        <v>2803</v>
      </c>
      <c r="B843" s="651" t="s">
        <v>3626</v>
      </c>
      <c r="C843" s="574" t="s">
        <v>2809</v>
      </c>
      <c r="D843" s="154"/>
    </row>
    <row r="844" spans="1:4" ht="15" customHeight="1">
      <c r="A844" s="564" t="s">
        <v>2803</v>
      </c>
      <c r="B844" s="651" t="s">
        <v>3627</v>
      </c>
      <c r="C844" s="574" t="s">
        <v>2809</v>
      </c>
      <c r="D844" s="154"/>
    </row>
    <row r="845" spans="1:4" ht="15" customHeight="1">
      <c r="A845" s="564" t="s">
        <v>2803</v>
      </c>
      <c r="B845" s="651" t="s">
        <v>3628</v>
      </c>
      <c r="C845" s="574" t="s">
        <v>2809</v>
      </c>
      <c r="D845" s="154"/>
    </row>
    <row r="846" spans="1:4" ht="15" customHeight="1">
      <c r="A846" s="564" t="s">
        <v>2803</v>
      </c>
      <c r="B846" s="651" t="s">
        <v>3629</v>
      </c>
      <c r="C846" s="574" t="s">
        <v>2809</v>
      </c>
      <c r="D846" s="154"/>
    </row>
    <row r="847" spans="1:4" ht="15" customHeight="1">
      <c r="A847" s="564" t="s">
        <v>2803</v>
      </c>
      <c r="B847" s="651" t="s">
        <v>3630</v>
      </c>
      <c r="C847" s="574" t="s">
        <v>2809</v>
      </c>
      <c r="D847" s="154"/>
    </row>
    <row r="848" spans="1:4" ht="15" customHeight="1">
      <c r="A848" s="559" t="s">
        <v>2807</v>
      </c>
      <c r="B848" s="653" t="s">
        <v>3043</v>
      </c>
      <c r="C848" s="574" t="s">
        <v>3632</v>
      </c>
      <c r="D848" s="154"/>
    </row>
    <row r="849" spans="1:4" ht="15" customHeight="1">
      <c r="A849" s="559" t="s">
        <v>2807</v>
      </c>
      <c r="B849" s="653" t="s">
        <v>3122</v>
      </c>
      <c r="C849" s="574" t="s">
        <v>3632</v>
      </c>
      <c r="D849" s="154"/>
    </row>
    <row r="850" spans="1:4" ht="15" customHeight="1">
      <c r="A850" s="559" t="s">
        <v>2807</v>
      </c>
      <c r="B850" s="653" t="s">
        <v>3044</v>
      </c>
      <c r="C850" s="574" t="s">
        <v>3632</v>
      </c>
      <c r="D850" s="154"/>
    </row>
    <row r="851" spans="1:4" ht="15" customHeight="1">
      <c r="A851" s="559" t="s">
        <v>2807</v>
      </c>
      <c r="B851" s="653" t="s">
        <v>3045</v>
      </c>
      <c r="C851" s="574" t="s">
        <v>3632</v>
      </c>
      <c r="D851" s="154"/>
    </row>
    <row r="852" spans="1:4" ht="15" customHeight="1">
      <c r="A852" s="559" t="s">
        <v>2807</v>
      </c>
      <c r="B852" s="653" t="s">
        <v>3046</v>
      </c>
      <c r="C852" s="574" t="s">
        <v>3632</v>
      </c>
      <c r="D852" s="154"/>
    </row>
    <row r="853" spans="1:4" ht="15" customHeight="1">
      <c r="A853" s="559" t="s">
        <v>2807</v>
      </c>
      <c r="B853" s="653" t="s">
        <v>3047</v>
      </c>
      <c r="C853" s="574" t="s">
        <v>3632</v>
      </c>
      <c r="D853" s="154"/>
    </row>
    <row r="854" spans="1:4" ht="15" customHeight="1">
      <c r="A854" s="559" t="s">
        <v>2807</v>
      </c>
      <c r="B854" s="653" t="s">
        <v>3048</v>
      </c>
      <c r="C854" s="574" t="s">
        <v>3632</v>
      </c>
      <c r="D854" s="154"/>
    </row>
    <row r="855" spans="1:4" ht="15" customHeight="1">
      <c r="A855" s="559" t="s">
        <v>2807</v>
      </c>
      <c r="B855" s="653" t="s">
        <v>3049</v>
      </c>
      <c r="C855" s="574" t="s">
        <v>3632</v>
      </c>
      <c r="D855" s="154"/>
    </row>
    <row r="856" spans="1:4" ht="15" customHeight="1">
      <c r="A856" s="559" t="s">
        <v>2807</v>
      </c>
      <c r="B856" s="653" t="s">
        <v>3050</v>
      </c>
      <c r="C856" s="574" t="s">
        <v>3632</v>
      </c>
      <c r="D856" s="154"/>
    </row>
    <row r="857" spans="1:4" ht="15" customHeight="1">
      <c r="A857" s="559" t="s">
        <v>2807</v>
      </c>
      <c r="B857" s="653" t="s">
        <v>3051</v>
      </c>
      <c r="C857" s="574" t="s">
        <v>3632</v>
      </c>
      <c r="D857" s="154"/>
    </row>
    <row r="858" spans="1:4" ht="15" customHeight="1">
      <c r="A858" s="559" t="s">
        <v>2807</v>
      </c>
      <c r="B858" s="653" t="s">
        <v>3052</v>
      </c>
      <c r="C858" s="574" t="s">
        <v>3632</v>
      </c>
      <c r="D858" s="154"/>
    </row>
    <row r="859" spans="1:4" ht="15" customHeight="1">
      <c r="A859" s="559" t="s">
        <v>2807</v>
      </c>
      <c r="B859" s="653" t="s">
        <v>3053</v>
      </c>
      <c r="C859" s="574" t="s">
        <v>3632</v>
      </c>
      <c r="D859" s="154"/>
    </row>
    <row r="860" spans="1:4" ht="15" customHeight="1">
      <c r="A860" s="559" t="s">
        <v>2807</v>
      </c>
      <c r="B860" s="653" t="s">
        <v>3054</v>
      </c>
      <c r="C860" s="574" t="s">
        <v>3632</v>
      </c>
      <c r="D860" s="154"/>
    </row>
    <row r="861" spans="1:4" ht="15" customHeight="1">
      <c r="A861" s="559" t="s">
        <v>2807</v>
      </c>
      <c r="B861" s="653" t="s">
        <v>3055</v>
      </c>
      <c r="C861" s="574" t="s">
        <v>3632</v>
      </c>
      <c r="D861" s="154"/>
    </row>
    <row r="862" spans="1:4" ht="15" customHeight="1">
      <c r="A862" s="559" t="s">
        <v>2807</v>
      </c>
      <c r="B862" s="653" t="s">
        <v>3056</v>
      </c>
      <c r="C862" s="574" t="s">
        <v>3632</v>
      </c>
      <c r="D862" s="154"/>
    </row>
    <row r="863" spans="1:4" ht="15" customHeight="1">
      <c r="A863" s="559" t="s">
        <v>2807</v>
      </c>
      <c r="B863" s="653" t="s">
        <v>3057</v>
      </c>
      <c r="C863" s="574" t="s">
        <v>3632</v>
      </c>
      <c r="D863" s="154"/>
    </row>
    <row r="864" spans="1:4" ht="15" customHeight="1">
      <c r="A864" s="559" t="s">
        <v>2807</v>
      </c>
      <c r="B864" s="654" t="s">
        <v>3344</v>
      </c>
      <c r="C864" s="574" t="s">
        <v>3632</v>
      </c>
      <c r="D864" s="154"/>
    </row>
    <row r="865" spans="1:4" ht="15" customHeight="1">
      <c r="A865" s="559" t="s">
        <v>2807</v>
      </c>
      <c r="B865" s="653" t="s">
        <v>3059</v>
      </c>
      <c r="C865" s="574" t="s">
        <v>3632</v>
      </c>
      <c r="D865" s="154"/>
    </row>
    <row r="866" spans="1:4" ht="15" customHeight="1">
      <c r="A866" s="559" t="s">
        <v>2807</v>
      </c>
      <c r="B866" s="653" t="s">
        <v>3060</v>
      </c>
      <c r="C866" s="574" t="s">
        <v>3632</v>
      </c>
      <c r="D866" s="154"/>
    </row>
    <row r="867" spans="1:4" ht="15" customHeight="1">
      <c r="A867" s="559" t="s">
        <v>2807</v>
      </c>
      <c r="B867" s="653" t="s">
        <v>3061</v>
      </c>
      <c r="C867" s="574" t="s">
        <v>3632</v>
      </c>
      <c r="D867" s="154"/>
    </row>
    <row r="868" spans="1:4" ht="15" customHeight="1">
      <c r="A868" s="559" t="s">
        <v>2807</v>
      </c>
      <c r="B868" s="653" t="s">
        <v>3062</v>
      </c>
      <c r="C868" s="574" t="s">
        <v>3632</v>
      </c>
      <c r="D868" s="154"/>
    </row>
    <row r="869" spans="1:4" ht="15" customHeight="1">
      <c r="A869" s="559" t="s">
        <v>2807</v>
      </c>
      <c r="B869" s="653" t="s">
        <v>3063</v>
      </c>
      <c r="C869" s="574" t="s">
        <v>3632</v>
      </c>
      <c r="D869" s="154"/>
    </row>
    <row r="870" spans="1:4" ht="15" customHeight="1">
      <c r="A870" s="559" t="s">
        <v>2807</v>
      </c>
      <c r="B870" s="653" t="s">
        <v>3064</v>
      </c>
      <c r="C870" s="574" t="s">
        <v>3632</v>
      </c>
      <c r="D870" s="154"/>
    </row>
    <row r="871" spans="1:4" ht="15" customHeight="1">
      <c r="A871" s="559" t="s">
        <v>2807</v>
      </c>
      <c r="B871" s="653" t="s">
        <v>3065</v>
      </c>
      <c r="C871" s="574" t="s">
        <v>3632</v>
      </c>
      <c r="D871" s="154"/>
    </row>
    <row r="872" spans="1:4" ht="15" customHeight="1">
      <c r="A872" s="559" t="s">
        <v>2807</v>
      </c>
      <c r="B872" s="654" t="s">
        <v>3066</v>
      </c>
      <c r="C872" s="574" t="s">
        <v>3632</v>
      </c>
      <c r="D872" s="154"/>
    </row>
    <row r="873" spans="1:4" ht="15" customHeight="1">
      <c r="A873" s="559" t="s">
        <v>2807</v>
      </c>
      <c r="B873" s="653" t="s">
        <v>3067</v>
      </c>
      <c r="C873" s="574" t="s">
        <v>3632</v>
      </c>
      <c r="D873" s="154"/>
    </row>
    <row r="874" spans="1:4" ht="15" customHeight="1">
      <c r="A874" s="559" t="s">
        <v>2807</v>
      </c>
      <c r="B874" s="653" t="s">
        <v>3068</v>
      </c>
      <c r="C874" s="574" t="s">
        <v>3632</v>
      </c>
      <c r="D874" s="154"/>
    </row>
    <row r="875" spans="1:4" ht="15" customHeight="1">
      <c r="A875" s="559" t="s">
        <v>2807</v>
      </c>
      <c r="B875" s="653" t="s">
        <v>3069</v>
      </c>
      <c r="C875" s="574" t="s">
        <v>3632</v>
      </c>
      <c r="D875" s="154"/>
    </row>
    <row r="876" spans="1:4" ht="15" customHeight="1">
      <c r="A876" s="559" t="s">
        <v>2807</v>
      </c>
      <c r="B876" s="653" t="s">
        <v>3070</v>
      </c>
      <c r="C876" s="574" t="s">
        <v>3632</v>
      </c>
      <c r="D876" s="154"/>
    </row>
    <row r="877" spans="1:4" ht="15" customHeight="1">
      <c r="A877" s="559" t="s">
        <v>2807</v>
      </c>
      <c r="B877" s="653" t="s">
        <v>3071</v>
      </c>
      <c r="C877" s="574" t="s">
        <v>3632</v>
      </c>
      <c r="D877" s="154"/>
    </row>
    <row r="878" spans="1:4" ht="15" customHeight="1">
      <c r="A878" s="559" t="s">
        <v>2807</v>
      </c>
      <c r="B878" s="653" t="s">
        <v>5789</v>
      </c>
      <c r="C878" s="574" t="s">
        <v>3632</v>
      </c>
      <c r="D878" s="154"/>
    </row>
    <row r="879" spans="1:4" ht="15" customHeight="1">
      <c r="A879" s="559" t="s">
        <v>2807</v>
      </c>
      <c r="B879" s="653" t="s">
        <v>3072</v>
      </c>
      <c r="C879" s="574" t="s">
        <v>3632</v>
      </c>
      <c r="D879" s="154"/>
    </row>
    <row r="880" spans="1:4" ht="15" customHeight="1">
      <c r="A880" s="559" t="s">
        <v>2807</v>
      </c>
      <c r="B880" s="653" t="s">
        <v>3073</v>
      </c>
      <c r="C880" s="574" t="s">
        <v>3632</v>
      </c>
      <c r="D880" s="154"/>
    </row>
    <row r="881" spans="1:4" ht="15" customHeight="1">
      <c r="A881" s="559" t="s">
        <v>2807</v>
      </c>
      <c r="B881" s="653" t="s">
        <v>3074</v>
      </c>
      <c r="C881" s="574" t="s">
        <v>3632</v>
      </c>
      <c r="D881" s="154"/>
    </row>
    <row r="882" spans="1:4" ht="15" customHeight="1">
      <c r="A882" s="559" t="s">
        <v>2807</v>
      </c>
      <c r="B882" s="653" t="s">
        <v>3075</v>
      </c>
      <c r="C882" s="574" t="s">
        <v>3632</v>
      </c>
      <c r="D882" s="154"/>
    </row>
    <row r="883" spans="1:4" ht="15" customHeight="1">
      <c r="A883" s="559" t="s">
        <v>2807</v>
      </c>
      <c r="B883" s="653" t="s">
        <v>3076</v>
      </c>
      <c r="C883" s="574" t="s">
        <v>3632</v>
      </c>
      <c r="D883" s="154"/>
    </row>
    <row r="884" spans="1:4" ht="15" customHeight="1">
      <c r="A884" s="559" t="s">
        <v>2807</v>
      </c>
      <c r="B884" s="653" t="s">
        <v>3077</v>
      </c>
      <c r="C884" s="574" t="s">
        <v>3632</v>
      </c>
      <c r="D884" s="154"/>
    </row>
    <row r="885" spans="1:4" ht="15" customHeight="1">
      <c r="A885" s="559" t="s">
        <v>2807</v>
      </c>
      <c r="B885" s="653" t="s">
        <v>3058</v>
      </c>
      <c r="C885" s="574" t="s">
        <v>3632</v>
      </c>
      <c r="D885" s="154"/>
    </row>
    <row r="886" spans="1:4" ht="15" customHeight="1">
      <c r="A886" s="559" t="s">
        <v>2807</v>
      </c>
      <c r="B886" s="653" t="s">
        <v>3078</v>
      </c>
      <c r="C886" s="574" t="s">
        <v>3632</v>
      </c>
      <c r="D886" s="154"/>
    </row>
    <row r="887" spans="1:4" ht="15" customHeight="1">
      <c r="A887" s="559" t="s">
        <v>2807</v>
      </c>
      <c r="B887" s="653" t="s">
        <v>3079</v>
      </c>
      <c r="C887" s="574" t="s">
        <v>3632</v>
      </c>
      <c r="D887" s="154"/>
    </row>
    <row r="888" spans="1:4" ht="15" customHeight="1">
      <c r="A888" s="559" t="s">
        <v>2807</v>
      </c>
      <c r="B888" s="653" t="s">
        <v>3080</v>
      </c>
      <c r="C888" s="574" t="s">
        <v>3632</v>
      </c>
      <c r="D888" s="154"/>
    </row>
    <row r="889" spans="1:4" ht="15" customHeight="1">
      <c r="A889" s="559" t="s">
        <v>2807</v>
      </c>
      <c r="B889" s="653" t="s">
        <v>3081</v>
      </c>
      <c r="C889" s="574" t="s">
        <v>3632</v>
      </c>
      <c r="D889" s="154"/>
    </row>
    <row r="890" spans="1:4" ht="15" customHeight="1">
      <c r="A890" s="559" t="s">
        <v>2807</v>
      </c>
      <c r="B890" s="653" t="s">
        <v>3082</v>
      </c>
      <c r="C890" s="574" t="s">
        <v>3632</v>
      </c>
      <c r="D890" s="154"/>
    </row>
    <row r="891" spans="1:4" ht="15" customHeight="1">
      <c r="A891" s="559" t="s">
        <v>2807</v>
      </c>
      <c r="B891" s="653" t="s">
        <v>3083</v>
      </c>
      <c r="C891" s="574" t="s">
        <v>3632</v>
      </c>
      <c r="D891" s="154"/>
    </row>
    <row r="892" spans="1:4" ht="15" customHeight="1">
      <c r="A892" s="559" t="s">
        <v>2807</v>
      </c>
      <c r="B892" s="653" t="s">
        <v>3084</v>
      </c>
      <c r="C892" s="574" t="s">
        <v>3632</v>
      </c>
      <c r="D892" s="154"/>
    </row>
    <row r="893" spans="1:4" ht="15" customHeight="1">
      <c r="A893" s="559" t="s">
        <v>2807</v>
      </c>
      <c r="B893" s="653" t="s">
        <v>3085</v>
      </c>
      <c r="C893" s="574" t="s">
        <v>3632</v>
      </c>
      <c r="D893" s="154"/>
    </row>
    <row r="894" spans="1:4" ht="15" customHeight="1">
      <c r="A894" s="559" t="s">
        <v>2807</v>
      </c>
      <c r="B894" s="654" t="s">
        <v>3086</v>
      </c>
      <c r="C894" s="574" t="s">
        <v>3632</v>
      </c>
      <c r="D894" s="154"/>
    </row>
    <row r="895" spans="1:4" ht="15" customHeight="1">
      <c r="A895" s="559" t="s">
        <v>2807</v>
      </c>
      <c r="B895" s="653" t="s">
        <v>3087</v>
      </c>
      <c r="C895" s="574" t="s">
        <v>3632</v>
      </c>
      <c r="D895" s="154"/>
    </row>
    <row r="896" spans="1:4" ht="15" customHeight="1">
      <c r="A896" s="559" t="s">
        <v>2807</v>
      </c>
      <c r="B896" s="654" t="s">
        <v>5790</v>
      </c>
      <c r="C896" s="574" t="s">
        <v>3632</v>
      </c>
      <c r="D896" s="154"/>
    </row>
    <row r="897" spans="1:4" ht="15" customHeight="1">
      <c r="A897" s="559" t="s">
        <v>2807</v>
      </c>
      <c r="B897" s="653" t="s">
        <v>3088</v>
      </c>
      <c r="C897" s="574" t="s">
        <v>3632</v>
      </c>
      <c r="D897" s="154"/>
    </row>
    <row r="898" spans="1:4" ht="15" customHeight="1">
      <c r="A898" s="559" t="s">
        <v>2807</v>
      </c>
      <c r="B898" s="653" t="s">
        <v>3089</v>
      </c>
      <c r="C898" s="574" t="s">
        <v>3632</v>
      </c>
      <c r="D898" s="154"/>
    </row>
    <row r="899" spans="1:4" ht="15" customHeight="1">
      <c r="A899" s="559" t="s">
        <v>2807</v>
      </c>
      <c r="B899" s="653" t="s">
        <v>3090</v>
      </c>
      <c r="C899" s="574" t="s">
        <v>3632</v>
      </c>
      <c r="D899" s="154"/>
    </row>
    <row r="900" spans="1:4" ht="15" customHeight="1">
      <c r="A900" s="559" t="s">
        <v>2807</v>
      </c>
      <c r="B900" s="653" t="s">
        <v>3091</v>
      </c>
      <c r="C900" s="574" t="s">
        <v>3632</v>
      </c>
      <c r="D900" s="154"/>
    </row>
    <row r="901" spans="1:4" ht="15" customHeight="1">
      <c r="A901" s="559" t="s">
        <v>2807</v>
      </c>
      <c r="B901" s="653" t="s">
        <v>3092</v>
      </c>
      <c r="C901" s="574" t="s">
        <v>3632</v>
      </c>
      <c r="D901" s="154"/>
    </row>
    <row r="902" spans="1:4" ht="15" customHeight="1">
      <c r="A902" s="559" t="s">
        <v>2807</v>
      </c>
      <c r="B902" s="653" t="s">
        <v>3093</v>
      </c>
      <c r="C902" s="574" t="s">
        <v>3632</v>
      </c>
      <c r="D902" s="154"/>
    </row>
    <row r="903" spans="1:4" ht="15" customHeight="1">
      <c r="A903" s="559" t="s">
        <v>2807</v>
      </c>
      <c r="B903" s="653" t="s">
        <v>3097</v>
      </c>
      <c r="C903" s="574" t="s">
        <v>3632</v>
      </c>
      <c r="D903" s="154"/>
    </row>
    <row r="904" spans="1:4" ht="15" customHeight="1">
      <c r="A904" s="559" t="s">
        <v>2807</v>
      </c>
      <c r="B904" s="653" t="s">
        <v>3094</v>
      </c>
      <c r="C904" s="574" t="s">
        <v>3632</v>
      </c>
      <c r="D904" s="154"/>
    </row>
    <row r="905" spans="1:4" ht="15" customHeight="1">
      <c r="A905" s="559" t="s">
        <v>2807</v>
      </c>
      <c r="B905" s="653" t="s">
        <v>3095</v>
      </c>
      <c r="C905" s="574" t="s">
        <v>3632</v>
      </c>
      <c r="D905" s="154"/>
    </row>
    <row r="906" spans="1:4" ht="15" customHeight="1">
      <c r="A906" s="559" t="s">
        <v>2807</v>
      </c>
      <c r="B906" s="653" t="s">
        <v>3096</v>
      </c>
      <c r="C906" s="574" t="s">
        <v>3632</v>
      </c>
      <c r="D906" s="154"/>
    </row>
    <row r="907" spans="1:4" ht="15" customHeight="1">
      <c r="A907" s="559" t="s">
        <v>2807</v>
      </c>
      <c r="B907" s="653" t="s">
        <v>3098</v>
      </c>
      <c r="C907" s="574" t="s">
        <v>3632</v>
      </c>
      <c r="D907" s="154"/>
    </row>
    <row r="908" spans="1:4" ht="15" customHeight="1">
      <c r="A908" s="559" t="s">
        <v>2807</v>
      </c>
      <c r="B908" s="653" t="s">
        <v>3099</v>
      </c>
      <c r="C908" s="574" t="s">
        <v>3632</v>
      </c>
      <c r="D908" s="154"/>
    </row>
    <row r="909" spans="1:4" ht="15" customHeight="1">
      <c r="A909" s="559" t="s">
        <v>2807</v>
      </c>
      <c r="B909" s="653" t="s">
        <v>3100</v>
      </c>
      <c r="C909" s="574" t="s">
        <v>3632</v>
      </c>
      <c r="D909" s="154"/>
    </row>
    <row r="910" spans="1:4" ht="15" customHeight="1">
      <c r="A910" s="559" t="s">
        <v>2807</v>
      </c>
      <c r="B910" s="653" t="s">
        <v>3101</v>
      </c>
      <c r="C910" s="574" t="s">
        <v>3632</v>
      </c>
      <c r="D910" s="154"/>
    </row>
    <row r="911" spans="1:4" ht="15" customHeight="1">
      <c r="A911" s="559" t="s">
        <v>2807</v>
      </c>
      <c r="B911" s="653" t="s">
        <v>3102</v>
      </c>
      <c r="C911" s="574" t="s">
        <v>3632</v>
      </c>
      <c r="D911" s="154"/>
    </row>
    <row r="912" spans="1:4" ht="15" customHeight="1">
      <c r="A912" s="559" t="s">
        <v>2807</v>
      </c>
      <c r="B912" s="653" t="s">
        <v>3103</v>
      </c>
      <c r="C912" s="574" t="s">
        <v>3632</v>
      </c>
      <c r="D912" s="154"/>
    </row>
    <row r="913" spans="1:4" ht="15" customHeight="1">
      <c r="A913" s="559" t="s">
        <v>2807</v>
      </c>
      <c r="B913" s="653" t="s">
        <v>3104</v>
      </c>
      <c r="C913" s="574" t="s">
        <v>3632</v>
      </c>
      <c r="D913" s="154"/>
    </row>
    <row r="914" spans="1:4" ht="15" customHeight="1">
      <c r="A914" s="559" t="s">
        <v>2807</v>
      </c>
      <c r="B914" s="653" t="s">
        <v>3105</v>
      </c>
      <c r="C914" s="574" t="s">
        <v>3632</v>
      </c>
      <c r="D914" s="154"/>
    </row>
    <row r="915" spans="1:4" ht="15" customHeight="1">
      <c r="A915" s="559" t="s">
        <v>2807</v>
      </c>
      <c r="B915" s="653" t="s">
        <v>3106</v>
      </c>
      <c r="C915" s="574" t="s">
        <v>3632</v>
      </c>
      <c r="D915" s="154"/>
    </row>
    <row r="916" spans="1:4" ht="15" customHeight="1">
      <c r="A916" s="559" t="s">
        <v>2807</v>
      </c>
      <c r="B916" s="653" t="s">
        <v>3107</v>
      </c>
      <c r="C916" s="574" t="s">
        <v>3632</v>
      </c>
      <c r="D916" s="154"/>
    </row>
    <row r="917" spans="1:4" ht="15" customHeight="1">
      <c r="A917" s="559" t="s">
        <v>2807</v>
      </c>
      <c r="B917" s="653" t="s">
        <v>3108</v>
      </c>
      <c r="C917" s="574" t="s">
        <v>3632</v>
      </c>
      <c r="D917" s="154"/>
    </row>
    <row r="918" spans="1:4" ht="15" customHeight="1">
      <c r="A918" s="559" t="s">
        <v>2807</v>
      </c>
      <c r="B918" s="653" t="s">
        <v>3109</v>
      </c>
      <c r="C918" s="574" t="s">
        <v>3632</v>
      </c>
      <c r="D918" s="154"/>
    </row>
    <row r="919" spans="1:4" ht="15" customHeight="1">
      <c r="A919" s="559" t="s">
        <v>2807</v>
      </c>
      <c r="B919" s="653" t="s">
        <v>3110</v>
      </c>
      <c r="C919" s="574" t="s">
        <v>3632</v>
      </c>
      <c r="D919" s="154"/>
    </row>
    <row r="920" spans="1:4" ht="15" customHeight="1">
      <c r="A920" s="559" t="s">
        <v>2807</v>
      </c>
      <c r="B920" s="653" t="s">
        <v>3111</v>
      </c>
      <c r="C920" s="574" t="s">
        <v>3632</v>
      </c>
      <c r="D920" s="154"/>
    </row>
    <row r="921" spans="1:4" ht="15" customHeight="1">
      <c r="A921" s="559" t="s">
        <v>2807</v>
      </c>
      <c r="B921" s="653" t="s">
        <v>3112</v>
      </c>
      <c r="C921" s="574" t="s">
        <v>3632</v>
      </c>
      <c r="D921" s="154"/>
    </row>
    <row r="922" spans="1:4" ht="15" customHeight="1">
      <c r="A922" s="559" t="s">
        <v>2807</v>
      </c>
      <c r="B922" s="653" t="s">
        <v>3113</v>
      </c>
      <c r="C922" s="574" t="s">
        <v>3632</v>
      </c>
      <c r="D922" s="154"/>
    </row>
    <row r="923" spans="1:4" ht="15" customHeight="1">
      <c r="A923" s="559" t="s">
        <v>2807</v>
      </c>
      <c r="B923" s="653" t="s">
        <v>3114</v>
      </c>
      <c r="C923" s="574" t="s">
        <v>3632</v>
      </c>
      <c r="D923" s="154"/>
    </row>
    <row r="924" spans="1:4" ht="15" customHeight="1">
      <c r="A924" s="559" t="s">
        <v>2807</v>
      </c>
      <c r="B924" s="653" t="s">
        <v>3115</v>
      </c>
      <c r="C924" s="574" t="s">
        <v>3632</v>
      </c>
      <c r="D924" s="154"/>
    </row>
    <row r="925" spans="1:4" ht="15" customHeight="1">
      <c r="A925" s="559" t="s">
        <v>2807</v>
      </c>
      <c r="B925" s="653" t="s">
        <v>3120</v>
      </c>
      <c r="C925" s="574" t="s">
        <v>3632</v>
      </c>
      <c r="D925" s="154"/>
    </row>
    <row r="926" spans="1:4" ht="15" customHeight="1">
      <c r="A926" s="559" t="s">
        <v>2807</v>
      </c>
      <c r="B926" s="653" t="s">
        <v>3116</v>
      </c>
      <c r="C926" s="574" t="s">
        <v>3632</v>
      </c>
      <c r="D926" s="154"/>
    </row>
    <row r="927" spans="1:4" ht="15" customHeight="1">
      <c r="A927" s="559" t="s">
        <v>2807</v>
      </c>
      <c r="B927" s="653" t="s">
        <v>3117</v>
      </c>
      <c r="C927" s="574" t="s">
        <v>3632</v>
      </c>
      <c r="D927" s="154"/>
    </row>
    <row r="928" spans="1:4" ht="15" customHeight="1">
      <c r="A928" s="559" t="s">
        <v>2807</v>
      </c>
      <c r="B928" s="653" t="s">
        <v>3118</v>
      </c>
      <c r="C928" s="574" t="s">
        <v>3632</v>
      </c>
      <c r="D928" s="154"/>
    </row>
    <row r="929" spans="1:4" ht="15" customHeight="1">
      <c r="A929" s="559" t="s">
        <v>2807</v>
      </c>
      <c r="B929" s="653" t="s">
        <v>3119</v>
      </c>
      <c r="C929" s="574" t="s">
        <v>3632</v>
      </c>
      <c r="D929" s="154"/>
    </row>
    <row r="930" spans="1:4" ht="15" customHeight="1">
      <c r="A930" s="559" t="s">
        <v>2807</v>
      </c>
      <c r="B930" s="653" t="s">
        <v>3275</v>
      </c>
      <c r="C930" s="574" t="s">
        <v>3632</v>
      </c>
      <c r="D930" s="154"/>
    </row>
    <row r="931" spans="1:4" ht="15" customHeight="1">
      <c r="A931" s="559" t="s">
        <v>2807</v>
      </c>
      <c r="B931" s="653" t="s">
        <v>3121</v>
      </c>
      <c r="C931" s="574" t="s">
        <v>3632</v>
      </c>
      <c r="D931" s="154"/>
    </row>
    <row r="932" spans="1:4" ht="15" customHeight="1">
      <c r="A932" s="559" t="s">
        <v>2807</v>
      </c>
      <c r="B932" s="653" t="s">
        <v>3263</v>
      </c>
      <c r="C932" s="574" t="s">
        <v>3632</v>
      </c>
      <c r="D932" s="154"/>
    </row>
    <row r="933" spans="1:4" ht="15" customHeight="1">
      <c r="A933" s="559"/>
      <c r="B933" s="559"/>
      <c r="C933" s="574"/>
      <c r="D933" s="154"/>
    </row>
    <row r="934" spans="1:4" ht="15" customHeight="1">
      <c r="A934" s="552"/>
      <c r="B934" s="570" t="s">
        <v>3676</v>
      </c>
      <c r="C934" s="574"/>
      <c r="D934" s="154"/>
    </row>
    <row r="935" spans="1:4" ht="15" customHeight="1">
      <c r="A935" s="562"/>
      <c r="B935" s="564"/>
      <c r="C935" s="574"/>
      <c r="D935" s="154"/>
    </row>
    <row r="936" spans="1:4" ht="15" customHeight="1">
      <c r="A936" s="572" t="s">
        <v>3677</v>
      </c>
      <c r="B936" s="573" t="s">
        <v>3678</v>
      </c>
      <c r="C936" s="574"/>
      <c r="D936" s="154"/>
    </row>
    <row r="937" spans="1:4" ht="15" customHeight="1">
      <c r="A937" s="553" t="s">
        <v>2781</v>
      </c>
      <c r="B937" s="553" t="s">
        <v>3679</v>
      </c>
      <c r="C937" s="574" t="s">
        <v>2794</v>
      </c>
      <c r="D937" s="154"/>
    </row>
    <row r="938" spans="1:4" ht="15" customHeight="1">
      <c r="A938" s="555" t="s">
        <v>2782</v>
      </c>
      <c r="B938" s="555" t="s">
        <v>3680</v>
      </c>
      <c r="C938" s="574" t="s">
        <v>2802</v>
      </c>
      <c r="D938" s="154"/>
    </row>
    <row r="939" spans="1:4" ht="15" customHeight="1">
      <c r="A939" s="555" t="s">
        <v>2782</v>
      </c>
      <c r="B939" s="555" t="s">
        <v>3681</v>
      </c>
      <c r="C939" s="574" t="s">
        <v>2802</v>
      </c>
      <c r="D939" s="154"/>
    </row>
    <row r="940" spans="1:4" ht="15" customHeight="1">
      <c r="A940" s="556" t="s">
        <v>2796</v>
      </c>
      <c r="B940" s="556" t="s">
        <v>3682</v>
      </c>
      <c r="C940" s="574" t="s">
        <v>2805</v>
      </c>
      <c r="D940" s="154"/>
    </row>
    <row r="941" spans="1:4" ht="15" customHeight="1">
      <c r="A941" s="556" t="s">
        <v>2796</v>
      </c>
      <c r="B941" s="556" t="s">
        <v>3683</v>
      </c>
      <c r="C941" s="574" t="s">
        <v>2805</v>
      </c>
      <c r="D941" s="154"/>
    </row>
    <row r="942" spans="1:4" ht="15" customHeight="1">
      <c r="A942" s="557" t="s">
        <v>2800</v>
      </c>
      <c r="B942" s="557" t="s">
        <v>3684</v>
      </c>
      <c r="C942" s="574" t="s">
        <v>2875</v>
      </c>
      <c r="D942" s="154"/>
    </row>
    <row r="943" spans="1:4" ht="15" customHeight="1">
      <c r="A943" s="557" t="s">
        <v>2800</v>
      </c>
      <c r="B943" s="557" t="s">
        <v>3685</v>
      </c>
      <c r="C943" s="574" t="s">
        <v>2875</v>
      </c>
      <c r="D943" s="154"/>
    </row>
    <row r="944" spans="1:4" ht="15" customHeight="1">
      <c r="A944" s="558" t="s">
        <v>2803</v>
      </c>
      <c r="B944" s="558" t="s">
        <v>3686</v>
      </c>
      <c r="C944" s="574" t="s">
        <v>2998</v>
      </c>
      <c r="D944" s="154"/>
    </row>
    <row r="945" spans="1:4" ht="15" customHeight="1">
      <c r="A945" s="558" t="s">
        <v>2803</v>
      </c>
      <c r="B945" s="558" t="s">
        <v>3687</v>
      </c>
      <c r="C945" s="574" t="s">
        <v>2998</v>
      </c>
      <c r="D945" s="154"/>
    </row>
    <row r="946" spans="1:4" ht="15" customHeight="1">
      <c r="A946" s="559" t="s">
        <v>2807</v>
      </c>
      <c r="B946" s="559" t="s">
        <v>3688</v>
      </c>
      <c r="C946" s="574" t="s">
        <v>2809</v>
      </c>
      <c r="D946" s="154"/>
    </row>
    <row r="947" spans="1:4" ht="15" customHeight="1">
      <c r="A947" s="642"/>
      <c r="B947" s="642"/>
      <c r="C947" s="642"/>
      <c r="D947" s="154"/>
    </row>
    <row r="948" spans="1:4" ht="15" customHeight="1">
      <c r="A948" s="642"/>
      <c r="B948" s="642"/>
      <c r="C948" s="642"/>
      <c r="D948" s="154"/>
    </row>
    <row r="949" spans="1:4" ht="15" customHeight="1">
      <c r="A949" s="642"/>
      <c r="B949" s="642"/>
      <c r="C949" s="642"/>
      <c r="D949" s="154"/>
    </row>
    <row r="950" spans="1:4" ht="15" customHeight="1">
      <c r="A950" s="642"/>
      <c r="B950" s="642"/>
      <c r="C950" s="642"/>
      <c r="D950" s="154"/>
    </row>
    <row r="951" spans="1:4" ht="15" customHeight="1">
      <c r="A951" s="642"/>
      <c r="B951" s="642"/>
      <c r="C951" s="642"/>
      <c r="D951" s="154"/>
    </row>
    <row r="952" spans="1:4" ht="15" customHeight="1">
      <c r="A952" s="642"/>
      <c r="B952" s="642"/>
      <c r="C952" s="642"/>
      <c r="D952" s="154"/>
    </row>
    <row r="953" spans="1:4" ht="15" customHeight="1">
      <c r="A953" s="642"/>
      <c r="B953" s="642"/>
      <c r="C953" s="642"/>
      <c r="D953" s="154"/>
    </row>
    <row r="954" spans="1:4" ht="15" customHeight="1">
      <c r="A954" s="642"/>
      <c r="B954" s="642"/>
      <c r="C954" s="642"/>
      <c r="D954" s="154"/>
    </row>
    <row r="955" spans="1:4" ht="15" customHeight="1">
      <c r="A955" s="642"/>
      <c r="B955" s="642"/>
      <c r="C955" s="642"/>
      <c r="D955" s="154"/>
    </row>
    <row r="956" spans="1:4" ht="15" customHeight="1">
      <c r="A956" s="642"/>
      <c r="B956" s="642"/>
      <c r="C956" s="642"/>
      <c r="D956" s="154"/>
    </row>
    <row r="957" spans="1:4" ht="15" customHeight="1">
      <c r="A957" s="642"/>
      <c r="B957" s="642"/>
      <c r="C957" s="642"/>
      <c r="D957" s="154"/>
    </row>
    <row r="958" spans="1:4" ht="15" customHeight="1">
      <c r="A958" s="642"/>
      <c r="B958" s="642"/>
      <c r="C958" s="642"/>
      <c r="D958" s="154"/>
    </row>
    <row r="959" spans="1:4" ht="15" customHeight="1">
      <c r="A959" s="642"/>
      <c r="B959" s="642"/>
      <c r="C959" s="642"/>
      <c r="D959" s="154"/>
    </row>
    <row r="960" spans="1:4" ht="15" customHeight="1">
      <c r="A960" s="642"/>
      <c r="B960" s="642"/>
      <c r="C960" s="642"/>
      <c r="D960" s="154"/>
    </row>
    <row r="961" spans="1:4" ht="15" customHeight="1">
      <c r="A961" s="642"/>
      <c r="B961" s="642"/>
      <c r="C961" s="642"/>
      <c r="D961" s="154"/>
    </row>
    <row r="962" spans="1:4" ht="15" customHeight="1">
      <c r="A962" s="642"/>
      <c r="B962" s="642"/>
      <c r="C962" s="642"/>
      <c r="D962" s="154"/>
    </row>
    <row r="963" spans="1:4" ht="15" customHeight="1">
      <c r="A963" s="642"/>
      <c r="B963" s="642"/>
      <c r="C963" s="642"/>
      <c r="D963" s="154"/>
    </row>
    <row r="964" spans="1:4" ht="15" customHeight="1">
      <c r="A964" s="642"/>
      <c r="B964" s="642"/>
      <c r="C964" s="642"/>
      <c r="D964" s="154"/>
    </row>
    <row r="965" spans="1:4" ht="15" customHeight="1">
      <c r="A965" s="642"/>
      <c r="B965" s="642"/>
      <c r="C965" s="642"/>
      <c r="D965" s="154"/>
    </row>
    <row r="966" spans="1:4" ht="15" customHeight="1">
      <c r="A966" s="642"/>
      <c r="B966" s="642"/>
      <c r="C966" s="642"/>
      <c r="D966" s="154"/>
    </row>
    <row r="967" spans="1:4" ht="15" customHeight="1">
      <c r="A967" s="642"/>
      <c r="B967" s="642"/>
      <c r="C967" s="642"/>
      <c r="D967" s="154"/>
    </row>
    <row r="968" spans="1:4" ht="15" customHeight="1">
      <c r="A968" s="642"/>
      <c r="B968" s="642"/>
      <c r="C968" s="642"/>
      <c r="D968" s="154"/>
    </row>
    <row r="969" spans="1:4" ht="15" customHeight="1">
      <c r="A969" s="642"/>
      <c r="B969" s="642"/>
      <c r="C969" s="642"/>
      <c r="D969" s="154"/>
    </row>
    <row r="970" spans="1:4" ht="15" customHeight="1">
      <c r="A970" s="642"/>
      <c r="B970" s="642"/>
      <c r="C970" s="642"/>
      <c r="D970" s="154"/>
    </row>
    <row r="971" spans="1:4" ht="15" customHeight="1">
      <c r="A971" s="642"/>
      <c r="B971" s="642"/>
      <c r="C971" s="642"/>
      <c r="D971" s="154"/>
    </row>
    <row r="972" spans="1:4" ht="15" customHeight="1">
      <c r="A972" s="642"/>
      <c r="B972" s="642"/>
      <c r="C972" s="642"/>
      <c r="D972" s="154"/>
    </row>
    <row r="973" spans="1:4" ht="15" customHeight="1">
      <c r="A973" s="642"/>
      <c r="B973" s="642"/>
      <c r="C973" s="642"/>
      <c r="D973" s="154"/>
    </row>
    <row r="974" spans="1:4" ht="15" customHeight="1">
      <c r="A974" s="642"/>
      <c r="B974" s="642"/>
      <c r="C974" s="642"/>
      <c r="D974" s="154"/>
    </row>
    <row r="975" spans="1:4" ht="15" customHeight="1">
      <c r="A975" s="642"/>
      <c r="B975" s="642"/>
      <c r="C975" s="642"/>
      <c r="D975" s="154"/>
    </row>
    <row r="976" spans="1:4" ht="15" customHeight="1">
      <c r="A976" s="642"/>
      <c r="B976" s="642"/>
      <c r="C976" s="642"/>
      <c r="D976" s="154"/>
    </row>
    <row r="977" spans="1:4" ht="15" customHeight="1">
      <c r="A977" s="642"/>
      <c r="B977" s="642"/>
      <c r="C977" s="642"/>
      <c r="D977" s="154"/>
    </row>
    <row r="978" spans="1:4" ht="15" customHeight="1">
      <c r="A978" s="642"/>
      <c r="B978" s="642"/>
      <c r="C978" s="642"/>
      <c r="D978" s="154"/>
    </row>
    <row r="979" spans="1:4" ht="15" customHeight="1">
      <c r="A979" s="642"/>
      <c r="B979" s="642"/>
      <c r="C979" s="642"/>
      <c r="D979" s="154"/>
    </row>
    <row r="980" spans="1:4" ht="15" customHeight="1">
      <c r="A980" s="642"/>
      <c r="B980" s="642"/>
      <c r="C980" s="642"/>
      <c r="D980" s="154"/>
    </row>
    <row r="981" spans="1:4" ht="15" customHeight="1">
      <c r="A981" s="642"/>
      <c r="B981" s="642"/>
      <c r="C981" s="642"/>
      <c r="D981" s="154"/>
    </row>
    <row r="982" spans="1:4" ht="15" customHeight="1">
      <c r="A982" s="642"/>
      <c r="B982" s="642"/>
      <c r="C982" s="642"/>
      <c r="D982" s="154"/>
    </row>
    <row r="983" spans="1:4" ht="15" customHeight="1">
      <c r="A983" s="642"/>
      <c r="B983" s="642"/>
      <c r="C983" s="642"/>
      <c r="D983" s="154"/>
    </row>
    <row r="984" spans="1:4" ht="15" customHeight="1">
      <c r="A984" s="642"/>
      <c r="B984" s="642"/>
      <c r="C984" s="642"/>
      <c r="D984" s="154"/>
    </row>
    <row r="985" spans="1:4" ht="15" customHeight="1">
      <c r="A985" s="642"/>
      <c r="B985" s="642"/>
      <c r="C985" s="642"/>
      <c r="D985" s="154"/>
    </row>
    <row r="986" spans="1:4" ht="15" customHeight="1">
      <c r="A986" s="642"/>
      <c r="B986" s="642"/>
      <c r="C986" s="642"/>
      <c r="D986" s="154"/>
    </row>
    <row r="987" spans="1:4" ht="15" customHeight="1">
      <c r="A987" s="642"/>
      <c r="B987" s="642"/>
      <c r="C987" s="642"/>
      <c r="D987" s="154"/>
    </row>
    <row r="988" spans="1:4" ht="15" customHeight="1">
      <c r="A988" s="642"/>
      <c r="B988" s="642"/>
      <c r="C988" s="642"/>
      <c r="D988" s="154"/>
    </row>
    <row r="989" spans="1:4" ht="15" customHeight="1">
      <c r="A989" s="642"/>
      <c r="B989" s="642"/>
      <c r="C989" s="642"/>
      <c r="D989" s="154"/>
    </row>
    <row r="990" spans="1:4" ht="15" customHeight="1">
      <c r="A990" s="642"/>
      <c r="B990" s="642"/>
      <c r="C990" s="642"/>
      <c r="D990" s="154"/>
    </row>
    <row r="991" spans="1:4" ht="15" customHeight="1">
      <c r="A991" s="642"/>
      <c r="B991" s="642"/>
      <c r="C991" s="642"/>
      <c r="D991" s="154"/>
    </row>
    <row r="992" spans="1:4" ht="15" customHeight="1">
      <c r="A992" s="642"/>
      <c r="B992" s="642"/>
      <c r="C992" s="642"/>
      <c r="D992" s="154"/>
    </row>
    <row r="993" spans="1:4" ht="15" customHeight="1">
      <c r="A993" s="642"/>
      <c r="B993" s="642"/>
      <c r="C993" s="642"/>
      <c r="D993" s="154"/>
    </row>
    <row r="994" spans="1:4" ht="15" customHeight="1">
      <c r="A994" s="642"/>
      <c r="B994" s="642"/>
      <c r="C994" s="642"/>
      <c r="D994" s="154"/>
    </row>
    <row r="995" spans="1:4" ht="15" customHeight="1">
      <c r="A995" s="642"/>
      <c r="B995" s="642"/>
      <c r="C995" s="642"/>
      <c r="D995" s="154"/>
    </row>
    <row r="996" spans="1:4" ht="15" customHeight="1">
      <c r="A996" s="642"/>
      <c r="B996" s="642"/>
      <c r="C996" s="642"/>
      <c r="D996" s="154"/>
    </row>
    <row r="997" spans="1:4" ht="15" customHeight="1">
      <c r="A997" s="642"/>
      <c r="B997" s="642"/>
      <c r="C997" s="642"/>
      <c r="D997" s="154"/>
    </row>
    <row r="998" spans="1:4" ht="15" customHeight="1">
      <c r="A998" s="642"/>
      <c r="B998" s="642"/>
      <c r="C998" s="642"/>
      <c r="D998" s="154"/>
    </row>
    <row r="999" spans="1:4" ht="15" customHeight="1">
      <c r="A999" s="642"/>
      <c r="B999" s="642"/>
      <c r="C999" s="642"/>
      <c r="D999" s="154"/>
    </row>
    <row r="1000" spans="1:4" ht="15" customHeight="1">
      <c r="A1000" s="642"/>
      <c r="B1000" s="642"/>
      <c r="C1000" s="642"/>
      <c r="D1000" s="154"/>
    </row>
    <row r="1001" spans="1:4" ht="15" customHeight="1">
      <c r="A1001" s="642"/>
      <c r="B1001" s="642"/>
      <c r="C1001" s="642"/>
      <c r="D1001" s="154"/>
    </row>
    <row r="1002" spans="1:4" ht="15" customHeight="1">
      <c r="A1002" s="642"/>
      <c r="B1002" s="642"/>
      <c r="C1002" s="642"/>
      <c r="D1002" s="154"/>
    </row>
    <row r="1003" spans="1:4" ht="15" customHeight="1">
      <c r="A1003" s="642"/>
      <c r="B1003" s="642"/>
      <c r="C1003" s="642"/>
      <c r="D1003" s="154"/>
    </row>
    <row r="1004" spans="1:4" ht="15" customHeight="1">
      <c r="A1004" s="642"/>
      <c r="B1004" s="642"/>
      <c r="C1004" s="642"/>
      <c r="D1004" s="154"/>
    </row>
    <row r="1005" spans="1:4" ht="15" customHeight="1">
      <c r="A1005" s="642"/>
      <c r="B1005" s="642"/>
      <c r="C1005" s="642"/>
      <c r="D1005" s="154"/>
    </row>
    <row r="1006" spans="1:4" ht="15" customHeight="1">
      <c r="A1006" s="642"/>
      <c r="B1006" s="642"/>
      <c r="C1006" s="642"/>
      <c r="D1006" s="154"/>
    </row>
    <row r="1007" spans="1:4" ht="15" customHeight="1">
      <c r="A1007" s="642"/>
      <c r="B1007" s="642"/>
      <c r="C1007" s="642"/>
      <c r="D1007" s="154"/>
    </row>
    <row r="1008" spans="1:4" ht="15" customHeight="1">
      <c r="A1008" s="642"/>
      <c r="B1008" s="642"/>
      <c r="C1008" s="642"/>
      <c r="D1008" s="154"/>
    </row>
    <row r="1009" spans="1:4" ht="15" customHeight="1">
      <c r="A1009" s="642"/>
      <c r="B1009" s="642"/>
      <c r="C1009" s="642"/>
      <c r="D1009" s="154"/>
    </row>
    <row r="1010" spans="1:4" ht="15" customHeight="1">
      <c r="A1010" s="642"/>
      <c r="B1010" s="642"/>
      <c r="C1010" s="642"/>
      <c r="D1010" s="154"/>
    </row>
    <row r="1011" spans="1:4" ht="15" customHeight="1">
      <c r="A1011" s="642"/>
      <c r="B1011" s="642"/>
      <c r="C1011" s="642"/>
      <c r="D1011" s="154"/>
    </row>
    <row r="1012" spans="1:4" ht="15" customHeight="1">
      <c r="A1012" s="642"/>
      <c r="B1012" s="642"/>
      <c r="C1012" s="642"/>
      <c r="D1012" s="154"/>
    </row>
    <row r="1013" spans="1:4" ht="15" customHeight="1">
      <c r="A1013" s="642"/>
      <c r="B1013" s="642"/>
      <c r="C1013" s="642"/>
      <c r="D1013" s="154"/>
    </row>
    <row r="1014" spans="1:4" ht="15" customHeight="1">
      <c r="A1014" s="642"/>
      <c r="B1014" s="642"/>
      <c r="C1014" s="642"/>
      <c r="D1014" s="154"/>
    </row>
    <row r="1015" spans="1:4" ht="15" customHeight="1">
      <c r="A1015" s="642"/>
      <c r="B1015" s="642"/>
      <c r="C1015" s="642"/>
      <c r="D1015" s="154"/>
    </row>
    <row r="1016" spans="1:4" ht="15" customHeight="1">
      <c r="A1016" s="642"/>
      <c r="B1016" s="642"/>
      <c r="C1016" s="642"/>
      <c r="D1016" s="154"/>
    </row>
    <row r="1017" spans="1:4" ht="15" customHeight="1">
      <c r="A1017" s="642"/>
      <c r="B1017" s="642"/>
      <c r="C1017" s="642"/>
      <c r="D1017" s="154"/>
    </row>
    <row r="1018" spans="1:4" ht="15" customHeight="1">
      <c r="A1018" s="642"/>
      <c r="B1018" s="642"/>
      <c r="C1018" s="642"/>
      <c r="D1018" s="154"/>
    </row>
    <row r="1019" spans="1:4" ht="15" customHeight="1">
      <c r="A1019" s="642"/>
      <c r="B1019" s="642"/>
      <c r="C1019" s="642"/>
      <c r="D1019" s="154"/>
    </row>
    <row r="1020" spans="1:4" ht="15" customHeight="1">
      <c r="A1020" s="642"/>
      <c r="B1020" s="642"/>
      <c r="C1020" s="642"/>
      <c r="D1020" s="154"/>
    </row>
    <row r="1021" spans="1:4" ht="15" customHeight="1">
      <c r="A1021" s="642"/>
      <c r="B1021" s="642"/>
      <c r="C1021" s="642"/>
      <c r="D1021" s="154"/>
    </row>
    <row r="1022" spans="1:4" ht="15" customHeight="1">
      <c r="A1022" s="642"/>
      <c r="B1022" s="642"/>
      <c r="C1022" s="642"/>
      <c r="D1022" s="154"/>
    </row>
    <row r="1023" spans="1:4" ht="15" customHeight="1">
      <c r="A1023" s="642"/>
      <c r="B1023" s="642"/>
      <c r="C1023" s="642"/>
      <c r="D1023" s="154"/>
    </row>
    <row r="1024" spans="1:4" ht="15" customHeight="1">
      <c r="A1024" s="642"/>
      <c r="B1024" s="642"/>
      <c r="C1024" s="642"/>
      <c r="D1024" s="154"/>
    </row>
    <row r="1025" spans="1:4" ht="15" customHeight="1">
      <c r="A1025" s="642"/>
      <c r="B1025" s="642"/>
      <c r="C1025" s="642"/>
      <c r="D1025" s="154"/>
    </row>
    <row r="1026" spans="1:4" ht="15" customHeight="1">
      <c r="A1026" s="642"/>
      <c r="B1026" s="642"/>
      <c r="C1026" s="642"/>
      <c r="D1026" s="154"/>
    </row>
    <row r="1027" spans="1:4" ht="15" customHeight="1">
      <c r="A1027" s="642"/>
      <c r="B1027" s="642"/>
      <c r="C1027" s="642"/>
      <c r="D1027" s="154"/>
    </row>
    <row r="1028" spans="1:4" ht="15" customHeight="1">
      <c r="A1028" s="642"/>
      <c r="B1028" s="642"/>
      <c r="C1028" s="642"/>
      <c r="D1028" s="154"/>
    </row>
    <row r="1029" spans="1:4" ht="15" customHeight="1">
      <c r="A1029" s="642"/>
      <c r="B1029" s="642"/>
      <c r="C1029" s="642"/>
      <c r="D1029" s="154"/>
    </row>
    <row r="1030" spans="1:4" ht="15" customHeight="1">
      <c r="A1030" s="642"/>
      <c r="B1030" s="642"/>
      <c r="C1030" s="642"/>
      <c r="D1030" s="154"/>
    </row>
    <row r="1031" spans="1:4" ht="15" customHeight="1">
      <c r="A1031" s="642"/>
      <c r="B1031" s="642"/>
      <c r="C1031" s="642"/>
      <c r="D1031" s="154"/>
    </row>
    <row r="1032" spans="1:4" ht="15" customHeight="1">
      <c r="A1032" s="642"/>
      <c r="B1032" s="642"/>
      <c r="C1032" s="642"/>
      <c r="D1032" s="154"/>
    </row>
    <row r="1033" spans="1:4" ht="15" customHeight="1">
      <c r="A1033" s="642"/>
      <c r="B1033" s="642"/>
      <c r="C1033" s="642"/>
      <c r="D1033" s="154"/>
    </row>
    <row r="1034" spans="1:4" ht="15" customHeight="1">
      <c r="A1034" s="642"/>
      <c r="B1034" s="642"/>
      <c r="C1034" s="642"/>
      <c r="D1034" s="154"/>
    </row>
    <row r="1035" spans="1:4" ht="15" customHeight="1">
      <c r="A1035" s="642"/>
      <c r="B1035" s="642"/>
      <c r="C1035" s="642"/>
      <c r="D1035" s="154"/>
    </row>
    <row r="1036" spans="1:4" ht="15" customHeight="1">
      <c r="A1036" s="642"/>
      <c r="B1036" s="642"/>
      <c r="C1036" s="642"/>
      <c r="D1036" s="154"/>
    </row>
    <row r="1037" spans="1:4" ht="15" customHeight="1">
      <c r="A1037" s="642"/>
      <c r="B1037" s="642"/>
      <c r="C1037" s="642"/>
      <c r="D1037" s="154"/>
    </row>
    <row r="1038" spans="1:4" ht="15" customHeight="1">
      <c r="A1038" s="642"/>
      <c r="B1038" s="642"/>
      <c r="C1038" s="642"/>
      <c r="D1038" s="154"/>
    </row>
    <row r="1039" spans="1:4" ht="15" customHeight="1">
      <c r="A1039" s="642"/>
      <c r="B1039" s="642"/>
      <c r="C1039" s="642"/>
      <c r="D1039" s="154"/>
    </row>
    <row r="1040" spans="1:4" ht="15" customHeight="1">
      <c r="A1040" s="642"/>
      <c r="B1040" s="642"/>
      <c r="C1040" s="642"/>
      <c r="D1040" s="154"/>
    </row>
    <row r="1041" spans="1:4" ht="15" customHeight="1">
      <c r="A1041" s="642"/>
      <c r="B1041" s="642"/>
      <c r="C1041" s="642"/>
      <c r="D1041" s="154"/>
    </row>
    <row r="1042" spans="1:4" ht="15" customHeight="1">
      <c r="A1042" s="642"/>
      <c r="B1042" s="642"/>
      <c r="C1042" s="642"/>
      <c r="D1042" s="154"/>
    </row>
    <row r="1043" spans="1:4" ht="15" customHeight="1">
      <c r="A1043" s="642"/>
      <c r="B1043" s="642"/>
      <c r="C1043" s="642"/>
      <c r="D1043" s="154"/>
    </row>
    <row r="1044" spans="1:4" ht="15" customHeight="1">
      <c r="A1044" s="642"/>
      <c r="B1044" s="642"/>
      <c r="C1044" s="642"/>
      <c r="D1044" s="154"/>
    </row>
    <row r="1045" spans="1:4" ht="15" customHeight="1">
      <c r="A1045" s="642"/>
      <c r="B1045" s="642"/>
      <c r="C1045" s="642"/>
      <c r="D1045" s="154"/>
    </row>
    <row r="1046" spans="1:4" ht="15" customHeight="1">
      <c r="A1046" s="642"/>
      <c r="B1046" s="642"/>
      <c r="C1046" s="642"/>
      <c r="D1046" s="154"/>
    </row>
    <row r="1047" spans="1:4" ht="15" customHeight="1">
      <c r="A1047" s="642"/>
      <c r="B1047" s="642"/>
      <c r="C1047" s="642"/>
      <c r="D1047" s="154"/>
    </row>
    <row r="1048" spans="1:4" ht="15" customHeight="1">
      <c r="A1048" s="642"/>
      <c r="B1048" s="642"/>
      <c r="C1048" s="642"/>
      <c r="D1048" s="154"/>
    </row>
    <row r="1049" spans="1:4" ht="15" customHeight="1">
      <c r="A1049" s="642"/>
      <c r="B1049" s="642"/>
      <c r="C1049" s="642"/>
      <c r="D1049" s="154"/>
    </row>
    <row r="1050" spans="1:4" ht="15" customHeight="1">
      <c r="A1050" s="642"/>
      <c r="B1050" s="642"/>
      <c r="C1050" s="642"/>
      <c r="D1050" s="154"/>
    </row>
    <row r="1051" spans="1:4" ht="15" customHeight="1">
      <c r="A1051" s="642"/>
      <c r="B1051" s="642"/>
      <c r="C1051" s="642"/>
      <c r="D1051" s="154"/>
    </row>
    <row r="1052" spans="1:4" ht="15" customHeight="1">
      <c r="A1052" s="642"/>
      <c r="B1052" s="642"/>
      <c r="C1052" s="642"/>
      <c r="D1052" s="154"/>
    </row>
    <row r="1053" spans="1:4" ht="15" customHeight="1">
      <c r="A1053" s="642"/>
      <c r="B1053" s="642"/>
      <c r="C1053" s="642"/>
      <c r="D1053" s="154"/>
    </row>
    <row r="1054" spans="1:4" ht="15" customHeight="1">
      <c r="A1054" s="642"/>
      <c r="B1054" s="642"/>
      <c r="C1054" s="642"/>
      <c r="D1054" s="154"/>
    </row>
    <row r="1055" spans="1:4" ht="15" customHeight="1">
      <c r="A1055" s="642"/>
      <c r="B1055" s="642"/>
      <c r="C1055" s="642"/>
      <c r="D1055" s="154"/>
    </row>
    <row r="1056" spans="1:4" ht="15" customHeight="1">
      <c r="A1056" s="642"/>
      <c r="B1056" s="642"/>
      <c r="C1056" s="642"/>
      <c r="D1056" s="154"/>
    </row>
    <row r="1057" spans="1:4" ht="15" customHeight="1">
      <c r="A1057" s="642"/>
      <c r="B1057" s="642"/>
      <c r="C1057" s="642"/>
      <c r="D1057" s="154"/>
    </row>
    <row r="1058" spans="1:4" ht="15" customHeight="1">
      <c r="A1058" s="642"/>
      <c r="B1058" s="642"/>
      <c r="C1058" s="642"/>
      <c r="D1058" s="154"/>
    </row>
    <row r="1059" spans="1:4" ht="15" customHeight="1">
      <c r="A1059" s="642"/>
      <c r="B1059" s="642"/>
      <c r="C1059" s="642"/>
      <c r="D1059" s="154"/>
    </row>
    <row r="1060" spans="1:4" ht="15" customHeight="1">
      <c r="A1060" s="642"/>
      <c r="B1060" s="642"/>
      <c r="C1060" s="642"/>
      <c r="D1060" s="154"/>
    </row>
    <row r="1061" spans="1:4" ht="15" customHeight="1">
      <c r="A1061" s="642"/>
      <c r="B1061" s="642"/>
      <c r="C1061" s="642"/>
      <c r="D1061" s="154"/>
    </row>
    <row r="1062" spans="1:4" ht="15" customHeight="1">
      <c r="A1062" s="642"/>
      <c r="B1062" s="642"/>
      <c r="C1062" s="642"/>
      <c r="D1062" s="154"/>
    </row>
    <row r="1063" spans="1:4" ht="15" customHeight="1">
      <c r="A1063" s="642"/>
      <c r="B1063" s="642"/>
      <c r="C1063" s="642"/>
      <c r="D1063" s="154"/>
    </row>
    <row r="1064" spans="1:4" ht="15" customHeight="1">
      <c r="A1064" s="642"/>
      <c r="B1064" s="642"/>
      <c r="C1064" s="642"/>
      <c r="D1064" s="154"/>
    </row>
    <row r="1065" spans="1:4" ht="15" customHeight="1">
      <c r="A1065" s="642"/>
      <c r="B1065" s="642"/>
      <c r="C1065" s="642"/>
      <c r="D1065" s="154"/>
    </row>
    <row r="1066" spans="1:4" ht="15" customHeight="1">
      <c r="A1066" s="642"/>
      <c r="B1066" s="642"/>
      <c r="C1066" s="642"/>
      <c r="D1066" s="154"/>
    </row>
    <row r="1067" spans="1:4" ht="15" customHeight="1">
      <c r="A1067" s="642"/>
      <c r="B1067" s="642"/>
      <c r="C1067" s="642"/>
      <c r="D1067" s="154"/>
    </row>
    <row r="1068" spans="1:4" ht="15" customHeight="1">
      <c r="A1068" s="642"/>
      <c r="B1068" s="642"/>
      <c r="C1068" s="642"/>
      <c r="D1068" s="154"/>
    </row>
    <row r="1069" spans="1:4" ht="15" customHeight="1">
      <c r="A1069" s="642"/>
      <c r="B1069" s="642"/>
      <c r="C1069" s="642"/>
      <c r="D1069" s="154"/>
    </row>
    <row r="1070" spans="1:4" ht="15" customHeight="1">
      <c r="A1070" s="642"/>
      <c r="B1070" s="642"/>
      <c r="C1070" s="642"/>
      <c r="D1070" s="154"/>
    </row>
    <row r="1071" spans="1:4" ht="15" customHeight="1">
      <c r="A1071" s="642"/>
      <c r="B1071" s="642"/>
      <c r="C1071" s="642"/>
      <c r="D1071" s="154"/>
    </row>
    <row r="1072" spans="1:4" ht="15" customHeight="1">
      <c r="A1072" s="642"/>
      <c r="B1072" s="642"/>
      <c r="C1072" s="642"/>
      <c r="D1072" s="154"/>
    </row>
    <row r="1073" spans="1:4" ht="15" customHeight="1">
      <c r="A1073" s="642"/>
      <c r="B1073" s="642"/>
      <c r="C1073" s="642"/>
      <c r="D1073" s="154"/>
    </row>
    <row r="1074" spans="1:4" ht="15" customHeight="1">
      <c r="A1074" s="642"/>
      <c r="B1074" s="642"/>
      <c r="C1074" s="642"/>
      <c r="D1074" s="154"/>
    </row>
    <row r="1075" spans="1:4" ht="15" customHeight="1">
      <c r="A1075" s="642"/>
      <c r="B1075" s="642"/>
      <c r="C1075" s="642"/>
      <c r="D1075" s="154"/>
    </row>
    <row r="1076" spans="1:4" ht="15" customHeight="1">
      <c r="A1076" s="642"/>
      <c r="B1076" s="642"/>
      <c r="C1076" s="642"/>
      <c r="D1076" s="154"/>
    </row>
    <row r="1077" spans="1:4" ht="15" customHeight="1">
      <c r="A1077" s="642"/>
      <c r="B1077" s="642"/>
      <c r="C1077" s="642"/>
      <c r="D1077" s="154"/>
    </row>
    <row r="1078" spans="1:4" ht="15" customHeight="1">
      <c r="A1078" s="642"/>
      <c r="B1078" s="642"/>
      <c r="C1078" s="642"/>
      <c r="D1078" s="154"/>
    </row>
    <row r="1079" spans="1:4" ht="15" customHeight="1">
      <c r="A1079" s="642"/>
      <c r="B1079" s="642"/>
      <c r="C1079" s="642"/>
      <c r="D1079" s="154"/>
    </row>
    <row r="1080" spans="1:4" ht="15" customHeight="1">
      <c r="A1080" s="642"/>
      <c r="B1080" s="642"/>
      <c r="C1080" s="642"/>
      <c r="D1080" s="154"/>
    </row>
    <row r="1081" spans="1:4" ht="15" customHeight="1">
      <c r="A1081" s="642"/>
      <c r="B1081" s="642"/>
      <c r="C1081" s="642"/>
      <c r="D1081" s="154"/>
    </row>
    <row r="1082" spans="1:4" ht="15" customHeight="1">
      <c r="A1082" s="642"/>
      <c r="B1082" s="642"/>
      <c r="C1082" s="642"/>
      <c r="D1082" s="154"/>
    </row>
    <row r="1083" spans="1:4" ht="15" customHeight="1">
      <c r="A1083" s="642"/>
      <c r="B1083" s="642"/>
      <c r="C1083" s="642"/>
      <c r="D1083" s="154"/>
    </row>
    <row r="1084" spans="1:4" ht="15" customHeight="1">
      <c r="A1084" s="642"/>
      <c r="B1084" s="642"/>
      <c r="C1084" s="642"/>
      <c r="D1084" s="154"/>
    </row>
    <row r="1085" spans="1:4" ht="15" customHeight="1">
      <c r="A1085" s="642"/>
      <c r="B1085" s="642"/>
      <c r="C1085" s="642"/>
      <c r="D1085" s="154"/>
    </row>
    <row r="1086" spans="1:4" ht="15" customHeight="1">
      <c r="A1086" s="642"/>
      <c r="B1086" s="642"/>
      <c r="C1086" s="642"/>
      <c r="D1086" s="154"/>
    </row>
    <row r="1087" spans="1:4" ht="15" customHeight="1">
      <c r="A1087" s="642"/>
      <c r="B1087" s="642"/>
      <c r="C1087" s="642"/>
      <c r="D1087" s="154"/>
    </row>
    <row r="1088" spans="1:4" ht="15" customHeight="1">
      <c r="A1088" s="642"/>
      <c r="B1088" s="642"/>
      <c r="C1088" s="642"/>
      <c r="D1088" s="154"/>
    </row>
    <row r="1089" spans="1:4" ht="15" customHeight="1">
      <c r="A1089" s="642"/>
      <c r="B1089" s="642"/>
      <c r="C1089" s="642"/>
      <c r="D1089" s="154"/>
    </row>
    <row r="1090" spans="1:4" ht="15" customHeight="1">
      <c r="A1090" s="642"/>
      <c r="B1090" s="642"/>
      <c r="C1090" s="642"/>
      <c r="D1090" s="154"/>
    </row>
    <row r="1091" spans="1:4" ht="15" customHeight="1">
      <c r="A1091" s="642"/>
      <c r="B1091" s="642"/>
      <c r="C1091" s="642"/>
      <c r="D1091" s="154"/>
    </row>
    <row r="1092" spans="1:4" ht="15" customHeight="1">
      <c r="A1092" s="642"/>
      <c r="B1092" s="642"/>
      <c r="C1092" s="642"/>
      <c r="D1092" s="154"/>
    </row>
    <row r="1093" spans="1:4" ht="15" customHeight="1">
      <c r="A1093" s="642"/>
      <c r="B1093" s="642"/>
      <c r="C1093" s="642"/>
      <c r="D1093" s="154"/>
    </row>
    <row r="1094" spans="1:4" ht="15" customHeight="1">
      <c r="A1094" s="642"/>
      <c r="B1094" s="642"/>
      <c r="C1094" s="642"/>
      <c r="D1094" s="154"/>
    </row>
    <row r="1095" spans="1:4" ht="15" customHeight="1">
      <c r="A1095" s="642"/>
      <c r="B1095" s="642"/>
      <c r="C1095" s="642"/>
      <c r="D1095" s="154"/>
    </row>
    <row r="1096" spans="1:4" ht="15" customHeight="1">
      <c r="A1096" s="642"/>
      <c r="B1096" s="642"/>
      <c r="C1096" s="642"/>
      <c r="D1096" s="154"/>
    </row>
    <row r="1097" spans="1:4" ht="15" customHeight="1">
      <c r="A1097" s="642"/>
      <c r="B1097" s="642"/>
      <c r="C1097" s="642"/>
      <c r="D1097" s="154"/>
    </row>
    <row r="1098" spans="1:4" ht="15" customHeight="1">
      <c r="A1098" s="642"/>
      <c r="B1098" s="642"/>
      <c r="C1098" s="642"/>
      <c r="D1098" s="154"/>
    </row>
    <row r="1099" spans="1:4" ht="15" customHeight="1">
      <c r="A1099" s="642"/>
      <c r="B1099" s="642"/>
      <c r="C1099" s="642"/>
      <c r="D1099" s="154"/>
    </row>
    <row r="1100" spans="1:4" ht="15" customHeight="1">
      <c r="A1100" s="642"/>
      <c r="B1100" s="642"/>
      <c r="C1100" s="642"/>
      <c r="D1100" s="154"/>
    </row>
    <row r="1101" spans="1:4" ht="15" customHeight="1">
      <c r="A1101" s="642"/>
      <c r="B1101" s="642"/>
      <c r="C1101" s="642"/>
      <c r="D1101" s="154"/>
    </row>
    <row r="1102" spans="1:4" ht="15" customHeight="1">
      <c r="A1102" s="642"/>
      <c r="B1102" s="642"/>
      <c r="C1102" s="642"/>
      <c r="D1102" s="154"/>
    </row>
    <row r="1103" spans="1:4" ht="15" customHeight="1">
      <c r="A1103" s="642"/>
      <c r="B1103" s="642"/>
      <c r="C1103" s="642"/>
      <c r="D1103" s="154"/>
    </row>
    <row r="1104" spans="1:4" ht="15" customHeight="1">
      <c r="A1104" s="642"/>
      <c r="B1104" s="642"/>
      <c r="C1104" s="642"/>
      <c r="D1104" s="154"/>
    </row>
    <row r="1105" spans="1:4" ht="15" customHeight="1">
      <c r="A1105" s="642"/>
      <c r="B1105" s="642"/>
      <c r="C1105" s="642"/>
      <c r="D1105" s="154"/>
    </row>
    <row r="1106" spans="1:4" ht="15" customHeight="1">
      <c r="A1106" s="642"/>
      <c r="B1106" s="642"/>
      <c r="C1106" s="642"/>
      <c r="D1106" s="154"/>
    </row>
    <row r="1107" spans="1:4" ht="15" customHeight="1">
      <c r="A1107" s="642"/>
      <c r="B1107" s="642"/>
      <c r="C1107" s="642"/>
      <c r="D1107" s="154"/>
    </row>
    <row r="1108" spans="1:4" ht="15" customHeight="1">
      <c r="A1108" s="642"/>
      <c r="B1108" s="642"/>
      <c r="C1108" s="642"/>
      <c r="D1108" s="154"/>
    </row>
    <row r="1109" spans="1:4" ht="15" customHeight="1">
      <c r="A1109" s="642"/>
      <c r="B1109" s="642"/>
      <c r="C1109" s="642"/>
      <c r="D1109" s="154"/>
    </row>
    <row r="1110" spans="1:4" ht="15" customHeight="1">
      <c r="A1110" s="642"/>
      <c r="B1110" s="642"/>
      <c r="C1110" s="642"/>
      <c r="D1110" s="154"/>
    </row>
    <row r="1111" spans="1:4" ht="15" customHeight="1">
      <c r="A1111" s="642"/>
      <c r="B1111" s="642"/>
      <c r="C1111" s="642"/>
      <c r="D1111" s="154"/>
    </row>
    <row r="1112" spans="1:4" ht="15" customHeight="1">
      <c r="A1112" s="642"/>
      <c r="B1112" s="642"/>
      <c r="C1112" s="642"/>
      <c r="D1112" s="154"/>
    </row>
    <row r="1113" spans="1:4" ht="15" customHeight="1">
      <c r="A1113" s="642"/>
      <c r="B1113" s="642"/>
      <c r="C1113" s="642"/>
      <c r="D1113" s="154"/>
    </row>
    <row r="1114" spans="1:4" ht="15" customHeight="1">
      <c r="A1114" s="642"/>
      <c r="B1114" s="642"/>
      <c r="C1114" s="642"/>
      <c r="D1114" s="154"/>
    </row>
    <row r="1115" spans="1:4" ht="15" customHeight="1">
      <c r="A1115" s="642"/>
      <c r="B1115" s="642"/>
      <c r="C1115" s="642"/>
      <c r="D1115" s="154"/>
    </row>
    <row r="1116" spans="1:4" ht="15" customHeight="1">
      <c r="A1116" s="642"/>
      <c r="B1116" s="642"/>
      <c r="C1116" s="642"/>
      <c r="D1116" s="154"/>
    </row>
    <row r="1117" spans="1:4" ht="15" customHeight="1">
      <c r="A1117" s="642"/>
      <c r="B1117" s="642"/>
      <c r="C1117" s="642"/>
      <c r="D1117" s="154"/>
    </row>
    <row r="1118" spans="1:4" ht="15" customHeight="1">
      <c r="A1118" s="642"/>
      <c r="B1118" s="642"/>
      <c r="C1118" s="642"/>
      <c r="D1118" s="154"/>
    </row>
    <row r="1119" spans="1:4" ht="15" customHeight="1">
      <c r="A1119" s="642"/>
      <c r="B1119" s="642"/>
      <c r="C1119" s="642"/>
      <c r="D1119" s="154"/>
    </row>
    <row r="1120" spans="1:4" ht="15" customHeight="1">
      <c r="A1120" s="642"/>
      <c r="B1120" s="642"/>
      <c r="C1120" s="642"/>
      <c r="D1120" s="154"/>
    </row>
    <row r="1121" spans="1:4" ht="15" customHeight="1">
      <c r="A1121" s="642"/>
      <c r="B1121" s="642"/>
      <c r="C1121" s="642"/>
      <c r="D1121" s="154"/>
    </row>
    <row r="1122" spans="1:4" ht="15" customHeight="1">
      <c r="A1122" s="642"/>
      <c r="B1122" s="642"/>
      <c r="C1122" s="642"/>
      <c r="D1122" s="154"/>
    </row>
    <row r="1123" spans="1:4" ht="15" customHeight="1">
      <c r="A1123" s="642"/>
      <c r="B1123" s="642"/>
      <c r="C1123" s="642"/>
      <c r="D1123" s="154"/>
    </row>
    <row r="1124" spans="1:4" ht="15" customHeight="1">
      <c r="A1124" s="642"/>
      <c r="B1124" s="642"/>
      <c r="C1124" s="642"/>
      <c r="D1124" s="154"/>
    </row>
    <row r="1125" spans="1:4" ht="15" customHeight="1">
      <c r="A1125" s="642"/>
      <c r="B1125" s="642"/>
      <c r="C1125" s="642"/>
      <c r="D1125" s="154"/>
    </row>
    <row r="1126" spans="1:4" ht="15" customHeight="1">
      <c r="A1126" s="642"/>
      <c r="B1126" s="642"/>
      <c r="C1126" s="642"/>
      <c r="D1126" s="154"/>
    </row>
    <row r="1127" spans="1:4" ht="15" customHeight="1">
      <c r="A1127" s="642"/>
      <c r="B1127" s="642"/>
      <c r="C1127" s="642"/>
      <c r="D1127" s="154"/>
    </row>
    <row r="1128" spans="1:4" ht="15" customHeight="1">
      <c r="A1128" s="642"/>
      <c r="B1128" s="642"/>
      <c r="C1128" s="642"/>
      <c r="D1128" s="154"/>
    </row>
    <row r="1129" spans="1:4" ht="15" customHeight="1">
      <c r="A1129" s="642"/>
      <c r="B1129" s="642"/>
      <c r="C1129" s="642"/>
      <c r="D1129" s="154"/>
    </row>
    <row r="1130" spans="1:4" ht="15" customHeight="1">
      <c r="A1130" s="642"/>
      <c r="B1130" s="642"/>
      <c r="C1130" s="642"/>
      <c r="D1130" s="154"/>
    </row>
    <row r="1131" spans="1:4" ht="15" customHeight="1">
      <c r="A1131" s="642"/>
      <c r="B1131" s="642"/>
      <c r="C1131" s="642"/>
      <c r="D1131" s="154"/>
    </row>
    <row r="1132" spans="1:4" ht="15" customHeight="1">
      <c r="A1132" s="642"/>
      <c r="B1132" s="642"/>
      <c r="C1132" s="642"/>
      <c r="D1132" s="154"/>
    </row>
    <row r="1133" spans="1:4" ht="15" customHeight="1">
      <c r="A1133" s="642"/>
      <c r="B1133" s="642"/>
      <c r="C1133" s="642"/>
      <c r="D1133" s="154"/>
    </row>
    <row r="1134" spans="1:4" ht="15" customHeight="1">
      <c r="A1134" s="642"/>
      <c r="B1134" s="642"/>
      <c r="C1134" s="642"/>
      <c r="D1134" s="154"/>
    </row>
    <row r="1135" spans="1:4" ht="15" customHeight="1">
      <c r="A1135" s="642"/>
      <c r="B1135" s="642"/>
      <c r="C1135" s="642"/>
      <c r="D1135" s="154"/>
    </row>
    <row r="1136" spans="1:4" ht="15" customHeight="1">
      <c r="A1136" s="642"/>
      <c r="B1136" s="642"/>
      <c r="C1136" s="642"/>
      <c r="D1136" s="154"/>
    </row>
    <row r="1137" spans="1:4" ht="15" customHeight="1">
      <c r="A1137" s="642"/>
      <c r="B1137" s="642"/>
      <c r="C1137" s="642"/>
      <c r="D1137" s="154"/>
    </row>
    <row r="1138" spans="1:4" ht="15" customHeight="1">
      <c r="A1138" s="642"/>
      <c r="B1138" s="642"/>
      <c r="C1138" s="642"/>
      <c r="D1138" s="154"/>
    </row>
    <row r="1139" spans="1:4" ht="15" customHeight="1">
      <c r="A1139" s="642"/>
      <c r="B1139" s="642"/>
      <c r="C1139" s="642"/>
      <c r="D1139" s="154"/>
    </row>
    <row r="1140" spans="1:4" ht="15" customHeight="1">
      <c r="A1140" s="642"/>
      <c r="B1140" s="642"/>
      <c r="C1140" s="642"/>
      <c r="D1140" s="154"/>
    </row>
    <row r="1141" spans="1:4" ht="15" customHeight="1">
      <c r="A1141" s="642"/>
      <c r="B1141" s="642"/>
      <c r="C1141" s="642"/>
      <c r="D1141" s="154"/>
    </row>
    <row r="1142" spans="1:4" ht="15" customHeight="1">
      <c r="A1142" s="642"/>
      <c r="B1142" s="642"/>
      <c r="C1142" s="642"/>
      <c r="D1142" s="154"/>
    </row>
    <row r="1143" spans="1:4" ht="15" customHeight="1">
      <c r="A1143" s="642"/>
      <c r="B1143" s="642"/>
      <c r="C1143" s="642"/>
      <c r="D1143" s="154"/>
    </row>
    <row r="1144" spans="1:4" ht="15" customHeight="1">
      <c r="A1144" s="642"/>
      <c r="B1144" s="642"/>
      <c r="C1144" s="642"/>
      <c r="D1144" s="154"/>
    </row>
    <row r="1145" spans="1:4" ht="15" customHeight="1">
      <c r="A1145" s="642"/>
      <c r="B1145" s="642"/>
      <c r="C1145" s="642"/>
      <c r="D1145" s="154"/>
    </row>
    <row r="1146" spans="1:4" ht="15" customHeight="1">
      <c r="A1146" s="642"/>
      <c r="B1146" s="642"/>
      <c r="C1146" s="642"/>
      <c r="D1146" s="154"/>
    </row>
    <row r="1147" spans="1:4" ht="15" customHeight="1">
      <c r="A1147" s="642"/>
      <c r="B1147" s="642"/>
      <c r="C1147" s="642"/>
      <c r="D1147" s="154"/>
    </row>
    <row r="1148" spans="1:4" ht="15" customHeight="1">
      <c r="A1148" s="642"/>
      <c r="B1148" s="642"/>
      <c r="C1148" s="642"/>
      <c r="D1148" s="154"/>
    </row>
    <row r="1149" spans="1:4" ht="15" customHeight="1">
      <c r="A1149" s="642"/>
      <c r="B1149" s="642"/>
      <c r="C1149" s="642"/>
      <c r="D1149" s="154"/>
    </row>
    <row r="1150" spans="1:4" ht="15" customHeight="1">
      <c r="A1150" s="642"/>
      <c r="B1150" s="642"/>
      <c r="C1150" s="642"/>
      <c r="D1150" s="154"/>
    </row>
    <row r="1151" spans="1:4" ht="15" customHeight="1">
      <c r="A1151" s="642"/>
      <c r="B1151" s="642"/>
      <c r="C1151" s="642"/>
      <c r="D1151" s="154"/>
    </row>
    <row r="1152" spans="1:4" ht="15" customHeight="1">
      <c r="A1152" s="642"/>
      <c r="B1152" s="642"/>
      <c r="C1152" s="642"/>
      <c r="D1152" s="154"/>
    </row>
    <row r="1153" spans="1:4" ht="15" customHeight="1">
      <c r="A1153" s="642"/>
      <c r="B1153" s="642"/>
      <c r="C1153" s="642"/>
      <c r="D1153" s="154"/>
    </row>
    <row r="1154" spans="1:4" ht="15" customHeight="1">
      <c r="A1154" s="642"/>
      <c r="B1154" s="642"/>
      <c r="C1154" s="642"/>
      <c r="D1154" s="154"/>
    </row>
    <row r="1155" spans="1:4" ht="15" customHeight="1">
      <c r="A1155" s="642"/>
      <c r="B1155" s="642"/>
      <c r="C1155" s="642"/>
      <c r="D1155" s="154"/>
    </row>
    <row r="1156" spans="1:4" ht="15" customHeight="1">
      <c r="A1156" s="642"/>
      <c r="B1156" s="642"/>
      <c r="C1156" s="642"/>
      <c r="D1156" s="154"/>
    </row>
    <row r="1157" spans="1:4" ht="15" customHeight="1">
      <c r="A1157" s="642"/>
      <c r="B1157" s="642"/>
      <c r="C1157" s="642"/>
      <c r="D1157" s="154"/>
    </row>
    <row r="1158" spans="1:4" ht="15" customHeight="1">
      <c r="A1158" s="642"/>
      <c r="B1158" s="642"/>
      <c r="C1158" s="642"/>
      <c r="D1158" s="154"/>
    </row>
    <row r="1159" spans="1:4" ht="15" customHeight="1">
      <c r="A1159" s="642"/>
      <c r="B1159" s="642"/>
      <c r="C1159" s="642"/>
      <c r="D1159" s="154"/>
    </row>
    <row r="1160" spans="1:4" ht="15" customHeight="1">
      <c r="A1160" s="642"/>
      <c r="B1160" s="642"/>
      <c r="C1160" s="642"/>
      <c r="D1160" s="154"/>
    </row>
    <row r="1161" spans="1:4" ht="15" customHeight="1">
      <c r="A1161" s="642"/>
      <c r="B1161" s="642"/>
      <c r="C1161" s="642"/>
      <c r="D1161" s="154"/>
    </row>
    <row r="1162" spans="1:4" ht="15" customHeight="1">
      <c r="A1162" s="642"/>
      <c r="B1162" s="642"/>
      <c r="C1162" s="642"/>
      <c r="D1162" s="154"/>
    </row>
    <row r="1163" spans="1:4" ht="15" customHeight="1">
      <c r="A1163" s="642"/>
      <c r="B1163" s="642"/>
      <c r="C1163" s="642"/>
      <c r="D1163" s="154"/>
    </row>
    <row r="1164" spans="1:4" ht="15" customHeight="1">
      <c r="A1164" s="642"/>
      <c r="B1164" s="642"/>
      <c r="C1164" s="642"/>
      <c r="D1164" s="154"/>
    </row>
    <row r="1165" spans="1:4" ht="15" customHeight="1">
      <c r="A1165" s="642"/>
      <c r="B1165" s="642"/>
      <c r="C1165" s="642"/>
      <c r="D1165" s="154"/>
    </row>
    <row r="1166" spans="1:4" ht="15" customHeight="1">
      <c r="A1166" s="642"/>
      <c r="B1166" s="642"/>
      <c r="C1166" s="642"/>
      <c r="D1166" s="154"/>
    </row>
    <row r="1167" spans="1:4" ht="15" customHeight="1">
      <c r="A1167" s="642"/>
      <c r="B1167" s="642"/>
      <c r="C1167" s="642"/>
      <c r="D1167" s="154"/>
    </row>
    <row r="1168" spans="1:4" ht="15" customHeight="1">
      <c r="A1168" s="642"/>
      <c r="B1168" s="642"/>
      <c r="C1168" s="642"/>
      <c r="D1168" s="154"/>
    </row>
    <row r="1169" spans="1:4" ht="15" customHeight="1">
      <c r="A1169" s="642"/>
      <c r="B1169" s="642"/>
      <c r="C1169" s="642"/>
      <c r="D1169" s="154"/>
    </row>
    <row r="1170" spans="1:4" ht="15" customHeight="1">
      <c r="A1170" s="642"/>
      <c r="B1170" s="642"/>
      <c r="C1170" s="642"/>
      <c r="D1170" s="154"/>
    </row>
    <row r="1171" spans="1:4" ht="15" customHeight="1">
      <c r="A1171" s="642"/>
      <c r="B1171" s="642"/>
      <c r="C1171" s="642"/>
      <c r="D1171" s="154"/>
    </row>
    <row r="1172" spans="1:4" ht="15" customHeight="1">
      <c r="A1172" s="642"/>
      <c r="B1172" s="642"/>
      <c r="C1172" s="642"/>
      <c r="D1172" s="154"/>
    </row>
    <row r="1173" spans="1:4" ht="15" customHeight="1">
      <c r="A1173" s="642"/>
      <c r="B1173" s="642"/>
      <c r="C1173" s="642"/>
      <c r="D1173" s="154"/>
    </row>
    <row r="1174" spans="1:4" ht="15" customHeight="1">
      <c r="A1174" s="642"/>
      <c r="B1174" s="642"/>
      <c r="C1174" s="642"/>
      <c r="D1174" s="154"/>
    </row>
    <row r="1175" spans="1:4" ht="15" customHeight="1">
      <c r="A1175" s="642"/>
      <c r="B1175" s="642"/>
      <c r="C1175" s="642"/>
      <c r="D1175" s="154"/>
    </row>
    <row r="1176" spans="1:4" ht="15" customHeight="1">
      <c r="A1176" s="642"/>
      <c r="B1176" s="642"/>
      <c r="C1176" s="642"/>
      <c r="D1176" s="154"/>
    </row>
    <row r="1177" spans="1:4" ht="15" customHeight="1">
      <c r="A1177" s="642"/>
      <c r="B1177" s="642"/>
      <c r="C1177" s="642"/>
      <c r="D1177" s="154"/>
    </row>
    <row r="1178" spans="1:4" ht="15" customHeight="1">
      <c r="A1178" s="642"/>
      <c r="B1178" s="642"/>
      <c r="C1178" s="642"/>
      <c r="D1178" s="154"/>
    </row>
    <row r="1179" spans="1:4" ht="15" customHeight="1">
      <c r="A1179" s="642"/>
      <c r="B1179" s="642"/>
      <c r="C1179" s="642"/>
      <c r="D1179" s="154"/>
    </row>
    <row r="1180" spans="1:4" ht="15" customHeight="1">
      <c r="A1180" s="642"/>
      <c r="B1180" s="642"/>
      <c r="C1180" s="642"/>
      <c r="D1180" s="154"/>
    </row>
    <row r="1181" spans="1:4" ht="15" customHeight="1">
      <c r="A1181" s="642"/>
      <c r="B1181" s="642"/>
      <c r="C1181" s="642"/>
      <c r="D1181" s="154"/>
    </row>
    <row r="1182" spans="1:4" ht="15" customHeight="1">
      <c r="A1182" s="642"/>
      <c r="B1182" s="642"/>
      <c r="C1182" s="642"/>
      <c r="D1182" s="154"/>
    </row>
    <row r="1183" spans="1:4" ht="15" customHeight="1">
      <c r="A1183" s="642"/>
      <c r="B1183" s="642"/>
      <c r="C1183" s="642"/>
      <c r="D1183" s="154"/>
    </row>
    <row r="1184" spans="1:4" ht="15" customHeight="1">
      <c r="A1184" s="642"/>
      <c r="B1184" s="642"/>
      <c r="C1184" s="642"/>
      <c r="D1184" s="154"/>
    </row>
    <row r="1185" spans="1:4" ht="15" customHeight="1">
      <c r="A1185" s="642"/>
      <c r="B1185" s="642"/>
      <c r="C1185" s="642"/>
      <c r="D1185" s="154"/>
    </row>
    <row r="1186" spans="1:4" ht="15" customHeight="1">
      <c r="A1186" s="642"/>
      <c r="B1186" s="642"/>
      <c r="C1186" s="642"/>
      <c r="D1186" s="154"/>
    </row>
    <row r="1187" spans="1:4" ht="15" customHeight="1">
      <c r="A1187" s="642"/>
      <c r="B1187" s="642"/>
      <c r="C1187" s="642"/>
      <c r="D1187" s="154"/>
    </row>
    <row r="1188" spans="1:4" ht="15" customHeight="1">
      <c r="A1188" s="642"/>
      <c r="B1188" s="642"/>
      <c r="C1188" s="642"/>
      <c r="D1188" s="154"/>
    </row>
    <row r="1189" spans="1:4" ht="15" customHeight="1">
      <c r="A1189" s="642"/>
      <c r="B1189" s="642"/>
      <c r="C1189" s="642"/>
      <c r="D1189" s="154"/>
    </row>
    <row r="1190" spans="1:4" ht="15" customHeight="1">
      <c r="A1190" s="642"/>
      <c r="B1190" s="642"/>
      <c r="C1190" s="642"/>
      <c r="D1190" s="154"/>
    </row>
    <row r="1191" spans="1:4" ht="15" customHeight="1">
      <c r="A1191" s="642"/>
      <c r="B1191" s="642"/>
      <c r="C1191" s="642"/>
      <c r="D1191" s="154"/>
    </row>
    <row r="1192" spans="1:4" ht="15" customHeight="1">
      <c r="A1192" s="642"/>
      <c r="B1192" s="642"/>
      <c r="C1192" s="642"/>
      <c r="D1192" s="154"/>
    </row>
    <row r="1193" spans="1:4" ht="15" customHeight="1">
      <c r="A1193" s="642"/>
      <c r="B1193" s="642"/>
      <c r="C1193" s="642"/>
      <c r="D1193" s="154"/>
    </row>
    <row r="1194" spans="1:4" ht="15" customHeight="1">
      <c r="A1194" s="642"/>
      <c r="B1194" s="642"/>
      <c r="C1194" s="642"/>
      <c r="D1194" s="154"/>
    </row>
    <row r="1195" spans="1:4" ht="15" customHeight="1">
      <c r="A1195" s="642"/>
      <c r="B1195" s="642"/>
      <c r="C1195" s="642"/>
      <c r="D1195" s="154"/>
    </row>
    <row r="1196" spans="1:4" ht="15" customHeight="1">
      <c r="A1196" s="642"/>
      <c r="B1196" s="642"/>
      <c r="C1196" s="642"/>
      <c r="D1196" s="154"/>
    </row>
    <row r="1197" spans="1:4" ht="15" customHeight="1">
      <c r="A1197" s="642"/>
      <c r="B1197" s="642"/>
      <c r="C1197" s="642"/>
      <c r="D1197" s="154"/>
    </row>
    <row r="1198" spans="1:4" ht="15" customHeight="1">
      <c r="A1198" s="642"/>
      <c r="B1198" s="642"/>
      <c r="C1198" s="642"/>
      <c r="D1198" s="154"/>
    </row>
    <row r="1199" spans="1:4" ht="15" customHeight="1">
      <c r="A1199" s="642"/>
      <c r="B1199" s="642"/>
      <c r="C1199" s="642"/>
      <c r="D1199" s="154"/>
    </row>
    <row r="1200" spans="1:4" ht="15" customHeight="1">
      <c r="A1200" s="642"/>
      <c r="B1200" s="642"/>
      <c r="C1200" s="642"/>
      <c r="D1200" s="154"/>
    </row>
    <row r="1201" spans="1:4" ht="15" customHeight="1">
      <c r="A1201" s="642"/>
      <c r="B1201" s="642"/>
      <c r="C1201" s="642"/>
      <c r="D1201" s="154"/>
    </row>
    <row r="1202" spans="1:4" ht="15" customHeight="1">
      <c r="A1202" s="642"/>
      <c r="B1202" s="642"/>
      <c r="C1202" s="642"/>
      <c r="D1202" s="154"/>
    </row>
    <row r="1203" spans="1:4" ht="15" customHeight="1">
      <c r="A1203" s="642"/>
      <c r="B1203" s="642"/>
      <c r="C1203" s="642"/>
      <c r="D1203" s="154"/>
    </row>
    <row r="1204" spans="1:4" ht="15" customHeight="1">
      <c r="A1204" s="642"/>
      <c r="B1204" s="642"/>
      <c r="C1204" s="642"/>
      <c r="D1204" s="154"/>
    </row>
    <row r="1205" spans="1:4" ht="15" customHeight="1">
      <c r="A1205" s="642"/>
      <c r="B1205" s="642"/>
      <c r="C1205" s="642"/>
      <c r="D1205" s="154"/>
    </row>
    <row r="1206" spans="1:4" ht="15" customHeight="1">
      <c r="A1206" s="642"/>
      <c r="B1206" s="642"/>
      <c r="C1206" s="642"/>
      <c r="D1206" s="154"/>
    </row>
    <row r="1207" spans="1:4" ht="15" customHeight="1">
      <c r="A1207" s="642"/>
      <c r="B1207" s="642"/>
      <c r="C1207" s="642"/>
      <c r="D1207" s="154"/>
    </row>
    <row r="1208" spans="1:4" ht="15" customHeight="1">
      <c r="A1208" s="642"/>
      <c r="B1208" s="642"/>
      <c r="C1208" s="642"/>
      <c r="D1208" s="154"/>
    </row>
    <row r="1209" spans="1:4" ht="15" customHeight="1">
      <c r="A1209" s="642"/>
      <c r="B1209" s="642"/>
      <c r="C1209" s="642"/>
      <c r="D1209" s="154"/>
    </row>
    <row r="1210" spans="1:4" ht="15" customHeight="1">
      <c r="A1210" s="642"/>
      <c r="B1210" s="642"/>
      <c r="C1210" s="642"/>
      <c r="D1210" s="154"/>
    </row>
    <row r="1211" spans="1:4" ht="15" customHeight="1">
      <c r="A1211" s="642"/>
      <c r="B1211" s="642"/>
      <c r="C1211" s="642"/>
      <c r="D1211" s="154"/>
    </row>
    <row r="1212" spans="1:4" ht="15" customHeight="1">
      <c r="A1212" s="642"/>
      <c r="B1212" s="642"/>
      <c r="C1212" s="642"/>
      <c r="D1212" s="154"/>
    </row>
    <row r="1213" spans="1:4" ht="15" customHeight="1">
      <c r="A1213" s="642"/>
      <c r="B1213" s="642"/>
      <c r="C1213" s="642"/>
      <c r="D1213" s="154"/>
    </row>
    <row r="1214" spans="1:4" ht="15" customHeight="1">
      <c r="A1214" s="642"/>
      <c r="B1214" s="642"/>
      <c r="C1214" s="642"/>
      <c r="D1214" s="154"/>
    </row>
    <row r="1215" spans="1:4" ht="15" customHeight="1">
      <c r="A1215" s="642"/>
      <c r="B1215" s="642"/>
      <c r="C1215" s="642"/>
      <c r="D1215" s="154"/>
    </row>
    <row r="1216" spans="1:4" ht="15" customHeight="1">
      <c r="A1216" s="642"/>
      <c r="B1216" s="642"/>
      <c r="C1216" s="642"/>
      <c r="D1216" s="154"/>
    </row>
    <row r="1217" spans="1:4" ht="15" customHeight="1">
      <c r="A1217" s="642"/>
      <c r="B1217" s="642"/>
      <c r="C1217" s="642"/>
      <c r="D1217" s="154"/>
    </row>
    <row r="1218" spans="1:4" ht="15" customHeight="1">
      <c r="A1218" s="642"/>
      <c r="B1218" s="642"/>
      <c r="C1218" s="642"/>
      <c r="D1218" s="154"/>
    </row>
    <row r="1219" spans="1:4" ht="15" customHeight="1">
      <c r="A1219" s="642"/>
      <c r="B1219" s="642"/>
      <c r="C1219" s="642"/>
      <c r="D1219" s="154"/>
    </row>
    <row r="1220" spans="1:4" ht="15" customHeight="1">
      <c r="A1220" s="642"/>
      <c r="B1220" s="642"/>
      <c r="C1220" s="642"/>
      <c r="D1220" s="154"/>
    </row>
    <row r="1221" spans="1:4" ht="15" customHeight="1">
      <c r="A1221" s="642"/>
      <c r="B1221" s="642"/>
      <c r="C1221" s="642"/>
      <c r="D1221" s="154"/>
    </row>
    <row r="1222" spans="1:4" ht="15" customHeight="1">
      <c r="A1222" s="642"/>
      <c r="B1222" s="642"/>
      <c r="C1222" s="642"/>
      <c r="D1222" s="154"/>
    </row>
    <row r="1223" spans="1:4" ht="15" customHeight="1">
      <c r="A1223" s="642"/>
      <c r="B1223" s="642"/>
      <c r="C1223" s="642"/>
      <c r="D1223" s="154"/>
    </row>
    <row r="1224" spans="1:4" ht="15" customHeight="1">
      <c r="A1224" s="642"/>
      <c r="B1224" s="642"/>
      <c r="C1224" s="642"/>
      <c r="D1224" s="154"/>
    </row>
    <row r="1225" spans="1:4" ht="15" customHeight="1">
      <c r="A1225" s="642"/>
      <c r="B1225" s="642"/>
      <c r="C1225" s="642"/>
      <c r="D1225" s="154"/>
    </row>
    <row r="1226" spans="1:4" ht="15" customHeight="1">
      <c r="A1226" s="642"/>
      <c r="B1226" s="642"/>
      <c r="C1226" s="642"/>
      <c r="D1226" s="154"/>
    </row>
    <row r="1227" spans="1:4" ht="15" customHeight="1">
      <c r="A1227" s="642"/>
      <c r="B1227" s="642"/>
      <c r="C1227" s="642"/>
      <c r="D1227" s="154"/>
    </row>
    <row r="1228" spans="1:4" ht="15" customHeight="1">
      <c r="A1228" s="642"/>
      <c r="B1228" s="642"/>
      <c r="C1228" s="642"/>
      <c r="D1228" s="154"/>
    </row>
    <row r="1229" spans="1:4" ht="15" customHeight="1">
      <c r="A1229" s="642"/>
      <c r="B1229" s="642"/>
      <c r="C1229" s="642"/>
      <c r="D1229" s="154"/>
    </row>
    <row r="1230" spans="1:4" ht="15" customHeight="1">
      <c r="A1230" s="642"/>
      <c r="B1230" s="642"/>
      <c r="C1230" s="642"/>
      <c r="D1230" s="154"/>
    </row>
    <row r="1231" spans="1:4" ht="15" customHeight="1">
      <c r="A1231" s="642"/>
      <c r="B1231" s="642"/>
      <c r="C1231" s="642"/>
      <c r="D1231" s="154"/>
    </row>
    <row r="1232" spans="1:4" ht="15" customHeight="1">
      <c r="A1232" s="642"/>
      <c r="B1232" s="642"/>
      <c r="C1232" s="642"/>
      <c r="D1232" s="154"/>
    </row>
    <row r="1233" spans="1:4" ht="15" customHeight="1">
      <c r="A1233" s="642"/>
      <c r="B1233" s="642"/>
      <c r="C1233" s="642"/>
      <c r="D1233" s="154"/>
    </row>
    <row r="1234" spans="1:4" ht="15" customHeight="1">
      <c r="A1234" s="642"/>
      <c r="B1234" s="642"/>
      <c r="C1234" s="642"/>
      <c r="D1234" s="154"/>
    </row>
    <row r="1235" spans="1:4" ht="15" customHeight="1">
      <c r="A1235" s="642"/>
      <c r="B1235" s="642"/>
      <c r="C1235" s="642"/>
      <c r="D1235" s="154"/>
    </row>
    <row r="1236" spans="1:4" ht="15" customHeight="1">
      <c r="A1236" s="642"/>
      <c r="B1236" s="642"/>
      <c r="C1236" s="642"/>
      <c r="D1236" s="154"/>
    </row>
    <row r="1237" spans="1:4" ht="15" customHeight="1">
      <c r="A1237" s="642"/>
      <c r="B1237" s="642"/>
      <c r="C1237" s="642"/>
      <c r="D1237" s="154"/>
    </row>
    <row r="1238" spans="1:4" ht="15" customHeight="1">
      <c r="A1238" s="642"/>
      <c r="B1238" s="642"/>
      <c r="C1238" s="642"/>
      <c r="D1238" s="154"/>
    </row>
    <row r="1239" spans="1:4" ht="15" customHeight="1">
      <c r="A1239" s="642"/>
      <c r="B1239" s="642"/>
      <c r="C1239" s="642"/>
      <c r="D1239" s="154"/>
    </row>
    <row r="1240" spans="1:4" ht="15" customHeight="1">
      <c r="A1240" s="642"/>
      <c r="B1240" s="642"/>
      <c r="C1240" s="642"/>
      <c r="D1240" s="154"/>
    </row>
    <row r="1241" spans="1:4" ht="15" customHeight="1">
      <c r="A1241" s="642"/>
      <c r="B1241" s="642"/>
      <c r="C1241" s="642"/>
      <c r="D1241" s="154"/>
    </row>
    <row r="1242" spans="1:4" ht="15" customHeight="1">
      <c r="A1242" s="642"/>
      <c r="B1242" s="642"/>
      <c r="C1242" s="642"/>
      <c r="D1242" s="154"/>
    </row>
    <row r="1243" spans="1:4" ht="15" customHeight="1">
      <c r="A1243" s="642"/>
      <c r="B1243" s="642"/>
      <c r="C1243" s="642"/>
      <c r="D1243" s="154"/>
    </row>
    <row r="1244" spans="1:4" ht="15" customHeight="1">
      <c r="A1244" s="642"/>
      <c r="B1244" s="642"/>
      <c r="C1244" s="642"/>
      <c r="D1244" s="154"/>
    </row>
    <row r="1245" spans="1:4" ht="15" customHeight="1">
      <c r="A1245" s="642"/>
      <c r="B1245" s="642"/>
      <c r="C1245" s="642"/>
      <c r="D1245" s="154"/>
    </row>
    <row r="1246" spans="1:4" ht="15" customHeight="1">
      <c r="A1246" s="642"/>
      <c r="B1246" s="642"/>
      <c r="C1246" s="642"/>
      <c r="D1246" s="154"/>
    </row>
    <row r="1247" spans="1:4" ht="15" customHeight="1">
      <c r="A1247" s="642"/>
      <c r="B1247" s="642"/>
      <c r="C1247" s="642"/>
      <c r="D1247" s="154"/>
    </row>
    <row r="1248" spans="1:4" ht="15" customHeight="1">
      <c r="A1248" s="642"/>
      <c r="B1248" s="642"/>
      <c r="C1248" s="642"/>
      <c r="D1248" s="154"/>
    </row>
    <row r="1249" spans="1:4" ht="15" customHeight="1">
      <c r="A1249" s="642"/>
      <c r="B1249" s="642"/>
      <c r="C1249" s="642"/>
      <c r="D1249" s="154"/>
    </row>
    <row r="1250" spans="1:4" ht="15" customHeight="1">
      <c r="A1250" s="642"/>
      <c r="B1250" s="642"/>
      <c r="C1250" s="642"/>
      <c r="D1250" s="154"/>
    </row>
    <row r="1251" spans="1:4" ht="15" customHeight="1">
      <c r="A1251" s="642"/>
      <c r="B1251" s="642"/>
      <c r="C1251" s="642"/>
      <c r="D1251" s="154"/>
    </row>
    <row r="1252" spans="1:4" ht="15" customHeight="1">
      <c r="A1252" s="642"/>
      <c r="B1252" s="642"/>
      <c r="C1252" s="642"/>
      <c r="D1252" s="154"/>
    </row>
    <row r="1253" spans="1:4" ht="15" customHeight="1">
      <c r="A1253" s="642"/>
      <c r="B1253" s="642"/>
      <c r="C1253" s="642"/>
      <c r="D1253" s="154"/>
    </row>
    <row r="1254" spans="1:4" ht="15" customHeight="1">
      <c r="A1254" s="642"/>
      <c r="B1254" s="642"/>
      <c r="C1254" s="642"/>
      <c r="D1254" s="154"/>
    </row>
    <row r="1255" spans="1:4" ht="15" customHeight="1">
      <c r="A1255" s="642"/>
      <c r="B1255" s="642"/>
      <c r="C1255" s="642"/>
      <c r="D1255" s="154"/>
    </row>
    <row r="1256" spans="1:4" ht="15" customHeight="1">
      <c r="A1256" s="642"/>
      <c r="B1256" s="642"/>
      <c r="C1256" s="642"/>
      <c r="D1256" s="154"/>
    </row>
    <row r="1257" spans="1:4" ht="15" customHeight="1">
      <c r="A1257" s="642"/>
      <c r="B1257" s="642"/>
      <c r="C1257" s="642"/>
      <c r="D1257" s="154"/>
    </row>
    <row r="1258" spans="1:4" ht="15" customHeight="1">
      <c r="A1258" s="642"/>
      <c r="B1258" s="642"/>
      <c r="C1258" s="642"/>
      <c r="D1258" s="154"/>
    </row>
    <row r="1259" spans="1:4" ht="15" customHeight="1">
      <c r="A1259" s="642"/>
      <c r="B1259" s="642"/>
      <c r="C1259" s="642"/>
      <c r="D1259" s="154"/>
    </row>
    <row r="1260" spans="1:4" ht="15" customHeight="1">
      <c r="A1260" s="642"/>
      <c r="B1260" s="642"/>
      <c r="C1260" s="642"/>
      <c r="D1260" s="154"/>
    </row>
    <row r="1261" spans="1:4" ht="15" customHeight="1">
      <c r="A1261" s="642"/>
      <c r="B1261" s="642"/>
      <c r="C1261" s="642"/>
      <c r="D1261" s="154"/>
    </row>
    <row r="1262" spans="1:4" ht="15" customHeight="1">
      <c r="A1262" s="642"/>
      <c r="B1262" s="642"/>
      <c r="C1262" s="642"/>
      <c r="D1262" s="154"/>
    </row>
    <row r="1263" spans="1:4" ht="15" customHeight="1">
      <c r="A1263" s="642"/>
      <c r="B1263" s="642"/>
      <c r="C1263" s="642"/>
      <c r="D1263" s="154"/>
    </row>
    <row r="1264" spans="1:4" ht="15" customHeight="1">
      <c r="A1264" s="642"/>
      <c r="B1264" s="642"/>
      <c r="C1264" s="642"/>
      <c r="D1264" s="154"/>
    </row>
    <row r="1265" spans="1:4" ht="15" customHeight="1">
      <c r="A1265" s="642"/>
      <c r="B1265" s="642"/>
      <c r="C1265" s="642"/>
      <c r="D1265" s="154"/>
    </row>
    <row r="1266" spans="1:4" ht="15" customHeight="1">
      <c r="A1266" s="642"/>
      <c r="B1266" s="642"/>
      <c r="C1266" s="642"/>
      <c r="D1266" s="154"/>
    </row>
    <row r="1267" spans="1:4" ht="15" customHeight="1">
      <c r="A1267" s="642"/>
      <c r="B1267" s="642"/>
      <c r="C1267" s="642"/>
      <c r="D1267" s="154"/>
    </row>
    <row r="1268" spans="1:4" ht="15" customHeight="1">
      <c r="A1268" s="642"/>
      <c r="B1268" s="642"/>
      <c r="C1268" s="642"/>
      <c r="D1268" s="154"/>
    </row>
    <row r="1269" spans="1:4" ht="15" customHeight="1">
      <c r="A1269" s="642"/>
      <c r="B1269" s="642"/>
      <c r="C1269" s="642"/>
      <c r="D1269" s="154"/>
    </row>
    <row r="1270" spans="1:4" ht="15" customHeight="1">
      <c r="A1270" s="642"/>
      <c r="B1270" s="642"/>
      <c r="C1270" s="642"/>
      <c r="D1270" s="154"/>
    </row>
    <row r="1271" spans="1:4" ht="15" customHeight="1">
      <c r="A1271" s="642"/>
      <c r="B1271" s="642"/>
      <c r="C1271" s="642"/>
      <c r="D1271" s="154"/>
    </row>
    <row r="1272" spans="1:4" ht="15" customHeight="1">
      <c r="A1272" s="642"/>
      <c r="B1272" s="642"/>
      <c r="C1272" s="642"/>
      <c r="D1272" s="154"/>
    </row>
    <row r="1273" spans="1:4" ht="15" customHeight="1">
      <c r="A1273" s="642"/>
      <c r="B1273" s="642"/>
      <c r="C1273" s="642"/>
      <c r="D1273" s="154"/>
    </row>
    <row r="1274" spans="1:4" ht="15" customHeight="1">
      <c r="A1274" s="642"/>
      <c r="B1274" s="642"/>
      <c r="C1274" s="642"/>
      <c r="D1274" s="154"/>
    </row>
    <row r="1275" spans="1:4" ht="15" customHeight="1">
      <c r="A1275" s="642"/>
      <c r="B1275" s="642"/>
      <c r="C1275" s="642"/>
      <c r="D1275" s="154"/>
    </row>
    <row r="1276" spans="1:4" ht="15" customHeight="1">
      <c r="A1276" s="642"/>
      <c r="B1276" s="642"/>
      <c r="C1276" s="642"/>
      <c r="D1276" s="154"/>
    </row>
    <row r="1277" spans="1:4" ht="15" customHeight="1">
      <c r="A1277" s="642"/>
      <c r="B1277" s="642"/>
      <c r="C1277" s="642"/>
      <c r="D1277" s="154"/>
    </row>
    <row r="1278" spans="1:4" ht="15" customHeight="1">
      <c r="A1278" s="642"/>
      <c r="B1278" s="642"/>
      <c r="C1278" s="642"/>
      <c r="D1278" s="154"/>
    </row>
    <row r="1279" spans="1:4" ht="15" customHeight="1">
      <c r="A1279" s="642"/>
      <c r="B1279" s="642"/>
      <c r="C1279" s="642"/>
      <c r="D1279" s="154"/>
    </row>
    <row r="1280" spans="1:4" ht="15" customHeight="1">
      <c r="A1280" s="642"/>
      <c r="B1280" s="642"/>
      <c r="C1280" s="642"/>
      <c r="D1280" s="154"/>
    </row>
    <row r="1281" spans="1:4" ht="15" customHeight="1">
      <c r="A1281" s="642"/>
      <c r="B1281" s="642"/>
      <c r="C1281" s="642"/>
      <c r="D1281" s="154"/>
    </row>
    <row r="1282" spans="1:4" ht="15" customHeight="1">
      <c r="A1282" s="642"/>
      <c r="B1282" s="642"/>
      <c r="C1282" s="642"/>
      <c r="D1282" s="154"/>
    </row>
    <row r="1283" spans="1:4" ht="15" customHeight="1">
      <c r="A1283" s="642"/>
      <c r="B1283" s="642"/>
      <c r="C1283" s="642"/>
      <c r="D1283" s="154"/>
    </row>
    <row r="1284" spans="1:4" ht="15" customHeight="1">
      <c r="A1284" s="642"/>
      <c r="B1284" s="642"/>
      <c r="C1284" s="642"/>
      <c r="D1284" s="154"/>
    </row>
    <row r="1285" spans="1:4" ht="15" customHeight="1">
      <c r="A1285" s="642"/>
      <c r="B1285" s="642"/>
      <c r="C1285" s="642"/>
      <c r="D1285" s="154"/>
    </row>
    <row r="1286" spans="1:4" ht="15" customHeight="1">
      <c r="A1286" s="642"/>
      <c r="B1286" s="642"/>
      <c r="C1286" s="642"/>
      <c r="D1286" s="154"/>
    </row>
    <row r="1287" spans="1:4" ht="15" customHeight="1">
      <c r="A1287" s="642"/>
      <c r="B1287" s="642"/>
      <c r="C1287" s="642"/>
      <c r="D1287" s="154"/>
    </row>
    <row r="1288" spans="1:4" ht="15" customHeight="1">
      <c r="A1288" s="642"/>
      <c r="B1288" s="642"/>
      <c r="C1288" s="642"/>
      <c r="D1288" s="154"/>
    </row>
    <row r="1289" spans="1:4" ht="15" customHeight="1">
      <c r="A1289" s="642"/>
      <c r="B1289" s="642"/>
      <c r="C1289" s="642"/>
      <c r="D1289" s="154"/>
    </row>
    <row r="1290" spans="1:4" ht="15" customHeight="1">
      <c r="A1290" s="642"/>
      <c r="B1290" s="642"/>
      <c r="C1290" s="642"/>
      <c r="D1290" s="154"/>
    </row>
    <row r="1291" spans="1:4" ht="15" customHeight="1">
      <c r="A1291" s="642"/>
      <c r="B1291" s="642"/>
      <c r="C1291" s="642"/>
      <c r="D1291" s="154"/>
    </row>
    <row r="1292" spans="1:4" ht="15" customHeight="1">
      <c r="A1292" s="642"/>
      <c r="B1292" s="642"/>
      <c r="C1292" s="642"/>
      <c r="D1292" s="154"/>
    </row>
    <row r="1293" spans="1:4" ht="15" customHeight="1">
      <c r="A1293" s="642"/>
      <c r="B1293" s="642"/>
      <c r="C1293" s="642"/>
      <c r="D1293" s="154"/>
    </row>
    <row r="1294" spans="1:4" ht="15" customHeight="1">
      <c r="A1294" s="642"/>
      <c r="B1294" s="642"/>
      <c r="C1294" s="642"/>
      <c r="D1294" s="154"/>
    </row>
    <row r="1295" spans="1:4" ht="15" customHeight="1">
      <c r="A1295" s="642"/>
      <c r="B1295" s="642"/>
      <c r="C1295" s="642"/>
      <c r="D1295" s="154"/>
    </row>
    <row r="1296" spans="1:4" ht="15" customHeight="1">
      <c r="A1296" s="642"/>
      <c r="B1296" s="642"/>
      <c r="C1296" s="642"/>
      <c r="D1296" s="154"/>
    </row>
    <row r="1297" spans="1:4" ht="15" customHeight="1">
      <c r="A1297" s="642"/>
      <c r="B1297" s="642"/>
      <c r="C1297" s="642"/>
      <c r="D1297" s="154"/>
    </row>
    <row r="1298" spans="1:4" ht="15" customHeight="1">
      <c r="A1298" s="642"/>
      <c r="B1298" s="642"/>
      <c r="C1298" s="642"/>
      <c r="D1298" s="154"/>
    </row>
    <row r="1299" spans="1:4" ht="15" customHeight="1">
      <c r="A1299" s="642"/>
      <c r="B1299" s="642"/>
      <c r="C1299" s="642"/>
      <c r="D1299" s="154"/>
    </row>
    <row r="1300" spans="1:4" ht="15" customHeight="1">
      <c r="A1300" s="642"/>
      <c r="B1300" s="642"/>
      <c r="C1300" s="642"/>
      <c r="D1300" s="154"/>
    </row>
    <row r="1301" spans="1:4" ht="15" customHeight="1">
      <c r="A1301" s="642"/>
      <c r="B1301" s="642"/>
      <c r="C1301" s="642"/>
      <c r="D1301" s="154"/>
    </row>
    <row r="1302" spans="1:4" ht="15" customHeight="1">
      <c r="A1302" s="642"/>
      <c r="B1302" s="642"/>
      <c r="C1302" s="642"/>
      <c r="D1302" s="154"/>
    </row>
    <row r="1303" spans="1:4" ht="15" customHeight="1">
      <c r="A1303" s="642"/>
      <c r="B1303" s="642"/>
      <c r="C1303" s="642"/>
      <c r="D1303" s="154"/>
    </row>
    <row r="1304" spans="1:4" ht="15" customHeight="1">
      <c r="A1304" s="642"/>
      <c r="B1304" s="642"/>
      <c r="C1304" s="642"/>
      <c r="D1304" s="154"/>
    </row>
    <row r="1305" spans="1:4" ht="15" customHeight="1">
      <c r="A1305" s="642"/>
      <c r="B1305" s="642"/>
      <c r="C1305" s="642"/>
      <c r="D1305" s="154"/>
    </row>
    <row r="1306" spans="1:4" ht="15" customHeight="1">
      <c r="A1306" s="642"/>
      <c r="B1306" s="642"/>
      <c r="C1306" s="642"/>
      <c r="D1306" s="154"/>
    </row>
    <row r="1307" spans="1:4" ht="15" customHeight="1">
      <c r="A1307" s="642"/>
      <c r="B1307" s="642"/>
      <c r="C1307" s="642"/>
      <c r="D1307" s="154"/>
    </row>
    <row r="1308" spans="1:4" ht="15" customHeight="1">
      <c r="A1308" s="642"/>
      <c r="B1308" s="642"/>
      <c r="C1308" s="642"/>
      <c r="D1308" s="154"/>
    </row>
    <row r="1309" spans="1:4" ht="15" customHeight="1">
      <c r="A1309" s="642"/>
      <c r="B1309" s="642"/>
      <c r="C1309" s="642"/>
      <c r="D1309" s="154"/>
    </row>
    <row r="1310" spans="1:4" ht="15" customHeight="1">
      <c r="A1310" s="642"/>
      <c r="B1310" s="642"/>
      <c r="C1310" s="642"/>
      <c r="D1310" s="154"/>
    </row>
    <row r="1311" spans="1:4" ht="15" customHeight="1">
      <c r="A1311" s="642"/>
      <c r="B1311" s="642"/>
      <c r="C1311" s="642"/>
      <c r="D1311" s="154"/>
    </row>
    <row r="1312" spans="1:4" ht="15" customHeight="1">
      <c r="A1312" s="642"/>
      <c r="B1312" s="642"/>
      <c r="C1312" s="642"/>
      <c r="D1312" s="154"/>
    </row>
    <row r="1313" spans="1:4" ht="15" customHeight="1">
      <c r="A1313" s="642"/>
      <c r="B1313" s="642"/>
      <c r="C1313" s="642"/>
      <c r="D1313" s="154"/>
    </row>
    <row r="1314" spans="1:4" ht="15" customHeight="1">
      <c r="A1314" s="642"/>
      <c r="B1314" s="642"/>
      <c r="C1314" s="642"/>
      <c r="D1314" s="154"/>
    </row>
    <row r="1315" spans="1:4" ht="15" customHeight="1">
      <c r="A1315" s="642"/>
      <c r="B1315" s="642"/>
      <c r="C1315" s="642"/>
      <c r="D1315" s="154"/>
    </row>
    <row r="1316" spans="1:4" ht="15" customHeight="1">
      <c r="A1316" s="642"/>
      <c r="B1316" s="642"/>
      <c r="C1316" s="642"/>
      <c r="D1316" s="154"/>
    </row>
    <row r="1317" spans="1:4" ht="15" customHeight="1">
      <c r="A1317" s="642"/>
      <c r="B1317" s="642"/>
      <c r="C1317" s="642"/>
      <c r="D1317" s="154"/>
    </row>
    <row r="1318" spans="1:4" ht="15" customHeight="1">
      <c r="A1318" s="642"/>
      <c r="B1318" s="642"/>
      <c r="C1318" s="642"/>
      <c r="D1318" s="154"/>
    </row>
    <row r="1319" spans="1:4" ht="15" customHeight="1">
      <c r="A1319" s="642"/>
      <c r="B1319" s="642"/>
      <c r="C1319" s="642"/>
      <c r="D1319" s="154"/>
    </row>
    <row r="1320" spans="1:4" ht="15" customHeight="1">
      <c r="A1320" s="642"/>
      <c r="B1320" s="642"/>
      <c r="C1320" s="642"/>
      <c r="D1320" s="154"/>
    </row>
    <row r="1321" spans="1:4" ht="15" customHeight="1">
      <c r="A1321" s="642"/>
      <c r="B1321" s="642"/>
      <c r="C1321" s="642"/>
      <c r="D1321" s="154"/>
    </row>
    <row r="1322" spans="1:4" ht="15" customHeight="1">
      <c r="A1322" s="642"/>
      <c r="B1322" s="642"/>
      <c r="C1322" s="642"/>
      <c r="D1322" s="154"/>
    </row>
    <row r="1323" spans="1:4" ht="15" customHeight="1">
      <c r="A1323" s="642"/>
      <c r="B1323" s="642"/>
      <c r="C1323" s="642"/>
      <c r="D1323" s="154"/>
    </row>
    <row r="1324" spans="1:4" ht="15" customHeight="1">
      <c r="A1324" s="642"/>
      <c r="B1324" s="642"/>
      <c r="C1324" s="642"/>
      <c r="D1324" s="154"/>
    </row>
    <row r="1325" spans="1:4" ht="15" customHeight="1">
      <c r="A1325" s="642"/>
      <c r="B1325" s="642"/>
      <c r="C1325" s="642"/>
      <c r="D1325" s="154"/>
    </row>
    <row r="1326" spans="1:4" ht="15" customHeight="1">
      <c r="A1326" s="642"/>
      <c r="B1326" s="642"/>
      <c r="C1326" s="642"/>
      <c r="D1326" s="154"/>
    </row>
    <row r="1327" spans="1:4" ht="15" customHeight="1">
      <c r="A1327" s="642"/>
      <c r="B1327" s="642"/>
      <c r="C1327" s="642"/>
      <c r="D1327" s="154"/>
    </row>
    <row r="1328" spans="1:4" ht="15" customHeight="1">
      <c r="A1328" s="642"/>
      <c r="B1328" s="642"/>
      <c r="C1328" s="642"/>
      <c r="D1328" s="154"/>
    </row>
    <row r="1329" spans="1:4" ht="15" customHeight="1">
      <c r="A1329" s="642"/>
      <c r="B1329" s="642"/>
      <c r="C1329" s="642"/>
      <c r="D1329" s="154"/>
    </row>
    <row r="1330" spans="1:4" ht="15" customHeight="1">
      <c r="A1330" s="642"/>
      <c r="B1330" s="642"/>
      <c r="C1330" s="642"/>
      <c r="D1330" s="154"/>
    </row>
    <row r="1331" spans="1:4" ht="15" customHeight="1">
      <c r="A1331" s="642"/>
      <c r="B1331" s="642"/>
      <c r="C1331" s="642"/>
      <c r="D1331" s="154"/>
    </row>
    <row r="1332" spans="1:4" ht="15" customHeight="1">
      <c r="A1332" s="642"/>
      <c r="B1332" s="642"/>
      <c r="C1332" s="642"/>
      <c r="D1332" s="154"/>
    </row>
    <row r="1333" spans="1:4" ht="15" customHeight="1">
      <c r="A1333" s="642"/>
      <c r="B1333" s="642"/>
      <c r="C1333" s="642"/>
      <c r="D1333" s="154"/>
    </row>
    <row r="1334" spans="1:4" ht="15" customHeight="1">
      <c r="A1334" s="642"/>
      <c r="B1334" s="642"/>
      <c r="C1334" s="642"/>
      <c r="D1334" s="154"/>
    </row>
    <row r="1335" spans="1:4" ht="15" customHeight="1">
      <c r="A1335" s="642"/>
      <c r="B1335" s="642"/>
      <c r="C1335" s="642"/>
      <c r="D1335" s="154"/>
    </row>
    <row r="1336" spans="1:4" ht="15" customHeight="1">
      <c r="A1336" s="642"/>
      <c r="B1336" s="642"/>
      <c r="C1336" s="642"/>
      <c r="D1336" s="154"/>
    </row>
    <row r="1337" spans="1:4" ht="15" customHeight="1">
      <c r="A1337" s="642"/>
      <c r="B1337" s="642"/>
      <c r="C1337" s="642"/>
      <c r="D1337" s="154"/>
    </row>
    <row r="1338" spans="1:4" ht="15" customHeight="1">
      <c r="A1338" s="642"/>
      <c r="B1338" s="642"/>
      <c r="C1338" s="642"/>
      <c r="D1338" s="154"/>
    </row>
    <row r="1339" spans="1:4" ht="15" customHeight="1">
      <c r="A1339" s="642"/>
      <c r="B1339" s="642"/>
      <c r="C1339" s="642"/>
      <c r="D1339" s="154"/>
    </row>
    <row r="1340" spans="1:4" ht="15" customHeight="1">
      <c r="A1340" s="642"/>
      <c r="B1340" s="642"/>
      <c r="C1340" s="642"/>
      <c r="D1340" s="154"/>
    </row>
    <row r="1341" spans="1:4" ht="15" customHeight="1">
      <c r="A1341" s="642"/>
      <c r="B1341" s="642"/>
      <c r="C1341" s="642"/>
      <c r="D1341" s="154"/>
    </row>
    <row r="1342" spans="1:4" ht="15" customHeight="1">
      <c r="A1342" s="642"/>
      <c r="B1342" s="642"/>
      <c r="C1342" s="642"/>
      <c r="D1342" s="154"/>
    </row>
    <row r="1343" spans="1:4" ht="15" customHeight="1">
      <c r="A1343" s="642"/>
      <c r="B1343" s="642"/>
      <c r="C1343" s="642"/>
      <c r="D1343" s="154"/>
    </row>
    <row r="1344" spans="1:4" ht="15" customHeight="1">
      <c r="A1344" s="642"/>
      <c r="B1344" s="642"/>
      <c r="C1344" s="642"/>
      <c r="D1344" s="154"/>
    </row>
    <row r="1345" spans="1:4" ht="15" customHeight="1">
      <c r="A1345" s="642"/>
      <c r="B1345" s="642"/>
      <c r="C1345" s="642"/>
      <c r="D1345" s="154"/>
    </row>
    <row r="1346" spans="1:4" ht="15" customHeight="1">
      <c r="A1346" s="642"/>
      <c r="B1346" s="642"/>
      <c r="C1346" s="642"/>
      <c r="D1346" s="154"/>
    </row>
    <row r="1347" spans="1:4" ht="15" customHeight="1">
      <c r="A1347" s="642"/>
      <c r="B1347" s="642"/>
      <c r="C1347" s="642"/>
      <c r="D1347" s="154"/>
    </row>
    <row r="1348" spans="1:4" ht="15" customHeight="1">
      <c r="A1348" s="642"/>
      <c r="B1348" s="642"/>
      <c r="C1348" s="642"/>
      <c r="D1348" s="154"/>
    </row>
    <row r="1349" spans="1:4" ht="15" customHeight="1">
      <c r="A1349" s="642"/>
      <c r="B1349" s="642"/>
      <c r="C1349" s="642"/>
      <c r="D1349" s="154"/>
    </row>
    <row r="1350" spans="1:4" ht="15" customHeight="1">
      <c r="A1350" s="642"/>
      <c r="B1350" s="642"/>
      <c r="C1350" s="642"/>
      <c r="D1350" s="154"/>
    </row>
    <row r="1351" spans="1:4" ht="15" customHeight="1">
      <c r="A1351" s="642"/>
      <c r="B1351" s="642"/>
      <c r="C1351" s="642"/>
      <c r="D1351" s="154"/>
    </row>
    <row r="1352" spans="1:4" ht="15" customHeight="1">
      <c r="A1352" s="642"/>
      <c r="B1352" s="642"/>
      <c r="C1352" s="642"/>
      <c r="D1352" s="154"/>
    </row>
    <row r="1353" spans="1:4" ht="15" customHeight="1">
      <c r="A1353" s="642"/>
      <c r="B1353" s="642"/>
      <c r="C1353" s="642"/>
      <c r="D1353" s="154"/>
    </row>
    <row r="1354" spans="1:4" ht="15" customHeight="1">
      <c r="A1354" s="642"/>
      <c r="B1354" s="642"/>
      <c r="C1354" s="642"/>
      <c r="D1354" s="154"/>
    </row>
    <row r="1355" spans="1:4" ht="15" customHeight="1">
      <c r="A1355" s="642"/>
      <c r="B1355" s="642"/>
      <c r="C1355" s="642"/>
      <c r="D1355" s="154"/>
    </row>
    <row r="1356" spans="1:4" ht="15" customHeight="1">
      <c r="A1356" s="642"/>
      <c r="B1356" s="642"/>
      <c r="C1356" s="642"/>
      <c r="D1356" s="154"/>
    </row>
    <row r="1357" spans="1:4" ht="15" customHeight="1">
      <c r="A1357" s="642"/>
      <c r="B1357" s="642"/>
      <c r="C1357" s="642"/>
      <c r="D1357" s="154"/>
    </row>
    <row r="1358" spans="1:4" ht="15" customHeight="1">
      <c r="A1358" s="642"/>
      <c r="B1358" s="642"/>
      <c r="C1358" s="642"/>
      <c r="D1358" s="154"/>
    </row>
    <row r="1359" spans="1:4" ht="15" customHeight="1">
      <c r="A1359" s="642"/>
      <c r="B1359" s="642"/>
      <c r="C1359" s="642"/>
      <c r="D1359" s="154"/>
    </row>
    <row r="1360" spans="1:4" ht="15" customHeight="1">
      <c r="A1360" s="642"/>
      <c r="B1360" s="642"/>
      <c r="C1360" s="642"/>
      <c r="D1360" s="154"/>
    </row>
    <row r="1361" spans="1:4" ht="15" customHeight="1">
      <c r="A1361" s="642"/>
      <c r="B1361" s="642"/>
      <c r="C1361" s="642"/>
      <c r="D1361" s="154"/>
    </row>
    <row r="1362" spans="1:4" ht="15" customHeight="1">
      <c r="A1362" s="642"/>
      <c r="B1362" s="642"/>
      <c r="C1362" s="642"/>
      <c r="D1362" s="154"/>
    </row>
    <row r="1363" spans="1:4" ht="15" customHeight="1">
      <c r="A1363" s="642"/>
      <c r="B1363" s="642"/>
      <c r="C1363" s="642"/>
      <c r="D1363" s="154"/>
    </row>
    <row r="1364" spans="1:4" ht="15" customHeight="1">
      <c r="A1364" s="642"/>
      <c r="B1364" s="642"/>
      <c r="C1364" s="642"/>
      <c r="D1364" s="154"/>
    </row>
    <row r="1365" spans="1:4" ht="15" customHeight="1">
      <c r="A1365" s="642"/>
      <c r="B1365" s="642"/>
      <c r="C1365" s="642"/>
      <c r="D1365" s="154"/>
    </row>
    <row r="1366" spans="1:4" ht="15" customHeight="1">
      <c r="A1366" s="642"/>
      <c r="B1366" s="642"/>
      <c r="C1366" s="642"/>
      <c r="D1366" s="154"/>
    </row>
    <row r="1367" spans="1:4" ht="15" customHeight="1">
      <c r="A1367" s="642"/>
      <c r="B1367" s="642"/>
      <c r="C1367" s="642"/>
      <c r="D1367" s="154"/>
    </row>
    <row r="1368" spans="1:4" ht="15" customHeight="1">
      <c r="A1368" s="642"/>
      <c r="B1368" s="642"/>
      <c r="C1368" s="642"/>
      <c r="D1368" s="154"/>
    </row>
    <row r="1369" spans="1:4" ht="15" customHeight="1">
      <c r="A1369" s="642"/>
      <c r="B1369" s="642"/>
      <c r="C1369" s="642"/>
      <c r="D1369" s="154"/>
    </row>
    <row r="1370" spans="1:4" ht="15" customHeight="1">
      <c r="A1370" s="642"/>
      <c r="B1370" s="642"/>
      <c r="C1370" s="642"/>
      <c r="D1370" s="154"/>
    </row>
    <row r="1371" spans="1:4" ht="15" customHeight="1">
      <c r="A1371" s="642"/>
      <c r="B1371" s="642"/>
      <c r="C1371" s="642"/>
      <c r="D1371" s="154"/>
    </row>
    <row r="1372" spans="1:4" ht="15" customHeight="1">
      <c r="A1372" s="642"/>
      <c r="B1372" s="642"/>
      <c r="C1372" s="642"/>
      <c r="D1372" s="154"/>
    </row>
    <row r="1373" spans="1:4" ht="15" customHeight="1">
      <c r="A1373" s="642"/>
      <c r="B1373" s="642"/>
      <c r="C1373" s="642"/>
      <c r="D1373" s="154"/>
    </row>
    <row r="1374" spans="1:4" ht="15" customHeight="1">
      <c r="A1374" s="642"/>
      <c r="B1374" s="642"/>
      <c r="C1374" s="642"/>
      <c r="D1374" s="154"/>
    </row>
    <row r="1375" spans="1:4" ht="15" customHeight="1">
      <c r="A1375" s="642"/>
      <c r="B1375" s="642"/>
      <c r="C1375" s="642"/>
      <c r="D1375" s="154"/>
    </row>
    <row r="1376" spans="1:4" ht="15" customHeight="1">
      <c r="A1376" s="642"/>
      <c r="B1376" s="642"/>
      <c r="C1376" s="642"/>
      <c r="D1376" s="154"/>
    </row>
    <row r="1377" spans="1:4" ht="15" customHeight="1">
      <c r="A1377" s="642"/>
      <c r="B1377" s="642"/>
      <c r="C1377" s="642"/>
      <c r="D1377" s="154"/>
    </row>
    <row r="1378" spans="1:4" ht="15" customHeight="1">
      <c r="A1378" s="642"/>
      <c r="B1378" s="642"/>
      <c r="C1378" s="642"/>
      <c r="D1378" s="154"/>
    </row>
    <row r="1379" spans="1:4" ht="15" customHeight="1">
      <c r="A1379" s="642"/>
      <c r="B1379" s="642"/>
      <c r="C1379" s="642"/>
      <c r="D1379" s="154"/>
    </row>
    <row r="1380" spans="1:4" ht="15" customHeight="1">
      <c r="A1380" s="642"/>
      <c r="B1380" s="642"/>
      <c r="C1380" s="642"/>
      <c r="D1380" s="154"/>
    </row>
    <row r="1381" spans="1:4" ht="15" customHeight="1">
      <c r="A1381" s="642"/>
      <c r="B1381" s="642"/>
      <c r="C1381" s="642"/>
      <c r="D1381" s="154"/>
    </row>
    <row r="1382" spans="1:4" ht="15" customHeight="1">
      <c r="A1382" s="642"/>
      <c r="B1382" s="642"/>
      <c r="C1382" s="642"/>
      <c r="D1382" s="154"/>
    </row>
    <row r="1383" spans="1:4" ht="15" customHeight="1">
      <c r="A1383" s="642"/>
      <c r="B1383" s="642"/>
      <c r="C1383" s="642"/>
      <c r="D1383" s="154"/>
    </row>
    <row r="1384" spans="1:4" ht="15" customHeight="1">
      <c r="A1384" s="642"/>
      <c r="B1384" s="642"/>
      <c r="C1384" s="642"/>
      <c r="D1384" s="154"/>
    </row>
    <row r="1385" spans="1:4" ht="15" customHeight="1">
      <c r="A1385" s="642"/>
      <c r="B1385" s="642"/>
      <c r="C1385" s="642"/>
      <c r="D1385" s="154"/>
    </row>
    <row r="1386" spans="1:4" ht="15" customHeight="1">
      <c r="A1386" s="642"/>
      <c r="B1386" s="642"/>
      <c r="C1386" s="642"/>
      <c r="D1386" s="154"/>
    </row>
    <row r="1387" spans="1:4" ht="15" customHeight="1">
      <c r="A1387" s="642"/>
      <c r="B1387" s="642"/>
      <c r="C1387" s="642"/>
      <c r="D1387" s="154"/>
    </row>
    <row r="1388" spans="1:4" ht="15" customHeight="1">
      <c r="A1388" s="642"/>
      <c r="B1388" s="642"/>
      <c r="C1388" s="642"/>
      <c r="D1388" s="154"/>
    </row>
    <row r="1389" spans="1:4" ht="15" customHeight="1">
      <c r="A1389" s="642"/>
      <c r="B1389" s="642"/>
      <c r="C1389" s="642"/>
      <c r="D1389" s="154"/>
    </row>
    <row r="1390" spans="1:4" ht="15" customHeight="1">
      <c r="A1390" s="642"/>
      <c r="B1390" s="642"/>
      <c r="C1390" s="642"/>
      <c r="D1390" s="154"/>
    </row>
    <row r="1391" spans="1:4" ht="15" customHeight="1">
      <c r="A1391" s="642"/>
      <c r="B1391" s="642"/>
      <c r="C1391" s="642"/>
      <c r="D1391" s="154"/>
    </row>
    <row r="1392" spans="1:4" ht="15" customHeight="1">
      <c r="A1392" s="642"/>
      <c r="B1392" s="642"/>
      <c r="C1392" s="642"/>
      <c r="D1392" s="154"/>
    </row>
    <row r="1393" spans="1:4" ht="15" customHeight="1">
      <c r="A1393" s="642"/>
      <c r="B1393" s="642"/>
      <c r="C1393" s="642"/>
      <c r="D1393" s="154"/>
    </row>
    <row r="1394" spans="1:4" ht="15" customHeight="1">
      <c r="A1394" s="642"/>
      <c r="B1394" s="642"/>
      <c r="C1394" s="642"/>
      <c r="D1394" s="154"/>
    </row>
    <row r="1395" spans="1:4" ht="15" customHeight="1">
      <c r="A1395" s="642"/>
      <c r="B1395" s="642"/>
      <c r="C1395" s="642"/>
      <c r="D1395" s="154"/>
    </row>
    <row r="1396" spans="1:4" ht="15" customHeight="1">
      <c r="A1396" s="642"/>
      <c r="B1396" s="642"/>
      <c r="C1396" s="642"/>
      <c r="D1396" s="154"/>
    </row>
    <row r="1397" spans="1:4" ht="15" customHeight="1">
      <c r="A1397" s="642"/>
      <c r="B1397" s="642"/>
      <c r="C1397" s="642"/>
      <c r="D1397" s="154"/>
    </row>
    <row r="1398" spans="1:4" ht="15" customHeight="1">
      <c r="A1398" s="642"/>
      <c r="B1398" s="642"/>
      <c r="C1398" s="642"/>
      <c r="D1398" s="154"/>
    </row>
    <row r="1399" spans="1:4" ht="15" customHeight="1">
      <c r="A1399" s="642"/>
      <c r="B1399" s="642"/>
      <c r="C1399" s="642"/>
      <c r="D1399" s="154"/>
    </row>
    <row r="1400" spans="1:4" ht="15" customHeight="1">
      <c r="A1400" s="642"/>
      <c r="B1400" s="642"/>
      <c r="C1400" s="642"/>
      <c r="D1400" s="154"/>
    </row>
    <row r="1401" spans="1:4" ht="15" customHeight="1">
      <c r="A1401" s="642"/>
      <c r="B1401" s="642"/>
      <c r="C1401" s="642"/>
      <c r="D1401" s="154"/>
    </row>
    <row r="1402" spans="1:4" ht="15" customHeight="1">
      <c r="A1402" s="642"/>
      <c r="B1402" s="642"/>
      <c r="C1402" s="642"/>
      <c r="D1402" s="154"/>
    </row>
    <row r="1403" spans="1:4" ht="15" customHeight="1">
      <c r="A1403" s="642"/>
      <c r="B1403" s="642"/>
      <c r="C1403" s="642"/>
      <c r="D1403" s="154"/>
    </row>
    <row r="1404" spans="1:4" ht="15" customHeight="1">
      <c r="A1404" s="642"/>
      <c r="B1404" s="642"/>
      <c r="C1404" s="642"/>
      <c r="D1404" s="154"/>
    </row>
    <row r="1405" spans="1:4" ht="15" customHeight="1">
      <c r="A1405" s="642"/>
      <c r="B1405" s="642"/>
      <c r="C1405" s="642"/>
      <c r="D1405" s="154"/>
    </row>
    <row r="1406" spans="1:4" ht="15" customHeight="1">
      <c r="A1406" s="642"/>
      <c r="B1406" s="642"/>
      <c r="C1406" s="642"/>
      <c r="D1406" s="154"/>
    </row>
    <row r="1407" spans="1:4" ht="15" customHeight="1">
      <c r="A1407" s="642"/>
      <c r="B1407" s="642"/>
      <c r="C1407" s="642"/>
      <c r="D1407" s="154"/>
    </row>
    <row r="1408" spans="1:4" ht="15" customHeight="1">
      <c r="A1408" s="642"/>
      <c r="B1408" s="642"/>
      <c r="C1408" s="642"/>
      <c r="D1408" s="154"/>
    </row>
    <row r="1409" spans="1:4" ht="15" customHeight="1">
      <c r="A1409" s="642"/>
      <c r="B1409" s="642"/>
      <c r="C1409" s="642"/>
      <c r="D1409" s="154"/>
    </row>
    <row r="1410" spans="1:4" ht="15" customHeight="1">
      <c r="A1410" s="642"/>
      <c r="B1410" s="642"/>
      <c r="C1410" s="642"/>
      <c r="D1410" s="154"/>
    </row>
    <row r="1411" spans="1:4" ht="15" customHeight="1">
      <c r="A1411" s="642"/>
      <c r="B1411" s="642"/>
      <c r="C1411" s="642"/>
      <c r="D1411" s="154"/>
    </row>
    <row r="1412" spans="1:4" ht="15" customHeight="1">
      <c r="A1412" s="642"/>
      <c r="B1412" s="642"/>
      <c r="C1412" s="642"/>
      <c r="D1412" s="154"/>
    </row>
    <row r="1413" spans="1:4" ht="15" customHeight="1">
      <c r="A1413" s="642"/>
      <c r="B1413" s="642"/>
      <c r="C1413" s="642"/>
      <c r="D1413" s="154"/>
    </row>
    <row r="1414" spans="1:4" ht="15" customHeight="1">
      <c r="A1414" s="642"/>
      <c r="B1414" s="642"/>
      <c r="C1414" s="642"/>
      <c r="D1414" s="154"/>
    </row>
    <row r="1415" spans="1:4" ht="15" customHeight="1">
      <c r="A1415" s="642"/>
      <c r="B1415" s="642"/>
      <c r="C1415" s="642"/>
      <c r="D1415" s="154"/>
    </row>
    <row r="1416" spans="1:4" ht="15" customHeight="1">
      <c r="A1416" s="642"/>
      <c r="B1416" s="642"/>
      <c r="C1416" s="642"/>
      <c r="D1416" s="154"/>
    </row>
    <row r="1417" spans="1:4" ht="15" customHeight="1">
      <c r="A1417" s="642"/>
      <c r="B1417" s="642"/>
      <c r="C1417" s="642"/>
      <c r="D1417" s="154"/>
    </row>
    <row r="1418" spans="1:4" ht="15" customHeight="1">
      <c r="A1418" s="642"/>
      <c r="B1418" s="642"/>
      <c r="C1418" s="642"/>
      <c r="D1418" s="154"/>
    </row>
    <row r="1419" spans="1:4" ht="15" customHeight="1">
      <c r="A1419" s="642"/>
      <c r="B1419" s="642"/>
      <c r="C1419" s="642"/>
      <c r="D1419" s="154"/>
    </row>
    <row r="1420" spans="1:4" ht="15" customHeight="1">
      <c r="A1420" s="642"/>
      <c r="B1420" s="642"/>
      <c r="C1420" s="642"/>
      <c r="D1420" s="154"/>
    </row>
    <row r="1421" spans="1:4" ht="15" customHeight="1">
      <c r="A1421" s="642"/>
      <c r="B1421" s="642"/>
      <c r="C1421" s="642"/>
      <c r="D1421" s="154"/>
    </row>
    <row r="1422" spans="1:4" ht="15" customHeight="1">
      <c r="A1422" s="642"/>
      <c r="B1422" s="642"/>
      <c r="C1422" s="642"/>
      <c r="D1422" s="154"/>
    </row>
    <row r="1423" spans="1:4" ht="15" customHeight="1">
      <c r="A1423" s="642"/>
      <c r="B1423" s="642"/>
      <c r="C1423" s="642"/>
      <c r="D1423" s="154"/>
    </row>
    <row r="1424" spans="1:4" ht="15" customHeight="1">
      <c r="A1424" s="642"/>
      <c r="B1424" s="642"/>
      <c r="C1424" s="642"/>
      <c r="D1424" s="154"/>
    </row>
    <row r="1425" spans="1:4" ht="15" customHeight="1">
      <c r="A1425" s="642"/>
      <c r="B1425" s="642"/>
      <c r="C1425" s="642"/>
      <c r="D1425" s="154"/>
    </row>
    <row r="1426" spans="1:4" ht="15" customHeight="1">
      <c r="A1426" s="642"/>
      <c r="B1426" s="642"/>
      <c r="C1426" s="642"/>
      <c r="D1426" s="154"/>
    </row>
    <row r="1427" spans="1:4" ht="15" customHeight="1">
      <c r="A1427" s="642"/>
      <c r="B1427" s="642"/>
      <c r="C1427" s="642"/>
      <c r="D1427" s="154"/>
    </row>
    <row r="1428" spans="1:4" ht="15" customHeight="1">
      <c r="A1428" s="642"/>
      <c r="B1428" s="642"/>
      <c r="C1428" s="642"/>
      <c r="D1428" s="154"/>
    </row>
    <row r="1429" spans="1:4" ht="15" customHeight="1">
      <c r="A1429" s="642"/>
      <c r="B1429" s="642"/>
      <c r="C1429" s="642"/>
      <c r="D1429" s="154"/>
    </row>
    <row r="1430" spans="1:4" ht="15" customHeight="1">
      <c r="A1430" s="642"/>
      <c r="B1430" s="642"/>
      <c r="C1430" s="642"/>
      <c r="D1430" s="154"/>
    </row>
    <row r="1431" spans="1:4" ht="15" customHeight="1">
      <c r="A1431" s="642"/>
      <c r="B1431" s="642"/>
      <c r="C1431" s="642"/>
      <c r="D1431" s="154"/>
    </row>
    <row r="1432" spans="1:4" ht="15" customHeight="1">
      <c r="A1432" s="642"/>
      <c r="B1432" s="642"/>
      <c r="C1432" s="642"/>
      <c r="D1432" s="154"/>
    </row>
    <row r="1433" spans="1:4" ht="15" customHeight="1">
      <c r="A1433" s="642"/>
      <c r="B1433" s="642"/>
      <c r="C1433" s="642"/>
      <c r="D1433" s="154"/>
    </row>
    <row r="1434" spans="1:4" ht="15" customHeight="1">
      <c r="A1434" s="642"/>
      <c r="B1434" s="642"/>
      <c r="C1434" s="642"/>
      <c r="D1434" s="154"/>
    </row>
    <row r="1435" spans="1:4" ht="15" customHeight="1">
      <c r="A1435" s="642"/>
      <c r="B1435" s="642"/>
      <c r="C1435" s="642"/>
      <c r="D1435" s="154"/>
    </row>
    <row r="1436" spans="1:4" ht="15" customHeight="1">
      <c r="A1436" s="642"/>
      <c r="B1436" s="642"/>
      <c r="C1436" s="642"/>
      <c r="D1436" s="154"/>
    </row>
    <row r="1437" spans="1:4" ht="15" customHeight="1">
      <c r="A1437" s="642"/>
      <c r="B1437" s="642"/>
      <c r="C1437" s="642"/>
      <c r="D1437" s="154"/>
    </row>
    <row r="1438" spans="1:4" ht="15" customHeight="1">
      <c r="A1438" s="642"/>
      <c r="B1438" s="642"/>
      <c r="C1438" s="642"/>
      <c r="D1438" s="154"/>
    </row>
    <row r="1439" spans="1:4" ht="15" customHeight="1">
      <c r="A1439" s="642"/>
      <c r="B1439" s="642"/>
      <c r="C1439" s="642"/>
      <c r="D1439" s="154"/>
    </row>
    <row r="1440" spans="1:4" ht="15" customHeight="1">
      <c r="A1440" s="642"/>
      <c r="B1440" s="642"/>
      <c r="C1440" s="642"/>
      <c r="D1440" s="154"/>
    </row>
    <row r="1441" spans="1:4" ht="15" customHeight="1">
      <c r="A1441" s="642"/>
      <c r="B1441" s="642"/>
      <c r="C1441" s="642"/>
      <c r="D1441" s="154"/>
    </row>
    <row r="1442" spans="1:4" ht="15" customHeight="1">
      <c r="A1442" s="642"/>
      <c r="B1442" s="642"/>
      <c r="C1442" s="642"/>
      <c r="D1442" s="154"/>
    </row>
    <row r="1443" spans="1:4" ht="15" customHeight="1">
      <c r="A1443" s="642"/>
      <c r="B1443" s="642"/>
      <c r="C1443" s="642"/>
      <c r="D1443" s="154"/>
    </row>
    <row r="1444" spans="1:4" ht="15" customHeight="1">
      <c r="A1444" s="642"/>
      <c r="B1444" s="642"/>
      <c r="C1444" s="642"/>
      <c r="D1444" s="154"/>
    </row>
    <row r="1445" spans="1:4" ht="15" customHeight="1">
      <c r="A1445" s="642"/>
      <c r="B1445" s="642"/>
      <c r="C1445" s="642"/>
      <c r="D1445" s="154"/>
    </row>
    <row r="1446" spans="1:4" ht="15" customHeight="1">
      <c r="A1446" s="642"/>
      <c r="B1446" s="642"/>
      <c r="C1446" s="642"/>
      <c r="D1446" s="154"/>
    </row>
    <row r="1447" spans="1:4" ht="15" customHeight="1">
      <c r="A1447" s="642"/>
      <c r="B1447" s="642"/>
      <c r="C1447" s="642"/>
      <c r="D1447" s="154"/>
    </row>
    <row r="1448" spans="1:4" ht="15" customHeight="1">
      <c r="A1448" s="642"/>
      <c r="B1448" s="642"/>
      <c r="C1448" s="642"/>
      <c r="D1448" s="154"/>
    </row>
    <row r="1449" spans="1:4" ht="15" customHeight="1">
      <c r="A1449" s="642"/>
      <c r="B1449" s="642"/>
      <c r="C1449" s="642"/>
      <c r="D1449" s="154"/>
    </row>
    <row r="1450" spans="1:4" ht="15" customHeight="1">
      <c r="A1450" s="642"/>
      <c r="B1450" s="642"/>
      <c r="C1450" s="642"/>
      <c r="D1450" s="154"/>
    </row>
    <row r="1451" spans="1:4" ht="15" customHeight="1">
      <c r="A1451" s="642"/>
      <c r="B1451" s="642"/>
      <c r="C1451" s="642"/>
      <c r="D1451" s="154"/>
    </row>
    <row r="1452" spans="1:4" ht="15" customHeight="1">
      <c r="A1452" s="642"/>
      <c r="B1452" s="642"/>
      <c r="C1452" s="642"/>
      <c r="D1452" s="154"/>
    </row>
    <row r="1453" spans="1:4" ht="15" customHeight="1">
      <c r="A1453" s="642"/>
      <c r="B1453" s="642"/>
      <c r="C1453" s="642"/>
      <c r="D1453" s="154"/>
    </row>
    <row r="1454" spans="1:4" ht="15" customHeight="1">
      <c r="A1454" s="642"/>
      <c r="B1454" s="642"/>
      <c r="C1454" s="642"/>
      <c r="D1454" s="154"/>
    </row>
    <row r="1455" spans="1:4" ht="15" customHeight="1">
      <c r="A1455" s="642"/>
      <c r="B1455" s="642"/>
      <c r="C1455" s="642"/>
      <c r="D1455" s="154"/>
    </row>
    <row r="1456" spans="1:4" ht="15" customHeight="1">
      <c r="A1456" s="642"/>
      <c r="B1456" s="642"/>
      <c r="C1456" s="642"/>
      <c r="D1456" s="154"/>
    </row>
    <row r="1457" spans="1:4" ht="15" customHeight="1">
      <c r="A1457" s="642"/>
      <c r="B1457" s="642"/>
      <c r="C1457" s="642"/>
      <c r="D1457" s="154"/>
    </row>
    <row r="1458" spans="1:4" ht="15" customHeight="1">
      <c r="A1458" s="642"/>
      <c r="B1458" s="642"/>
      <c r="C1458" s="642"/>
      <c r="D1458" s="154"/>
    </row>
    <row r="1459" spans="1:4" ht="15" customHeight="1">
      <c r="A1459" s="642"/>
      <c r="B1459" s="642"/>
      <c r="C1459" s="642"/>
      <c r="D1459" s="154"/>
    </row>
    <row r="1460" spans="1:4" ht="15" customHeight="1">
      <c r="A1460" s="642"/>
      <c r="B1460" s="642"/>
      <c r="C1460" s="642"/>
      <c r="D1460" s="154"/>
    </row>
    <row r="1461" spans="1:4" ht="15" customHeight="1">
      <c r="A1461" s="642"/>
      <c r="B1461" s="642"/>
      <c r="C1461" s="642"/>
      <c r="D1461" s="154"/>
    </row>
    <row r="1462" spans="1:4" ht="15" customHeight="1">
      <c r="A1462" s="642"/>
      <c r="B1462" s="642"/>
      <c r="C1462" s="642"/>
      <c r="D1462" s="154"/>
    </row>
    <row r="1463" spans="1:4" ht="15" customHeight="1">
      <c r="A1463" s="642"/>
      <c r="B1463" s="642"/>
      <c r="C1463" s="642"/>
      <c r="D1463" s="154"/>
    </row>
    <row r="1464" spans="1:4" ht="15" customHeight="1">
      <c r="A1464" s="642"/>
      <c r="B1464" s="642"/>
      <c r="C1464" s="642"/>
      <c r="D1464" s="154"/>
    </row>
    <row r="1465" spans="1:4" ht="15" customHeight="1">
      <c r="A1465" s="642"/>
      <c r="B1465" s="642"/>
      <c r="C1465" s="642"/>
      <c r="D1465" s="154"/>
    </row>
    <row r="1466" spans="1:4" ht="15" customHeight="1">
      <c r="A1466" s="642"/>
      <c r="B1466" s="642"/>
      <c r="C1466" s="642"/>
      <c r="D1466" s="154"/>
    </row>
    <row r="1467" spans="1:4" ht="15" customHeight="1">
      <c r="A1467" s="642"/>
      <c r="B1467" s="642"/>
      <c r="C1467" s="642"/>
      <c r="D1467" s="154"/>
    </row>
    <row r="1468" spans="1:4" ht="15" customHeight="1">
      <c r="A1468" s="642"/>
      <c r="B1468" s="642"/>
      <c r="C1468" s="642"/>
      <c r="D1468" s="154"/>
    </row>
    <row r="1469" spans="1:4" ht="15" customHeight="1">
      <c r="A1469" s="642"/>
      <c r="B1469" s="642"/>
      <c r="C1469" s="642"/>
      <c r="D1469" s="154"/>
    </row>
    <row r="1470" spans="1:4" ht="15" customHeight="1">
      <c r="A1470" s="642"/>
      <c r="B1470" s="642"/>
      <c r="C1470" s="642"/>
      <c r="D1470" s="154"/>
    </row>
    <row r="1471" spans="1:4" ht="15" customHeight="1">
      <c r="A1471" s="642"/>
      <c r="B1471" s="642"/>
      <c r="C1471" s="642"/>
      <c r="D1471" s="154"/>
    </row>
    <row r="1472" spans="1:4" ht="15" customHeight="1">
      <c r="A1472" s="642"/>
      <c r="B1472" s="642"/>
      <c r="C1472" s="642"/>
      <c r="D1472" s="154"/>
    </row>
    <row r="1473" spans="1:4" ht="15" customHeight="1">
      <c r="A1473" s="642"/>
      <c r="B1473" s="642"/>
      <c r="C1473" s="642"/>
      <c r="D1473" s="154"/>
    </row>
    <row r="1474" spans="1:4" ht="15" customHeight="1">
      <c r="A1474" s="642"/>
      <c r="B1474" s="642"/>
      <c r="C1474" s="642"/>
      <c r="D1474" s="154"/>
    </row>
    <row r="1475" spans="1:4" ht="15" customHeight="1">
      <c r="A1475" s="642"/>
      <c r="B1475" s="642"/>
      <c r="C1475" s="642"/>
      <c r="D1475" s="154"/>
    </row>
    <row r="1476" spans="1:4" ht="15" customHeight="1">
      <c r="A1476" s="642"/>
      <c r="B1476" s="642"/>
      <c r="C1476" s="642"/>
      <c r="D1476" s="154"/>
    </row>
    <row r="1477" spans="1:4" ht="15" customHeight="1">
      <c r="A1477" s="642"/>
      <c r="B1477" s="642"/>
      <c r="C1477" s="642"/>
      <c r="D1477" s="154"/>
    </row>
    <row r="1478" spans="1:4" ht="15" customHeight="1">
      <c r="A1478" s="642"/>
      <c r="B1478" s="642"/>
      <c r="C1478" s="642"/>
      <c r="D1478" s="154"/>
    </row>
    <row r="1479" spans="1:4" ht="15" customHeight="1">
      <c r="A1479" s="642"/>
      <c r="B1479" s="642"/>
      <c r="C1479" s="642"/>
      <c r="D1479" s="154"/>
    </row>
    <row r="1480" spans="1:4" ht="15" customHeight="1">
      <c r="A1480" s="642"/>
      <c r="B1480" s="642"/>
      <c r="C1480" s="642"/>
      <c r="D1480" s="154"/>
    </row>
    <row r="1481" spans="1:4" ht="15" customHeight="1">
      <c r="A1481" s="642"/>
      <c r="B1481" s="642"/>
      <c r="C1481" s="642"/>
      <c r="D1481" s="154"/>
    </row>
    <row r="1482" spans="1:4" ht="15" customHeight="1">
      <c r="A1482" s="642"/>
      <c r="B1482" s="642"/>
      <c r="C1482" s="642"/>
      <c r="D1482" s="154"/>
    </row>
    <row r="1483" spans="1:4" ht="15" customHeight="1">
      <c r="A1483" s="642"/>
      <c r="B1483" s="642"/>
      <c r="C1483" s="642"/>
      <c r="D1483" s="154"/>
    </row>
    <row r="1484" spans="1:4" ht="15" customHeight="1">
      <c r="A1484" s="642"/>
      <c r="B1484" s="642"/>
      <c r="C1484" s="642"/>
      <c r="D1484" s="154"/>
    </row>
    <row r="1485" spans="1:4" ht="15" customHeight="1">
      <c r="A1485" s="642"/>
      <c r="B1485" s="642"/>
      <c r="C1485" s="642"/>
      <c r="D1485" s="154"/>
    </row>
    <row r="1486" spans="1:4" ht="15" customHeight="1">
      <c r="A1486" s="642"/>
      <c r="B1486" s="642"/>
      <c r="C1486" s="642"/>
      <c r="D1486" s="154"/>
    </row>
    <row r="1487" spans="1:4" ht="15" customHeight="1">
      <c r="A1487" s="642"/>
      <c r="B1487" s="642"/>
      <c r="C1487" s="642"/>
      <c r="D1487" s="154"/>
    </row>
    <row r="1488" spans="1:4" ht="15" customHeight="1">
      <c r="A1488" s="642"/>
      <c r="B1488" s="642"/>
      <c r="C1488" s="642"/>
      <c r="D1488" s="154"/>
    </row>
    <row r="1489" spans="1:4" ht="15" customHeight="1">
      <c r="A1489" s="642"/>
      <c r="B1489" s="642"/>
      <c r="C1489" s="642"/>
      <c r="D1489" s="154"/>
    </row>
    <row r="1490" spans="1:4" ht="15" customHeight="1">
      <c r="A1490" s="642"/>
      <c r="B1490" s="642"/>
      <c r="C1490" s="642"/>
      <c r="D1490" s="154"/>
    </row>
    <row r="1491" spans="1:4" ht="15" customHeight="1">
      <c r="A1491" s="642"/>
      <c r="B1491" s="642"/>
      <c r="C1491" s="642"/>
      <c r="D1491" s="154"/>
    </row>
    <row r="1492" spans="1:4" ht="15" customHeight="1">
      <c r="A1492" s="642"/>
      <c r="B1492" s="642"/>
      <c r="C1492" s="642"/>
      <c r="D1492" s="154"/>
    </row>
    <row r="1493" spans="1:4" ht="15" customHeight="1">
      <c r="A1493" s="642"/>
      <c r="B1493" s="642"/>
      <c r="C1493" s="642"/>
      <c r="D1493" s="154"/>
    </row>
    <row r="1494" spans="1:4" ht="15" customHeight="1">
      <c r="A1494" s="642"/>
      <c r="B1494" s="642"/>
      <c r="C1494" s="642"/>
      <c r="D1494" s="154"/>
    </row>
    <row r="1495" spans="1:4" ht="15" customHeight="1">
      <c r="A1495" s="642"/>
      <c r="B1495" s="642"/>
      <c r="C1495" s="642"/>
      <c r="D1495" s="154"/>
    </row>
    <row r="1496" spans="1:4" ht="15" customHeight="1">
      <c r="A1496" s="642"/>
      <c r="B1496" s="642"/>
      <c r="C1496" s="642"/>
      <c r="D1496" s="154"/>
    </row>
    <row r="1497" spans="1:4" ht="15" customHeight="1">
      <c r="A1497" s="642"/>
      <c r="B1497" s="642"/>
      <c r="C1497" s="642"/>
      <c r="D1497" s="154"/>
    </row>
    <row r="1498" spans="1:4" ht="15" customHeight="1">
      <c r="A1498" s="642"/>
      <c r="B1498" s="642"/>
      <c r="C1498" s="642"/>
      <c r="D1498" s="154"/>
    </row>
    <row r="1499" spans="1:4" ht="15" customHeight="1">
      <c r="A1499" s="642"/>
      <c r="B1499" s="642"/>
      <c r="C1499" s="642"/>
      <c r="D1499" s="154"/>
    </row>
    <row r="1500" spans="1:4" ht="15" customHeight="1">
      <c r="A1500" s="642"/>
      <c r="B1500" s="642"/>
      <c r="C1500" s="642"/>
      <c r="D1500" s="154"/>
    </row>
    <row r="1501" spans="1:4" ht="15" customHeight="1">
      <c r="A1501" s="642"/>
      <c r="B1501" s="642"/>
      <c r="C1501" s="642"/>
      <c r="D1501" s="154"/>
    </row>
    <row r="1502" spans="1:4" ht="15" customHeight="1">
      <c r="A1502" s="642"/>
      <c r="B1502" s="642"/>
      <c r="C1502" s="642"/>
      <c r="D1502" s="154"/>
    </row>
    <row r="1503" spans="1:4" ht="15" customHeight="1">
      <c r="A1503" s="642"/>
      <c r="B1503" s="642"/>
      <c r="C1503" s="642"/>
      <c r="D1503" s="154"/>
    </row>
    <row r="1504" spans="1:4" ht="15" customHeight="1">
      <c r="A1504" s="642"/>
      <c r="B1504" s="642"/>
      <c r="C1504" s="642"/>
      <c r="D1504" s="154"/>
    </row>
    <row r="1505" spans="1:4" ht="15" customHeight="1">
      <c r="A1505" s="642"/>
      <c r="B1505" s="642"/>
      <c r="C1505" s="642"/>
      <c r="D1505" s="154"/>
    </row>
    <row r="1506" spans="1:4" ht="15" customHeight="1">
      <c r="A1506" s="642"/>
      <c r="B1506" s="642"/>
      <c r="C1506" s="642"/>
      <c r="D1506" s="154"/>
    </row>
    <row r="1507" spans="1:4" ht="15" customHeight="1">
      <c r="A1507" s="642"/>
      <c r="B1507" s="642"/>
      <c r="C1507" s="642"/>
      <c r="D1507" s="154"/>
    </row>
    <row r="1508" spans="1:4" ht="15" customHeight="1">
      <c r="A1508" s="642"/>
      <c r="B1508" s="642"/>
      <c r="C1508" s="642"/>
      <c r="D1508" s="154"/>
    </row>
    <row r="1509" spans="1:4" ht="15" customHeight="1">
      <c r="A1509" s="642"/>
      <c r="B1509" s="642"/>
      <c r="C1509" s="642"/>
      <c r="D1509" s="154"/>
    </row>
    <row r="1510" spans="1:4" ht="15" customHeight="1">
      <c r="A1510" s="642"/>
      <c r="B1510" s="642"/>
      <c r="C1510" s="642"/>
      <c r="D1510" s="154"/>
    </row>
    <row r="1511" spans="1:4" ht="15" customHeight="1">
      <c r="A1511" s="642"/>
      <c r="B1511" s="642"/>
      <c r="C1511" s="642"/>
      <c r="D1511" s="154"/>
    </row>
    <row r="1512" spans="1:4" ht="15" customHeight="1">
      <c r="A1512" s="642"/>
      <c r="B1512" s="642"/>
      <c r="C1512" s="642"/>
      <c r="D1512" s="154"/>
    </row>
    <row r="1513" spans="1:4" ht="15" customHeight="1">
      <c r="A1513" s="642"/>
      <c r="B1513" s="642"/>
      <c r="C1513" s="642"/>
      <c r="D1513" s="154"/>
    </row>
    <row r="1514" spans="1:4" ht="15" customHeight="1">
      <c r="A1514" s="642"/>
      <c r="B1514" s="642"/>
      <c r="C1514" s="642"/>
      <c r="D1514" s="154"/>
    </row>
    <row r="1515" spans="1:4" ht="15" customHeight="1">
      <c r="A1515" s="642"/>
      <c r="B1515" s="642"/>
      <c r="C1515" s="642"/>
      <c r="D1515" s="154"/>
    </row>
    <row r="1516" spans="1:4" ht="15" customHeight="1">
      <c r="A1516" s="642"/>
      <c r="B1516" s="642"/>
      <c r="C1516" s="642"/>
      <c r="D1516" s="154"/>
    </row>
    <row r="1517" spans="1:4" ht="15" customHeight="1">
      <c r="A1517" s="642"/>
      <c r="B1517" s="642"/>
      <c r="C1517" s="642"/>
      <c r="D1517" s="154"/>
    </row>
    <row r="1518" spans="1:4" ht="15" customHeight="1">
      <c r="A1518" s="642"/>
      <c r="B1518" s="642"/>
      <c r="C1518" s="642"/>
      <c r="D1518" s="154"/>
    </row>
    <row r="1519" spans="1:4" ht="15" customHeight="1">
      <c r="A1519" s="642"/>
      <c r="B1519" s="642"/>
      <c r="C1519" s="642"/>
      <c r="D1519" s="154"/>
    </row>
    <row r="1520" spans="1:4" ht="15" customHeight="1">
      <c r="A1520" s="642"/>
      <c r="B1520" s="642"/>
      <c r="C1520" s="642"/>
      <c r="D1520" s="154"/>
    </row>
    <row r="1521" spans="1:4" ht="15" customHeight="1">
      <c r="A1521" s="642"/>
      <c r="B1521" s="642"/>
      <c r="C1521" s="642"/>
      <c r="D1521" s="154"/>
    </row>
    <row r="1522" spans="1:4" ht="15" customHeight="1">
      <c r="A1522" s="642"/>
      <c r="B1522" s="642"/>
      <c r="C1522" s="642"/>
      <c r="D1522" s="154"/>
    </row>
    <row r="1523" spans="1:4" ht="15" customHeight="1">
      <c r="A1523" s="642"/>
      <c r="B1523" s="642"/>
      <c r="C1523" s="642"/>
      <c r="D1523" s="154"/>
    </row>
    <row r="1524" spans="1:4" ht="15" customHeight="1">
      <c r="A1524" s="642"/>
      <c r="B1524" s="642"/>
      <c r="C1524" s="642"/>
      <c r="D1524" s="154"/>
    </row>
    <row r="1525" spans="1:4" ht="15" customHeight="1">
      <c r="A1525" s="642"/>
      <c r="B1525" s="642"/>
      <c r="C1525" s="642"/>
      <c r="D1525" s="154"/>
    </row>
    <row r="1526" spans="1:4" ht="15" customHeight="1">
      <c r="A1526" s="642"/>
      <c r="B1526" s="642"/>
      <c r="C1526" s="642"/>
      <c r="D1526" s="154"/>
    </row>
    <row r="1527" spans="1:4" ht="15" customHeight="1">
      <c r="A1527" s="642"/>
      <c r="B1527" s="642"/>
      <c r="C1527" s="642"/>
      <c r="D1527" s="154"/>
    </row>
    <row r="1528" spans="1:4" ht="15" customHeight="1">
      <c r="A1528" s="642"/>
      <c r="B1528" s="642"/>
      <c r="C1528" s="642"/>
      <c r="D1528" s="154"/>
    </row>
    <row r="1529" spans="1:4" ht="15" customHeight="1">
      <c r="A1529" s="642"/>
      <c r="B1529" s="642"/>
      <c r="C1529" s="642"/>
      <c r="D1529" s="154"/>
    </row>
    <row r="1530" spans="1:4" ht="15" customHeight="1">
      <c r="A1530" s="642"/>
      <c r="B1530" s="642"/>
      <c r="C1530" s="642"/>
      <c r="D1530" s="154"/>
    </row>
    <row r="1531" spans="1:4" ht="15" customHeight="1">
      <c r="A1531" s="642"/>
      <c r="B1531" s="642"/>
      <c r="C1531" s="642"/>
      <c r="D1531" s="154"/>
    </row>
    <row r="1532" spans="1:4" ht="15" customHeight="1">
      <c r="A1532" s="642"/>
      <c r="B1532" s="642"/>
      <c r="C1532" s="642"/>
      <c r="D1532" s="154"/>
    </row>
    <row r="1533" spans="1:4" ht="15" customHeight="1">
      <c r="A1533" s="642"/>
      <c r="B1533" s="642"/>
      <c r="C1533" s="642"/>
      <c r="D1533" s="154"/>
    </row>
    <row r="1534" spans="1:4" ht="15" customHeight="1">
      <c r="A1534" s="642"/>
      <c r="B1534" s="642"/>
      <c r="C1534" s="642"/>
      <c r="D1534" s="154"/>
    </row>
    <row r="1535" spans="1:4" ht="15" customHeight="1">
      <c r="A1535" s="642"/>
      <c r="B1535" s="642"/>
      <c r="C1535" s="642"/>
      <c r="D1535" s="154"/>
    </row>
    <row r="1536" spans="1:4" ht="15" customHeight="1">
      <c r="A1536" s="642"/>
      <c r="B1536" s="642"/>
      <c r="C1536" s="642"/>
      <c r="D1536" s="154"/>
    </row>
    <row r="1537" spans="1:4" ht="15" customHeight="1">
      <c r="A1537" s="642"/>
      <c r="B1537" s="642"/>
      <c r="C1537" s="642"/>
      <c r="D1537" s="154"/>
    </row>
    <row r="1538" spans="1:4" ht="15" customHeight="1">
      <c r="A1538" s="642"/>
      <c r="B1538" s="642"/>
      <c r="C1538" s="642"/>
      <c r="D1538" s="154"/>
    </row>
    <row r="1539" spans="1:4" ht="15" customHeight="1">
      <c r="A1539" s="642"/>
      <c r="B1539" s="642"/>
      <c r="C1539" s="642"/>
      <c r="D1539" s="154"/>
    </row>
    <row r="1540" spans="1:4" ht="15" customHeight="1">
      <c r="A1540" s="642"/>
      <c r="B1540" s="642"/>
      <c r="C1540" s="642"/>
      <c r="D1540" s="154"/>
    </row>
    <row r="1541" spans="1:4" ht="15" customHeight="1">
      <c r="A1541" s="642"/>
      <c r="B1541" s="642"/>
      <c r="C1541" s="642"/>
      <c r="D1541" s="154"/>
    </row>
    <row r="1542" spans="1:4" ht="15" customHeight="1">
      <c r="A1542" s="642"/>
      <c r="B1542" s="642"/>
      <c r="C1542" s="642"/>
      <c r="D1542" s="154"/>
    </row>
    <row r="1543" spans="1:4" ht="15" customHeight="1">
      <c r="A1543" s="642"/>
      <c r="B1543" s="642"/>
      <c r="C1543" s="642"/>
      <c r="D1543" s="154"/>
    </row>
    <row r="1544" spans="1:4" ht="15" customHeight="1">
      <c r="A1544" s="642"/>
      <c r="B1544" s="642"/>
      <c r="C1544" s="642"/>
      <c r="D1544" s="154"/>
    </row>
    <row r="1545" spans="1:4" ht="15" customHeight="1">
      <c r="A1545" s="642"/>
      <c r="B1545" s="642"/>
      <c r="C1545" s="642"/>
      <c r="D1545" s="154"/>
    </row>
    <row r="1546" spans="1:4" ht="15" customHeight="1">
      <c r="A1546" s="642"/>
      <c r="B1546" s="642"/>
      <c r="C1546" s="642"/>
      <c r="D1546" s="154"/>
    </row>
    <row r="1547" spans="1:4" ht="15" customHeight="1">
      <c r="A1547" s="642"/>
      <c r="B1547" s="642"/>
      <c r="C1547" s="642"/>
      <c r="D1547" s="154"/>
    </row>
    <row r="1548" spans="1:4" ht="15" customHeight="1">
      <c r="A1548" s="642"/>
      <c r="B1548" s="642"/>
      <c r="C1548" s="642"/>
      <c r="D1548" s="154"/>
    </row>
    <row r="1549" spans="1:4" ht="15" customHeight="1">
      <c r="A1549" s="642"/>
      <c r="B1549" s="642"/>
      <c r="C1549" s="642"/>
      <c r="D1549" s="154"/>
    </row>
    <row r="1550" spans="1:4" ht="15" customHeight="1">
      <c r="A1550" s="642"/>
      <c r="B1550" s="642"/>
      <c r="C1550" s="642"/>
      <c r="D1550" s="154"/>
    </row>
    <row r="1551" spans="1:4" ht="15" customHeight="1">
      <c r="A1551" s="642"/>
      <c r="B1551" s="642"/>
      <c r="C1551" s="642"/>
      <c r="D1551" s="154"/>
    </row>
    <row r="1552" spans="1:4" ht="15" customHeight="1">
      <c r="A1552" s="642"/>
      <c r="B1552" s="642"/>
      <c r="C1552" s="642"/>
      <c r="D1552" s="154"/>
    </row>
    <row r="1553" spans="1:4" ht="15" customHeight="1">
      <c r="A1553" s="642"/>
      <c r="B1553" s="642"/>
      <c r="C1553" s="642"/>
      <c r="D1553" s="154"/>
    </row>
    <row r="1554" spans="1:4" ht="15" customHeight="1">
      <c r="A1554" s="642"/>
      <c r="B1554" s="642"/>
      <c r="C1554" s="642"/>
      <c r="D1554" s="154"/>
    </row>
    <row r="1555" spans="1:4" ht="15" customHeight="1">
      <c r="A1555" s="642"/>
      <c r="B1555" s="642"/>
      <c r="C1555" s="642"/>
      <c r="D1555" s="154"/>
    </row>
    <row r="1556" spans="1:4" ht="15" customHeight="1">
      <c r="A1556" s="642"/>
      <c r="B1556" s="642"/>
      <c r="C1556" s="642"/>
      <c r="D1556" s="154"/>
    </row>
    <row r="1557" spans="1:4" ht="15" customHeight="1">
      <c r="A1557" s="642"/>
      <c r="B1557" s="642"/>
      <c r="C1557" s="642"/>
      <c r="D1557" s="154"/>
    </row>
    <row r="1558" spans="1:4" ht="15" customHeight="1">
      <c r="A1558" s="642"/>
      <c r="B1558" s="642"/>
      <c r="C1558" s="642"/>
      <c r="D1558" s="154"/>
    </row>
    <row r="1559" spans="1:4" ht="15" customHeight="1">
      <c r="A1559" s="642"/>
      <c r="B1559" s="642"/>
      <c r="C1559" s="642"/>
      <c r="D1559" s="154"/>
    </row>
    <row r="1560" spans="1:4" ht="15" customHeight="1">
      <c r="A1560" s="642"/>
      <c r="B1560" s="642"/>
      <c r="C1560" s="642"/>
      <c r="D1560" s="154"/>
    </row>
    <row r="1561" spans="1:4" ht="15" customHeight="1">
      <c r="A1561" s="642"/>
      <c r="B1561" s="642"/>
      <c r="C1561" s="642"/>
      <c r="D1561" s="154"/>
    </row>
    <row r="1562" spans="1:4" ht="15" customHeight="1">
      <c r="A1562" s="642"/>
      <c r="B1562" s="642"/>
      <c r="C1562" s="642"/>
      <c r="D1562" s="154"/>
    </row>
    <row r="1563" spans="1:4" ht="15" customHeight="1">
      <c r="A1563" s="642"/>
      <c r="B1563" s="642"/>
      <c r="C1563" s="642"/>
      <c r="D1563" s="154"/>
    </row>
    <row r="1564" spans="1:4" ht="15" customHeight="1">
      <c r="A1564" s="642"/>
      <c r="B1564" s="642"/>
      <c r="C1564" s="642"/>
      <c r="D1564" s="154"/>
    </row>
    <row r="1565" spans="1:4" ht="15" customHeight="1">
      <c r="A1565" s="642"/>
      <c r="B1565" s="642"/>
      <c r="C1565" s="642"/>
      <c r="D1565" s="154"/>
    </row>
    <row r="1566" spans="1:4" ht="15" customHeight="1">
      <c r="A1566" s="642"/>
      <c r="B1566" s="642"/>
      <c r="C1566" s="642"/>
      <c r="D1566" s="154"/>
    </row>
    <row r="1567" spans="1:4" ht="15" customHeight="1">
      <c r="A1567" s="642"/>
      <c r="B1567" s="642"/>
      <c r="C1567" s="642"/>
      <c r="D1567" s="154"/>
    </row>
    <row r="1568" spans="1:4" ht="15" customHeight="1">
      <c r="A1568" s="642"/>
      <c r="B1568" s="642"/>
      <c r="C1568" s="642"/>
      <c r="D1568" s="154"/>
    </row>
    <row r="1569" spans="1:4" ht="15" customHeight="1">
      <c r="A1569" s="642"/>
      <c r="B1569" s="642"/>
      <c r="C1569" s="642"/>
      <c r="D1569" s="154"/>
    </row>
    <row r="1570" spans="1:4" ht="15" customHeight="1">
      <c r="A1570" s="642"/>
      <c r="B1570" s="642"/>
      <c r="C1570" s="642"/>
      <c r="D1570" s="154"/>
    </row>
    <row r="1571" spans="1:4" ht="15" customHeight="1">
      <c r="A1571" s="642"/>
      <c r="B1571" s="642"/>
      <c r="C1571" s="642"/>
      <c r="D1571" s="154"/>
    </row>
    <row r="1572" spans="1:4" ht="15" customHeight="1">
      <c r="A1572" s="642"/>
      <c r="B1572" s="642"/>
      <c r="C1572" s="642"/>
      <c r="D1572" s="154"/>
    </row>
    <row r="1573" spans="1:4" ht="15" customHeight="1">
      <c r="A1573" s="642"/>
      <c r="B1573" s="642"/>
      <c r="C1573" s="642"/>
      <c r="D1573" s="154"/>
    </row>
    <row r="1574" spans="1:4" ht="15" customHeight="1">
      <c r="A1574" s="642"/>
      <c r="B1574" s="642"/>
      <c r="C1574" s="642"/>
      <c r="D1574" s="154"/>
    </row>
    <row r="1575" spans="1:4" ht="15" customHeight="1">
      <c r="A1575" s="642"/>
      <c r="B1575" s="642"/>
      <c r="C1575" s="642"/>
      <c r="D1575" s="154"/>
    </row>
    <row r="1576" spans="1:4" ht="15" customHeight="1">
      <c r="A1576" s="642"/>
      <c r="B1576" s="642"/>
      <c r="C1576" s="642"/>
      <c r="D1576" s="154"/>
    </row>
    <row r="1577" spans="1:4" ht="15" customHeight="1">
      <c r="A1577" s="642"/>
      <c r="B1577" s="642"/>
      <c r="C1577" s="642"/>
      <c r="D1577" s="154"/>
    </row>
    <row r="1578" spans="1:4" ht="15" customHeight="1">
      <c r="A1578" s="642"/>
      <c r="B1578" s="642"/>
      <c r="C1578" s="642"/>
      <c r="D1578" s="154"/>
    </row>
    <row r="1579" spans="1:4" ht="15" customHeight="1">
      <c r="A1579" s="642"/>
      <c r="B1579" s="642"/>
      <c r="C1579" s="642"/>
      <c r="D1579" s="154"/>
    </row>
    <row r="1580" spans="1:4" ht="15" customHeight="1">
      <c r="A1580" s="642"/>
      <c r="B1580" s="642"/>
      <c r="C1580" s="642"/>
      <c r="D1580" s="154"/>
    </row>
    <row r="1581" spans="1:4" ht="15" customHeight="1">
      <c r="A1581" s="642"/>
      <c r="B1581" s="642"/>
      <c r="C1581" s="642"/>
      <c r="D1581" s="154"/>
    </row>
    <row r="1582" spans="1:4" ht="15" customHeight="1">
      <c r="A1582" s="642"/>
      <c r="B1582" s="642"/>
      <c r="C1582" s="642"/>
      <c r="D1582" s="154"/>
    </row>
    <row r="1583" spans="1:4" ht="15" customHeight="1">
      <c r="A1583" s="642"/>
      <c r="B1583" s="642"/>
      <c r="C1583" s="642"/>
      <c r="D1583" s="154"/>
    </row>
    <row r="1584" spans="1:4" ht="15" customHeight="1">
      <c r="A1584" s="642"/>
      <c r="B1584" s="642"/>
      <c r="C1584" s="642"/>
      <c r="D1584" s="154"/>
    </row>
    <row r="1585" spans="1:4" ht="15" customHeight="1">
      <c r="A1585" s="154"/>
      <c r="B1585" s="154"/>
      <c r="C1585" s="342"/>
      <c r="D1585" s="154"/>
    </row>
  </sheetData>
  <mergeCells count="1">
    <mergeCell ref="A2:B2"/>
  </mergeCells>
  <pageMargins left="0.7" right="0.7" top="0.75" bottom="0.75" header="0.3" footer="0.3"/>
  <pageSetup paperSize="9" orientation="portrai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G2258"/>
  <sheetViews>
    <sheetView tabSelected="1" topLeftCell="C1245" zoomScale="85" zoomScaleNormal="85" workbookViewId="0">
      <selection activeCell="C1273" sqref="C1273"/>
    </sheetView>
  </sheetViews>
  <sheetFormatPr defaultRowHeight="15"/>
  <cols>
    <col min="1" max="1" width="28.640625" style="338" customWidth="1"/>
    <col min="2" max="2" width="15.78515625" style="339" customWidth="1"/>
    <col min="3" max="3" width="255.640625" style="580" bestFit="1" customWidth="1"/>
    <col min="4" max="4" width="11.140625" style="580" bestFit="1" customWidth="1"/>
    <col min="6" max="6" width="10.78515625" bestFit="1" customWidth="1"/>
    <col min="7" max="7" width="11.28515625" bestFit="1" customWidth="1"/>
  </cols>
  <sheetData>
    <row r="1" spans="1:7" ht="15.9" customHeight="1">
      <c r="A1" s="548" t="s">
        <v>3689</v>
      </c>
      <c r="B1" s="549" t="s">
        <v>3690</v>
      </c>
      <c r="C1" s="538" t="s">
        <v>3691</v>
      </c>
      <c r="D1" s="550" t="s">
        <v>3692</v>
      </c>
      <c r="E1" s="551" t="s">
        <v>3693</v>
      </c>
      <c r="F1" s="551" t="s">
        <v>8886</v>
      </c>
      <c r="G1" s="551" t="s">
        <v>8887</v>
      </c>
    </row>
    <row r="2" spans="1:7" ht="15.9" customHeight="1">
      <c r="A2" s="552" t="s">
        <v>3694</v>
      </c>
      <c r="B2" s="698" t="s">
        <v>3695</v>
      </c>
      <c r="C2" s="539" t="s">
        <v>6058</v>
      </c>
      <c r="D2" s="550" t="s">
        <v>2802</v>
      </c>
      <c r="E2" s="552">
        <v>0</v>
      </c>
      <c r="F2" s="756"/>
      <c r="G2" s="756"/>
    </row>
    <row r="3" spans="1:7" ht="16.3" customHeight="1">
      <c r="A3" s="552" t="s">
        <v>3694</v>
      </c>
      <c r="B3" s="698" t="s">
        <v>3695</v>
      </c>
      <c r="C3" s="539" t="s">
        <v>6059</v>
      </c>
      <c r="D3" s="550" t="s">
        <v>2802</v>
      </c>
      <c r="E3" s="552">
        <v>0</v>
      </c>
      <c r="F3" s="756"/>
      <c r="G3" s="756"/>
    </row>
    <row r="4" spans="1:7" ht="16.3" customHeight="1">
      <c r="A4" s="552" t="s">
        <v>3694</v>
      </c>
      <c r="B4" s="699" t="s">
        <v>3696</v>
      </c>
      <c r="C4" s="539" t="s">
        <v>6060</v>
      </c>
      <c r="D4" s="550" t="s">
        <v>2805</v>
      </c>
      <c r="E4" s="552">
        <v>0</v>
      </c>
      <c r="F4" s="756"/>
      <c r="G4" s="756"/>
    </row>
    <row r="5" spans="1:7" ht="16.3" customHeight="1">
      <c r="A5" s="552" t="s">
        <v>3694</v>
      </c>
      <c r="B5" s="699" t="s">
        <v>3696</v>
      </c>
      <c r="C5" s="539" t="s">
        <v>2783</v>
      </c>
      <c r="D5" s="550" t="s">
        <v>2805</v>
      </c>
      <c r="E5" s="552">
        <v>0</v>
      </c>
      <c r="F5" s="756"/>
      <c r="G5" s="756"/>
    </row>
    <row r="6" spans="1:7" ht="16.3" customHeight="1">
      <c r="A6" s="552" t="s">
        <v>3694</v>
      </c>
      <c r="B6" s="696" t="s">
        <v>3697</v>
      </c>
      <c r="C6" s="539" t="s">
        <v>6061</v>
      </c>
      <c r="D6" s="550" t="s">
        <v>2875</v>
      </c>
      <c r="E6" s="552">
        <v>0</v>
      </c>
      <c r="F6" s="756"/>
      <c r="G6" s="756"/>
    </row>
    <row r="7" spans="1:7" ht="16.3" customHeight="1">
      <c r="A7" s="552" t="s">
        <v>3694</v>
      </c>
      <c r="B7" s="696" t="s">
        <v>3697</v>
      </c>
      <c r="C7" s="539" t="s">
        <v>6062</v>
      </c>
      <c r="D7" s="550" t="s">
        <v>2875</v>
      </c>
      <c r="E7" s="552">
        <v>0</v>
      </c>
      <c r="F7" s="756"/>
      <c r="G7" s="756"/>
    </row>
    <row r="8" spans="1:7" ht="16.3" customHeight="1">
      <c r="A8" s="552" t="s">
        <v>3694</v>
      </c>
      <c r="B8" s="696" t="s">
        <v>3697</v>
      </c>
      <c r="C8" s="539" t="s">
        <v>2783</v>
      </c>
      <c r="D8" s="550" t="s">
        <v>2875</v>
      </c>
      <c r="E8" s="552">
        <v>0</v>
      </c>
      <c r="F8" s="756"/>
      <c r="G8" s="756"/>
    </row>
    <row r="9" spans="1:7" ht="16.3" customHeight="1">
      <c r="A9" s="552" t="s">
        <v>3694</v>
      </c>
      <c r="B9" s="695" t="s">
        <v>3698</v>
      </c>
      <c r="C9" s="539" t="s">
        <v>6063</v>
      </c>
      <c r="D9" s="550" t="s">
        <v>2998</v>
      </c>
      <c r="E9" s="552">
        <v>0</v>
      </c>
      <c r="F9" s="756"/>
      <c r="G9" s="756"/>
    </row>
    <row r="10" spans="1:7" ht="16.3" customHeight="1">
      <c r="A10" s="552" t="s">
        <v>3694</v>
      </c>
      <c r="B10" s="695" t="s">
        <v>3698</v>
      </c>
      <c r="C10" s="539" t="s">
        <v>6064</v>
      </c>
      <c r="D10" s="550" t="s">
        <v>2998</v>
      </c>
      <c r="E10" s="552">
        <v>0</v>
      </c>
      <c r="F10" s="756"/>
      <c r="G10" s="756"/>
    </row>
    <row r="11" spans="1:7" ht="16.3" customHeight="1">
      <c r="A11" s="552" t="s">
        <v>3694</v>
      </c>
      <c r="B11" s="695" t="s">
        <v>3698</v>
      </c>
      <c r="C11" s="539" t="s">
        <v>6065</v>
      </c>
      <c r="D11" s="550" t="s">
        <v>2998</v>
      </c>
      <c r="E11" s="552">
        <v>0</v>
      </c>
      <c r="F11" s="756"/>
      <c r="G11" s="756"/>
    </row>
    <row r="12" spans="1:7" ht="16.3" customHeight="1">
      <c r="A12" s="552" t="s">
        <v>3694</v>
      </c>
      <c r="B12" s="695" t="s">
        <v>3698</v>
      </c>
      <c r="C12" s="541" t="s">
        <v>8985</v>
      </c>
      <c r="D12" s="550" t="s">
        <v>2998</v>
      </c>
      <c r="E12" s="552">
        <v>0</v>
      </c>
      <c r="F12" s="756"/>
      <c r="G12" s="756"/>
    </row>
    <row r="13" spans="1:7" ht="16.3" customHeight="1">
      <c r="A13" s="552" t="s">
        <v>3694</v>
      </c>
      <c r="B13" s="697" t="s">
        <v>3699</v>
      </c>
      <c r="C13" s="539" t="s">
        <v>6067</v>
      </c>
      <c r="D13" s="550" t="s">
        <v>2809</v>
      </c>
      <c r="E13" s="552">
        <v>0</v>
      </c>
      <c r="F13" s="756"/>
      <c r="G13" s="756"/>
    </row>
    <row r="14" spans="1:7" ht="16.3" customHeight="1">
      <c r="A14" s="552" t="s">
        <v>3694</v>
      </c>
      <c r="B14" s="697" t="s">
        <v>3699</v>
      </c>
      <c r="C14" s="539" t="s">
        <v>6903</v>
      </c>
      <c r="D14" s="550" t="s">
        <v>2809</v>
      </c>
      <c r="E14" s="552">
        <v>0</v>
      </c>
      <c r="F14" s="756"/>
      <c r="G14" s="756"/>
    </row>
    <row r="15" spans="1:7" ht="16.3" customHeight="1">
      <c r="A15" s="552" t="s">
        <v>3694</v>
      </c>
      <c r="B15" s="697" t="s">
        <v>3699</v>
      </c>
      <c r="C15" s="539" t="s">
        <v>6068</v>
      </c>
      <c r="D15" s="550" t="s">
        <v>2809</v>
      </c>
      <c r="E15" s="552">
        <v>0</v>
      </c>
      <c r="F15" s="756"/>
      <c r="G15" s="756"/>
    </row>
    <row r="16" spans="1:7" ht="16.3" customHeight="1">
      <c r="A16" s="552" t="s">
        <v>3694</v>
      </c>
      <c r="B16" s="697" t="s">
        <v>3699</v>
      </c>
      <c r="C16" s="539" t="s">
        <v>6069</v>
      </c>
      <c r="D16" s="550" t="s">
        <v>2809</v>
      </c>
      <c r="E16" s="552">
        <v>0</v>
      </c>
      <c r="F16" s="756"/>
      <c r="G16" s="756"/>
    </row>
    <row r="17" spans="1:7" ht="16.3" customHeight="1">
      <c r="A17" s="552" t="s">
        <v>3694</v>
      </c>
      <c r="B17" s="697" t="s">
        <v>3699</v>
      </c>
      <c r="C17" s="539" t="s">
        <v>2783</v>
      </c>
      <c r="D17" s="550" t="s">
        <v>2809</v>
      </c>
      <c r="E17" s="552">
        <v>0</v>
      </c>
      <c r="F17" s="756"/>
      <c r="G17" s="756"/>
    </row>
    <row r="18" spans="1:7" ht="16.3" customHeight="1">
      <c r="A18" s="552" t="s">
        <v>3694</v>
      </c>
      <c r="B18" s="694" t="s">
        <v>3700</v>
      </c>
      <c r="C18" s="539" t="s">
        <v>9083</v>
      </c>
      <c r="D18" s="550" t="s">
        <v>2971</v>
      </c>
      <c r="E18" s="552">
        <v>0</v>
      </c>
      <c r="F18" s="756"/>
      <c r="G18" s="756"/>
    </row>
    <row r="19" spans="1:7" ht="16.3" customHeight="1">
      <c r="A19" s="552" t="s">
        <v>3694</v>
      </c>
      <c r="B19" s="694" t="s">
        <v>3700</v>
      </c>
      <c r="C19" s="539" t="s">
        <v>9084</v>
      </c>
      <c r="D19" s="550" t="s">
        <v>2971</v>
      </c>
      <c r="E19" s="552">
        <v>0</v>
      </c>
      <c r="F19" s="756"/>
      <c r="G19" s="756"/>
    </row>
    <row r="20" spans="1:7" ht="16.3" customHeight="1">
      <c r="A20" s="552" t="s">
        <v>3694</v>
      </c>
      <c r="B20" s="700" t="s">
        <v>6055</v>
      </c>
      <c r="C20" s="539" t="s">
        <v>8986</v>
      </c>
      <c r="D20" s="550" t="s">
        <v>6697</v>
      </c>
      <c r="E20" s="552">
        <v>0</v>
      </c>
      <c r="F20" s="756"/>
      <c r="G20" s="756"/>
    </row>
    <row r="21" spans="1:7" ht="16.3" customHeight="1">
      <c r="A21" s="552" t="s">
        <v>3694</v>
      </c>
      <c r="B21" s="698" t="s">
        <v>3695</v>
      </c>
      <c r="C21" s="539" t="s">
        <v>6071</v>
      </c>
      <c r="D21" s="550" t="s">
        <v>2802</v>
      </c>
      <c r="E21" s="552">
        <v>0</v>
      </c>
      <c r="F21" s="756"/>
      <c r="G21" s="756"/>
    </row>
    <row r="22" spans="1:7" ht="16.3" customHeight="1">
      <c r="A22" s="552" t="s">
        <v>3694</v>
      </c>
      <c r="B22" s="698" t="s">
        <v>3695</v>
      </c>
      <c r="C22" s="539" t="s">
        <v>6072</v>
      </c>
      <c r="D22" s="550" t="s">
        <v>2802</v>
      </c>
      <c r="E22" s="552">
        <v>0</v>
      </c>
      <c r="F22" s="756"/>
      <c r="G22" s="756"/>
    </row>
    <row r="23" spans="1:7" ht="16.3" customHeight="1">
      <c r="A23" s="552" t="s">
        <v>3694</v>
      </c>
      <c r="B23" s="699" t="s">
        <v>3696</v>
      </c>
      <c r="C23" s="539" t="s">
        <v>6073</v>
      </c>
      <c r="D23" s="550" t="s">
        <v>2805</v>
      </c>
      <c r="E23" s="552">
        <v>0</v>
      </c>
      <c r="F23" s="756"/>
      <c r="G23" s="756"/>
    </row>
    <row r="24" spans="1:7" ht="16.3" customHeight="1">
      <c r="A24" s="552" t="s">
        <v>3694</v>
      </c>
      <c r="B24" s="699" t="s">
        <v>3696</v>
      </c>
      <c r="C24" s="539" t="s">
        <v>6932</v>
      </c>
      <c r="D24" s="550" t="s">
        <v>2805</v>
      </c>
      <c r="E24" s="552">
        <v>0</v>
      </c>
      <c r="F24" s="756"/>
      <c r="G24" s="756"/>
    </row>
    <row r="25" spans="1:7" ht="16.3" customHeight="1">
      <c r="A25" s="552" t="s">
        <v>3694</v>
      </c>
      <c r="B25" s="696" t="s">
        <v>3697</v>
      </c>
      <c r="C25" s="539" t="s">
        <v>6074</v>
      </c>
      <c r="D25" s="550" t="s">
        <v>2875</v>
      </c>
      <c r="E25" s="552">
        <v>0</v>
      </c>
      <c r="F25" s="756"/>
      <c r="G25" s="756"/>
    </row>
    <row r="26" spans="1:7" ht="16.3" customHeight="1">
      <c r="A26" s="552" t="s">
        <v>3694</v>
      </c>
      <c r="B26" s="696" t="s">
        <v>3697</v>
      </c>
      <c r="C26" s="539" t="s">
        <v>6075</v>
      </c>
      <c r="D26" s="550" t="s">
        <v>2875</v>
      </c>
      <c r="E26" s="552">
        <v>0</v>
      </c>
      <c r="F26" s="756"/>
      <c r="G26" s="756"/>
    </row>
    <row r="27" spans="1:7" ht="16.3" customHeight="1">
      <c r="A27" s="552" t="s">
        <v>3694</v>
      </c>
      <c r="B27" s="696" t="s">
        <v>3697</v>
      </c>
      <c r="C27" s="539" t="s">
        <v>6076</v>
      </c>
      <c r="D27" s="550" t="s">
        <v>2875</v>
      </c>
      <c r="E27" s="552">
        <v>0</v>
      </c>
      <c r="F27" s="756"/>
      <c r="G27" s="756"/>
    </row>
    <row r="28" spans="1:7" ht="16.3" customHeight="1">
      <c r="A28" s="552" t="s">
        <v>3694</v>
      </c>
      <c r="B28" s="695" t="s">
        <v>3698</v>
      </c>
      <c r="C28" s="539" t="s">
        <v>6077</v>
      </c>
      <c r="D28" s="550" t="s">
        <v>2998</v>
      </c>
      <c r="E28" s="552">
        <v>0</v>
      </c>
      <c r="F28" s="756"/>
      <c r="G28" s="756"/>
    </row>
    <row r="29" spans="1:7" ht="16.3" customHeight="1">
      <c r="A29" s="552" t="s">
        <v>3694</v>
      </c>
      <c r="B29" s="695" t="s">
        <v>3698</v>
      </c>
      <c r="C29" s="539" t="s">
        <v>6078</v>
      </c>
      <c r="D29" s="550" t="s">
        <v>2998</v>
      </c>
      <c r="E29" s="552">
        <v>0</v>
      </c>
      <c r="F29" s="756"/>
      <c r="G29" s="756"/>
    </row>
    <row r="30" spans="1:7" ht="16.3" customHeight="1">
      <c r="A30" s="552" t="s">
        <v>3694</v>
      </c>
      <c r="B30" s="695" t="s">
        <v>3698</v>
      </c>
      <c r="C30" s="539" t="s">
        <v>2783</v>
      </c>
      <c r="D30" s="550" t="s">
        <v>2998</v>
      </c>
      <c r="E30" s="552">
        <v>0</v>
      </c>
      <c r="F30" s="756"/>
      <c r="G30" s="756"/>
    </row>
    <row r="31" spans="1:7" ht="16.3" customHeight="1">
      <c r="A31" s="552" t="s">
        <v>3694</v>
      </c>
      <c r="B31" s="695" t="s">
        <v>3698</v>
      </c>
      <c r="C31" s="539" t="s">
        <v>2783</v>
      </c>
      <c r="D31" s="550" t="s">
        <v>2998</v>
      </c>
      <c r="E31" s="552">
        <v>0</v>
      </c>
      <c r="F31" s="756"/>
      <c r="G31" s="756"/>
    </row>
    <row r="32" spans="1:7" ht="16.3" customHeight="1">
      <c r="A32" s="552" t="s">
        <v>3694</v>
      </c>
      <c r="B32" s="697" t="s">
        <v>3699</v>
      </c>
      <c r="C32" s="539" t="s">
        <v>6079</v>
      </c>
      <c r="D32" s="550" t="s">
        <v>2809</v>
      </c>
      <c r="E32" s="552">
        <v>0</v>
      </c>
      <c r="F32" s="756"/>
      <c r="G32" s="756"/>
    </row>
    <row r="33" spans="1:7" ht="16.3" customHeight="1">
      <c r="A33" s="552" t="s">
        <v>3694</v>
      </c>
      <c r="B33" s="697" t="s">
        <v>3699</v>
      </c>
      <c r="C33" s="539" t="s">
        <v>6080</v>
      </c>
      <c r="D33" s="550" t="s">
        <v>2809</v>
      </c>
      <c r="E33" s="552">
        <v>0</v>
      </c>
      <c r="F33" s="756"/>
      <c r="G33" s="756"/>
    </row>
    <row r="34" spans="1:7" ht="16.3" customHeight="1">
      <c r="A34" s="552" t="s">
        <v>3694</v>
      </c>
      <c r="B34" s="697" t="s">
        <v>3699</v>
      </c>
      <c r="C34" s="539" t="s">
        <v>6953</v>
      </c>
      <c r="D34" s="550" t="s">
        <v>2809</v>
      </c>
      <c r="E34" s="552">
        <v>0</v>
      </c>
      <c r="F34" s="756"/>
      <c r="G34" s="756"/>
    </row>
    <row r="35" spans="1:7" ht="16.3" customHeight="1">
      <c r="A35" s="552" t="s">
        <v>3694</v>
      </c>
      <c r="B35" s="697" t="s">
        <v>3699</v>
      </c>
      <c r="C35" s="539" t="s">
        <v>2783</v>
      </c>
      <c r="D35" s="550" t="s">
        <v>2809</v>
      </c>
      <c r="E35" s="552">
        <v>0</v>
      </c>
      <c r="F35" s="756"/>
      <c r="G35" s="756"/>
    </row>
    <row r="36" spans="1:7" ht="16.3" customHeight="1">
      <c r="A36" s="552" t="s">
        <v>3694</v>
      </c>
      <c r="B36" s="697" t="s">
        <v>3699</v>
      </c>
      <c r="C36" s="539" t="s">
        <v>2783</v>
      </c>
      <c r="D36" s="550" t="s">
        <v>2809</v>
      </c>
      <c r="E36" s="552">
        <v>0</v>
      </c>
      <c r="F36" s="756"/>
      <c r="G36" s="756"/>
    </row>
    <row r="37" spans="1:7" ht="16.3" customHeight="1">
      <c r="A37" s="552" t="s">
        <v>3694</v>
      </c>
      <c r="B37" s="694" t="s">
        <v>3700</v>
      </c>
      <c r="C37" s="539" t="s">
        <v>6081</v>
      </c>
      <c r="D37" s="550" t="s">
        <v>2971</v>
      </c>
      <c r="E37" s="552">
        <v>0</v>
      </c>
      <c r="F37" s="756"/>
      <c r="G37" s="756"/>
    </row>
    <row r="38" spans="1:7" ht="16.3" customHeight="1">
      <c r="A38" s="552" t="s">
        <v>3694</v>
      </c>
      <c r="B38" s="694" t="s">
        <v>3700</v>
      </c>
      <c r="C38" s="539" t="s">
        <v>2783</v>
      </c>
      <c r="D38" s="550" t="s">
        <v>2971</v>
      </c>
      <c r="E38" s="552">
        <v>0</v>
      </c>
      <c r="F38" s="756"/>
      <c r="G38" s="756"/>
    </row>
    <row r="39" spans="1:7" ht="16.3" customHeight="1">
      <c r="A39" s="552" t="s">
        <v>3694</v>
      </c>
      <c r="B39" s="700" t="s">
        <v>6055</v>
      </c>
      <c r="C39" s="539" t="s">
        <v>6082</v>
      </c>
      <c r="D39" s="550" t="s">
        <v>6697</v>
      </c>
      <c r="E39" s="552">
        <v>0</v>
      </c>
      <c r="F39" s="756"/>
      <c r="G39" s="756"/>
    </row>
    <row r="40" spans="1:7" ht="16.3" customHeight="1">
      <c r="A40" s="552" t="s">
        <v>3694</v>
      </c>
      <c r="B40" s="698" t="s">
        <v>3695</v>
      </c>
      <c r="C40" s="539" t="s">
        <v>6083</v>
      </c>
      <c r="D40" s="550" t="s">
        <v>2802</v>
      </c>
      <c r="E40" s="552">
        <v>0</v>
      </c>
      <c r="F40" s="756"/>
      <c r="G40" s="756"/>
    </row>
    <row r="41" spans="1:7" ht="16.3" customHeight="1">
      <c r="A41" s="552" t="s">
        <v>3694</v>
      </c>
      <c r="B41" s="698" t="s">
        <v>3695</v>
      </c>
      <c r="C41" s="539" t="s">
        <v>2783</v>
      </c>
      <c r="D41" s="550" t="s">
        <v>2802</v>
      </c>
      <c r="E41" s="552">
        <v>0</v>
      </c>
      <c r="F41" s="756"/>
      <c r="G41" s="756"/>
    </row>
    <row r="42" spans="1:7" ht="16.3" customHeight="1">
      <c r="A42" s="552" t="s">
        <v>3694</v>
      </c>
      <c r="B42" s="699" t="s">
        <v>3696</v>
      </c>
      <c r="C42" s="539" t="s">
        <v>6084</v>
      </c>
      <c r="D42" s="550" t="s">
        <v>2805</v>
      </c>
      <c r="E42" s="552">
        <v>0</v>
      </c>
      <c r="F42" s="756"/>
      <c r="G42" s="756"/>
    </row>
    <row r="43" spans="1:7" ht="16.3" customHeight="1">
      <c r="A43" s="552" t="s">
        <v>3694</v>
      </c>
      <c r="B43" s="699" t="s">
        <v>3696</v>
      </c>
      <c r="C43" s="539" t="s">
        <v>2783</v>
      </c>
      <c r="D43" s="550" t="s">
        <v>2805</v>
      </c>
      <c r="E43" s="552">
        <v>0</v>
      </c>
      <c r="F43" s="756"/>
      <c r="G43" s="756"/>
    </row>
    <row r="44" spans="1:7" ht="16.3" customHeight="1">
      <c r="A44" s="552" t="s">
        <v>3694</v>
      </c>
      <c r="B44" s="696" t="s">
        <v>3697</v>
      </c>
      <c r="C44" s="539" t="s">
        <v>6085</v>
      </c>
      <c r="D44" s="550" t="s">
        <v>2875</v>
      </c>
      <c r="E44" s="552">
        <v>0</v>
      </c>
      <c r="F44" s="756"/>
      <c r="G44" s="756"/>
    </row>
    <row r="45" spans="1:7" ht="16.3" customHeight="1">
      <c r="A45" s="552" t="s">
        <v>3694</v>
      </c>
      <c r="B45" s="696" t="s">
        <v>3697</v>
      </c>
      <c r="C45" s="539" t="s">
        <v>6086</v>
      </c>
      <c r="D45" s="550" t="s">
        <v>2875</v>
      </c>
      <c r="E45" s="552">
        <v>0</v>
      </c>
      <c r="F45" s="756"/>
      <c r="G45" s="756"/>
    </row>
    <row r="46" spans="1:7" ht="16.3" customHeight="1">
      <c r="A46" s="552" t="s">
        <v>3694</v>
      </c>
      <c r="B46" s="696" t="s">
        <v>3697</v>
      </c>
      <c r="C46" s="539" t="s">
        <v>2783</v>
      </c>
      <c r="D46" s="550" t="s">
        <v>2875</v>
      </c>
      <c r="E46" s="552">
        <v>0</v>
      </c>
      <c r="F46" s="756"/>
      <c r="G46" s="756"/>
    </row>
    <row r="47" spans="1:7" ht="16.3" customHeight="1">
      <c r="A47" s="552" t="s">
        <v>3694</v>
      </c>
      <c r="B47" s="695" t="s">
        <v>3698</v>
      </c>
      <c r="C47" s="539" t="s">
        <v>8987</v>
      </c>
      <c r="D47" s="550" t="s">
        <v>2998</v>
      </c>
      <c r="E47" s="552">
        <v>0</v>
      </c>
      <c r="F47" s="755"/>
      <c r="G47" s="756"/>
    </row>
    <row r="48" spans="1:7" ht="16.3" customHeight="1">
      <c r="A48" s="552" t="s">
        <v>3694</v>
      </c>
      <c r="B48" s="695" t="s">
        <v>3698</v>
      </c>
      <c r="C48" s="539" t="s">
        <v>8988</v>
      </c>
      <c r="D48" s="550" t="s">
        <v>2998</v>
      </c>
      <c r="E48" s="552">
        <v>0</v>
      </c>
      <c r="F48" s="755"/>
      <c r="G48" s="756"/>
    </row>
    <row r="49" spans="1:7" ht="16.3" customHeight="1">
      <c r="A49" s="552" t="s">
        <v>3694</v>
      </c>
      <c r="B49" s="695" t="s">
        <v>3698</v>
      </c>
      <c r="C49" s="539" t="s">
        <v>2783</v>
      </c>
      <c r="D49" s="550" t="s">
        <v>2998</v>
      </c>
      <c r="E49" s="552">
        <v>0</v>
      </c>
      <c r="F49" s="755"/>
      <c r="G49" s="756"/>
    </row>
    <row r="50" spans="1:7" ht="16.3" customHeight="1">
      <c r="A50" s="552" t="s">
        <v>3694</v>
      </c>
      <c r="B50" s="695" t="s">
        <v>3698</v>
      </c>
      <c r="C50" s="539" t="s">
        <v>2783</v>
      </c>
      <c r="D50" s="550" t="s">
        <v>2998</v>
      </c>
      <c r="E50" s="552">
        <v>0</v>
      </c>
      <c r="F50" s="755"/>
      <c r="G50" s="756"/>
    </row>
    <row r="51" spans="1:7" ht="16.3" customHeight="1">
      <c r="A51" s="552" t="s">
        <v>3694</v>
      </c>
      <c r="B51" s="697" t="s">
        <v>3699</v>
      </c>
      <c r="C51" s="539" t="s">
        <v>6089</v>
      </c>
      <c r="D51" s="550" t="s">
        <v>2809</v>
      </c>
      <c r="E51" s="552">
        <v>0</v>
      </c>
      <c r="F51" s="755"/>
      <c r="G51" s="756"/>
    </row>
    <row r="52" spans="1:7" ht="16.3" customHeight="1">
      <c r="A52" s="552" t="s">
        <v>3694</v>
      </c>
      <c r="B52" s="697" t="s">
        <v>3699</v>
      </c>
      <c r="C52" s="539" t="s">
        <v>6090</v>
      </c>
      <c r="D52" s="550" t="s">
        <v>2809</v>
      </c>
      <c r="E52" s="552">
        <v>0</v>
      </c>
      <c r="F52" s="755"/>
      <c r="G52" s="756"/>
    </row>
    <row r="53" spans="1:7" ht="16.3" customHeight="1">
      <c r="A53" s="552" t="s">
        <v>3694</v>
      </c>
      <c r="B53" s="697" t="s">
        <v>3699</v>
      </c>
      <c r="C53" s="539" t="s">
        <v>2783</v>
      </c>
      <c r="D53" s="550" t="s">
        <v>2809</v>
      </c>
      <c r="E53" s="552">
        <v>0</v>
      </c>
      <c r="F53" s="755"/>
      <c r="G53" s="756"/>
    </row>
    <row r="54" spans="1:7" ht="16.3" customHeight="1">
      <c r="A54" s="552" t="s">
        <v>3694</v>
      </c>
      <c r="B54" s="697" t="s">
        <v>3699</v>
      </c>
      <c r="C54" s="539" t="s">
        <v>2783</v>
      </c>
      <c r="D54" s="550" t="s">
        <v>2809</v>
      </c>
      <c r="E54" s="552">
        <v>0</v>
      </c>
      <c r="F54" s="755"/>
      <c r="G54" s="756"/>
    </row>
    <row r="55" spans="1:7" ht="16.3" customHeight="1">
      <c r="A55" s="552" t="s">
        <v>3694</v>
      </c>
      <c r="B55" s="697" t="s">
        <v>3699</v>
      </c>
      <c r="C55" s="539" t="s">
        <v>2783</v>
      </c>
      <c r="D55" s="550" t="s">
        <v>2809</v>
      </c>
      <c r="E55" s="552">
        <v>0</v>
      </c>
      <c r="F55" s="755"/>
      <c r="G55" s="756"/>
    </row>
    <row r="56" spans="1:7" ht="16.3" customHeight="1">
      <c r="A56" s="552" t="s">
        <v>3694</v>
      </c>
      <c r="B56" s="694" t="s">
        <v>3700</v>
      </c>
      <c r="C56" s="539" t="s">
        <v>2783</v>
      </c>
      <c r="D56" s="550" t="s">
        <v>2971</v>
      </c>
      <c r="E56" s="552">
        <v>0</v>
      </c>
      <c r="F56" s="755"/>
      <c r="G56" s="756"/>
    </row>
    <row r="57" spans="1:7" ht="16.3" customHeight="1">
      <c r="A57" s="552" t="s">
        <v>3694</v>
      </c>
      <c r="B57" s="694" t="s">
        <v>3700</v>
      </c>
      <c r="C57" s="539" t="s">
        <v>2783</v>
      </c>
      <c r="D57" s="550" t="s">
        <v>2971</v>
      </c>
      <c r="E57" s="552">
        <v>0</v>
      </c>
      <c r="F57" s="755"/>
      <c r="G57" s="756"/>
    </row>
    <row r="58" spans="1:7" ht="16.3" customHeight="1">
      <c r="A58" s="552" t="s">
        <v>3694</v>
      </c>
      <c r="B58" s="700" t="s">
        <v>6055</v>
      </c>
      <c r="C58" s="539" t="s">
        <v>8989</v>
      </c>
      <c r="D58" s="550" t="s">
        <v>6697</v>
      </c>
      <c r="E58" s="552">
        <v>0</v>
      </c>
      <c r="F58" s="755"/>
      <c r="G58" s="756"/>
    </row>
    <row r="59" spans="1:7" ht="16.3" customHeight="1">
      <c r="A59" s="552" t="s">
        <v>3694</v>
      </c>
      <c r="B59" s="698" t="s">
        <v>3695</v>
      </c>
      <c r="C59" s="539" t="s">
        <v>2783</v>
      </c>
      <c r="D59" s="550" t="s">
        <v>2802</v>
      </c>
      <c r="E59" s="552">
        <v>0</v>
      </c>
      <c r="F59" s="755"/>
      <c r="G59" s="755"/>
    </row>
    <row r="60" spans="1:7" ht="16.3" customHeight="1">
      <c r="A60" s="552" t="s">
        <v>3694</v>
      </c>
      <c r="B60" s="698" t="s">
        <v>3695</v>
      </c>
      <c r="C60" s="539" t="s">
        <v>6092</v>
      </c>
      <c r="D60" s="550" t="s">
        <v>2802</v>
      </c>
      <c r="E60" s="552">
        <v>0</v>
      </c>
      <c r="F60" s="755"/>
      <c r="G60" s="755"/>
    </row>
    <row r="61" spans="1:7" ht="16.3" customHeight="1">
      <c r="A61" s="552" t="s">
        <v>3694</v>
      </c>
      <c r="B61" s="699" t="s">
        <v>3696</v>
      </c>
      <c r="C61" s="539" t="s">
        <v>6093</v>
      </c>
      <c r="D61" s="550" t="s">
        <v>2805</v>
      </c>
      <c r="E61" s="552">
        <v>0</v>
      </c>
      <c r="F61" s="755"/>
      <c r="G61" s="755"/>
    </row>
    <row r="62" spans="1:7" ht="16.3" customHeight="1">
      <c r="A62" s="552" t="s">
        <v>3694</v>
      </c>
      <c r="B62" s="699" t="s">
        <v>3696</v>
      </c>
      <c r="C62" s="539" t="s">
        <v>2783</v>
      </c>
      <c r="D62" s="550" t="s">
        <v>2805</v>
      </c>
      <c r="E62" s="552">
        <v>0</v>
      </c>
      <c r="F62" s="755"/>
      <c r="G62" s="755"/>
    </row>
    <row r="63" spans="1:7" ht="16.3" customHeight="1">
      <c r="A63" s="552" t="s">
        <v>3694</v>
      </c>
      <c r="B63" s="696" t="s">
        <v>3697</v>
      </c>
      <c r="C63" s="539" t="s">
        <v>8945</v>
      </c>
      <c r="D63" s="550" t="s">
        <v>2875</v>
      </c>
      <c r="E63" s="552">
        <v>0</v>
      </c>
      <c r="F63" s="755"/>
      <c r="G63" s="755"/>
    </row>
    <row r="64" spans="1:7" ht="16.3" customHeight="1">
      <c r="A64" s="552" t="s">
        <v>3694</v>
      </c>
      <c r="B64" s="696" t="s">
        <v>3697</v>
      </c>
      <c r="C64" s="539" t="s">
        <v>6995</v>
      </c>
      <c r="D64" s="550" t="s">
        <v>2875</v>
      </c>
      <c r="E64" s="552">
        <v>0</v>
      </c>
      <c r="F64" s="755"/>
      <c r="G64" s="756"/>
    </row>
    <row r="65" spans="1:7" ht="16.3" customHeight="1">
      <c r="A65" s="552" t="s">
        <v>3694</v>
      </c>
      <c r="B65" s="696" t="s">
        <v>3697</v>
      </c>
      <c r="C65" s="539" t="s">
        <v>2783</v>
      </c>
      <c r="D65" s="550" t="s">
        <v>2875</v>
      </c>
      <c r="E65" s="552">
        <v>0</v>
      </c>
      <c r="F65" s="755"/>
      <c r="G65" s="756"/>
    </row>
    <row r="66" spans="1:7" ht="16.3" customHeight="1">
      <c r="A66" s="552" t="s">
        <v>3694</v>
      </c>
      <c r="B66" s="695" t="s">
        <v>3698</v>
      </c>
      <c r="C66" s="539" t="s">
        <v>6094</v>
      </c>
      <c r="D66" s="550" t="s">
        <v>2998</v>
      </c>
      <c r="E66" s="552">
        <v>0</v>
      </c>
      <c r="F66" s="755"/>
      <c r="G66" s="756"/>
    </row>
    <row r="67" spans="1:7" ht="16.3" customHeight="1">
      <c r="A67" s="552" t="s">
        <v>3694</v>
      </c>
      <c r="B67" s="695" t="s">
        <v>3698</v>
      </c>
      <c r="C67" s="539" t="s">
        <v>2783</v>
      </c>
      <c r="D67" s="550" t="s">
        <v>2998</v>
      </c>
      <c r="E67" s="552">
        <v>0</v>
      </c>
      <c r="F67" s="755"/>
      <c r="G67" s="756"/>
    </row>
    <row r="68" spans="1:7" ht="16.3" customHeight="1">
      <c r="A68" s="552" t="s">
        <v>3694</v>
      </c>
      <c r="B68" s="695" t="s">
        <v>3698</v>
      </c>
      <c r="C68" s="539" t="s">
        <v>2783</v>
      </c>
      <c r="D68" s="550" t="s">
        <v>2998</v>
      </c>
      <c r="E68" s="552">
        <v>0</v>
      </c>
      <c r="F68" s="755"/>
      <c r="G68" s="756"/>
    </row>
    <row r="69" spans="1:7" ht="16.3" customHeight="1">
      <c r="A69" s="552" t="s">
        <v>3694</v>
      </c>
      <c r="B69" s="695" t="s">
        <v>3698</v>
      </c>
      <c r="C69" s="539" t="s">
        <v>2783</v>
      </c>
      <c r="D69" s="550" t="s">
        <v>2998</v>
      </c>
      <c r="E69" s="552">
        <v>0</v>
      </c>
      <c r="F69" s="755"/>
      <c r="G69" s="756"/>
    </row>
    <row r="70" spans="1:7" ht="16.3" customHeight="1">
      <c r="A70" s="552" t="s">
        <v>3694</v>
      </c>
      <c r="B70" s="697" t="s">
        <v>3699</v>
      </c>
      <c r="C70" s="539" t="s">
        <v>6095</v>
      </c>
      <c r="D70" s="550" t="s">
        <v>2809</v>
      </c>
      <c r="E70" s="552">
        <v>0</v>
      </c>
      <c r="F70" s="755"/>
      <c r="G70" s="756"/>
    </row>
    <row r="71" spans="1:7" ht="16.3" customHeight="1">
      <c r="A71" s="552" t="s">
        <v>3694</v>
      </c>
      <c r="B71" s="697" t="s">
        <v>3699</v>
      </c>
      <c r="C71" s="539" t="s">
        <v>2783</v>
      </c>
      <c r="D71" s="550" t="s">
        <v>2809</v>
      </c>
      <c r="E71" s="552">
        <v>0</v>
      </c>
      <c r="F71" s="755"/>
      <c r="G71" s="756"/>
    </row>
    <row r="72" spans="1:7" ht="16.3" customHeight="1">
      <c r="A72" s="552" t="s">
        <v>3694</v>
      </c>
      <c r="B72" s="697" t="s">
        <v>3699</v>
      </c>
      <c r="C72" s="539" t="s">
        <v>8990</v>
      </c>
      <c r="D72" s="550" t="s">
        <v>2809</v>
      </c>
      <c r="E72" s="552">
        <v>0</v>
      </c>
      <c r="F72" s="755"/>
      <c r="G72" s="756"/>
    </row>
    <row r="73" spans="1:7" ht="16.3" customHeight="1">
      <c r="A73" s="552" t="s">
        <v>3694</v>
      </c>
      <c r="B73" s="697" t="s">
        <v>3699</v>
      </c>
      <c r="C73" s="539" t="s">
        <v>2783</v>
      </c>
      <c r="D73" s="550" t="s">
        <v>2809</v>
      </c>
      <c r="E73" s="552">
        <v>0</v>
      </c>
      <c r="F73" s="755"/>
      <c r="G73" s="756"/>
    </row>
    <row r="74" spans="1:7" ht="16.3" customHeight="1">
      <c r="A74" s="552" t="s">
        <v>3694</v>
      </c>
      <c r="B74" s="697" t="s">
        <v>3699</v>
      </c>
      <c r="C74" s="539" t="s">
        <v>2783</v>
      </c>
      <c r="D74" s="550" t="s">
        <v>2809</v>
      </c>
      <c r="E74" s="552">
        <v>0</v>
      </c>
      <c r="F74" s="755"/>
      <c r="G74" s="756"/>
    </row>
    <row r="75" spans="1:7" ht="16.3" customHeight="1">
      <c r="A75" s="552" t="s">
        <v>3694</v>
      </c>
      <c r="B75" s="694" t="s">
        <v>3700</v>
      </c>
      <c r="C75" s="539" t="s">
        <v>8991</v>
      </c>
      <c r="D75" s="550" t="s">
        <v>2971</v>
      </c>
      <c r="E75" s="552">
        <v>0</v>
      </c>
      <c r="F75" s="755"/>
      <c r="G75" s="755"/>
    </row>
    <row r="76" spans="1:7" ht="16.3" customHeight="1">
      <c r="A76" s="552" t="s">
        <v>3694</v>
      </c>
      <c r="B76" s="694" t="s">
        <v>3700</v>
      </c>
      <c r="C76" s="539" t="s">
        <v>8992</v>
      </c>
      <c r="D76" s="550" t="s">
        <v>2971</v>
      </c>
      <c r="E76" s="552">
        <v>0</v>
      </c>
      <c r="F76" s="755"/>
      <c r="G76" s="755"/>
    </row>
    <row r="77" spans="1:7" ht="16.3" customHeight="1">
      <c r="A77" s="552" t="s">
        <v>3694</v>
      </c>
      <c r="B77" s="700" t="s">
        <v>6055</v>
      </c>
      <c r="C77" s="539" t="s">
        <v>8993</v>
      </c>
      <c r="D77" s="550" t="s">
        <v>6697</v>
      </c>
      <c r="E77" s="552">
        <v>0</v>
      </c>
      <c r="F77" s="755"/>
      <c r="G77" s="755"/>
    </row>
    <row r="78" spans="1:7" ht="16.3" customHeight="1">
      <c r="A78" s="552" t="s">
        <v>3694</v>
      </c>
      <c r="B78" s="698" t="s">
        <v>3695</v>
      </c>
      <c r="C78" s="539" t="s">
        <v>6100</v>
      </c>
      <c r="D78" s="550" t="s">
        <v>2802</v>
      </c>
      <c r="E78" s="552">
        <v>0</v>
      </c>
      <c r="F78" s="755"/>
      <c r="G78" s="755"/>
    </row>
    <row r="79" spans="1:7" ht="16.3" customHeight="1">
      <c r="A79" s="552" t="s">
        <v>3694</v>
      </c>
      <c r="B79" s="698" t="s">
        <v>3695</v>
      </c>
      <c r="C79" s="539" t="s">
        <v>6101</v>
      </c>
      <c r="D79" s="550" t="s">
        <v>2802</v>
      </c>
      <c r="E79" s="552">
        <v>0</v>
      </c>
      <c r="F79" s="755"/>
      <c r="G79" s="755"/>
    </row>
    <row r="80" spans="1:7" ht="16.3" customHeight="1">
      <c r="A80" s="552" t="s">
        <v>3694</v>
      </c>
      <c r="B80" s="699" t="s">
        <v>3696</v>
      </c>
      <c r="C80" s="539" t="s">
        <v>6102</v>
      </c>
      <c r="D80" s="550" t="s">
        <v>2805</v>
      </c>
      <c r="E80" s="552">
        <v>0</v>
      </c>
      <c r="F80" s="755"/>
      <c r="G80" s="755"/>
    </row>
    <row r="81" spans="1:7" ht="16.3" customHeight="1">
      <c r="A81" s="552" t="s">
        <v>3694</v>
      </c>
      <c r="B81" s="699" t="s">
        <v>3696</v>
      </c>
      <c r="C81" s="539" t="s">
        <v>2783</v>
      </c>
      <c r="D81" s="550" t="s">
        <v>2805</v>
      </c>
      <c r="E81" s="552">
        <v>0</v>
      </c>
      <c r="F81" s="755"/>
      <c r="G81" s="755"/>
    </row>
    <row r="82" spans="1:7" ht="16.3" customHeight="1">
      <c r="A82" s="552" t="s">
        <v>3694</v>
      </c>
      <c r="B82" s="696" t="s">
        <v>3697</v>
      </c>
      <c r="C82" s="539" t="s">
        <v>6103</v>
      </c>
      <c r="D82" s="550" t="s">
        <v>2875</v>
      </c>
      <c r="E82" s="552">
        <v>0</v>
      </c>
      <c r="F82" s="755"/>
      <c r="G82" s="755"/>
    </row>
    <row r="83" spans="1:7" ht="16.3" customHeight="1">
      <c r="A83" s="552" t="s">
        <v>3694</v>
      </c>
      <c r="B83" s="696" t="s">
        <v>3697</v>
      </c>
      <c r="C83" s="539" t="s">
        <v>6104</v>
      </c>
      <c r="D83" s="550" t="s">
        <v>2875</v>
      </c>
      <c r="E83" s="552">
        <v>0</v>
      </c>
      <c r="F83" s="755"/>
      <c r="G83" s="755"/>
    </row>
    <row r="84" spans="1:7" ht="16.3" customHeight="1">
      <c r="A84" s="552" t="s">
        <v>3694</v>
      </c>
      <c r="B84" s="696" t="s">
        <v>3697</v>
      </c>
      <c r="C84" s="539" t="s">
        <v>2783</v>
      </c>
      <c r="D84" s="550" t="s">
        <v>2875</v>
      </c>
      <c r="E84" s="552">
        <v>0</v>
      </c>
      <c r="F84" s="755"/>
      <c r="G84" s="755"/>
    </row>
    <row r="85" spans="1:7" ht="16.3" customHeight="1">
      <c r="A85" s="552" t="s">
        <v>3694</v>
      </c>
      <c r="B85" s="695" t="s">
        <v>3698</v>
      </c>
      <c r="C85" s="539" t="s">
        <v>7031</v>
      </c>
      <c r="D85" s="550" t="s">
        <v>2998</v>
      </c>
      <c r="E85" s="552">
        <v>0</v>
      </c>
      <c r="F85" s="755"/>
      <c r="G85" s="755"/>
    </row>
    <row r="86" spans="1:7" ht="16.3" customHeight="1">
      <c r="A86" s="552" t="s">
        <v>3694</v>
      </c>
      <c r="B86" s="695" t="s">
        <v>3698</v>
      </c>
      <c r="C86" s="539" t="s">
        <v>6105</v>
      </c>
      <c r="D86" s="550" t="s">
        <v>2998</v>
      </c>
      <c r="E86" s="552">
        <v>0</v>
      </c>
      <c r="F86" s="755"/>
      <c r="G86" s="755"/>
    </row>
    <row r="87" spans="1:7" ht="16.3" customHeight="1">
      <c r="A87" s="552" t="s">
        <v>3694</v>
      </c>
      <c r="B87" s="695" t="s">
        <v>3698</v>
      </c>
      <c r="C87" s="539" t="s">
        <v>2783</v>
      </c>
      <c r="D87" s="550" t="s">
        <v>2998</v>
      </c>
      <c r="E87" s="552">
        <v>0</v>
      </c>
      <c r="F87" s="755"/>
      <c r="G87" s="755"/>
    </row>
    <row r="88" spans="1:7" ht="16.3" customHeight="1">
      <c r="A88" s="552" t="s">
        <v>3694</v>
      </c>
      <c r="B88" s="695" t="s">
        <v>3698</v>
      </c>
      <c r="C88" s="539" t="s">
        <v>2783</v>
      </c>
      <c r="D88" s="550" t="s">
        <v>2998</v>
      </c>
      <c r="E88" s="552">
        <v>0</v>
      </c>
      <c r="F88" s="755"/>
      <c r="G88" s="755"/>
    </row>
    <row r="89" spans="1:7" ht="16.3" customHeight="1">
      <c r="A89" s="552" t="s">
        <v>3694</v>
      </c>
      <c r="B89" s="697" t="s">
        <v>3699</v>
      </c>
      <c r="C89" s="539" t="s">
        <v>8994</v>
      </c>
      <c r="D89" s="550" t="s">
        <v>2809</v>
      </c>
      <c r="E89" s="552">
        <v>0</v>
      </c>
      <c r="F89" s="755"/>
      <c r="G89" s="756"/>
    </row>
    <row r="90" spans="1:7" ht="16.3" customHeight="1">
      <c r="A90" s="552" t="s">
        <v>3694</v>
      </c>
      <c r="B90" s="697" t="s">
        <v>3699</v>
      </c>
      <c r="C90" s="539" t="s">
        <v>6107</v>
      </c>
      <c r="D90" s="550" t="s">
        <v>2809</v>
      </c>
      <c r="E90" s="552">
        <v>0</v>
      </c>
      <c r="F90" s="755"/>
      <c r="G90" s="756"/>
    </row>
    <row r="91" spans="1:7" ht="16.3" customHeight="1">
      <c r="A91" s="552" t="s">
        <v>3694</v>
      </c>
      <c r="B91" s="697" t="s">
        <v>3699</v>
      </c>
      <c r="C91" s="539" t="s">
        <v>2783</v>
      </c>
      <c r="D91" s="550" t="s">
        <v>2809</v>
      </c>
      <c r="E91" s="552">
        <v>0</v>
      </c>
      <c r="F91" s="755"/>
      <c r="G91" s="756"/>
    </row>
    <row r="92" spans="1:7" ht="16.3" customHeight="1">
      <c r="A92" s="552" t="s">
        <v>3694</v>
      </c>
      <c r="B92" s="697" t="s">
        <v>3699</v>
      </c>
      <c r="C92" s="539" t="s">
        <v>2783</v>
      </c>
      <c r="D92" s="550" t="s">
        <v>2809</v>
      </c>
      <c r="E92" s="552">
        <v>0</v>
      </c>
      <c r="F92" s="755"/>
      <c r="G92" s="756"/>
    </row>
    <row r="93" spans="1:7" ht="16.3" customHeight="1">
      <c r="A93" s="552" t="s">
        <v>3694</v>
      </c>
      <c r="B93" s="697" t="s">
        <v>3699</v>
      </c>
      <c r="C93" s="539" t="s">
        <v>2783</v>
      </c>
      <c r="D93" s="550" t="s">
        <v>2809</v>
      </c>
      <c r="E93" s="552">
        <v>0</v>
      </c>
      <c r="F93" s="755"/>
      <c r="G93" s="756"/>
    </row>
    <row r="94" spans="1:7" ht="16.3" customHeight="1">
      <c r="A94" s="552" t="s">
        <v>3694</v>
      </c>
      <c r="B94" s="694" t="s">
        <v>3700</v>
      </c>
      <c r="C94" s="539" t="s">
        <v>6108</v>
      </c>
      <c r="D94" s="550" t="s">
        <v>2971</v>
      </c>
      <c r="E94" s="552">
        <v>0</v>
      </c>
      <c r="F94" s="755"/>
      <c r="G94" s="756"/>
    </row>
    <row r="95" spans="1:7" ht="16.3" customHeight="1">
      <c r="A95" s="552" t="s">
        <v>3694</v>
      </c>
      <c r="B95" s="694" t="s">
        <v>3700</v>
      </c>
      <c r="C95" s="539" t="s">
        <v>2783</v>
      </c>
      <c r="D95" s="550" t="s">
        <v>2971</v>
      </c>
      <c r="E95" s="552">
        <v>0</v>
      </c>
      <c r="F95" s="755"/>
      <c r="G95" s="756"/>
    </row>
    <row r="96" spans="1:7" ht="16.3" customHeight="1">
      <c r="A96" s="552" t="s">
        <v>3694</v>
      </c>
      <c r="B96" s="700" t="s">
        <v>6055</v>
      </c>
      <c r="C96" s="539" t="s">
        <v>2783</v>
      </c>
      <c r="D96" s="550" t="s">
        <v>6697</v>
      </c>
      <c r="E96" s="552">
        <v>0</v>
      </c>
      <c r="F96" s="755"/>
      <c r="G96" s="756"/>
    </row>
    <row r="97" spans="1:7" ht="16.3" customHeight="1">
      <c r="A97" s="552" t="s">
        <v>3694</v>
      </c>
      <c r="B97" s="698" t="s">
        <v>3695</v>
      </c>
      <c r="C97" s="539" t="s">
        <v>6109</v>
      </c>
      <c r="D97" s="550" t="s">
        <v>2802</v>
      </c>
      <c r="E97" s="552">
        <v>0</v>
      </c>
      <c r="F97" s="755"/>
      <c r="G97" s="756"/>
    </row>
    <row r="98" spans="1:7" ht="16.3" customHeight="1">
      <c r="A98" s="552" t="s">
        <v>3694</v>
      </c>
      <c r="B98" s="698" t="s">
        <v>3695</v>
      </c>
      <c r="C98" s="539" t="s">
        <v>2783</v>
      </c>
      <c r="D98" s="550" t="s">
        <v>2802</v>
      </c>
      <c r="E98" s="552">
        <v>0</v>
      </c>
      <c r="F98" s="755"/>
      <c r="G98" s="756"/>
    </row>
    <row r="99" spans="1:7" ht="16.3" customHeight="1">
      <c r="A99" s="552" t="s">
        <v>3694</v>
      </c>
      <c r="B99" s="699" t="s">
        <v>3696</v>
      </c>
      <c r="C99" s="539" t="s">
        <v>7048</v>
      </c>
      <c r="D99" s="550" t="s">
        <v>2805</v>
      </c>
      <c r="E99" s="552">
        <v>0</v>
      </c>
      <c r="F99" s="755"/>
      <c r="G99" s="756"/>
    </row>
    <row r="100" spans="1:7" ht="16.3" customHeight="1">
      <c r="A100" s="552" t="s">
        <v>3694</v>
      </c>
      <c r="B100" s="699" t="s">
        <v>3696</v>
      </c>
      <c r="C100" s="539" t="s">
        <v>2783</v>
      </c>
      <c r="D100" s="550" t="s">
        <v>2805</v>
      </c>
      <c r="E100" s="552">
        <v>0</v>
      </c>
      <c r="F100" s="755"/>
      <c r="G100" s="756"/>
    </row>
    <row r="101" spans="1:7" ht="16.3" customHeight="1">
      <c r="A101" s="552" t="s">
        <v>3694</v>
      </c>
      <c r="B101" s="696" t="s">
        <v>3697</v>
      </c>
      <c r="C101" s="539" t="s">
        <v>6110</v>
      </c>
      <c r="D101" s="550" t="s">
        <v>2875</v>
      </c>
      <c r="E101" s="552">
        <v>0</v>
      </c>
      <c r="F101" s="755"/>
      <c r="G101" s="756"/>
    </row>
    <row r="102" spans="1:7" ht="16.3" customHeight="1">
      <c r="A102" s="552" t="s">
        <v>3694</v>
      </c>
      <c r="B102" s="696" t="s">
        <v>3697</v>
      </c>
      <c r="C102" s="539" t="s">
        <v>6111</v>
      </c>
      <c r="D102" s="550" t="s">
        <v>2875</v>
      </c>
      <c r="E102" s="552">
        <v>0</v>
      </c>
      <c r="F102" s="755"/>
      <c r="G102" s="756"/>
    </row>
    <row r="103" spans="1:7" ht="16.3" customHeight="1">
      <c r="A103" s="552" t="s">
        <v>3694</v>
      </c>
      <c r="B103" s="696" t="s">
        <v>3697</v>
      </c>
      <c r="C103" s="539" t="s">
        <v>2783</v>
      </c>
      <c r="D103" s="550" t="s">
        <v>2875</v>
      </c>
      <c r="E103" s="552">
        <v>0</v>
      </c>
      <c r="F103" s="755"/>
      <c r="G103" s="756"/>
    </row>
    <row r="104" spans="1:7" ht="16.3" customHeight="1">
      <c r="A104" s="552" t="s">
        <v>3694</v>
      </c>
      <c r="B104" s="695" t="s">
        <v>3698</v>
      </c>
      <c r="C104" s="539" t="s">
        <v>6112</v>
      </c>
      <c r="D104" s="550" t="s">
        <v>2998</v>
      </c>
      <c r="E104" s="552">
        <v>0</v>
      </c>
      <c r="F104" s="755"/>
      <c r="G104" s="756"/>
    </row>
    <row r="105" spans="1:7" ht="16.3" customHeight="1">
      <c r="A105" s="552" t="s">
        <v>3694</v>
      </c>
      <c r="B105" s="695" t="s">
        <v>3698</v>
      </c>
      <c r="C105" s="539" t="s">
        <v>6113</v>
      </c>
      <c r="D105" s="550" t="s">
        <v>2998</v>
      </c>
      <c r="E105" s="552">
        <v>0</v>
      </c>
      <c r="F105" s="755"/>
      <c r="G105" s="756"/>
    </row>
    <row r="106" spans="1:7" ht="16.3" customHeight="1">
      <c r="A106" s="552" t="s">
        <v>3694</v>
      </c>
      <c r="B106" s="695" t="s">
        <v>3698</v>
      </c>
      <c r="C106" s="539" t="s">
        <v>2783</v>
      </c>
      <c r="D106" s="550" t="s">
        <v>2998</v>
      </c>
      <c r="E106" s="552">
        <v>0</v>
      </c>
      <c r="F106" s="755"/>
      <c r="G106" s="756"/>
    </row>
    <row r="107" spans="1:7" ht="16.3" customHeight="1">
      <c r="A107" s="552" t="s">
        <v>3694</v>
      </c>
      <c r="B107" s="695" t="s">
        <v>3698</v>
      </c>
      <c r="C107" s="539" t="s">
        <v>2783</v>
      </c>
      <c r="D107" s="550" t="s">
        <v>2998</v>
      </c>
      <c r="E107" s="552">
        <v>0</v>
      </c>
      <c r="F107" s="755"/>
      <c r="G107" s="756"/>
    </row>
    <row r="108" spans="1:7" ht="16.3" customHeight="1">
      <c r="A108" s="552" t="s">
        <v>3694</v>
      </c>
      <c r="B108" s="697" t="s">
        <v>3699</v>
      </c>
      <c r="C108" s="539" t="s">
        <v>6114</v>
      </c>
      <c r="D108" s="550" t="s">
        <v>2809</v>
      </c>
      <c r="E108" s="552">
        <v>0</v>
      </c>
      <c r="F108" s="755"/>
      <c r="G108" s="756"/>
    </row>
    <row r="109" spans="1:7" ht="16.3" customHeight="1">
      <c r="A109" s="552" t="s">
        <v>3694</v>
      </c>
      <c r="B109" s="697" t="s">
        <v>3699</v>
      </c>
      <c r="C109" s="539" t="s">
        <v>7065</v>
      </c>
      <c r="D109" s="550" t="s">
        <v>2809</v>
      </c>
      <c r="E109" s="552">
        <v>0</v>
      </c>
      <c r="F109" s="755"/>
      <c r="G109" s="756"/>
    </row>
    <row r="110" spans="1:7" ht="16.3" customHeight="1">
      <c r="A110" s="552" t="s">
        <v>3694</v>
      </c>
      <c r="B110" s="697" t="s">
        <v>3699</v>
      </c>
      <c r="C110" s="539" t="s">
        <v>2783</v>
      </c>
      <c r="D110" s="550" t="s">
        <v>2809</v>
      </c>
      <c r="E110" s="552">
        <v>0</v>
      </c>
      <c r="F110" s="755"/>
      <c r="G110" s="756"/>
    </row>
    <row r="111" spans="1:7" ht="16.3" customHeight="1">
      <c r="A111" s="552" t="s">
        <v>3694</v>
      </c>
      <c r="B111" s="697" t="s">
        <v>3699</v>
      </c>
      <c r="C111" s="539" t="s">
        <v>2783</v>
      </c>
      <c r="D111" s="550" t="s">
        <v>2809</v>
      </c>
      <c r="E111" s="552">
        <v>0</v>
      </c>
      <c r="F111" s="755"/>
      <c r="G111" s="756"/>
    </row>
    <row r="112" spans="1:7" ht="16.3" customHeight="1">
      <c r="A112" s="552" t="s">
        <v>3694</v>
      </c>
      <c r="B112" s="697" t="s">
        <v>3699</v>
      </c>
      <c r="C112" s="539" t="s">
        <v>2783</v>
      </c>
      <c r="D112" s="550" t="s">
        <v>2809</v>
      </c>
      <c r="E112" s="552">
        <v>0</v>
      </c>
      <c r="F112" s="755"/>
      <c r="G112" s="756"/>
    </row>
    <row r="113" spans="1:7" ht="16.3" customHeight="1">
      <c r="A113" s="552" t="s">
        <v>3694</v>
      </c>
      <c r="B113" s="694" t="s">
        <v>3700</v>
      </c>
      <c r="C113" s="539" t="s">
        <v>6115</v>
      </c>
      <c r="D113" s="550" t="s">
        <v>2971</v>
      </c>
      <c r="E113" s="552">
        <v>0</v>
      </c>
      <c r="F113" s="755"/>
      <c r="G113" s="756"/>
    </row>
    <row r="114" spans="1:7" ht="16.3" customHeight="1">
      <c r="A114" s="552" t="s">
        <v>3694</v>
      </c>
      <c r="B114" s="694" t="s">
        <v>3700</v>
      </c>
      <c r="C114" s="539" t="s">
        <v>2783</v>
      </c>
      <c r="D114" s="550" t="s">
        <v>2971</v>
      </c>
      <c r="E114" s="552">
        <v>0</v>
      </c>
      <c r="F114" s="755"/>
      <c r="G114" s="756"/>
    </row>
    <row r="115" spans="1:7" ht="16.3" customHeight="1">
      <c r="A115" s="552" t="s">
        <v>3694</v>
      </c>
      <c r="B115" s="700" t="s">
        <v>6055</v>
      </c>
      <c r="C115" s="539" t="s">
        <v>2783</v>
      </c>
      <c r="D115" s="550" t="s">
        <v>6697</v>
      </c>
      <c r="E115" s="552">
        <v>0</v>
      </c>
      <c r="F115" s="755"/>
      <c r="G115" s="756"/>
    </row>
    <row r="116" spans="1:7" ht="16.3" customHeight="1">
      <c r="A116" s="552" t="s">
        <v>3694</v>
      </c>
      <c r="B116" s="698" t="s">
        <v>3695</v>
      </c>
      <c r="C116" s="539" t="s">
        <v>6116</v>
      </c>
      <c r="D116" s="550" t="s">
        <v>2802</v>
      </c>
      <c r="E116" s="552">
        <v>0</v>
      </c>
      <c r="F116" s="755"/>
      <c r="G116" s="756"/>
    </row>
    <row r="117" spans="1:7" ht="16.3" customHeight="1">
      <c r="A117" s="552" t="s">
        <v>3694</v>
      </c>
      <c r="B117" s="698" t="s">
        <v>3695</v>
      </c>
      <c r="C117" s="539" t="s">
        <v>2783</v>
      </c>
      <c r="D117" s="550" t="s">
        <v>2802</v>
      </c>
      <c r="E117" s="552">
        <v>0</v>
      </c>
      <c r="F117" s="755"/>
      <c r="G117" s="756"/>
    </row>
    <row r="118" spans="1:7" ht="16.3" customHeight="1">
      <c r="A118" s="552" t="s">
        <v>3694</v>
      </c>
      <c r="B118" s="699" t="s">
        <v>3696</v>
      </c>
      <c r="C118" s="539" t="s">
        <v>6117</v>
      </c>
      <c r="D118" s="550" t="s">
        <v>2805</v>
      </c>
      <c r="E118" s="552">
        <v>0</v>
      </c>
      <c r="F118" s="755"/>
      <c r="G118" s="756"/>
    </row>
    <row r="119" spans="1:7" ht="16.3" customHeight="1">
      <c r="A119" s="552" t="s">
        <v>3694</v>
      </c>
      <c r="B119" s="699" t="s">
        <v>3696</v>
      </c>
      <c r="C119" s="539" t="s">
        <v>2783</v>
      </c>
      <c r="D119" s="550" t="s">
        <v>2805</v>
      </c>
      <c r="E119" s="552">
        <v>0</v>
      </c>
      <c r="F119" s="755"/>
      <c r="G119" s="756"/>
    </row>
    <row r="120" spans="1:7" ht="16.3" customHeight="1">
      <c r="A120" s="552" t="s">
        <v>3694</v>
      </c>
      <c r="B120" s="696" t="s">
        <v>3697</v>
      </c>
      <c r="C120" s="539" t="s">
        <v>2783</v>
      </c>
      <c r="D120" s="550" t="s">
        <v>2875</v>
      </c>
      <c r="E120" s="552">
        <v>0</v>
      </c>
      <c r="F120" s="755"/>
      <c r="G120" s="756"/>
    </row>
    <row r="121" spans="1:7" ht="16.3" customHeight="1">
      <c r="A121" s="552" t="s">
        <v>3694</v>
      </c>
      <c r="B121" s="696" t="s">
        <v>3697</v>
      </c>
      <c r="C121" s="539" t="s">
        <v>6118</v>
      </c>
      <c r="D121" s="550" t="s">
        <v>2875</v>
      </c>
      <c r="E121" s="552">
        <v>0</v>
      </c>
      <c r="F121" s="755"/>
      <c r="G121" s="756"/>
    </row>
    <row r="122" spans="1:7" ht="16.3" customHeight="1">
      <c r="A122" s="552" t="s">
        <v>3694</v>
      </c>
      <c r="B122" s="696" t="s">
        <v>3697</v>
      </c>
      <c r="C122" s="539" t="s">
        <v>2783</v>
      </c>
      <c r="D122" s="550" t="s">
        <v>2875</v>
      </c>
      <c r="E122" s="552">
        <v>0</v>
      </c>
      <c r="F122" s="755"/>
      <c r="G122" s="756"/>
    </row>
    <row r="123" spans="1:7" ht="16.3" customHeight="1">
      <c r="A123" s="552" t="s">
        <v>3694</v>
      </c>
      <c r="B123" s="695" t="s">
        <v>3698</v>
      </c>
      <c r="C123" s="539" t="s">
        <v>6119</v>
      </c>
      <c r="D123" s="550" t="s">
        <v>2998</v>
      </c>
      <c r="E123" s="552">
        <v>0</v>
      </c>
      <c r="F123" s="755"/>
      <c r="G123" s="755"/>
    </row>
    <row r="124" spans="1:7" ht="16.3" customHeight="1">
      <c r="A124" s="552" t="s">
        <v>3694</v>
      </c>
      <c r="B124" s="695" t="s">
        <v>3698</v>
      </c>
      <c r="C124" s="539" t="s">
        <v>2783</v>
      </c>
      <c r="D124" s="550" t="s">
        <v>2998</v>
      </c>
      <c r="E124" s="552">
        <v>0</v>
      </c>
      <c r="F124" s="755"/>
      <c r="G124" s="756"/>
    </row>
    <row r="125" spans="1:7" ht="16.3" customHeight="1">
      <c r="A125" s="552" t="s">
        <v>3694</v>
      </c>
      <c r="B125" s="695" t="s">
        <v>3698</v>
      </c>
      <c r="C125" s="539" t="s">
        <v>2783</v>
      </c>
      <c r="D125" s="550" t="s">
        <v>2998</v>
      </c>
      <c r="E125" s="552">
        <v>0</v>
      </c>
      <c r="F125" s="755"/>
      <c r="G125" s="756"/>
    </row>
    <row r="126" spans="1:7" ht="16.3" customHeight="1">
      <c r="A126" s="552" t="s">
        <v>3694</v>
      </c>
      <c r="B126" s="695" t="s">
        <v>3698</v>
      </c>
      <c r="C126" s="539" t="s">
        <v>2783</v>
      </c>
      <c r="D126" s="550" t="s">
        <v>2998</v>
      </c>
      <c r="E126" s="552">
        <v>0</v>
      </c>
      <c r="F126" s="755"/>
      <c r="G126" s="756"/>
    </row>
    <row r="127" spans="1:7" ht="16.3" customHeight="1">
      <c r="A127" s="552" t="s">
        <v>3694</v>
      </c>
      <c r="B127" s="697" t="s">
        <v>3699</v>
      </c>
      <c r="C127" s="539" t="s">
        <v>8995</v>
      </c>
      <c r="D127" s="550" t="s">
        <v>2809</v>
      </c>
      <c r="E127" s="552">
        <v>0</v>
      </c>
      <c r="F127" s="755"/>
      <c r="G127" s="756"/>
    </row>
    <row r="128" spans="1:7" ht="16.3" customHeight="1">
      <c r="A128" s="552" t="s">
        <v>3694</v>
      </c>
      <c r="B128" s="697" t="s">
        <v>3699</v>
      </c>
      <c r="C128" s="539" t="s">
        <v>2783</v>
      </c>
      <c r="D128" s="550" t="s">
        <v>2809</v>
      </c>
      <c r="E128" s="552">
        <v>0</v>
      </c>
      <c r="F128" s="755"/>
      <c r="G128" s="756"/>
    </row>
    <row r="129" spans="1:7" ht="16.3" customHeight="1">
      <c r="A129" s="552" t="s">
        <v>3694</v>
      </c>
      <c r="B129" s="697" t="s">
        <v>3699</v>
      </c>
      <c r="C129" s="539" t="s">
        <v>2783</v>
      </c>
      <c r="D129" s="550" t="s">
        <v>2809</v>
      </c>
      <c r="E129" s="552">
        <v>0</v>
      </c>
      <c r="F129" s="755"/>
      <c r="G129" s="756"/>
    </row>
    <row r="130" spans="1:7" ht="16.3" customHeight="1">
      <c r="A130" s="552" t="s">
        <v>3694</v>
      </c>
      <c r="B130" s="697" t="s">
        <v>3699</v>
      </c>
      <c r="C130" s="539" t="s">
        <v>2783</v>
      </c>
      <c r="D130" s="550" t="s">
        <v>2809</v>
      </c>
      <c r="E130" s="552">
        <v>0</v>
      </c>
      <c r="F130" s="755"/>
      <c r="G130" s="756"/>
    </row>
    <row r="131" spans="1:7" ht="16.3" customHeight="1">
      <c r="A131" s="552" t="s">
        <v>3694</v>
      </c>
      <c r="B131" s="697" t="s">
        <v>3699</v>
      </c>
      <c r="C131" s="539" t="s">
        <v>2783</v>
      </c>
      <c r="D131" s="550" t="s">
        <v>2809</v>
      </c>
      <c r="E131" s="552">
        <v>0</v>
      </c>
      <c r="F131" s="755"/>
      <c r="G131" s="756"/>
    </row>
    <row r="132" spans="1:7" ht="16.3" customHeight="1">
      <c r="A132" s="552" t="s">
        <v>3694</v>
      </c>
      <c r="B132" s="694" t="s">
        <v>3700</v>
      </c>
      <c r="C132" s="539" t="s">
        <v>2783</v>
      </c>
      <c r="D132" s="550" t="s">
        <v>2971</v>
      </c>
      <c r="E132" s="552">
        <v>0</v>
      </c>
      <c r="F132" s="755"/>
      <c r="G132" s="756"/>
    </row>
    <row r="133" spans="1:7" ht="16.3" customHeight="1">
      <c r="A133" s="552" t="s">
        <v>3694</v>
      </c>
      <c r="B133" s="694" t="s">
        <v>3700</v>
      </c>
      <c r="C133" s="539" t="s">
        <v>2783</v>
      </c>
      <c r="D133" s="550" t="s">
        <v>2971</v>
      </c>
      <c r="E133" s="552">
        <v>0</v>
      </c>
      <c r="F133" s="755"/>
      <c r="G133" s="756"/>
    </row>
    <row r="134" spans="1:7" ht="16.3" customHeight="1">
      <c r="A134" s="552" t="s">
        <v>3694</v>
      </c>
      <c r="B134" s="700" t="s">
        <v>6055</v>
      </c>
      <c r="C134" s="539" t="s">
        <v>2783</v>
      </c>
      <c r="D134" s="550" t="s">
        <v>6697</v>
      </c>
      <c r="E134" s="552">
        <v>0</v>
      </c>
      <c r="F134" s="755"/>
      <c r="G134" s="756"/>
    </row>
    <row r="135" spans="1:7" ht="16.3" customHeight="1">
      <c r="A135" s="552" t="s">
        <v>3694</v>
      </c>
      <c r="B135" s="698" t="s">
        <v>3695</v>
      </c>
      <c r="C135" s="539" t="s">
        <v>2783</v>
      </c>
      <c r="D135" s="550" t="s">
        <v>2802</v>
      </c>
      <c r="E135" s="552">
        <v>0</v>
      </c>
      <c r="F135" s="755"/>
      <c r="G135" s="756"/>
    </row>
    <row r="136" spans="1:7" ht="16.3" customHeight="1">
      <c r="A136" s="552" t="s">
        <v>3694</v>
      </c>
      <c r="B136" s="698" t="s">
        <v>3695</v>
      </c>
      <c r="C136" s="539" t="s">
        <v>6121</v>
      </c>
      <c r="D136" s="550" t="s">
        <v>2802</v>
      </c>
      <c r="E136" s="552">
        <v>0</v>
      </c>
      <c r="F136" s="755"/>
      <c r="G136" s="756"/>
    </row>
    <row r="137" spans="1:7" ht="16.3" customHeight="1">
      <c r="A137" s="552" t="s">
        <v>3694</v>
      </c>
      <c r="B137" s="699" t="s">
        <v>3696</v>
      </c>
      <c r="C137" s="539" t="s">
        <v>6122</v>
      </c>
      <c r="D137" s="550" t="s">
        <v>2805</v>
      </c>
      <c r="E137" s="552">
        <v>0</v>
      </c>
      <c r="F137" s="755"/>
      <c r="G137" s="756"/>
    </row>
    <row r="138" spans="1:7" ht="16.3" customHeight="1">
      <c r="A138" s="552" t="s">
        <v>3694</v>
      </c>
      <c r="B138" s="699" t="s">
        <v>3696</v>
      </c>
      <c r="C138" s="539" t="s">
        <v>2783</v>
      </c>
      <c r="D138" s="550" t="s">
        <v>2805</v>
      </c>
      <c r="E138" s="552">
        <v>0</v>
      </c>
      <c r="F138" s="755"/>
      <c r="G138" s="756"/>
    </row>
    <row r="139" spans="1:7" ht="16.3" customHeight="1">
      <c r="A139" s="552" t="s">
        <v>3694</v>
      </c>
      <c r="B139" s="696" t="s">
        <v>3697</v>
      </c>
      <c r="C139" s="539" t="s">
        <v>2783</v>
      </c>
      <c r="D139" s="550" t="s">
        <v>2875</v>
      </c>
      <c r="E139" s="552">
        <v>0</v>
      </c>
      <c r="F139" s="755"/>
      <c r="G139" s="756"/>
    </row>
    <row r="140" spans="1:7" ht="16.3" customHeight="1">
      <c r="A140" s="552" t="s">
        <v>3694</v>
      </c>
      <c r="B140" s="696" t="s">
        <v>3697</v>
      </c>
      <c r="C140" s="539" t="s">
        <v>2783</v>
      </c>
      <c r="D140" s="550" t="s">
        <v>2875</v>
      </c>
      <c r="E140" s="552">
        <v>0</v>
      </c>
      <c r="F140" s="755"/>
      <c r="G140" s="756"/>
    </row>
    <row r="141" spans="1:7" ht="16.3" customHeight="1">
      <c r="A141" s="552" t="s">
        <v>3694</v>
      </c>
      <c r="B141" s="696" t="s">
        <v>3697</v>
      </c>
      <c r="C141" s="539" t="s">
        <v>6123</v>
      </c>
      <c r="D141" s="550" t="s">
        <v>2875</v>
      </c>
      <c r="E141" s="552">
        <v>0</v>
      </c>
      <c r="F141" s="755"/>
      <c r="G141" s="756"/>
    </row>
    <row r="142" spans="1:7" ht="16.3" customHeight="1">
      <c r="A142" s="552" t="s">
        <v>3694</v>
      </c>
      <c r="B142" s="695" t="s">
        <v>3698</v>
      </c>
      <c r="C142" s="539" t="s">
        <v>2783</v>
      </c>
      <c r="D142" s="550" t="s">
        <v>2998</v>
      </c>
      <c r="E142" s="552">
        <v>0</v>
      </c>
      <c r="F142" s="755"/>
      <c r="G142" s="756"/>
    </row>
    <row r="143" spans="1:7" ht="16.3" customHeight="1">
      <c r="A143" s="552" t="s">
        <v>3694</v>
      </c>
      <c r="B143" s="695" t="s">
        <v>3698</v>
      </c>
      <c r="C143" s="539" t="s">
        <v>6124</v>
      </c>
      <c r="D143" s="550" t="s">
        <v>2998</v>
      </c>
      <c r="E143" s="552">
        <v>0</v>
      </c>
      <c r="F143" s="755"/>
      <c r="G143" s="755"/>
    </row>
    <row r="144" spans="1:7" ht="16.3" customHeight="1">
      <c r="A144" s="552" t="s">
        <v>3694</v>
      </c>
      <c r="B144" s="695" t="s">
        <v>3698</v>
      </c>
      <c r="C144" s="539" t="s">
        <v>2783</v>
      </c>
      <c r="D144" s="550" t="s">
        <v>2998</v>
      </c>
      <c r="E144" s="552">
        <v>0</v>
      </c>
      <c r="F144" s="755"/>
      <c r="G144" s="755"/>
    </row>
    <row r="145" spans="1:7" ht="16.3" customHeight="1">
      <c r="A145" s="552" t="s">
        <v>3694</v>
      </c>
      <c r="B145" s="695" t="s">
        <v>3698</v>
      </c>
      <c r="C145" s="539" t="s">
        <v>2783</v>
      </c>
      <c r="D145" s="550" t="s">
        <v>2998</v>
      </c>
      <c r="E145" s="552">
        <v>0</v>
      </c>
      <c r="F145" s="755"/>
      <c r="G145" s="756"/>
    </row>
    <row r="146" spans="1:7" ht="16.3" customHeight="1">
      <c r="A146" s="552" t="s">
        <v>3694</v>
      </c>
      <c r="B146" s="697" t="s">
        <v>3699</v>
      </c>
      <c r="C146" s="539" t="s">
        <v>2783</v>
      </c>
      <c r="D146" s="550" t="s">
        <v>2809</v>
      </c>
      <c r="E146" s="552">
        <v>0</v>
      </c>
      <c r="F146" s="755"/>
      <c r="G146" s="756"/>
    </row>
    <row r="147" spans="1:7" ht="16.3" customHeight="1">
      <c r="A147" s="552" t="s">
        <v>3694</v>
      </c>
      <c r="B147" s="697" t="s">
        <v>3699</v>
      </c>
      <c r="C147" s="539" t="s">
        <v>6125</v>
      </c>
      <c r="D147" s="550" t="s">
        <v>2809</v>
      </c>
      <c r="E147" s="552">
        <v>0</v>
      </c>
      <c r="F147" s="755"/>
      <c r="G147" s="756"/>
    </row>
    <row r="148" spans="1:7" ht="16.3" customHeight="1">
      <c r="A148" s="552" t="s">
        <v>3694</v>
      </c>
      <c r="B148" s="697" t="s">
        <v>3699</v>
      </c>
      <c r="C148" s="539" t="s">
        <v>6126</v>
      </c>
      <c r="D148" s="550" t="s">
        <v>2809</v>
      </c>
      <c r="E148" s="552">
        <v>0</v>
      </c>
      <c r="F148" s="755"/>
      <c r="G148" s="756"/>
    </row>
    <row r="149" spans="1:7" ht="16.3" customHeight="1">
      <c r="A149" s="552" t="s">
        <v>3694</v>
      </c>
      <c r="B149" s="697" t="s">
        <v>3699</v>
      </c>
      <c r="C149" s="539" t="s">
        <v>2783</v>
      </c>
      <c r="D149" s="550" t="s">
        <v>2809</v>
      </c>
      <c r="E149" s="552">
        <v>0</v>
      </c>
      <c r="F149" s="755"/>
      <c r="G149" s="756"/>
    </row>
    <row r="150" spans="1:7" ht="16.3" customHeight="1">
      <c r="A150" s="552" t="s">
        <v>3694</v>
      </c>
      <c r="B150" s="697" t="s">
        <v>3699</v>
      </c>
      <c r="C150" s="539" t="s">
        <v>2783</v>
      </c>
      <c r="D150" s="550" t="s">
        <v>2809</v>
      </c>
      <c r="E150" s="552">
        <v>0</v>
      </c>
      <c r="F150" s="755"/>
      <c r="G150" s="755"/>
    </row>
    <row r="151" spans="1:7" ht="16.3" customHeight="1">
      <c r="A151" s="552" t="s">
        <v>3694</v>
      </c>
      <c r="B151" s="694" t="s">
        <v>3700</v>
      </c>
      <c r="C151" s="539" t="s">
        <v>2783</v>
      </c>
      <c r="D151" s="550" t="s">
        <v>2971</v>
      </c>
      <c r="E151" s="552">
        <v>0</v>
      </c>
      <c r="F151" s="755"/>
      <c r="G151" s="756"/>
    </row>
    <row r="152" spans="1:7" ht="16.3" customHeight="1">
      <c r="A152" s="552" t="s">
        <v>3694</v>
      </c>
      <c r="B152" s="694" t="s">
        <v>3700</v>
      </c>
      <c r="C152" s="539" t="s">
        <v>6127</v>
      </c>
      <c r="D152" s="550" t="s">
        <v>2971</v>
      </c>
      <c r="E152" s="552">
        <v>0</v>
      </c>
      <c r="F152" s="755"/>
      <c r="G152" s="756"/>
    </row>
    <row r="153" spans="1:7" ht="16.3" customHeight="1">
      <c r="A153" s="552" t="s">
        <v>3694</v>
      </c>
      <c r="B153" s="700" t="s">
        <v>6055</v>
      </c>
      <c r="C153" s="539" t="s">
        <v>2783</v>
      </c>
      <c r="D153" s="550" t="s">
        <v>6697</v>
      </c>
      <c r="E153" s="552">
        <v>0</v>
      </c>
      <c r="F153" s="755"/>
      <c r="G153" s="756"/>
    </row>
    <row r="154" spans="1:7" ht="16.3" customHeight="1">
      <c r="A154" s="552" t="s">
        <v>3694</v>
      </c>
      <c r="B154" s="698" t="s">
        <v>3695</v>
      </c>
      <c r="C154" s="539" t="s">
        <v>6128</v>
      </c>
      <c r="D154" s="550" t="s">
        <v>2802</v>
      </c>
      <c r="E154" s="552">
        <v>0</v>
      </c>
      <c r="F154" s="755"/>
      <c r="G154" s="756"/>
    </row>
    <row r="155" spans="1:7" ht="16.3" customHeight="1">
      <c r="A155" s="552" t="s">
        <v>3694</v>
      </c>
      <c r="B155" s="698" t="s">
        <v>3695</v>
      </c>
      <c r="C155" s="539" t="s">
        <v>2783</v>
      </c>
      <c r="D155" s="550" t="s">
        <v>2802</v>
      </c>
      <c r="E155" s="552">
        <v>0</v>
      </c>
      <c r="F155" s="755"/>
      <c r="G155" s="756"/>
    </row>
    <row r="156" spans="1:7" ht="16.3" customHeight="1">
      <c r="A156" s="552" t="s">
        <v>3694</v>
      </c>
      <c r="B156" s="699" t="s">
        <v>3696</v>
      </c>
      <c r="C156" s="539" t="s">
        <v>6129</v>
      </c>
      <c r="D156" s="550" t="s">
        <v>2805</v>
      </c>
      <c r="E156" s="552">
        <v>0</v>
      </c>
      <c r="F156" s="755"/>
      <c r="G156" s="756"/>
    </row>
    <row r="157" spans="1:7" ht="16.3" customHeight="1">
      <c r="A157" s="552" t="s">
        <v>3694</v>
      </c>
      <c r="B157" s="699" t="s">
        <v>3696</v>
      </c>
      <c r="C157" s="539" t="s">
        <v>2783</v>
      </c>
      <c r="D157" s="550" t="s">
        <v>2805</v>
      </c>
      <c r="E157" s="552">
        <v>0</v>
      </c>
      <c r="F157" s="755"/>
      <c r="G157" s="756"/>
    </row>
    <row r="158" spans="1:7" ht="16.3" customHeight="1">
      <c r="A158" s="552" t="s">
        <v>3694</v>
      </c>
      <c r="B158" s="696" t="s">
        <v>3697</v>
      </c>
      <c r="C158" s="539" t="s">
        <v>2783</v>
      </c>
      <c r="D158" s="550" t="s">
        <v>2875</v>
      </c>
      <c r="E158" s="552">
        <v>0</v>
      </c>
      <c r="F158" s="755"/>
      <c r="G158" s="756"/>
    </row>
    <row r="159" spans="1:7" ht="16.3" customHeight="1">
      <c r="A159" s="552" t="s">
        <v>3694</v>
      </c>
      <c r="B159" s="696" t="s">
        <v>3697</v>
      </c>
      <c r="C159" s="539" t="s">
        <v>6130</v>
      </c>
      <c r="D159" s="550" t="s">
        <v>2875</v>
      </c>
      <c r="E159" s="552">
        <v>0</v>
      </c>
      <c r="F159" s="755"/>
      <c r="G159" s="756"/>
    </row>
    <row r="160" spans="1:7" ht="16.3" customHeight="1">
      <c r="A160" s="552" t="s">
        <v>3694</v>
      </c>
      <c r="B160" s="696" t="s">
        <v>3697</v>
      </c>
      <c r="C160" s="539" t="s">
        <v>2783</v>
      </c>
      <c r="D160" s="550" t="s">
        <v>2875</v>
      </c>
      <c r="E160" s="552">
        <v>0</v>
      </c>
      <c r="F160" s="755"/>
      <c r="G160" s="756"/>
    </row>
    <row r="161" spans="1:7" ht="16.3" customHeight="1">
      <c r="A161" s="552" t="s">
        <v>3694</v>
      </c>
      <c r="B161" s="695" t="s">
        <v>3698</v>
      </c>
      <c r="C161" s="539" t="s">
        <v>2783</v>
      </c>
      <c r="D161" s="550" t="s">
        <v>2998</v>
      </c>
      <c r="E161" s="552">
        <v>0</v>
      </c>
      <c r="F161" s="755"/>
      <c r="G161" s="756"/>
    </row>
    <row r="162" spans="1:7" ht="16.3" customHeight="1">
      <c r="A162" s="552" t="s">
        <v>3694</v>
      </c>
      <c r="B162" s="695" t="s">
        <v>3698</v>
      </c>
      <c r="C162" s="539" t="s">
        <v>6131</v>
      </c>
      <c r="D162" s="550" t="s">
        <v>2998</v>
      </c>
      <c r="E162" s="552">
        <v>0</v>
      </c>
      <c r="F162" s="755"/>
      <c r="G162" s="756"/>
    </row>
    <row r="163" spans="1:7" ht="16.3" customHeight="1">
      <c r="A163" s="552" t="s">
        <v>3694</v>
      </c>
      <c r="B163" s="695" t="s">
        <v>3698</v>
      </c>
      <c r="C163" s="539" t="s">
        <v>2783</v>
      </c>
      <c r="D163" s="550" t="s">
        <v>2998</v>
      </c>
      <c r="E163" s="552">
        <v>0</v>
      </c>
      <c r="F163" s="755"/>
      <c r="G163" s="756"/>
    </row>
    <row r="164" spans="1:7" ht="16.3" customHeight="1">
      <c r="A164" s="552" t="s">
        <v>3694</v>
      </c>
      <c r="B164" s="695" t="s">
        <v>3698</v>
      </c>
      <c r="C164" s="539" t="s">
        <v>6132</v>
      </c>
      <c r="D164" s="550" t="s">
        <v>2998</v>
      </c>
      <c r="E164" s="552">
        <v>0</v>
      </c>
      <c r="F164" s="755"/>
      <c r="G164" s="756"/>
    </row>
    <row r="165" spans="1:7" ht="16.3" customHeight="1">
      <c r="A165" s="552" t="s">
        <v>3694</v>
      </c>
      <c r="B165" s="697" t="s">
        <v>3699</v>
      </c>
      <c r="C165" s="539" t="s">
        <v>2783</v>
      </c>
      <c r="D165" s="550" t="s">
        <v>2809</v>
      </c>
      <c r="E165" s="552">
        <v>0</v>
      </c>
      <c r="F165" s="755"/>
      <c r="G165" s="756"/>
    </row>
    <row r="166" spans="1:7" ht="16.3" customHeight="1">
      <c r="A166" s="552" t="s">
        <v>3694</v>
      </c>
      <c r="B166" s="697" t="s">
        <v>3699</v>
      </c>
      <c r="C166" s="539" t="s">
        <v>2783</v>
      </c>
      <c r="D166" s="550" t="s">
        <v>2809</v>
      </c>
      <c r="E166" s="552">
        <v>0</v>
      </c>
      <c r="F166" s="755"/>
      <c r="G166" s="756"/>
    </row>
    <row r="167" spans="1:7" ht="16.3" customHeight="1">
      <c r="A167" s="552" t="s">
        <v>3694</v>
      </c>
      <c r="B167" s="697" t="s">
        <v>3699</v>
      </c>
      <c r="C167" s="539" t="s">
        <v>2783</v>
      </c>
      <c r="D167" s="550" t="s">
        <v>2809</v>
      </c>
      <c r="E167" s="552">
        <v>0</v>
      </c>
      <c r="F167" s="755"/>
      <c r="G167" s="756"/>
    </row>
    <row r="168" spans="1:7" ht="16.3" customHeight="1">
      <c r="A168" s="552" t="s">
        <v>3694</v>
      </c>
      <c r="B168" s="697" t="s">
        <v>3699</v>
      </c>
      <c r="C168" s="539" t="s">
        <v>2783</v>
      </c>
      <c r="D168" s="550" t="s">
        <v>2809</v>
      </c>
      <c r="E168" s="552">
        <v>0</v>
      </c>
      <c r="F168" s="755"/>
      <c r="G168" s="756"/>
    </row>
    <row r="169" spans="1:7" ht="16.3" customHeight="1">
      <c r="A169" s="552" t="s">
        <v>3694</v>
      </c>
      <c r="B169" s="697" t="s">
        <v>3699</v>
      </c>
      <c r="C169" s="539" t="s">
        <v>6133</v>
      </c>
      <c r="D169" s="550" t="s">
        <v>2809</v>
      </c>
      <c r="E169" s="552">
        <v>0</v>
      </c>
      <c r="F169" s="755"/>
      <c r="G169" s="756"/>
    </row>
    <row r="170" spans="1:7" ht="16.3" customHeight="1">
      <c r="A170" s="552" t="s">
        <v>3694</v>
      </c>
      <c r="B170" s="694" t="s">
        <v>3700</v>
      </c>
      <c r="C170" s="539" t="s">
        <v>2783</v>
      </c>
      <c r="D170" s="550" t="s">
        <v>2971</v>
      </c>
      <c r="E170" s="552">
        <v>0</v>
      </c>
      <c r="F170" s="755"/>
      <c r="G170" s="756"/>
    </row>
    <row r="171" spans="1:7" ht="16.3" customHeight="1">
      <c r="A171" s="552" t="s">
        <v>3694</v>
      </c>
      <c r="B171" s="694" t="s">
        <v>3700</v>
      </c>
      <c r="C171" s="539" t="s">
        <v>2783</v>
      </c>
      <c r="D171" s="550" t="s">
        <v>2971</v>
      </c>
      <c r="E171" s="552">
        <v>0</v>
      </c>
      <c r="F171" s="755"/>
      <c r="G171" s="756"/>
    </row>
    <row r="172" spans="1:7" ht="16.3" customHeight="1">
      <c r="A172" s="552" t="s">
        <v>3694</v>
      </c>
      <c r="B172" s="700" t="s">
        <v>6055</v>
      </c>
      <c r="C172" s="539" t="s">
        <v>2783</v>
      </c>
      <c r="D172" s="550" t="s">
        <v>6697</v>
      </c>
      <c r="E172" s="552">
        <v>0</v>
      </c>
      <c r="F172" s="755"/>
      <c r="G172" s="755"/>
    </row>
    <row r="173" spans="1:7" ht="16.3" customHeight="1">
      <c r="A173" s="552" t="s">
        <v>3694</v>
      </c>
      <c r="B173" s="698" t="s">
        <v>3695</v>
      </c>
      <c r="C173" s="539" t="s">
        <v>6134</v>
      </c>
      <c r="D173" s="550" t="s">
        <v>2802</v>
      </c>
      <c r="E173" s="552">
        <v>0</v>
      </c>
      <c r="F173" s="755"/>
      <c r="G173" s="755"/>
    </row>
    <row r="174" spans="1:7" ht="16.3" customHeight="1">
      <c r="A174" s="552" t="s">
        <v>3694</v>
      </c>
      <c r="B174" s="698" t="s">
        <v>3695</v>
      </c>
      <c r="C174" s="539" t="s">
        <v>2783</v>
      </c>
      <c r="D174" s="550" t="s">
        <v>2802</v>
      </c>
      <c r="E174" s="552">
        <v>0</v>
      </c>
      <c r="F174" s="755"/>
      <c r="G174" s="756"/>
    </row>
    <row r="175" spans="1:7" ht="16.3" customHeight="1">
      <c r="A175" s="552" t="s">
        <v>3694</v>
      </c>
      <c r="B175" s="699" t="s">
        <v>3696</v>
      </c>
      <c r="C175" s="539" t="s">
        <v>6135</v>
      </c>
      <c r="D175" s="550" t="s">
        <v>2805</v>
      </c>
      <c r="E175" s="552">
        <v>0</v>
      </c>
      <c r="F175" s="755"/>
      <c r="G175" s="755"/>
    </row>
    <row r="176" spans="1:7" ht="16.3" customHeight="1">
      <c r="A176" s="552" t="s">
        <v>3694</v>
      </c>
      <c r="B176" s="699" t="s">
        <v>3696</v>
      </c>
      <c r="C176" s="539" t="s">
        <v>2783</v>
      </c>
      <c r="D176" s="550" t="s">
        <v>2805</v>
      </c>
      <c r="E176" s="552">
        <v>0</v>
      </c>
      <c r="F176" s="755"/>
      <c r="G176" s="756"/>
    </row>
    <row r="177" spans="1:7" ht="16.3" customHeight="1">
      <c r="A177" s="552" t="s">
        <v>3694</v>
      </c>
      <c r="B177" s="696" t="s">
        <v>3697</v>
      </c>
      <c r="C177" s="539" t="s">
        <v>6136</v>
      </c>
      <c r="D177" s="550" t="s">
        <v>2875</v>
      </c>
      <c r="E177" s="552">
        <v>0</v>
      </c>
      <c r="F177" s="755"/>
      <c r="G177" s="756"/>
    </row>
    <row r="178" spans="1:7" ht="16.3" customHeight="1">
      <c r="A178" s="552" t="s">
        <v>3694</v>
      </c>
      <c r="B178" s="696" t="s">
        <v>3697</v>
      </c>
      <c r="C178" s="539" t="s">
        <v>6137</v>
      </c>
      <c r="D178" s="550" t="s">
        <v>2875</v>
      </c>
      <c r="E178" s="552">
        <v>0</v>
      </c>
      <c r="F178" s="755"/>
      <c r="G178" s="756"/>
    </row>
    <row r="179" spans="1:7" ht="16.3" customHeight="1">
      <c r="A179" s="552" t="s">
        <v>3694</v>
      </c>
      <c r="B179" s="696" t="s">
        <v>3697</v>
      </c>
      <c r="C179" s="539" t="s">
        <v>2783</v>
      </c>
      <c r="D179" s="550" t="s">
        <v>2875</v>
      </c>
      <c r="E179" s="552">
        <v>0</v>
      </c>
      <c r="F179" s="755"/>
      <c r="G179" s="756"/>
    </row>
    <row r="180" spans="1:7" ht="16.3" customHeight="1">
      <c r="A180" s="552" t="s">
        <v>3694</v>
      </c>
      <c r="B180" s="695" t="s">
        <v>3698</v>
      </c>
      <c r="C180" s="539" t="s">
        <v>7124</v>
      </c>
      <c r="D180" s="550" t="s">
        <v>2998</v>
      </c>
      <c r="E180" s="552">
        <v>0</v>
      </c>
      <c r="F180" s="755"/>
      <c r="G180" s="756"/>
    </row>
    <row r="181" spans="1:7" ht="16.3" customHeight="1">
      <c r="A181" s="552" t="s">
        <v>3694</v>
      </c>
      <c r="B181" s="695" t="s">
        <v>3698</v>
      </c>
      <c r="C181" s="539" t="s">
        <v>2783</v>
      </c>
      <c r="D181" s="550" t="s">
        <v>2998</v>
      </c>
      <c r="E181" s="552">
        <v>0</v>
      </c>
      <c r="F181" s="755"/>
      <c r="G181" s="756"/>
    </row>
    <row r="182" spans="1:7" ht="16.3" customHeight="1">
      <c r="A182" s="552" t="s">
        <v>3694</v>
      </c>
      <c r="B182" s="695" t="s">
        <v>3698</v>
      </c>
      <c r="C182" s="539" t="s">
        <v>2783</v>
      </c>
      <c r="D182" s="550" t="s">
        <v>2998</v>
      </c>
      <c r="E182" s="552">
        <v>0</v>
      </c>
      <c r="F182" s="755"/>
      <c r="G182" s="756"/>
    </row>
    <row r="183" spans="1:7" ht="16.3" customHeight="1">
      <c r="A183" s="552" t="s">
        <v>3694</v>
      </c>
      <c r="B183" s="695" t="s">
        <v>3698</v>
      </c>
      <c r="C183" s="539" t="s">
        <v>2783</v>
      </c>
      <c r="D183" s="550" t="s">
        <v>2998</v>
      </c>
      <c r="E183" s="552">
        <v>0</v>
      </c>
      <c r="F183" s="755"/>
      <c r="G183" s="756"/>
    </row>
    <row r="184" spans="1:7" ht="16.3" customHeight="1">
      <c r="A184" s="552" t="s">
        <v>3694</v>
      </c>
      <c r="B184" s="697" t="s">
        <v>3699</v>
      </c>
      <c r="C184" s="539" t="s">
        <v>6138</v>
      </c>
      <c r="D184" s="550" t="s">
        <v>2809</v>
      </c>
      <c r="E184" s="552">
        <v>0</v>
      </c>
      <c r="F184" s="755"/>
      <c r="G184" s="756"/>
    </row>
    <row r="185" spans="1:7" ht="16.3" customHeight="1">
      <c r="A185" s="552" t="s">
        <v>3694</v>
      </c>
      <c r="B185" s="697" t="s">
        <v>3699</v>
      </c>
      <c r="C185" s="539" t="s">
        <v>7131</v>
      </c>
      <c r="D185" s="550" t="s">
        <v>2809</v>
      </c>
      <c r="E185" s="552">
        <v>0</v>
      </c>
      <c r="F185" s="755"/>
      <c r="G185" s="755"/>
    </row>
    <row r="186" spans="1:7" ht="16.3" customHeight="1">
      <c r="A186" s="552" t="s">
        <v>3694</v>
      </c>
      <c r="B186" s="697" t="s">
        <v>3699</v>
      </c>
      <c r="C186" s="539" t="s">
        <v>8996</v>
      </c>
      <c r="D186" s="550" t="s">
        <v>2809</v>
      </c>
      <c r="E186" s="552">
        <v>0</v>
      </c>
      <c r="F186" s="755"/>
      <c r="G186" s="755"/>
    </row>
    <row r="187" spans="1:7" ht="16.3" customHeight="1">
      <c r="A187" s="552" t="s">
        <v>3694</v>
      </c>
      <c r="B187" s="697" t="s">
        <v>3699</v>
      </c>
      <c r="C187" s="539" t="s">
        <v>6140</v>
      </c>
      <c r="D187" s="550" t="s">
        <v>2809</v>
      </c>
      <c r="E187" s="552">
        <v>0</v>
      </c>
      <c r="F187" s="755"/>
      <c r="G187" s="755"/>
    </row>
    <row r="188" spans="1:7" ht="16.3" customHeight="1">
      <c r="A188" s="552" t="s">
        <v>3694</v>
      </c>
      <c r="B188" s="697" t="s">
        <v>3699</v>
      </c>
      <c r="C188" s="539" t="s">
        <v>2783</v>
      </c>
      <c r="D188" s="550" t="s">
        <v>2809</v>
      </c>
      <c r="E188" s="552">
        <v>0</v>
      </c>
      <c r="F188" s="755"/>
      <c r="G188" s="756"/>
    </row>
    <row r="189" spans="1:7" ht="16.3" customHeight="1">
      <c r="A189" s="552" t="s">
        <v>3694</v>
      </c>
      <c r="B189" s="694" t="s">
        <v>3700</v>
      </c>
      <c r="C189" s="539" t="s">
        <v>6141</v>
      </c>
      <c r="D189" s="550" t="s">
        <v>2971</v>
      </c>
      <c r="E189" s="552">
        <v>0</v>
      </c>
      <c r="F189" s="755"/>
      <c r="G189" s="756"/>
    </row>
    <row r="190" spans="1:7" ht="16.3" customHeight="1">
      <c r="A190" s="552" t="s">
        <v>3694</v>
      </c>
      <c r="B190" s="694" t="s">
        <v>3700</v>
      </c>
      <c r="C190" s="539" t="s">
        <v>2783</v>
      </c>
      <c r="D190" s="550" t="s">
        <v>2971</v>
      </c>
      <c r="E190" s="552">
        <v>0</v>
      </c>
      <c r="F190" s="755"/>
      <c r="G190" s="756"/>
    </row>
    <row r="191" spans="1:7" ht="16.3" customHeight="1">
      <c r="A191" s="552" t="s">
        <v>3694</v>
      </c>
      <c r="B191" s="700" t="s">
        <v>6055</v>
      </c>
      <c r="C191" s="539" t="s">
        <v>2783</v>
      </c>
      <c r="D191" s="550" t="s">
        <v>6697</v>
      </c>
      <c r="E191" s="552">
        <v>0</v>
      </c>
      <c r="F191" s="755"/>
      <c r="G191" s="756"/>
    </row>
    <row r="192" spans="1:7" ht="16.3" customHeight="1">
      <c r="A192" s="552" t="s">
        <v>3694</v>
      </c>
      <c r="B192" s="698" t="s">
        <v>3695</v>
      </c>
      <c r="C192" s="539" t="s">
        <v>6142</v>
      </c>
      <c r="D192" s="550" t="s">
        <v>2802</v>
      </c>
      <c r="E192" s="552">
        <v>0</v>
      </c>
      <c r="F192" s="755"/>
      <c r="G192" s="756"/>
    </row>
    <row r="193" spans="1:7" ht="16.3" customHeight="1">
      <c r="A193" s="552" t="s">
        <v>3694</v>
      </c>
      <c r="B193" s="698" t="s">
        <v>3695</v>
      </c>
      <c r="C193" s="539" t="s">
        <v>2783</v>
      </c>
      <c r="D193" s="550" t="s">
        <v>2802</v>
      </c>
      <c r="E193" s="552">
        <v>0</v>
      </c>
      <c r="F193" s="755"/>
      <c r="G193" s="756"/>
    </row>
    <row r="194" spans="1:7" ht="16.3" customHeight="1">
      <c r="A194" s="552" t="s">
        <v>3694</v>
      </c>
      <c r="B194" s="699" t="s">
        <v>3696</v>
      </c>
      <c r="C194" s="539" t="s">
        <v>2783</v>
      </c>
      <c r="D194" s="550" t="s">
        <v>2805</v>
      </c>
      <c r="E194" s="552">
        <v>0</v>
      </c>
      <c r="F194" s="755"/>
      <c r="G194" s="756"/>
    </row>
    <row r="195" spans="1:7" ht="16.3" customHeight="1">
      <c r="A195" s="552" t="s">
        <v>3694</v>
      </c>
      <c r="B195" s="699" t="s">
        <v>3696</v>
      </c>
      <c r="C195" s="539" t="s">
        <v>2783</v>
      </c>
      <c r="D195" s="550" t="s">
        <v>2805</v>
      </c>
      <c r="E195" s="552">
        <v>0</v>
      </c>
      <c r="F195" s="755"/>
      <c r="G195" s="756"/>
    </row>
    <row r="196" spans="1:7" ht="16.3" customHeight="1">
      <c r="A196" s="552" t="s">
        <v>3694</v>
      </c>
      <c r="B196" s="696" t="s">
        <v>3697</v>
      </c>
      <c r="C196" s="539" t="s">
        <v>6143</v>
      </c>
      <c r="D196" s="550" t="s">
        <v>2875</v>
      </c>
      <c r="E196" s="552">
        <v>0</v>
      </c>
      <c r="F196" s="755"/>
      <c r="G196" s="756"/>
    </row>
    <row r="197" spans="1:7" ht="16.3" customHeight="1">
      <c r="A197" s="552" t="s">
        <v>3694</v>
      </c>
      <c r="B197" s="696" t="s">
        <v>3697</v>
      </c>
      <c r="C197" s="539" t="s">
        <v>2783</v>
      </c>
      <c r="D197" s="550" t="s">
        <v>2875</v>
      </c>
      <c r="E197" s="552">
        <v>0</v>
      </c>
      <c r="F197" s="755"/>
      <c r="G197" s="756"/>
    </row>
    <row r="198" spans="1:7" ht="16.3" customHeight="1">
      <c r="A198" s="552" t="s">
        <v>3694</v>
      </c>
      <c r="B198" s="696" t="s">
        <v>3697</v>
      </c>
      <c r="C198" s="539" t="s">
        <v>2783</v>
      </c>
      <c r="D198" s="550" t="s">
        <v>2875</v>
      </c>
      <c r="E198" s="552">
        <v>0</v>
      </c>
      <c r="F198" s="755"/>
      <c r="G198" s="756"/>
    </row>
    <row r="199" spans="1:7" ht="16.3" customHeight="1">
      <c r="A199" s="552" t="s">
        <v>3694</v>
      </c>
      <c r="B199" s="695" t="s">
        <v>3698</v>
      </c>
      <c r="C199" s="539" t="s">
        <v>6144</v>
      </c>
      <c r="D199" s="550" t="s">
        <v>2998</v>
      </c>
      <c r="E199" s="552">
        <v>0</v>
      </c>
      <c r="F199" s="755"/>
      <c r="G199" s="756"/>
    </row>
    <row r="200" spans="1:7" ht="16.3" customHeight="1">
      <c r="A200" s="552" t="s">
        <v>3694</v>
      </c>
      <c r="B200" s="695" t="s">
        <v>3698</v>
      </c>
      <c r="C200" s="539" t="s">
        <v>2783</v>
      </c>
      <c r="D200" s="550" t="s">
        <v>2998</v>
      </c>
      <c r="E200" s="552">
        <v>0</v>
      </c>
      <c r="F200" s="755"/>
      <c r="G200" s="756"/>
    </row>
    <row r="201" spans="1:7" ht="16.3" customHeight="1">
      <c r="A201" s="552" t="s">
        <v>3694</v>
      </c>
      <c r="B201" s="695" t="s">
        <v>3698</v>
      </c>
      <c r="C201" s="539" t="s">
        <v>2783</v>
      </c>
      <c r="D201" s="550" t="s">
        <v>2998</v>
      </c>
      <c r="E201" s="552">
        <v>0</v>
      </c>
      <c r="F201" s="755"/>
      <c r="G201" s="756"/>
    </row>
    <row r="202" spans="1:7" ht="16.3" customHeight="1">
      <c r="A202" s="552" t="s">
        <v>3694</v>
      </c>
      <c r="B202" s="695" t="s">
        <v>3698</v>
      </c>
      <c r="C202" s="539" t="s">
        <v>2783</v>
      </c>
      <c r="D202" s="550" t="s">
        <v>2998</v>
      </c>
      <c r="E202" s="552">
        <v>0</v>
      </c>
      <c r="F202" s="755"/>
      <c r="G202" s="756"/>
    </row>
    <row r="203" spans="1:7" ht="16.3" customHeight="1">
      <c r="A203" s="552" t="s">
        <v>3694</v>
      </c>
      <c r="B203" s="697" t="s">
        <v>3699</v>
      </c>
      <c r="C203" s="539" t="s">
        <v>7148</v>
      </c>
      <c r="D203" s="550" t="s">
        <v>2809</v>
      </c>
      <c r="E203" s="552">
        <v>0</v>
      </c>
      <c r="F203" s="755"/>
      <c r="G203" s="756"/>
    </row>
    <row r="204" spans="1:7" ht="16.3" customHeight="1">
      <c r="A204" s="552" t="s">
        <v>3694</v>
      </c>
      <c r="B204" s="697" t="s">
        <v>3699</v>
      </c>
      <c r="C204" s="539" t="s">
        <v>6145</v>
      </c>
      <c r="D204" s="550" t="s">
        <v>2809</v>
      </c>
      <c r="E204" s="552">
        <v>0</v>
      </c>
      <c r="F204" s="755"/>
      <c r="G204" s="756"/>
    </row>
    <row r="205" spans="1:7" ht="16.3" customHeight="1">
      <c r="A205" s="552" t="s">
        <v>3694</v>
      </c>
      <c r="B205" s="697" t="s">
        <v>3699</v>
      </c>
      <c r="C205" s="539" t="s">
        <v>2783</v>
      </c>
      <c r="D205" s="550" t="s">
        <v>2809</v>
      </c>
      <c r="E205" s="552">
        <v>0</v>
      </c>
      <c r="F205" s="755"/>
      <c r="G205" s="756"/>
    </row>
    <row r="206" spans="1:7" ht="16.3" customHeight="1">
      <c r="A206" s="552" t="s">
        <v>3694</v>
      </c>
      <c r="B206" s="697" t="s">
        <v>3699</v>
      </c>
      <c r="C206" s="539" t="s">
        <v>2783</v>
      </c>
      <c r="D206" s="550" t="s">
        <v>2809</v>
      </c>
      <c r="E206" s="552">
        <v>0</v>
      </c>
      <c r="F206" s="755"/>
      <c r="G206" s="756"/>
    </row>
    <row r="207" spans="1:7" ht="16.3" customHeight="1">
      <c r="A207" s="552" t="s">
        <v>3694</v>
      </c>
      <c r="B207" s="697" t="s">
        <v>3699</v>
      </c>
      <c r="C207" s="539" t="s">
        <v>2783</v>
      </c>
      <c r="D207" s="550" t="s">
        <v>2809</v>
      </c>
      <c r="E207" s="552">
        <v>0</v>
      </c>
      <c r="F207" s="755"/>
      <c r="G207" s="757"/>
    </row>
    <row r="208" spans="1:7" ht="16.3" customHeight="1">
      <c r="A208" s="552" t="s">
        <v>3694</v>
      </c>
      <c r="B208" s="694" t="s">
        <v>3700</v>
      </c>
      <c r="C208" s="539" t="s">
        <v>2783</v>
      </c>
      <c r="D208" s="550" t="s">
        <v>2971</v>
      </c>
      <c r="E208" s="552">
        <v>0</v>
      </c>
      <c r="F208" s="755"/>
      <c r="G208" s="757"/>
    </row>
    <row r="209" spans="1:7" ht="16.3" customHeight="1">
      <c r="A209" s="552" t="s">
        <v>3694</v>
      </c>
      <c r="B209" s="694" t="s">
        <v>3700</v>
      </c>
      <c r="C209" s="539" t="s">
        <v>2783</v>
      </c>
      <c r="D209" s="550" t="s">
        <v>2971</v>
      </c>
      <c r="E209" s="552">
        <v>0</v>
      </c>
      <c r="F209" s="755"/>
      <c r="G209" s="756"/>
    </row>
    <row r="210" spans="1:7" ht="16.3" customHeight="1">
      <c r="A210" s="552" t="s">
        <v>3694</v>
      </c>
      <c r="B210" s="700" t="s">
        <v>6055</v>
      </c>
      <c r="C210" s="539" t="s">
        <v>2783</v>
      </c>
      <c r="D210" s="550" t="s">
        <v>6697</v>
      </c>
      <c r="E210" s="552">
        <v>0</v>
      </c>
      <c r="F210" s="755"/>
      <c r="G210" s="756"/>
    </row>
    <row r="211" spans="1:7" ht="16.3" customHeight="1">
      <c r="A211" s="552" t="s">
        <v>3694</v>
      </c>
      <c r="B211" s="698" t="s">
        <v>3695</v>
      </c>
      <c r="C211" s="539" t="s">
        <v>6146</v>
      </c>
      <c r="D211" s="550" t="s">
        <v>2802</v>
      </c>
      <c r="E211" s="552">
        <v>0</v>
      </c>
      <c r="F211" s="755"/>
      <c r="G211" s="756"/>
    </row>
    <row r="212" spans="1:7" ht="16.3" customHeight="1">
      <c r="A212" s="552" t="s">
        <v>3694</v>
      </c>
      <c r="B212" s="698" t="s">
        <v>3695</v>
      </c>
      <c r="C212" s="539" t="s">
        <v>6147</v>
      </c>
      <c r="D212" s="550" t="s">
        <v>2802</v>
      </c>
      <c r="E212" s="552">
        <v>0</v>
      </c>
      <c r="F212" s="755"/>
      <c r="G212" s="756"/>
    </row>
    <row r="213" spans="1:7" ht="16.3" customHeight="1">
      <c r="A213" s="552" t="s">
        <v>3694</v>
      </c>
      <c r="B213" s="699" t="s">
        <v>3696</v>
      </c>
      <c r="C213" s="539" t="s">
        <v>6148</v>
      </c>
      <c r="D213" s="550" t="s">
        <v>2805</v>
      </c>
      <c r="E213" s="552">
        <v>0</v>
      </c>
      <c r="F213" s="755"/>
      <c r="G213" s="757"/>
    </row>
    <row r="214" spans="1:7" ht="16.3" customHeight="1">
      <c r="A214" s="552" t="s">
        <v>3694</v>
      </c>
      <c r="B214" s="699" t="s">
        <v>3696</v>
      </c>
      <c r="C214" s="539" t="s">
        <v>2783</v>
      </c>
      <c r="D214" s="550" t="s">
        <v>2805</v>
      </c>
      <c r="E214" s="552">
        <v>0</v>
      </c>
      <c r="F214" s="755"/>
      <c r="G214" s="756"/>
    </row>
    <row r="215" spans="1:7" ht="16.3" customHeight="1">
      <c r="A215" s="552" t="s">
        <v>3694</v>
      </c>
      <c r="B215" s="696" t="s">
        <v>3697</v>
      </c>
      <c r="C215" s="539" t="s">
        <v>6149</v>
      </c>
      <c r="D215" s="550" t="s">
        <v>2875</v>
      </c>
      <c r="E215" s="552">
        <v>0</v>
      </c>
      <c r="F215" s="755"/>
      <c r="G215" s="756"/>
    </row>
    <row r="216" spans="1:7" ht="16.3" customHeight="1">
      <c r="A216" s="552" t="s">
        <v>3694</v>
      </c>
      <c r="B216" s="696" t="s">
        <v>3697</v>
      </c>
      <c r="C216" s="539" t="s">
        <v>6150</v>
      </c>
      <c r="D216" s="550" t="s">
        <v>2875</v>
      </c>
      <c r="E216" s="552">
        <v>0</v>
      </c>
      <c r="F216" s="755"/>
      <c r="G216" s="756"/>
    </row>
    <row r="217" spans="1:7" ht="16.3" customHeight="1">
      <c r="A217" s="552" t="s">
        <v>3694</v>
      </c>
      <c r="B217" s="696" t="s">
        <v>3697</v>
      </c>
      <c r="C217" s="539" t="s">
        <v>2783</v>
      </c>
      <c r="D217" s="550" t="s">
        <v>2875</v>
      </c>
      <c r="E217" s="552">
        <v>0</v>
      </c>
      <c r="F217" s="755"/>
      <c r="G217" s="756"/>
    </row>
    <row r="218" spans="1:7" ht="16.3" customHeight="1">
      <c r="A218" s="552" t="s">
        <v>3694</v>
      </c>
      <c r="B218" s="695" t="s">
        <v>3698</v>
      </c>
      <c r="C218" s="539" t="s">
        <v>6151</v>
      </c>
      <c r="D218" s="550" t="s">
        <v>2998</v>
      </c>
      <c r="E218" s="552">
        <v>0</v>
      </c>
      <c r="F218" s="755"/>
      <c r="G218" s="756"/>
    </row>
    <row r="219" spans="1:7" ht="16.3" customHeight="1">
      <c r="A219" s="552" t="s">
        <v>3694</v>
      </c>
      <c r="B219" s="695" t="s">
        <v>3698</v>
      </c>
      <c r="C219" s="539" t="s">
        <v>6152</v>
      </c>
      <c r="D219" s="550" t="s">
        <v>2998</v>
      </c>
      <c r="E219" s="552">
        <v>0</v>
      </c>
      <c r="F219" s="755"/>
      <c r="G219" s="756"/>
    </row>
    <row r="220" spans="1:7" ht="16.3" customHeight="1">
      <c r="A220" s="552" t="s">
        <v>3694</v>
      </c>
      <c r="B220" s="695" t="s">
        <v>3698</v>
      </c>
      <c r="C220" s="539" t="s">
        <v>2783</v>
      </c>
      <c r="D220" s="550" t="s">
        <v>2998</v>
      </c>
      <c r="E220" s="552">
        <v>0</v>
      </c>
      <c r="F220" s="755"/>
      <c r="G220" s="756"/>
    </row>
    <row r="221" spans="1:7" ht="16.3" customHeight="1">
      <c r="A221" s="552" t="s">
        <v>3694</v>
      </c>
      <c r="B221" s="695" t="s">
        <v>3698</v>
      </c>
      <c r="C221" s="539" t="s">
        <v>2783</v>
      </c>
      <c r="D221" s="550" t="s">
        <v>2998</v>
      </c>
      <c r="E221" s="552">
        <v>0</v>
      </c>
      <c r="F221" s="755"/>
      <c r="G221" s="756"/>
    </row>
    <row r="222" spans="1:7" ht="16.3" customHeight="1">
      <c r="A222" s="552" t="s">
        <v>3694</v>
      </c>
      <c r="B222" s="697" t="s">
        <v>3699</v>
      </c>
      <c r="C222" s="539" t="s">
        <v>6153</v>
      </c>
      <c r="D222" s="550" t="s">
        <v>2809</v>
      </c>
      <c r="E222" s="552">
        <v>0</v>
      </c>
      <c r="F222" s="755"/>
      <c r="G222" s="757"/>
    </row>
    <row r="223" spans="1:7" ht="16.3" customHeight="1">
      <c r="A223" s="552" t="s">
        <v>3694</v>
      </c>
      <c r="B223" s="697" t="s">
        <v>3699</v>
      </c>
      <c r="C223" s="539" t="s">
        <v>2783</v>
      </c>
      <c r="D223" s="550" t="s">
        <v>2809</v>
      </c>
      <c r="E223" s="552">
        <v>0</v>
      </c>
      <c r="F223" s="755"/>
      <c r="G223" s="756"/>
    </row>
    <row r="224" spans="1:7" ht="16.3" customHeight="1">
      <c r="A224" s="552" t="s">
        <v>3694</v>
      </c>
      <c r="B224" s="697" t="s">
        <v>3699</v>
      </c>
      <c r="C224" s="539" t="s">
        <v>6154</v>
      </c>
      <c r="D224" s="550" t="s">
        <v>2809</v>
      </c>
      <c r="E224" s="552">
        <v>0</v>
      </c>
      <c r="F224" s="755"/>
      <c r="G224" s="756"/>
    </row>
    <row r="225" spans="1:7" ht="16.3" customHeight="1">
      <c r="A225" s="552" t="s">
        <v>3694</v>
      </c>
      <c r="B225" s="697" t="s">
        <v>3699</v>
      </c>
      <c r="C225" s="539" t="s">
        <v>2783</v>
      </c>
      <c r="D225" s="550" t="s">
        <v>2809</v>
      </c>
      <c r="E225" s="552">
        <v>0</v>
      </c>
      <c r="F225" s="755"/>
      <c r="G225" s="756"/>
    </row>
    <row r="226" spans="1:7" ht="16.3" customHeight="1">
      <c r="A226" s="552" t="s">
        <v>3694</v>
      </c>
      <c r="B226" s="697" t="s">
        <v>3699</v>
      </c>
      <c r="C226" s="539" t="s">
        <v>2783</v>
      </c>
      <c r="D226" s="550" t="s">
        <v>2809</v>
      </c>
      <c r="E226" s="552">
        <v>0</v>
      </c>
      <c r="F226" s="755"/>
      <c r="G226" s="756"/>
    </row>
    <row r="227" spans="1:7" ht="16.3" customHeight="1">
      <c r="A227" s="552" t="s">
        <v>3694</v>
      </c>
      <c r="B227" s="694" t="s">
        <v>3700</v>
      </c>
      <c r="C227" s="539" t="s">
        <v>6155</v>
      </c>
      <c r="D227" s="550" t="s">
        <v>2971</v>
      </c>
      <c r="E227" s="552">
        <v>0</v>
      </c>
      <c r="F227" s="755"/>
      <c r="G227" s="756"/>
    </row>
    <row r="228" spans="1:7" ht="16.3" customHeight="1">
      <c r="A228" s="552" t="s">
        <v>3694</v>
      </c>
      <c r="B228" s="694" t="s">
        <v>3700</v>
      </c>
      <c r="C228" s="539" t="s">
        <v>6156</v>
      </c>
      <c r="D228" s="550" t="s">
        <v>2971</v>
      </c>
      <c r="E228" s="552">
        <v>0</v>
      </c>
      <c r="F228" s="755"/>
      <c r="G228" s="756"/>
    </row>
    <row r="229" spans="1:7" ht="16.3" customHeight="1">
      <c r="A229" s="552" t="s">
        <v>3694</v>
      </c>
      <c r="B229" s="700" t="s">
        <v>6055</v>
      </c>
      <c r="C229" s="539" t="s">
        <v>7176</v>
      </c>
      <c r="D229" s="550" t="s">
        <v>6697</v>
      </c>
      <c r="E229" s="552">
        <v>0</v>
      </c>
      <c r="F229" s="755"/>
      <c r="G229" s="756"/>
    </row>
    <row r="230" spans="1:7" ht="16.3" customHeight="1">
      <c r="A230" s="552" t="s">
        <v>3694</v>
      </c>
      <c r="B230" s="698" t="s">
        <v>3695</v>
      </c>
      <c r="C230" s="539" t="s">
        <v>6157</v>
      </c>
      <c r="D230" s="550" t="s">
        <v>2802</v>
      </c>
      <c r="E230" s="552">
        <v>0</v>
      </c>
      <c r="F230" s="755"/>
      <c r="G230" s="756"/>
    </row>
    <row r="231" spans="1:7" ht="16.3" customHeight="1">
      <c r="A231" s="552" t="s">
        <v>3694</v>
      </c>
      <c r="B231" s="698" t="s">
        <v>3695</v>
      </c>
      <c r="C231" s="539" t="s">
        <v>2783</v>
      </c>
      <c r="D231" s="550" t="s">
        <v>2802</v>
      </c>
      <c r="E231" s="552">
        <v>0</v>
      </c>
      <c r="F231" s="755"/>
      <c r="G231" s="756"/>
    </row>
    <row r="232" spans="1:7" ht="16.3" customHeight="1">
      <c r="A232" s="552" t="s">
        <v>3694</v>
      </c>
      <c r="B232" s="699" t="s">
        <v>3696</v>
      </c>
      <c r="C232" s="539" t="s">
        <v>6158</v>
      </c>
      <c r="D232" s="550" t="s">
        <v>2805</v>
      </c>
      <c r="E232" s="552">
        <v>0</v>
      </c>
      <c r="F232" s="755"/>
      <c r="G232" s="757"/>
    </row>
    <row r="233" spans="1:7" ht="16.3" customHeight="1">
      <c r="A233" s="552" t="s">
        <v>3694</v>
      </c>
      <c r="B233" s="699" t="s">
        <v>3696</v>
      </c>
      <c r="C233" s="539" t="s">
        <v>2783</v>
      </c>
      <c r="D233" s="550" t="s">
        <v>2805</v>
      </c>
      <c r="E233" s="552">
        <v>0</v>
      </c>
      <c r="F233" s="755"/>
      <c r="G233" s="756"/>
    </row>
    <row r="234" spans="1:7" ht="16.3" customHeight="1">
      <c r="A234" s="552" t="s">
        <v>3694</v>
      </c>
      <c r="B234" s="696" t="s">
        <v>3697</v>
      </c>
      <c r="C234" s="539" t="s">
        <v>7186</v>
      </c>
      <c r="D234" s="550" t="s">
        <v>2875</v>
      </c>
      <c r="E234" s="552">
        <v>0</v>
      </c>
      <c r="F234" s="755"/>
      <c r="G234" s="757"/>
    </row>
    <row r="235" spans="1:7" ht="16.3" customHeight="1">
      <c r="A235" s="552" t="s">
        <v>3694</v>
      </c>
      <c r="B235" s="696" t="s">
        <v>3697</v>
      </c>
      <c r="C235" s="539" t="s">
        <v>6159</v>
      </c>
      <c r="D235" s="550" t="s">
        <v>2875</v>
      </c>
      <c r="E235" s="552">
        <v>0</v>
      </c>
      <c r="F235" s="755"/>
      <c r="G235" s="756"/>
    </row>
    <row r="236" spans="1:7" ht="16.3" customHeight="1">
      <c r="A236" s="552" t="s">
        <v>3694</v>
      </c>
      <c r="B236" s="696" t="s">
        <v>3697</v>
      </c>
      <c r="C236" s="539" t="s">
        <v>2783</v>
      </c>
      <c r="D236" s="550" t="s">
        <v>2875</v>
      </c>
      <c r="E236" s="552">
        <v>0</v>
      </c>
      <c r="F236" s="755"/>
      <c r="G236" s="756"/>
    </row>
    <row r="237" spans="1:7" ht="16.3" customHeight="1">
      <c r="A237" s="552" t="s">
        <v>3694</v>
      </c>
      <c r="B237" s="695" t="s">
        <v>3698</v>
      </c>
      <c r="C237" s="539" t="s">
        <v>6160</v>
      </c>
      <c r="D237" s="550" t="s">
        <v>2998</v>
      </c>
      <c r="E237" s="552">
        <v>0</v>
      </c>
      <c r="F237" s="755"/>
      <c r="G237" s="756"/>
    </row>
    <row r="238" spans="1:7" ht="16.3" customHeight="1">
      <c r="A238" s="552" t="s">
        <v>3694</v>
      </c>
      <c r="B238" s="695" t="s">
        <v>3698</v>
      </c>
      <c r="C238" s="539" t="s">
        <v>2783</v>
      </c>
      <c r="D238" s="550" t="s">
        <v>2998</v>
      </c>
      <c r="E238" s="552">
        <v>0</v>
      </c>
      <c r="F238" s="755"/>
      <c r="G238" s="756"/>
    </row>
    <row r="239" spans="1:7" ht="16.3" customHeight="1">
      <c r="A239" s="552" t="s">
        <v>3694</v>
      </c>
      <c r="B239" s="695" t="s">
        <v>3698</v>
      </c>
      <c r="C239" s="539" t="s">
        <v>2783</v>
      </c>
      <c r="D239" s="550" t="s">
        <v>2998</v>
      </c>
      <c r="E239" s="552">
        <v>0</v>
      </c>
      <c r="F239" s="755"/>
      <c r="G239" s="756"/>
    </row>
    <row r="240" spans="1:7" ht="16.3" customHeight="1">
      <c r="A240" s="552" t="s">
        <v>3694</v>
      </c>
      <c r="B240" s="695" t="s">
        <v>3698</v>
      </c>
      <c r="C240" s="539" t="s">
        <v>2783</v>
      </c>
      <c r="D240" s="550" t="s">
        <v>2998</v>
      </c>
      <c r="E240" s="552">
        <v>0</v>
      </c>
      <c r="F240" s="755"/>
      <c r="G240" s="757"/>
    </row>
    <row r="241" spans="1:7" ht="16.3" customHeight="1">
      <c r="A241" s="552" t="s">
        <v>3694</v>
      </c>
      <c r="B241" s="697" t="s">
        <v>3699</v>
      </c>
      <c r="C241" s="539" t="s">
        <v>6161</v>
      </c>
      <c r="D241" s="550" t="s">
        <v>2809</v>
      </c>
      <c r="E241" s="552">
        <v>0</v>
      </c>
      <c r="F241" s="755"/>
      <c r="G241" s="757"/>
    </row>
    <row r="242" spans="1:7" ht="16.3" customHeight="1">
      <c r="A242" s="552" t="s">
        <v>3694</v>
      </c>
      <c r="B242" s="697" t="s">
        <v>3699</v>
      </c>
      <c r="C242" s="539" t="s">
        <v>2783</v>
      </c>
      <c r="D242" s="550" t="s">
        <v>2809</v>
      </c>
      <c r="E242" s="552">
        <v>0</v>
      </c>
      <c r="F242" s="755"/>
      <c r="G242" s="757"/>
    </row>
    <row r="243" spans="1:7" ht="16.3" customHeight="1">
      <c r="A243" s="552" t="s">
        <v>3694</v>
      </c>
      <c r="B243" s="697" t="s">
        <v>3699</v>
      </c>
      <c r="C243" s="539" t="s">
        <v>2783</v>
      </c>
      <c r="D243" s="550" t="s">
        <v>2809</v>
      </c>
      <c r="E243" s="552">
        <v>0</v>
      </c>
      <c r="F243" s="755"/>
      <c r="G243" s="757"/>
    </row>
    <row r="244" spans="1:7" ht="16.3" customHeight="1">
      <c r="A244" s="552" t="s">
        <v>3694</v>
      </c>
      <c r="B244" s="697" t="s">
        <v>3699</v>
      </c>
      <c r="C244" s="539" t="s">
        <v>2783</v>
      </c>
      <c r="D244" s="550" t="s">
        <v>2809</v>
      </c>
      <c r="E244" s="552">
        <v>0</v>
      </c>
      <c r="F244" s="755"/>
      <c r="G244" s="756"/>
    </row>
    <row r="245" spans="1:7" ht="16.3" customHeight="1">
      <c r="A245" s="552" t="s">
        <v>3694</v>
      </c>
      <c r="B245" s="697" t="s">
        <v>3699</v>
      </c>
      <c r="C245" s="539" t="s">
        <v>2783</v>
      </c>
      <c r="D245" s="550" t="s">
        <v>2809</v>
      </c>
      <c r="E245" s="552">
        <v>0</v>
      </c>
      <c r="F245" s="755"/>
      <c r="G245" s="756"/>
    </row>
    <row r="246" spans="1:7" ht="16.3" customHeight="1">
      <c r="A246" s="552" t="s">
        <v>3694</v>
      </c>
      <c r="B246" s="694" t="s">
        <v>3700</v>
      </c>
      <c r="C246" s="539" t="s">
        <v>2783</v>
      </c>
      <c r="D246" s="550" t="s">
        <v>2971</v>
      </c>
      <c r="E246" s="552">
        <v>0</v>
      </c>
      <c r="F246" s="755"/>
      <c r="G246" s="757"/>
    </row>
    <row r="247" spans="1:7" ht="16.3" customHeight="1">
      <c r="A247" s="552" t="s">
        <v>3694</v>
      </c>
      <c r="B247" s="694" t="s">
        <v>3700</v>
      </c>
      <c r="C247" s="539" t="s">
        <v>2783</v>
      </c>
      <c r="D247" s="550" t="s">
        <v>2971</v>
      </c>
      <c r="E247" s="552">
        <v>0</v>
      </c>
      <c r="F247" s="755"/>
      <c r="G247" s="756"/>
    </row>
    <row r="248" spans="1:7" ht="16.3" customHeight="1">
      <c r="A248" s="552" t="s">
        <v>3694</v>
      </c>
      <c r="B248" s="700" t="s">
        <v>6055</v>
      </c>
      <c r="C248" s="539" t="s">
        <v>2783</v>
      </c>
      <c r="D248" s="550" t="s">
        <v>6697</v>
      </c>
      <c r="E248" s="552">
        <v>0</v>
      </c>
      <c r="F248" s="755"/>
      <c r="G248" s="756"/>
    </row>
    <row r="249" spans="1:7" ht="16.3" customHeight="1">
      <c r="A249" s="552" t="s">
        <v>3694</v>
      </c>
      <c r="B249" s="698" t="s">
        <v>3695</v>
      </c>
      <c r="C249" s="539" t="s">
        <v>6162</v>
      </c>
      <c r="D249" s="550" t="s">
        <v>2802</v>
      </c>
      <c r="E249" s="552">
        <v>0</v>
      </c>
      <c r="F249" s="755"/>
      <c r="G249" s="756"/>
    </row>
    <row r="250" spans="1:7" ht="16.3" customHeight="1">
      <c r="A250" s="552" t="s">
        <v>3694</v>
      </c>
      <c r="B250" s="698" t="s">
        <v>3695</v>
      </c>
      <c r="C250" s="539" t="s">
        <v>2783</v>
      </c>
      <c r="D250" s="550" t="s">
        <v>2802</v>
      </c>
      <c r="E250" s="552">
        <v>0</v>
      </c>
      <c r="F250" s="755"/>
      <c r="G250" s="756"/>
    </row>
    <row r="251" spans="1:7" ht="16.3" customHeight="1">
      <c r="A251" s="552" t="s">
        <v>3694</v>
      </c>
      <c r="B251" s="699" t="s">
        <v>3696</v>
      </c>
      <c r="C251" s="539" t="s">
        <v>6163</v>
      </c>
      <c r="D251" s="550" t="s">
        <v>2805</v>
      </c>
      <c r="E251" s="552">
        <v>0</v>
      </c>
      <c r="F251" s="755"/>
      <c r="G251" s="757"/>
    </row>
    <row r="252" spans="1:7" ht="16.3" customHeight="1">
      <c r="A252" s="552" t="s">
        <v>3694</v>
      </c>
      <c r="B252" s="699" t="s">
        <v>3696</v>
      </c>
      <c r="C252" s="539" t="s">
        <v>2783</v>
      </c>
      <c r="D252" s="550" t="s">
        <v>2805</v>
      </c>
      <c r="E252" s="552">
        <v>0</v>
      </c>
      <c r="F252" s="755"/>
      <c r="G252" s="756"/>
    </row>
    <row r="253" spans="1:7" ht="16.3" customHeight="1">
      <c r="A253" s="552" t="s">
        <v>3694</v>
      </c>
      <c r="B253" s="696" t="s">
        <v>3697</v>
      </c>
      <c r="C253" s="539" t="s">
        <v>6164</v>
      </c>
      <c r="D253" s="550" t="s">
        <v>2875</v>
      </c>
      <c r="E253" s="552">
        <v>0</v>
      </c>
      <c r="F253" s="755"/>
      <c r="G253" s="756"/>
    </row>
    <row r="254" spans="1:7" ht="16.3" customHeight="1">
      <c r="A254" s="552" t="s">
        <v>3694</v>
      </c>
      <c r="B254" s="696" t="s">
        <v>3697</v>
      </c>
      <c r="C254" s="539" t="s">
        <v>6165</v>
      </c>
      <c r="D254" s="550" t="s">
        <v>2875</v>
      </c>
      <c r="E254" s="552">
        <v>0</v>
      </c>
      <c r="F254" s="755"/>
      <c r="G254" s="756"/>
    </row>
    <row r="255" spans="1:7" ht="16.3" customHeight="1">
      <c r="A255" s="552" t="s">
        <v>3694</v>
      </c>
      <c r="B255" s="696" t="s">
        <v>3697</v>
      </c>
      <c r="C255" s="539" t="s">
        <v>2783</v>
      </c>
      <c r="D255" s="550" t="s">
        <v>2875</v>
      </c>
      <c r="E255" s="552">
        <v>0</v>
      </c>
      <c r="F255" s="755"/>
      <c r="G255" s="756"/>
    </row>
    <row r="256" spans="1:7" ht="16.3" customHeight="1">
      <c r="A256" s="552" t="s">
        <v>3694</v>
      </c>
      <c r="B256" s="695" t="s">
        <v>3698</v>
      </c>
      <c r="C256" s="539" t="s">
        <v>7203</v>
      </c>
      <c r="D256" s="550" t="s">
        <v>2998</v>
      </c>
      <c r="E256" s="552">
        <v>0</v>
      </c>
      <c r="F256" s="755"/>
      <c r="G256" s="757"/>
    </row>
    <row r="257" spans="1:7" ht="16.3" customHeight="1">
      <c r="A257" s="552" t="s">
        <v>3694</v>
      </c>
      <c r="B257" s="695" t="s">
        <v>3698</v>
      </c>
      <c r="C257" s="539" t="s">
        <v>2783</v>
      </c>
      <c r="D257" s="550" t="s">
        <v>2998</v>
      </c>
      <c r="E257" s="552">
        <v>0</v>
      </c>
      <c r="F257" s="755"/>
      <c r="G257" s="757"/>
    </row>
    <row r="258" spans="1:7" ht="16.3" customHeight="1">
      <c r="A258" s="552" t="s">
        <v>3694</v>
      </c>
      <c r="B258" s="695" t="s">
        <v>3698</v>
      </c>
      <c r="C258" s="539" t="s">
        <v>2783</v>
      </c>
      <c r="D258" s="550" t="s">
        <v>2998</v>
      </c>
      <c r="E258" s="552">
        <v>0</v>
      </c>
      <c r="F258" s="755"/>
      <c r="G258" s="756"/>
    </row>
    <row r="259" spans="1:7" ht="16.3" customHeight="1">
      <c r="A259" s="552" t="s">
        <v>3694</v>
      </c>
      <c r="B259" s="695" t="s">
        <v>3698</v>
      </c>
      <c r="C259" s="539" t="s">
        <v>2783</v>
      </c>
      <c r="D259" s="550" t="s">
        <v>2998</v>
      </c>
      <c r="E259" s="552">
        <v>0</v>
      </c>
      <c r="F259" s="755"/>
      <c r="G259" s="756"/>
    </row>
    <row r="260" spans="1:7" ht="16.3" customHeight="1">
      <c r="A260" s="552" t="s">
        <v>3694</v>
      </c>
      <c r="B260" s="697" t="s">
        <v>3699</v>
      </c>
      <c r="C260" s="539" t="s">
        <v>7206</v>
      </c>
      <c r="D260" s="550" t="s">
        <v>2809</v>
      </c>
      <c r="E260" s="552">
        <v>0</v>
      </c>
      <c r="F260" s="755"/>
      <c r="G260" s="756"/>
    </row>
    <row r="261" spans="1:7" ht="16.3" customHeight="1">
      <c r="A261" s="552" t="s">
        <v>3694</v>
      </c>
      <c r="B261" s="697" t="s">
        <v>3699</v>
      </c>
      <c r="C261" s="539" t="s">
        <v>2783</v>
      </c>
      <c r="D261" s="550" t="s">
        <v>2809</v>
      </c>
      <c r="E261" s="552">
        <v>0</v>
      </c>
      <c r="F261" s="755"/>
      <c r="G261" s="756"/>
    </row>
    <row r="262" spans="1:7" ht="16.3" customHeight="1">
      <c r="A262" s="552" t="s">
        <v>3694</v>
      </c>
      <c r="B262" s="697" t="s">
        <v>3699</v>
      </c>
      <c r="C262" s="539" t="s">
        <v>2783</v>
      </c>
      <c r="D262" s="550" t="s">
        <v>2809</v>
      </c>
      <c r="E262" s="552">
        <v>0</v>
      </c>
      <c r="F262" s="755"/>
      <c r="G262" s="756"/>
    </row>
    <row r="263" spans="1:7" ht="16.3" customHeight="1">
      <c r="A263" s="552" t="s">
        <v>3694</v>
      </c>
      <c r="B263" s="697" t="s">
        <v>3699</v>
      </c>
      <c r="C263" s="539" t="s">
        <v>2783</v>
      </c>
      <c r="D263" s="550" t="s">
        <v>2809</v>
      </c>
      <c r="E263" s="552">
        <v>0</v>
      </c>
      <c r="F263" s="755"/>
      <c r="G263" s="756"/>
    </row>
    <row r="264" spans="1:7" ht="16.3" customHeight="1">
      <c r="A264" s="552" t="s">
        <v>3694</v>
      </c>
      <c r="B264" s="697" t="s">
        <v>3699</v>
      </c>
      <c r="C264" s="539" t="s">
        <v>2783</v>
      </c>
      <c r="D264" s="550" t="s">
        <v>2809</v>
      </c>
      <c r="E264" s="552">
        <v>0</v>
      </c>
      <c r="F264" s="755"/>
      <c r="G264" s="756"/>
    </row>
    <row r="265" spans="1:7" ht="16.3" customHeight="1">
      <c r="A265" s="552" t="s">
        <v>3694</v>
      </c>
      <c r="B265" s="694" t="s">
        <v>3700</v>
      </c>
      <c r="C265" s="539" t="s">
        <v>6166</v>
      </c>
      <c r="D265" s="550" t="s">
        <v>2971</v>
      </c>
      <c r="E265" s="552">
        <v>0</v>
      </c>
      <c r="F265" s="755"/>
      <c r="G265" s="756"/>
    </row>
    <row r="266" spans="1:7" ht="16.3" customHeight="1">
      <c r="A266" s="552" t="s">
        <v>3694</v>
      </c>
      <c r="B266" s="694" t="s">
        <v>3700</v>
      </c>
      <c r="C266" s="539" t="s">
        <v>2783</v>
      </c>
      <c r="D266" s="550" t="s">
        <v>2971</v>
      </c>
      <c r="E266" s="552">
        <v>0</v>
      </c>
      <c r="F266" s="755"/>
      <c r="G266" s="756"/>
    </row>
    <row r="267" spans="1:7" ht="16.3" customHeight="1">
      <c r="A267" s="552" t="s">
        <v>3694</v>
      </c>
      <c r="B267" s="700" t="s">
        <v>6055</v>
      </c>
      <c r="C267" s="539" t="s">
        <v>2783</v>
      </c>
      <c r="D267" s="550" t="s">
        <v>6697</v>
      </c>
      <c r="E267" s="552">
        <v>0</v>
      </c>
      <c r="F267" s="755"/>
      <c r="G267" s="756"/>
    </row>
    <row r="268" spans="1:7" ht="16.3" customHeight="1">
      <c r="A268" s="552" t="s">
        <v>3694</v>
      </c>
      <c r="B268" s="698" t="s">
        <v>3695</v>
      </c>
      <c r="C268" s="539" t="s">
        <v>6167</v>
      </c>
      <c r="D268" s="550" t="s">
        <v>2802</v>
      </c>
      <c r="E268" s="552">
        <v>0</v>
      </c>
      <c r="F268" s="755"/>
      <c r="G268" s="756"/>
    </row>
    <row r="269" spans="1:7" ht="16.3" customHeight="1">
      <c r="A269" s="552" t="s">
        <v>3694</v>
      </c>
      <c r="B269" s="698" t="s">
        <v>3695</v>
      </c>
      <c r="C269" s="539" t="s">
        <v>6168</v>
      </c>
      <c r="D269" s="550" t="s">
        <v>2802</v>
      </c>
      <c r="E269" s="552">
        <v>0</v>
      </c>
      <c r="F269" s="755"/>
      <c r="G269" s="756"/>
    </row>
    <row r="270" spans="1:7" ht="16.3" customHeight="1">
      <c r="A270" s="552" t="s">
        <v>3694</v>
      </c>
      <c r="B270" s="699" t="s">
        <v>3696</v>
      </c>
      <c r="C270" s="539" t="s">
        <v>6169</v>
      </c>
      <c r="D270" s="550" t="s">
        <v>2805</v>
      </c>
      <c r="E270" s="552">
        <v>0</v>
      </c>
      <c r="F270" s="755"/>
      <c r="G270" s="756"/>
    </row>
    <row r="271" spans="1:7" ht="16.3" customHeight="1">
      <c r="A271" s="552" t="s">
        <v>3694</v>
      </c>
      <c r="B271" s="699" t="s">
        <v>3696</v>
      </c>
      <c r="C271" s="539" t="s">
        <v>2783</v>
      </c>
      <c r="D271" s="550" t="s">
        <v>2805</v>
      </c>
      <c r="E271" s="552">
        <v>0</v>
      </c>
      <c r="F271" s="755"/>
      <c r="G271" s="756"/>
    </row>
    <row r="272" spans="1:7" ht="16.3" customHeight="1">
      <c r="A272" s="552" t="s">
        <v>3694</v>
      </c>
      <c r="B272" s="696" t="s">
        <v>3697</v>
      </c>
      <c r="C272" s="539" t="s">
        <v>6170</v>
      </c>
      <c r="D272" s="550" t="s">
        <v>2875</v>
      </c>
      <c r="E272" s="552">
        <v>0</v>
      </c>
      <c r="F272" s="755"/>
      <c r="G272" s="756"/>
    </row>
    <row r="273" spans="1:7" ht="16.3" customHeight="1">
      <c r="A273" s="552" t="s">
        <v>3694</v>
      </c>
      <c r="B273" s="696" t="s">
        <v>3697</v>
      </c>
      <c r="C273" s="539" t="s">
        <v>6171</v>
      </c>
      <c r="D273" s="550" t="s">
        <v>2875</v>
      </c>
      <c r="E273" s="552">
        <v>0</v>
      </c>
      <c r="F273" s="755"/>
      <c r="G273" s="756"/>
    </row>
    <row r="274" spans="1:7" ht="16.3" customHeight="1">
      <c r="A274" s="552" t="s">
        <v>3694</v>
      </c>
      <c r="B274" s="696" t="s">
        <v>3697</v>
      </c>
      <c r="C274" s="539" t="s">
        <v>6172</v>
      </c>
      <c r="D274" s="550" t="s">
        <v>2875</v>
      </c>
      <c r="E274" s="552">
        <v>0</v>
      </c>
      <c r="F274" s="755"/>
      <c r="G274" s="756"/>
    </row>
    <row r="275" spans="1:7" ht="16.3" customHeight="1">
      <c r="A275" s="552" t="s">
        <v>3694</v>
      </c>
      <c r="B275" s="695" t="s">
        <v>3698</v>
      </c>
      <c r="C275" s="539" t="s">
        <v>6173</v>
      </c>
      <c r="D275" s="550" t="s">
        <v>2998</v>
      </c>
      <c r="E275" s="552">
        <v>0</v>
      </c>
      <c r="F275" s="755"/>
      <c r="G275" s="756"/>
    </row>
    <row r="276" spans="1:7" ht="16.3" customHeight="1">
      <c r="A276" s="552" t="s">
        <v>3694</v>
      </c>
      <c r="B276" s="695" t="s">
        <v>3698</v>
      </c>
      <c r="C276" s="539" t="s">
        <v>7229</v>
      </c>
      <c r="D276" s="550" t="s">
        <v>2998</v>
      </c>
      <c r="E276" s="552">
        <v>0</v>
      </c>
      <c r="F276" s="755"/>
      <c r="G276" s="756"/>
    </row>
    <row r="277" spans="1:7" ht="16.3" customHeight="1">
      <c r="A277" s="552" t="s">
        <v>3694</v>
      </c>
      <c r="B277" s="695" t="s">
        <v>3698</v>
      </c>
      <c r="C277" s="539" t="s">
        <v>2783</v>
      </c>
      <c r="D277" s="550" t="s">
        <v>2998</v>
      </c>
      <c r="E277" s="552">
        <v>0</v>
      </c>
      <c r="F277" s="755"/>
      <c r="G277" s="756"/>
    </row>
    <row r="278" spans="1:7" ht="16.3" customHeight="1">
      <c r="A278" s="552" t="s">
        <v>3694</v>
      </c>
      <c r="B278" s="695" t="s">
        <v>3698</v>
      </c>
      <c r="C278" s="539" t="s">
        <v>2783</v>
      </c>
      <c r="D278" s="550" t="s">
        <v>2998</v>
      </c>
      <c r="E278" s="552">
        <v>0</v>
      </c>
      <c r="F278" s="755"/>
      <c r="G278" s="756"/>
    </row>
    <row r="279" spans="1:7" ht="16.3" customHeight="1">
      <c r="A279" s="552" t="s">
        <v>3694</v>
      </c>
      <c r="B279" s="697" t="s">
        <v>3699</v>
      </c>
      <c r="C279" s="539" t="s">
        <v>6174</v>
      </c>
      <c r="D279" s="550" t="s">
        <v>2809</v>
      </c>
      <c r="E279" s="552">
        <v>0</v>
      </c>
      <c r="F279" s="755"/>
      <c r="G279" s="756"/>
    </row>
    <row r="280" spans="1:7" ht="16.3" customHeight="1">
      <c r="A280" s="552" t="s">
        <v>3694</v>
      </c>
      <c r="B280" s="697" t="s">
        <v>3699</v>
      </c>
      <c r="C280" s="539" t="s">
        <v>6175</v>
      </c>
      <c r="D280" s="550" t="s">
        <v>2809</v>
      </c>
      <c r="E280" s="552">
        <v>0</v>
      </c>
      <c r="F280" s="755"/>
      <c r="G280" s="756"/>
    </row>
    <row r="281" spans="1:7" ht="16.3" customHeight="1">
      <c r="A281" s="552" t="s">
        <v>3694</v>
      </c>
      <c r="B281" s="697" t="s">
        <v>3699</v>
      </c>
      <c r="C281" s="539" t="s">
        <v>2783</v>
      </c>
      <c r="D281" s="550" t="s">
        <v>2809</v>
      </c>
      <c r="E281" s="552">
        <v>0</v>
      </c>
      <c r="F281" s="755"/>
      <c r="G281" s="756"/>
    </row>
    <row r="282" spans="1:7" ht="16.3" customHeight="1">
      <c r="A282" s="552" t="s">
        <v>3694</v>
      </c>
      <c r="B282" s="697" t="s">
        <v>3699</v>
      </c>
      <c r="C282" s="539" t="s">
        <v>2783</v>
      </c>
      <c r="D282" s="550" t="s">
        <v>2809</v>
      </c>
      <c r="E282" s="552">
        <v>0</v>
      </c>
      <c r="F282" s="755"/>
      <c r="G282" s="756"/>
    </row>
    <row r="283" spans="1:7" ht="16.3" customHeight="1">
      <c r="A283" s="552" t="s">
        <v>3694</v>
      </c>
      <c r="B283" s="697" t="s">
        <v>3699</v>
      </c>
      <c r="C283" s="539" t="s">
        <v>2783</v>
      </c>
      <c r="D283" s="550" t="s">
        <v>2809</v>
      </c>
      <c r="E283" s="552">
        <v>0</v>
      </c>
      <c r="F283" s="755"/>
      <c r="G283" s="756"/>
    </row>
    <row r="284" spans="1:7" ht="16.3" customHeight="1">
      <c r="A284" s="552" t="s">
        <v>3694</v>
      </c>
      <c r="B284" s="694" t="s">
        <v>3700</v>
      </c>
      <c r="C284" s="539" t="s">
        <v>7239</v>
      </c>
      <c r="D284" s="550" t="s">
        <v>2971</v>
      </c>
      <c r="E284" s="552">
        <v>0</v>
      </c>
      <c r="F284" s="755"/>
      <c r="G284" s="756"/>
    </row>
    <row r="285" spans="1:7" ht="16.3" customHeight="1">
      <c r="A285" s="552" t="s">
        <v>3694</v>
      </c>
      <c r="B285" s="694" t="s">
        <v>3700</v>
      </c>
      <c r="C285" s="539" t="s">
        <v>2783</v>
      </c>
      <c r="D285" s="550" t="s">
        <v>2971</v>
      </c>
      <c r="E285" s="552">
        <v>0</v>
      </c>
      <c r="F285" s="755"/>
      <c r="G285" s="756"/>
    </row>
    <row r="286" spans="1:7" ht="16.3" customHeight="1">
      <c r="A286" s="552" t="s">
        <v>3694</v>
      </c>
      <c r="B286" s="700" t="s">
        <v>6055</v>
      </c>
      <c r="C286" s="539" t="s">
        <v>2783</v>
      </c>
      <c r="D286" s="550" t="s">
        <v>6697</v>
      </c>
      <c r="E286" s="552">
        <v>0</v>
      </c>
      <c r="F286" s="755"/>
      <c r="G286" s="756"/>
    </row>
    <row r="287" spans="1:7" ht="16.3" customHeight="1">
      <c r="A287" s="552" t="s">
        <v>3694</v>
      </c>
      <c r="B287" s="698" t="s">
        <v>3695</v>
      </c>
      <c r="C287" s="539" t="s">
        <v>6176</v>
      </c>
      <c r="D287" s="550" t="s">
        <v>2802</v>
      </c>
      <c r="E287" s="552">
        <v>0</v>
      </c>
      <c r="F287" s="755"/>
      <c r="G287" s="756"/>
    </row>
    <row r="288" spans="1:7" ht="16.3" customHeight="1">
      <c r="A288" s="552" t="s">
        <v>3694</v>
      </c>
      <c r="B288" s="698" t="s">
        <v>3695</v>
      </c>
      <c r="C288" s="539" t="s">
        <v>2783</v>
      </c>
      <c r="D288" s="550" t="s">
        <v>2802</v>
      </c>
      <c r="E288" s="552">
        <v>0</v>
      </c>
      <c r="F288" s="755"/>
      <c r="G288" s="756"/>
    </row>
    <row r="289" spans="1:7" ht="16.3" customHeight="1">
      <c r="A289" s="552" t="s">
        <v>3694</v>
      </c>
      <c r="B289" s="699" t="s">
        <v>3696</v>
      </c>
      <c r="C289" s="541" t="s">
        <v>6177</v>
      </c>
      <c r="D289" s="550" t="s">
        <v>2805</v>
      </c>
      <c r="E289" s="552">
        <v>0</v>
      </c>
      <c r="F289" s="755"/>
      <c r="G289" s="756"/>
    </row>
    <row r="290" spans="1:7" ht="16.3" customHeight="1">
      <c r="A290" s="552" t="s">
        <v>3694</v>
      </c>
      <c r="B290" s="699" t="s">
        <v>3696</v>
      </c>
      <c r="C290" s="539" t="s">
        <v>2783</v>
      </c>
      <c r="D290" s="550" t="s">
        <v>2805</v>
      </c>
      <c r="E290" s="552">
        <v>0</v>
      </c>
      <c r="F290" s="755"/>
      <c r="G290" s="756"/>
    </row>
    <row r="291" spans="1:7" ht="16.3" customHeight="1">
      <c r="A291" s="552" t="s">
        <v>3694</v>
      </c>
      <c r="B291" s="696" t="s">
        <v>3697</v>
      </c>
      <c r="C291" s="539" t="s">
        <v>6178</v>
      </c>
      <c r="D291" s="550" t="s">
        <v>2875</v>
      </c>
      <c r="E291" s="552">
        <v>0</v>
      </c>
      <c r="F291" s="755"/>
      <c r="G291" s="756"/>
    </row>
    <row r="292" spans="1:7" ht="16.3" customHeight="1">
      <c r="A292" s="552" t="s">
        <v>3694</v>
      </c>
      <c r="B292" s="696" t="s">
        <v>3697</v>
      </c>
      <c r="C292" s="539" t="s">
        <v>7247</v>
      </c>
      <c r="D292" s="550" t="s">
        <v>2875</v>
      </c>
      <c r="E292" s="552">
        <v>0</v>
      </c>
      <c r="F292" s="755"/>
      <c r="G292" s="756"/>
    </row>
    <row r="293" spans="1:7" ht="16.3" customHeight="1">
      <c r="A293" s="552" t="s">
        <v>3694</v>
      </c>
      <c r="B293" s="696" t="s">
        <v>3697</v>
      </c>
      <c r="C293" s="539" t="s">
        <v>2783</v>
      </c>
      <c r="D293" s="550" t="s">
        <v>2875</v>
      </c>
      <c r="E293" s="552">
        <v>0</v>
      </c>
      <c r="F293" s="755"/>
      <c r="G293" s="756"/>
    </row>
    <row r="294" spans="1:7" ht="16.3" customHeight="1">
      <c r="A294" s="552" t="s">
        <v>3694</v>
      </c>
      <c r="B294" s="695" t="s">
        <v>3698</v>
      </c>
      <c r="C294" s="539" t="s">
        <v>7250</v>
      </c>
      <c r="D294" s="550" t="s">
        <v>2998</v>
      </c>
      <c r="E294" s="552">
        <v>0</v>
      </c>
      <c r="F294" s="755"/>
      <c r="G294" s="756"/>
    </row>
    <row r="295" spans="1:7" ht="16.3" customHeight="1">
      <c r="A295" s="552" t="s">
        <v>3694</v>
      </c>
      <c r="B295" s="695" t="s">
        <v>3698</v>
      </c>
      <c r="C295" s="539" t="s">
        <v>7255</v>
      </c>
      <c r="D295" s="550" t="s">
        <v>2998</v>
      </c>
      <c r="E295" s="552">
        <v>0</v>
      </c>
      <c r="F295" s="755"/>
      <c r="G295" s="756"/>
    </row>
    <row r="296" spans="1:7" ht="16.3" customHeight="1">
      <c r="A296" s="552" t="s">
        <v>3694</v>
      </c>
      <c r="B296" s="695" t="s">
        <v>3698</v>
      </c>
      <c r="C296" s="539" t="s">
        <v>2783</v>
      </c>
      <c r="D296" s="550" t="s">
        <v>2998</v>
      </c>
      <c r="E296" s="552">
        <v>0</v>
      </c>
      <c r="F296" s="755"/>
      <c r="G296" s="756"/>
    </row>
    <row r="297" spans="1:7" ht="16.3" customHeight="1">
      <c r="A297" s="552" t="s">
        <v>3694</v>
      </c>
      <c r="B297" s="695" t="s">
        <v>3698</v>
      </c>
      <c r="C297" s="539" t="s">
        <v>2783</v>
      </c>
      <c r="D297" s="550" t="s">
        <v>2998</v>
      </c>
      <c r="E297" s="552">
        <v>0</v>
      </c>
      <c r="F297" s="755"/>
      <c r="G297" s="756"/>
    </row>
    <row r="298" spans="1:7" ht="16.3" customHeight="1">
      <c r="A298" s="552" t="s">
        <v>3694</v>
      </c>
      <c r="B298" s="697" t="s">
        <v>3699</v>
      </c>
      <c r="C298" s="539" t="s">
        <v>6179</v>
      </c>
      <c r="D298" s="550" t="s">
        <v>2809</v>
      </c>
      <c r="E298" s="552">
        <v>0</v>
      </c>
      <c r="F298" s="755"/>
      <c r="G298" s="756"/>
    </row>
    <row r="299" spans="1:7" ht="16.3" customHeight="1">
      <c r="A299" s="552" t="s">
        <v>3694</v>
      </c>
      <c r="B299" s="697" t="s">
        <v>3699</v>
      </c>
      <c r="C299" s="539" t="s">
        <v>2783</v>
      </c>
      <c r="D299" s="550" t="s">
        <v>2809</v>
      </c>
      <c r="E299" s="552">
        <v>0</v>
      </c>
      <c r="F299" s="755"/>
      <c r="G299" s="756"/>
    </row>
    <row r="300" spans="1:7" ht="16.3" customHeight="1">
      <c r="A300" s="552" t="s">
        <v>3694</v>
      </c>
      <c r="B300" s="697" t="s">
        <v>3699</v>
      </c>
      <c r="C300" s="539" t="s">
        <v>2783</v>
      </c>
      <c r="D300" s="550" t="s">
        <v>2809</v>
      </c>
      <c r="E300" s="552">
        <v>0</v>
      </c>
      <c r="F300" s="755"/>
      <c r="G300" s="756"/>
    </row>
    <row r="301" spans="1:7" ht="16.3" customHeight="1">
      <c r="A301" s="552" t="s">
        <v>3694</v>
      </c>
      <c r="B301" s="697" t="s">
        <v>3699</v>
      </c>
      <c r="C301" s="539" t="s">
        <v>2783</v>
      </c>
      <c r="D301" s="550" t="s">
        <v>2809</v>
      </c>
      <c r="E301" s="552">
        <v>0</v>
      </c>
      <c r="F301" s="755"/>
      <c r="G301" s="756"/>
    </row>
    <row r="302" spans="1:7" ht="16.3" customHeight="1">
      <c r="A302" s="552" t="s">
        <v>3694</v>
      </c>
      <c r="B302" s="697" t="s">
        <v>3699</v>
      </c>
      <c r="C302" s="539" t="s">
        <v>2783</v>
      </c>
      <c r="D302" s="550" t="s">
        <v>2809</v>
      </c>
      <c r="E302" s="552">
        <v>0</v>
      </c>
      <c r="F302" s="755"/>
      <c r="G302" s="756"/>
    </row>
    <row r="303" spans="1:7" ht="16.3" customHeight="1">
      <c r="A303" s="552" t="s">
        <v>3694</v>
      </c>
      <c r="B303" s="694" t="s">
        <v>3700</v>
      </c>
      <c r="C303" s="539" t="s">
        <v>2783</v>
      </c>
      <c r="D303" s="550" t="s">
        <v>2971</v>
      </c>
      <c r="E303" s="552">
        <v>0</v>
      </c>
      <c r="F303" s="755"/>
      <c r="G303" s="756"/>
    </row>
    <row r="304" spans="1:7" ht="16.3" customHeight="1">
      <c r="A304" s="552" t="s">
        <v>3694</v>
      </c>
      <c r="B304" s="694" t="s">
        <v>3700</v>
      </c>
      <c r="C304" s="539" t="s">
        <v>6180</v>
      </c>
      <c r="D304" s="550" t="s">
        <v>2971</v>
      </c>
      <c r="E304" s="552">
        <v>0</v>
      </c>
      <c r="F304" s="755"/>
      <c r="G304" s="756"/>
    </row>
    <row r="305" spans="1:7" ht="16.3" customHeight="1">
      <c r="A305" s="552" t="s">
        <v>3694</v>
      </c>
      <c r="B305" s="700" t="s">
        <v>6055</v>
      </c>
      <c r="C305" s="539" t="s">
        <v>2783</v>
      </c>
      <c r="D305" s="550" t="s">
        <v>6697</v>
      </c>
      <c r="E305" s="552">
        <v>0</v>
      </c>
      <c r="F305" s="755"/>
      <c r="G305" s="756"/>
    </row>
    <row r="306" spans="1:7" ht="16.3" customHeight="1">
      <c r="A306" s="552" t="s">
        <v>3694</v>
      </c>
      <c r="B306" s="698" t="s">
        <v>3695</v>
      </c>
      <c r="C306" s="539" t="s">
        <v>6181</v>
      </c>
      <c r="D306" s="550" t="s">
        <v>2802</v>
      </c>
      <c r="E306" s="552">
        <v>0</v>
      </c>
      <c r="F306" s="755"/>
      <c r="G306" s="756"/>
    </row>
    <row r="307" spans="1:7" ht="16.3" customHeight="1">
      <c r="A307" s="552" t="s">
        <v>3694</v>
      </c>
      <c r="B307" s="698" t="s">
        <v>3695</v>
      </c>
      <c r="C307" s="539" t="s">
        <v>6182</v>
      </c>
      <c r="D307" s="550" t="s">
        <v>2802</v>
      </c>
      <c r="E307" s="552">
        <v>0</v>
      </c>
      <c r="F307" s="755"/>
      <c r="G307" s="756"/>
    </row>
    <row r="308" spans="1:7" ht="16.3" customHeight="1">
      <c r="A308" s="552" t="s">
        <v>3694</v>
      </c>
      <c r="B308" s="699" t="s">
        <v>3696</v>
      </c>
      <c r="C308" s="539" t="s">
        <v>6183</v>
      </c>
      <c r="D308" s="550" t="s">
        <v>2805</v>
      </c>
      <c r="E308" s="552">
        <v>0</v>
      </c>
      <c r="F308" s="755"/>
      <c r="G308" s="756"/>
    </row>
    <row r="309" spans="1:7" ht="16.3" customHeight="1">
      <c r="A309" s="552" t="s">
        <v>3694</v>
      </c>
      <c r="B309" s="699" t="s">
        <v>3696</v>
      </c>
      <c r="C309" s="539" t="s">
        <v>2783</v>
      </c>
      <c r="D309" s="550" t="s">
        <v>2805</v>
      </c>
      <c r="E309" s="552">
        <v>0</v>
      </c>
      <c r="F309" s="755"/>
      <c r="G309" s="756"/>
    </row>
    <row r="310" spans="1:7" ht="16.3" customHeight="1">
      <c r="A310" s="552" t="s">
        <v>3694</v>
      </c>
      <c r="B310" s="696" t="s">
        <v>3697</v>
      </c>
      <c r="C310" s="539" t="s">
        <v>6184</v>
      </c>
      <c r="D310" s="550" t="s">
        <v>2875</v>
      </c>
      <c r="E310" s="552">
        <v>0</v>
      </c>
      <c r="F310" s="755"/>
      <c r="G310" s="756"/>
    </row>
    <row r="311" spans="1:7" ht="16.3" customHeight="1">
      <c r="A311" s="552" t="s">
        <v>3694</v>
      </c>
      <c r="B311" s="696" t="s">
        <v>3697</v>
      </c>
      <c r="C311" s="539" t="s">
        <v>6185</v>
      </c>
      <c r="D311" s="550" t="s">
        <v>2875</v>
      </c>
      <c r="E311" s="552">
        <v>0</v>
      </c>
      <c r="F311" s="755"/>
      <c r="G311" s="756"/>
    </row>
    <row r="312" spans="1:7" ht="16.3" customHeight="1">
      <c r="A312" s="552" t="s">
        <v>3694</v>
      </c>
      <c r="B312" s="696" t="s">
        <v>3697</v>
      </c>
      <c r="C312" s="539" t="s">
        <v>6186</v>
      </c>
      <c r="D312" s="550" t="s">
        <v>2875</v>
      </c>
      <c r="E312" s="552">
        <v>0</v>
      </c>
      <c r="F312" s="755"/>
      <c r="G312" s="756"/>
    </row>
    <row r="313" spans="1:7" ht="16.3" customHeight="1">
      <c r="A313" s="552" t="s">
        <v>3694</v>
      </c>
      <c r="B313" s="695" t="s">
        <v>3698</v>
      </c>
      <c r="C313" s="539" t="s">
        <v>7283</v>
      </c>
      <c r="D313" s="550" t="s">
        <v>2998</v>
      </c>
      <c r="E313" s="552">
        <v>0</v>
      </c>
      <c r="F313" s="755"/>
      <c r="G313" s="756"/>
    </row>
    <row r="314" spans="1:7" ht="16.3" customHeight="1">
      <c r="A314" s="552" t="s">
        <v>3694</v>
      </c>
      <c r="B314" s="695" t="s">
        <v>3698</v>
      </c>
      <c r="C314" s="539" t="s">
        <v>6187</v>
      </c>
      <c r="D314" s="550" t="s">
        <v>2998</v>
      </c>
      <c r="E314" s="552">
        <v>0</v>
      </c>
      <c r="F314" s="755"/>
      <c r="G314" s="756"/>
    </row>
    <row r="315" spans="1:7" ht="16.3" customHeight="1">
      <c r="A315" s="552" t="s">
        <v>3694</v>
      </c>
      <c r="B315" s="695" t="s">
        <v>3698</v>
      </c>
      <c r="C315" s="539" t="s">
        <v>6188</v>
      </c>
      <c r="D315" s="550" t="s">
        <v>2998</v>
      </c>
      <c r="E315" s="552">
        <v>0</v>
      </c>
      <c r="F315" s="755"/>
      <c r="G315" s="756"/>
    </row>
    <row r="316" spans="1:7" ht="16.3" customHeight="1">
      <c r="A316" s="552" t="s">
        <v>3694</v>
      </c>
      <c r="B316" s="695" t="s">
        <v>3698</v>
      </c>
      <c r="C316" s="539" t="s">
        <v>2783</v>
      </c>
      <c r="D316" s="550" t="s">
        <v>2998</v>
      </c>
      <c r="E316" s="552">
        <v>0</v>
      </c>
      <c r="F316" s="755"/>
      <c r="G316" s="756"/>
    </row>
    <row r="317" spans="1:7" ht="16.3" customHeight="1">
      <c r="A317" s="552" t="s">
        <v>3694</v>
      </c>
      <c r="B317" s="697" t="s">
        <v>3699</v>
      </c>
      <c r="C317" s="539" t="s">
        <v>8997</v>
      </c>
      <c r="D317" s="550" t="s">
        <v>2809</v>
      </c>
      <c r="E317" s="552">
        <v>0</v>
      </c>
      <c r="F317" s="755"/>
      <c r="G317" s="756"/>
    </row>
    <row r="318" spans="1:7" ht="16.3" customHeight="1">
      <c r="A318" s="552" t="s">
        <v>3694</v>
      </c>
      <c r="B318" s="697" t="s">
        <v>3699</v>
      </c>
      <c r="C318" s="539" t="s">
        <v>6190</v>
      </c>
      <c r="D318" s="550" t="s">
        <v>2809</v>
      </c>
      <c r="E318" s="552">
        <v>0</v>
      </c>
      <c r="F318" s="755"/>
      <c r="G318" s="756"/>
    </row>
    <row r="319" spans="1:7" ht="16.3" customHeight="1">
      <c r="A319" s="552" t="s">
        <v>3694</v>
      </c>
      <c r="B319" s="697" t="s">
        <v>3699</v>
      </c>
      <c r="C319" s="539" t="s">
        <v>6191</v>
      </c>
      <c r="D319" s="550" t="s">
        <v>2809</v>
      </c>
      <c r="E319" s="552">
        <v>0</v>
      </c>
      <c r="F319" s="755"/>
      <c r="G319" s="756"/>
    </row>
    <row r="320" spans="1:7" ht="16.3" customHeight="1">
      <c r="A320" s="552" t="s">
        <v>3694</v>
      </c>
      <c r="B320" s="697" t="s">
        <v>3699</v>
      </c>
      <c r="C320" s="539" t="s">
        <v>6192</v>
      </c>
      <c r="D320" s="550" t="s">
        <v>2809</v>
      </c>
      <c r="E320" s="552">
        <v>0</v>
      </c>
      <c r="F320" s="755"/>
      <c r="G320" s="756"/>
    </row>
    <row r="321" spans="1:7" ht="16.3" customHeight="1">
      <c r="A321" s="552" t="s">
        <v>3694</v>
      </c>
      <c r="B321" s="697" t="s">
        <v>3699</v>
      </c>
      <c r="C321" s="539" t="s">
        <v>2783</v>
      </c>
      <c r="D321" s="550" t="s">
        <v>2809</v>
      </c>
      <c r="E321" s="552">
        <v>0</v>
      </c>
      <c r="F321" s="755"/>
      <c r="G321" s="756"/>
    </row>
    <row r="322" spans="1:7" ht="16.3" customHeight="1">
      <c r="A322" s="552" t="s">
        <v>3694</v>
      </c>
      <c r="B322" s="694" t="s">
        <v>3700</v>
      </c>
      <c r="C322" s="539" t="s">
        <v>6193</v>
      </c>
      <c r="D322" s="550" t="s">
        <v>2971</v>
      </c>
      <c r="E322" s="552">
        <v>0</v>
      </c>
      <c r="F322" s="755"/>
      <c r="G322" s="756"/>
    </row>
    <row r="323" spans="1:7" ht="16.3" customHeight="1">
      <c r="A323" s="552" t="s">
        <v>3694</v>
      </c>
      <c r="B323" s="694" t="s">
        <v>3700</v>
      </c>
      <c r="C323" s="539" t="s">
        <v>6194</v>
      </c>
      <c r="D323" s="550" t="s">
        <v>2971</v>
      </c>
      <c r="E323" s="552">
        <v>0</v>
      </c>
      <c r="F323" s="755"/>
      <c r="G323" s="756"/>
    </row>
    <row r="324" spans="1:7" ht="16.3" customHeight="1">
      <c r="A324" s="552" t="s">
        <v>3694</v>
      </c>
      <c r="B324" s="700" t="s">
        <v>6055</v>
      </c>
      <c r="C324" s="539" t="s">
        <v>2783</v>
      </c>
      <c r="D324" s="550" t="s">
        <v>6697</v>
      </c>
      <c r="E324" s="552">
        <v>0</v>
      </c>
      <c r="F324" s="755"/>
      <c r="G324" s="756"/>
    </row>
    <row r="325" spans="1:7" ht="16.3" customHeight="1">
      <c r="A325" s="552" t="s">
        <v>3694</v>
      </c>
      <c r="B325" s="698" t="s">
        <v>3695</v>
      </c>
      <c r="C325" s="539" t="s">
        <v>6195</v>
      </c>
      <c r="D325" s="550" t="s">
        <v>2802</v>
      </c>
      <c r="E325" s="552">
        <v>0</v>
      </c>
      <c r="F325" s="755"/>
      <c r="G325" s="756"/>
    </row>
    <row r="326" spans="1:7" ht="16.3" customHeight="1">
      <c r="A326" s="552" t="s">
        <v>3694</v>
      </c>
      <c r="B326" s="698" t="s">
        <v>3695</v>
      </c>
      <c r="C326" s="539" t="s">
        <v>2783</v>
      </c>
      <c r="D326" s="550" t="s">
        <v>2802</v>
      </c>
      <c r="E326" s="552">
        <v>0</v>
      </c>
      <c r="F326" s="755"/>
      <c r="G326" s="757"/>
    </row>
    <row r="327" spans="1:7" ht="16.3" customHeight="1">
      <c r="A327" s="552" t="s">
        <v>3694</v>
      </c>
      <c r="B327" s="699" t="s">
        <v>3696</v>
      </c>
      <c r="C327" s="539" t="s">
        <v>6196</v>
      </c>
      <c r="D327" s="550" t="s">
        <v>2805</v>
      </c>
      <c r="E327" s="552">
        <v>0</v>
      </c>
      <c r="F327" s="755"/>
      <c r="G327" s="757"/>
    </row>
    <row r="328" spans="1:7" ht="16.3" customHeight="1">
      <c r="A328" s="552" t="s">
        <v>3694</v>
      </c>
      <c r="B328" s="699" t="s">
        <v>3696</v>
      </c>
      <c r="C328" s="539" t="s">
        <v>2783</v>
      </c>
      <c r="D328" s="550" t="s">
        <v>2805</v>
      </c>
      <c r="E328" s="552">
        <v>0</v>
      </c>
      <c r="F328" s="755"/>
      <c r="G328" s="757"/>
    </row>
    <row r="329" spans="1:7" ht="16.3" customHeight="1">
      <c r="A329" s="552" t="s">
        <v>3694</v>
      </c>
      <c r="B329" s="696" t="s">
        <v>3697</v>
      </c>
      <c r="C329" s="539" t="s">
        <v>6197</v>
      </c>
      <c r="D329" s="550" t="s">
        <v>2875</v>
      </c>
      <c r="E329" s="552">
        <v>0</v>
      </c>
      <c r="F329" s="755"/>
      <c r="G329" s="757"/>
    </row>
    <row r="330" spans="1:7" ht="16.3" customHeight="1">
      <c r="A330" s="552" t="s">
        <v>3694</v>
      </c>
      <c r="B330" s="696" t="s">
        <v>3697</v>
      </c>
      <c r="C330" s="539" t="s">
        <v>7315</v>
      </c>
      <c r="D330" s="550" t="s">
        <v>2875</v>
      </c>
      <c r="E330" s="552">
        <v>0</v>
      </c>
      <c r="F330" s="755"/>
      <c r="G330" s="757"/>
    </row>
    <row r="331" spans="1:7" ht="16.3" customHeight="1">
      <c r="A331" s="552" t="s">
        <v>3694</v>
      </c>
      <c r="B331" s="696" t="s">
        <v>3697</v>
      </c>
      <c r="C331" s="539" t="s">
        <v>2783</v>
      </c>
      <c r="D331" s="550" t="s">
        <v>2875</v>
      </c>
      <c r="E331" s="552">
        <v>0</v>
      </c>
      <c r="F331" s="755"/>
      <c r="G331" s="757"/>
    </row>
    <row r="332" spans="1:7" ht="16.3" customHeight="1">
      <c r="A332" s="552" t="s">
        <v>3694</v>
      </c>
      <c r="B332" s="695" t="s">
        <v>3698</v>
      </c>
      <c r="C332" s="539" t="s">
        <v>6198</v>
      </c>
      <c r="D332" s="550" t="s">
        <v>2998</v>
      </c>
      <c r="E332" s="552">
        <v>0</v>
      </c>
      <c r="F332" s="755"/>
      <c r="G332" s="757"/>
    </row>
    <row r="333" spans="1:7" ht="16.3" customHeight="1">
      <c r="A333" s="552" t="s">
        <v>3694</v>
      </c>
      <c r="B333" s="695" t="s">
        <v>3698</v>
      </c>
      <c r="C333" s="539" t="s">
        <v>8998</v>
      </c>
      <c r="D333" s="550" t="s">
        <v>2998</v>
      </c>
      <c r="E333" s="552">
        <v>0</v>
      </c>
      <c r="F333" s="755"/>
      <c r="G333" s="757"/>
    </row>
    <row r="334" spans="1:7" ht="16.3" customHeight="1">
      <c r="A334" s="552" t="s">
        <v>3694</v>
      </c>
      <c r="B334" s="695" t="s">
        <v>3698</v>
      </c>
      <c r="C334" s="539" t="s">
        <v>2783</v>
      </c>
      <c r="D334" s="550" t="s">
        <v>2998</v>
      </c>
      <c r="E334" s="552">
        <v>0</v>
      </c>
      <c r="F334" s="755"/>
      <c r="G334" s="757"/>
    </row>
    <row r="335" spans="1:7" ht="16.3" customHeight="1">
      <c r="A335" s="552" t="s">
        <v>3694</v>
      </c>
      <c r="B335" s="695" t="s">
        <v>3698</v>
      </c>
      <c r="C335" s="539" t="s">
        <v>2783</v>
      </c>
      <c r="D335" s="550" t="s">
        <v>2998</v>
      </c>
      <c r="E335" s="552">
        <v>0</v>
      </c>
      <c r="F335" s="755"/>
      <c r="G335" s="757"/>
    </row>
    <row r="336" spans="1:7" ht="16.3" customHeight="1">
      <c r="A336" s="552" t="s">
        <v>3694</v>
      </c>
      <c r="B336" s="697" t="s">
        <v>3699</v>
      </c>
      <c r="C336" s="539" t="s">
        <v>6200</v>
      </c>
      <c r="D336" s="550" t="s">
        <v>2809</v>
      </c>
      <c r="E336" s="552">
        <v>0</v>
      </c>
      <c r="F336" s="755"/>
      <c r="G336" s="756"/>
    </row>
    <row r="337" spans="1:7" ht="16.3" customHeight="1">
      <c r="A337" s="552" t="s">
        <v>3694</v>
      </c>
      <c r="B337" s="697" t="s">
        <v>3699</v>
      </c>
      <c r="C337" s="539" t="s">
        <v>6201</v>
      </c>
      <c r="D337" s="550" t="s">
        <v>2809</v>
      </c>
      <c r="E337" s="552">
        <v>0</v>
      </c>
      <c r="F337" s="755"/>
      <c r="G337" s="757"/>
    </row>
    <row r="338" spans="1:7" ht="16.3" customHeight="1">
      <c r="A338" s="552" t="s">
        <v>3694</v>
      </c>
      <c r="B338" s="697" t="s">
        <v>3699</v>
      </c>
      <c r="C338" s="539" t="s">
        <v>8999</v>
      </c>
      <c r="D338" s="550" t="s">
        <v>2809</v>
      </c>
      <c r="E338" s="552">
        <v>0</v>
      </c>
      <c r="F338" s="755"/>
      <c r="G338" s="756"/>
    </row>
    <row r="339" spans="1:7" ht="16.3" customHeight="1">
      <c r="A339" s="552" t="s">
        <v>3694</v>
      </c>
      <c r="B339" s="697" t="s">
        <v>3699</v>
      </c>
      <c r="C339" s="539" t="s">
        <v>2783</v>
      </c>
      <c r="D339" s="550" t="s">
        <v>2809</v>
      </c>
      <c r="E339" s="552">
        <v>0</v>
      </c>
      <c r="F339" s="755"/>
      <c r="G339" s="756"/>
    </row>
    <row r="340" spans="1:7" ht="16.3" customHeight="1">
      <c r="A340" s="552" t="s">
        <v>3694</v>
      </c>
      <c r="B340" s="697" t="s">
        <v>3699</v>
      </c>
      <c r="C340" s="539" t="s">
        <v>2783</v>
      </c>
      <c r="D340" s="550" t="s">
        <v>2809</v>
      </c>
      <c r="E340" s="552">
        <v>0</v>
      </c>
      <c r="F340" s="755"/>
      <c r="G340" s="756"/>
    </row>
    <row r="341" spans="1:7" ht="16.3" customHeight="1">
      <c r="A341" s="552" t="s">
        <v>3694</v>
      </c>
      <c r="B341" s="694" t="s">
        <v>3700</v>
      </c>
      <c r="C341" s="539" t="s">
        <v>6203</v>
      </c>
      <c r="D341" s="550" t="s">
        <v>2971</v>
      </c>
      <c r="E341" s="552">
        <v>0</v>
      </c>
      <c r="F341" s="755"/>
      <c r="G341" s="757"/>
    </row>
    <row r="342" spans="1:7" ht="16.3" customHeight="1">
      <c r="A342" s="552" t="s">
        <v>3694</v>
      </c>
      <c r="B342" s="694" t="s">
        <v>3700</v>
      </c>
      <c r="C342" s="539" t="s">
        <v>2783</v>
      </c>
      <c r="D342" s="550" t="s">
        <v>2971</v>
      </c>
      <c r="E342" s="552">
        <v>0</v>
      </c>
      <c r="F342" s="755"/>
      <c r="G342" s="757"/>
    </row>
    <row r="343" spans="1:7" ht="16.3" customHeight="1">
      <c r="A343" s="552" t="s">
        <v>3694</v>
      </c>
      <c r="B343" s="700" t="s">
        <v>6055</v>
      </c>
      <c r="C343" s="539" t="s">
        <v>2783</v>
      </c>
      <c r="D343" s="550" t="s">
        <v>6697</v>
      </c>
      <c r="E343" s="552">
        <v>0</v>
      </c>
      <c r="F343" s="755"/>
      <c r="G343" s="757"/>
    </row>
    <row r="344" spans="1:7" ht="16.3" customHeight="1">
      <c r="A344" s="552" t="s">
        <v>3694</v>
      </c>
      <c r="B344" s="698" t="s">
        <v>3695</v>
      </c>
      <c r="C344" s="539" t="s">
        <v>6204</v>
      </c>
      <c r="D344" s="550" t="s">
        <v>2802</v>
      </c>
      <c r="E344" s="552">
        <v>0</v>
      </c>
      <c r="F344" s="755"/>
      <c r="G344" s="757"/>
    </row>
    <row r="345" spans="1:7" ht="16.3" customHeight="1">
      <c r="A345" s="552" t="s">
        <v>3694</v>
      </c>
      <c r="B345" s="698" t="s">
        <v>3695</v>
      </c>
      <c r="C345" s="539" t="s">
        <v>2783</v>
      </c>
      <c r="D345" s="550" t="s">
        <v>2802</v>
      </c>
      <c r="E345" s="552">
        <v>0</v>
      </c>
      <c r="F345" s="755"/>
      <c r="G345" s="757"/>
    </row>
    <row r="346" spans="1:7" ht="16.3" customHeight="1">
      <c r="A346" s="552" t="s">
        <v>3694</v>
      </c>
      <c r="B346" s="699" t="s">
        <v>3696</v>
      </c>
      <c r="C346" s="539" t="s">
        <v>6205</v>
      </c>
      <c r="D346" s="550" t="s">
        <v>2805</v>
      </c>
      <c r="E346" s="552">
        <v>0</v>
      </c>
      <c r="F346" s="755"/>
      <c r="G346" s="757"/>
    </row>
    <row r="347" spans="1:7" ht="16.3" customHeight="1">
      <c r="A347" s="552" t="s">
        <v>3694</v>
      </c>
      <c r="B347" s="699" t="s">
        <v>3696</v>
      </c>
      <c r="C347" s="539" t="s">
        <v>2783</v>
      </c>
      <c r="D347" s="550" t="s">
        <v>2805</v>
      </c>
      <c r="E347" s="552">
        <v>0</v>
      </c>
      <c r="F347" s="755"/>
      <c r="G347" s="757"/>
    </row>
    <row r="348" spans="1:7" ht="16.3" customHeight="1">
      <c r="A348" s="552" t="s">
        <v>3694</v>
      </c>
      <c r="B348" s="696" t="s">
        <v>3697</v>
      </c>
      <c r="C348" s="539" t="s">
        <v>6206</v>
      </c>
      <c r="D348" s="550" t="s">
        <v>2875</v>
      </c>
      <c r="E348" s="552">
        <v>0</v>
      </c>
      <c r="F348" s="755"/>
      <c r="G348" s="757"/>
    </row>
    <row r="349" spans="1:7" ht="16.3" customHeight="1">
      <c r="A349" s="552" t="s">
        <v>3694</v>
      </c>
      <c r="B349" s="696" t="s">
        <v>3697</v>
      </c>
      <c r="C349" s="539" t="s">
        <v>6207</v>
      </c>
      <c r="D349" s="550" t="s">
        <v>2875</v>
      </c>
      <c r="E349" s="552">
        <v>0</v>
      </c>
      <c r="F349" s="755"/>
      <c r="G349" s="757"/>
    </row>
    <row r="350" spans="1:7" ht="16.3" customHeight="1">
      <c r="A350" s="552" t="s">
        <v>3694</v>
      </c>
      <c r="B350" s="696" t="s">
        <v>3697</v>
      </c>
      <c r="C350" s="539" t="s">
        <v>2783</v>
      </c>
      <c r="D350" s="550" t="s">
        <v>2875</v>
      </c>
      <c r="E350" s="552">
        <v>0</v>
      </c>
      <c r="F350" s="755"/>
      <c r="G350" s="757"/>
    </row>
    <row r="351" spans="1:7" ht="16.3" customHeight="1">
      <c r="A351" s="552" t="s">
        <v>3694</v>
      </c>
      <c r="B351" s="695" t="s">
        <v>3698</v>
      </c>
      <c r="C351" s="539" t="s">
        <v>6208</v>
      </c>
      <c r="D351" s="550" t="s">
        <v>2998</v>
      </c>
      <c r="E351" s="552">
        <v>0</v>
      </c>
      <c r="F351" s="755"/>
      <c r="G351" s="756"/>
    </row>
    <row r="352" spans="1:7" ht="16.3" customHeight="1">
      <c r="A352" s="552" t="s">
        <v>3694</v>
      </c>
      <c r="B352" s="695" t="s">
        <v>3698</v>
      </c>
      <c r="C352" s="539" t="s">
        <v>6209</v>
      </c>
      <c r="D352" s="550" t="s">
        <v>2998</v>
      </c>
      <c r="E352" s="552">
        <v>0</v>
      </c>
      <c r="F352" s="755"/>
      <c r="G352" s="756"/>
    </row>
    <row r="353" spans="1:7" ht="16.3" customHeight="1">
      <c r="A353" s="552" t="s">
        <v>3694</v>
      </c>
      <c r="B353" s="695" t="s">
        <v>3698</v>
      </c>
      <c r="C353" s="539" t="s">
        <v>2783</v>
      </c>
      <c r="D353" s="550" t="s">
        <v>2998</v>
      </c>
      <c r="E353" s="552">
        <v>0</v>
      </c>
      <c r="F353" s="755"/>
      <c r="G353" s="756"/>
    </row>
    <row r="354" spans="1:7" ht="16.3" customHeight="1">
      <c r="A354" s="552" t="s">
        <v>3694</v>
      </c>
      <c r="B354" s="695" t="s">
        <v>3698</v>
      </c>
      <c r="C354" s="539" t="s">
        <v>2783</v>
      </c>
      <c r="D354" s="550" t="s">
        <v>2998</v>
      </c>
      <c r="E354" s="552">
        <v>0</v>
      </c>
      <c r="F354" s="755"/>
      <c r="G354" s="756"/>
    </row>
    <row r="355" spans="1:7" ht="16.3" customHeight="1">
      <c r="A355" s="552" t="s">
        <v>3694</v>
      </c>
      <c r="B355" s="697" t="s">
        <v>3699</v>
      </c>
      <c r="C355" s="539" t="s">
        <v>6210</v>
      </c>
      <c r="D355" s="550" t="s">
        <v>2809</v>
      </c>
      <c r="E355" s="552">
        <v>0</v>
      </c>
      <c r="F355" s="755"/>
      <c r="G355" s="756"/>
    </row>
    <row r="356" spans="1:7" ht="16.3" customHeight="1">
      <c r="A356" s="552" t="s">
        <v>3694</v>
      </c>
      <c r="B356" s="697" t="s">
        <v>3699</v>
      </c>
      <c r="C356" s="539" t="s">
        <v>6211</v>
      </c>
      <c r="D356" s="550" t="s">
        <v>2809</v>
      </c>
      <c r="E356" s="552">
        <v>0</v>
      </c>
      <c r="F356" s="755"/>
      <c r="G356" s="757"/>
    </row>
    <row r="357" spans="1:7" ht="16.3" customHeight="1">
      <c r="A357" s="552" t="s">
        <v>3694</v>
      </c>
      <c r="B357" s="697" t="s">
        <v>3699</v>
      </c>
      <c r="C357" s="539" t="s">
        <v>6212</v>
      </c>
      <c r="D357" s="550" t="s">
        <v>2809</v>
      </c>
      <c r="E357" s="552">
        <v>0</v>
      </c>
      <c r="F357" s="755"/>
      <c r="G357" s="756"/>
    </row>
    <row r="358" spans="1:7" ht="16.3" customHeight="1">
      <c r="A358" s="552" t="s">
        <v>3694</v>
      </c>
      <c r="B358" s="697" t="s">
        <v>3699</v>
      </c>
      <c r="C358" s="539" t="s">
        <v>2783</v>
      </c>
      <c r="D358" s="550" t="s">
        <v>2809</v>
      </c>
      <c r="E358" s="552">
        <v>0</v>
      </c>
      <c r="F358" s="755"/>
      <c r="G358" s="756"/>
    </row>
    <row r="359" spans="1:7" ht="16.3" customHeight="1">
      <c r="A359" s="552" t="s">
        <v>3694</v>
      </c>
      <c r="B359" s="697" t="s">
        <v>3699</v>
      </c>
      <c r="C359" s="539" t="s">
        <v>2783</v>
      </c>
      <c r="D359" s="550" t="s">
        <v>2809</v>
      </c>
      <c r="E359" s="552">
        <v>0</v>
      </c>
      <c r="F359" s="755"/>
      <c r="G359" s="756"/>
    </row>
    <row r="360" spans="1:7" ht="16.3" customHeight="1">
      <c r="A360" s="552" t="s">
        <v>3694</v>
      </c>
      <c r="B360" s="694" t="s">
        <v>3700</v>
      </c>
      <c r="C360" s="539" t="s">
        <v>9000</v>
      </c>
      <c r="D360" s="550" t="s">
        <v>2971</v>
      </c>
      <c r="E360" s="552">
        <v>0</v>
      </c>
      <c r="F360" s="755"/>
      <c r="G360" s="756"/>
    </row>
    <row r="361" spans="1:7" ht="16.3" customHeight="1">
      <c r="A361" s="552" t="s">
        <v>3694</v>
      </c>
      <c r="B361" s="694" t="s">
        <v>3700</v>
      </c>
      <c r="C361" s="539" t="s">
        <v>2783</v>
      </c>
      <c r="D361" s="550" t="s">
        <v>2971</v>
      </c>
      <c r="E361" s="552">
        <v>0</v>
      </c>
      <c r="F361" s="755"/>
      <c r="G361" s="756"/>
    </row>
    <row r="362" spans="1:7" ht="16.3" customHeight="1">
      <c r="A362" s="552" t="s">
        <v>3694</v>
      </c>
      <c r="B362" s="700" t="s">
        <v>6055</v>
      </c>
      <c r="C362" s="539" t="s">
        <v>2783</v>
      </c>
      <c r="D362" s="550" t="s">
        <v>6697</v>
      </c>
      <c r="E362" s="552">
        <v>0</v>
      </c>
      <c r="F362" s="755"/>
      <c r="G362" s="756"/>
    </row>
    <row r="363" spans="1:7" ht="16.3" customHeight="1">
      <c r="A363" s="552" t="s">
        <v>3694</v>
      </c>
      <c r="B363" s="698" t="s">
        <v>3695</v>
      </c>
      <c r="C363" s="539" t="s">
        <v>6214</v>
      </c>
      <c r="D363" s="550" t="s">
        <v>2802</v>
      </c>
      <c r="E363" s="552">
        <v>0</v>
      </c>
      <c r="F363" s="755"/>
      <c r="G363" s="756"/>
    </row>
    <row r="364" spans="1:7" ht="16.3" customHeight="1">
      <c r="A364" s="552" t="s">
        <v>3694</v>
      </c>
      <c r="B364" s="698" t="s">
        <v>3695</v>
      </c>
      <c r="C364" s="539" t="s">
        <v>6215</v>
      </c>
      <c r="D364" s="550" t="s">
        <v>2802</v>
      </c>
      <c r="E364" s="552">
        <v>0</v>
      </c>
      <c r="F364" s="755"/>
      <c r="G364" s="756"/>
    </row>
    <row r="365" spans="1:7" ht="16.3" customHeight="1">
      <c r="A365" s="552" t="s">
        <v>3694</v>
      </c>
      <c r="B365" s="699" t="s">
        <v>3696</v>
      </c>
      <c r="C365" s="539" t="s">
        <v>6216</v>
      </c>
      <c r="D365" s="550" t="s">
        <v>2805</v>
      </c>
      <c r="E365" s="552">
        <v>0</v>
      </c>
      <c r="F365" s="755"/>
      <c r="G365" s="756"/>
    </row>
    <row r="366" spans="1:7" ht="16.3" customHeight="1">
      <c r="A366" s="552" t="s">
        <v>3694</v>
      </c>
      <c r="B366" s="699" t="s">
        <v>3696</v>
      </c>
      <c r="C366" s="539" t="s">
        <v>2783</v>
      </c>
      <c r="D366" s="550" t="s">
        <v>2805</v>
      </c>
      <c r="E366" s="552">
        <v>0</v>
      </c>
      <c r="F366" s="755"/>
      <c r="G366" s="756"/>
    </row>
    <row r="367" spans="1:7" ht="16.3" customHeight="1">
      <c r="A367" s="552" t="s">
        <v>3694</v>
      </c>
      <c r="B367" s="696" t="s">
        <v>3697</v>
      </c>
      <c r="C367" s="539" t="s">
        <v>6217</v>
      </c>
      <c r="D367" s="550" t="s">
        <v>2875</v>
      </c>
      <c r="E367" s="552">
        <v>0</v>
      </c>
      <c r="F367" s="755"/>
      <c r="G367" s="756"/>
    </row>
    <row r="368" spans="1:7" ht="16.3" customHeight="1">
      <c r="A368" s="552" t="s">
        <v>3694</v>
      </c>
      <c r="B368" s="696" t="s">
        <v>3697</v>
      </c>
      <c r="C368" s="539" t="s">
        <v>9001</v>
      </c>
      <c r="D368" s="550" t="s">
        <v>2875</v>
      </c>
      <c r="E368" s="552">
        <v>0</v>
      </c>
      <c r="F368" s="755"/>
      <c r="G368" s="756"/>
    </row>
    <row r="369" spans="1:7" ht="16.3" customHeight="1">
      <c r="A369" s="552" t="s">
        <v>3694</v>
      </c>
      <c r="B369" s="696" t="s">
        <v>3697</v>
      </c>
      <c r="C369" s="539" t="s">
        <v>2783</v>
      </c>
      <c r="D369" s="550" t="s">
        <v>2875</v>
      </c>
      <c r="E369" s="552">
        <v>0</v>
      </c>
      <c r="F369" s="755"/>
      <c r="G369" s="756"/>
    </row>
    <row r="370" spans="1:7" ht="16.3" customHeight="1">
      <c r="A370" s="552" t="s">
        <v>3694</v>
      </c>
      <c r="B370" s="695" t="s">
        <v>3698</v>
      </c>
      <c r="C370" s="539" t="s">
        <v>9002</v>
      </c>
      <c r="D370" s="550" t="s">
        <v>2998</v>
      </c>
      <c r="E370" s="552">
        <v>0</v>
      </c>
      <c r="F370" s="755"/>
      <c r="G370" s="756"/>
    </row>
    <row r="371" spans="1:7" ht="16.3" customHeight="1">
      <c r="A371" s="552" t="s">
        <v>3694</v>
      </c>
      <c r="B371" s="695" t="s">
        <v>3698</v>
      </c>
      <c r="C371" s="539" t="s">
        <v>6220</v>
      </c>
      <c r="D371" s="550" t="s">
        <v>2998</v>
      </c>
      <c r="E371" s="552">
        <v>0</v>
      </c>
      <c r="F371" s="755"/>
      <c r="G371" s="756"/>
    </row>
    <row r="372" spans="1:7" ht="16.3" customHeight="1">
      <c r="A372" s="552" t="s">
        <v>3694</v>
      </c>
      <c r="B372" s="695" t="s">
        <v>3698</v>
      </c>
      <c r="C372" s="539" t="s">
        <v>2783</v>
      </c>
      <c r="D372" s="550" t="s">
        <v>2998</v>
      </c>
      <c r="E372" s="552">
        <v>0</v>
      </c>
      <c r="F372" s="755"/>
      <c r="G372" s="756"/>
    </row>
    <row r="373" spans="1:7" ht="16.3" customHeight="1">
      <c r="A373" s="552" t="s">
        <v>3694</v>
      </c>
      <c r="B373" s="695" t="s">
        <v>3698</v>
      </c>
      <c r="C373" s="539" t="s">
        <v>2783</v>
      </c>
      <c r="D373" s="550" t="s">
        <v>2998</v>
      </c>
      <c r="E373" s="552">
        <v>0</v>
      </c>
      <c r="F373" s="755"/>
      <c r="G373" s="756"/>
    </row>
    <row r="374" spans="1:7" ht="16.3" customHeight="1">
      <c r="A374" s="552" t="s">
        <v>3694</v>
      </c>
      <c r="B374" s="697" t="s">
        <v>3699</v>
      </c>
      <c r="C374" s="539" t="s">
        <v>6221</v>
      </c>
      <c r="D374" s="550" t="s">
        <v>2809</v>
      </c>
      <c r="E374" s="552">
        <v>0</v>
      </c>
      <c r="F374" s="755"/>
      <c r="G374" s="756"/>
    </row>
    <row r="375" spans="1:7" ht="16.3" customHeight="1">
      <c r="A375" s="552" t="s">
        <v>3694</v>
      </c>
      <c r="B375" s="697" t="s">
        <v>3699</v>
      </c>
      <c r="C375" s="539" t="s">
        <v>9003</v>
      </c>
      <c r="D375" s="550" t="s">
        <v>2809</v>
      </c>
      <c r="E375" s="552">
        <v>0</v>
      </c>
      <c r="F375" s="755"/>
      <c r="G375" s="756"/>
    </row>
    <row r="376" spans="1:7" ht="16.3" customHeight="1">
      <c r="A376" s="552" t="s">
        <v>3694</v>
      </c>
      <c r="B376" s="697" t="s">
        <v>3699</v>
      </c>
      <c r="C376" s="539" t="s">
        <v>7384</v>
      </c>
      <c r="D376" s="550" t="s">
        <v>2809</v>
      </c>
      <c r="E376" s="552">
        <v>0</v>
      </c>
      <c r="F376" s="755"/>
      <c r="G376" s="756"/>
    </row>
    <row r="377" spans="1:7" ht="16.3" customHeight="1">
      <c r="A377" s="552" t="s">
        <v>3694</v>
      </c>
      <c r="B377" s="697" t="s">
        <v>3699</v>
      </c>
      <c r="C377" s="539" t="s">
        <v>2783</v>
      </c>
      <c r="D377" s="550" t="s">
        <v>2809</v>
      </c>
      <c r="E377" s="552">
        <v>0</v>
      </c>
      <c r="F377" s="755"/>
      <c r="G377" s="756"/>
    </row>
    <row r="378" spans="1:7" ht="16.3" customHeight="1">
      <c r="A378" s="552" t="s">
        <v>3694</v>
      </c>
      <c r="B378" s="697" t="s">
        <v>3699</v>
      </c>
      <c r="C378" s="539" t="s">
        <v>2783</v>
      </c>
      <c r="D378" s="550" t="s">
        <v>2809</v>
      </c>
      <c r="E378" s="552">
        <v>0</v>
      </c>
      <c r="F378" s="755"/>
      <c r="G378" s="756"/>
    </row>
    <row r="379" spans="1:7" ht="16.3" customHeight="1">
      <c r="A379" s="552" t="s">
        <v>3694</v>
      </c>
      <c r="B379" s="694" t="s">
        <v>3700</v>
      </c>
      <c r="C379" s="539" t="s">
        <v>6223</v>
      </c>
      <c r="D379" s="550" t="s">
        <v>2971</v>
      </c>
      <c r="E379" s="552">
        <v>0</v>
      </c>
      <c r="F379" s="755"/>
      <c r="G379" s="756"/>
    </row>
    <row r="380" spans="1:7" ht="16.3" customHeight="1">
      <c r="A380" s="552" t="s">
        <v>3694</v>
      </c>
      <c r="B380" s="694" t="s">
        <v>3700</v>
      </c>
      <c r="C380" s="539" t="s">
        <v>9004</v>
      </c>
      <c r="D380" s="550" t="s">
        <v>2971</v>
      </c>
      <c r="E380" s="552">
        <v>0</v>
      </c>
      <c r="F380" s="755"/>
      <c r="G380" s="756"/>
    </row>
    <row r="381" spans="1:7" ht="16.3" customHeight="1">
      <c r="A381" s="552" t="s">
        <v>3694</v>
      </c>
      <c r="B381" s="700" t="s">
        <v>6055</v>
      </c>
      <c r="C381" s="539" t="s">
        <v>2783</v>
      </c>
      <c r="D381" s="550" t="s">
        <v>6697</v>
      </c>
      <c r="E381" s="552">
        <v>0</v>
      </c>
      <c r="F381" s="755"/>
      <c r="G381" s="756"/>
    </row>
    <row r="382" spans="1:7" ht="16.3" customHeight="1">
      <c r="A382" s="552" t="s">
        <v>3694</v>
      </c>
      <c r="B382" s="698" t="s">
        <v>3695</v>
      </c>
      <c r="C382" s="539" t="s">
        <v>6225</v>
      </c>
      <c r="D382" s="550" t="s">
        <v>2802</v>
      </c>
      <c r="E382" s="552">
        <v>0</v>
      </c>
      <c r="F382" s="755"/>
      <c r="G382" s="756"/>
    </row>
    <row r="383" spans="1:7" ht="16.3" customHeight="1">
      <c r="A383" s="552" t="s">
        <v>3694</v>
      </c>
      <c r="B383" s="698" t="s">
        <v>3695</v>
      </c>
      <c r="C383" s="539" t="s">
        <v>2783</v>
      </c>
      <c r="D383" s="550" t="s">
        <v>2802</v>
      </c>
      <c r="E383" s="552">
        <v>0</v>
      </c>
      <c r="F383" s="755"/>
      <c r="G383" s="756"/>
    </row>
    <row r="384" spans="1:7" ht="16.3" customHeight="1">
      <c r="A384" s="552" t="s">
        <v>3694</v>
      </c>
      <c r="B384" s="699" t="s">
        <v>3696</v>
      </c>
      <c r="C384" s="539" t="s">
        <v>7397</v>
      </c>
      <c r="D384" s="550" t="s">
        <v>2805</v>
      </c>
      <c r="E384" s="552">
        <v>0</v>
      </c>
      <c r="F384" s="755"/>
      <c r="G384" s="756"/>
    </row>
    <row r="385" spans="1:7" ht="16.3" customHeight="1">
      <c r="A385" s="552" t="s">
        <v>3694</v>
      </c>
      <c r="B385" s="699" t="s">
        <v>3696</v>
      </c>
      <c r="C385" s="539" t="s">
        <v>2783</v>
      </c>
      <c r="D385" s="550" t="s">
        <v>2805</v>
      </c>
      <c r="E385" s="552">
        <v>0</v>
      </c>
      <c r="F385" s="755"/>
      <c r="G385" s="756"/>
    </row>
    <row r="386" spans="1:7" ht="16.3" customHeight="1">
      <c r="A386" s="552" t="s">
        <v>3694</v>
      </c>
      <c r="B386" s="696" t="s">
        <v>3697</v>
      </c>
      <c r="C386" s="539" t="s">
        <v>2783</v>
      </c>
      <c r="D386" s="550" t="s">
        <v>2875</v>
      </c>
      <c r="E386" s="552">
        <v>0</v>
      </c>
      <c r="F386" s="755"/>
      <c r="G386" s="756"/>
    </row>
    <row r="387" spans="1:7" ht="16.3" customHeight="1">
      <c r="A387" s="552" t="s">
        <v>3694</v>
      </c>
      <c r="B387" s="696" t="s">
        <v>3697</v>
      </c>
      <c r="C387" s="539" t="s">
        <v>6226</v>
      </c>
      <c r="D387" s="550" t="s">
        <v>2875</v>
      </c>
      <c r="E387" s="552">
        <v>0</v>
      </c>
      <c r="F387" s="755"/>
      <c r="G387" s="756"/>
    </row>
    <row r="388" spans="1:7" ht="16.3" customHeight="1">
      <c r="A388" s="552" t="s">
        <v>3694</v>
      </c>
      <c r="B388" s="696" t="s">
        <v>3697</v>
      </c>
      <c r="C388" s="539" t="s">
        <v>2783</v>
      </c>
      <c r="D388" s="550" t="s">
        <v>2875</v>
      </c>
      <c r="E388" s="552">
        <v>0</v>
      </c>
      <c r="F388" s="755"/>
      <c r="G388" s="756"/>
    </row>
    <row r="389" spans="1:7" ht="16.3" customHeight="1">
      <c r="A389" s="552" t="s">
        <v>3694</v>
      </c>
      <c r="B389" s="695" t="s">
        <v>3698</v>
      </c>
      <c r="C389" s="539" t="s">
        <v>6227</v>
      </c>
      <c r="D389" s="550" t="s">
        <v>2998</v>
      </c>
      <c r="E389" s="552">
        <v>0</v>
      </c>
      <c r="F389" s="755"/>
      <c r="G389" s="756"/>
    </row>
    <row r="390" spans="1:7" ht="16.3" customHeight="1">
      <c r="A390" s="552" t="s">
        <v>3694</v>
      </c>
      <c r="B390" s="695" t="s">
        <v>3698</v>
      </c>
      <c r="C390" s="539" t="s">
        <v>2783</v>
      </c>
      <c r="D390" s="550" t="s">
        <v>2998</v>
      </c>
      <c r="E390" s="552">
        <v>0</v>
      </c>
      <c r="F390" s="755"/>
      <c r="G390" s="756"/>
    </row>
    <row r="391" spans="1:7" ht="16.3" customHeight="1">
      <c r="A391" s="552" t="s">
        <v>3694</v>
      </c>
      <c r="B391" s="695" t="s">
        <v>3698</v>
      </c>
      <c r="C391" s="539" t="s">
        <v>2783</v>
      </c>
      <c r="D391" s="550" t="s">
        <v>2998</v>
      </c>
      <c r="E391" s="552">
        <v>0</v>
      </c>
      <c r="F391" s="755"/>
      <c r="G391" s="756"/>
    </row>
    <row r="392" spans="1:7" ht="16.3" customHeight="1">
      <c r="A392" s="552" t="s">
        <v>3694</v>
      </c>
      <c r="B392" s="695" t="s">
        <v>3698</v>
      </c>
      <c r="C392" s="539" t="s">
        <v>2783</v>
      </c>
      <c r="D392" s="550" t="s">
        <v>2998</v>
      </c>
      <c r="E392" s="552">
        <v>0</v>
      </c>
      <c r="F392" s="755"/>
      <c r="G392" s="756"/>
    </row>
    <row r="393" spans="1:7" ht="16.3" customHeight="1">
      <c r="A393" s="552" t="s">
        <v>3694</v>
      </c>
      <c r="B393" s="697" t="s">
        <v>3699</v>
      </c>
      <c r="C393" s="539" t="s">
        <v>6228</v>
      </c>
      <c r="D393" s="550" t="s">
        <v>2809</v>
      </c>
      <c r="E393" s="552">
        <v>0</v>
      </c>
      <c r="F393" s="755"/>
      <c r="G393" s="756"/>
    </row>
    <row r="394" spans="1:7" ht="16.3" customHeight="1">
      <c r="A394" s="552" t="s">
        <v>3694</v>
      </c>
      <c r="B394" s="697" t="s">
        <v>3699</v>
      </c>
      <c r="C394" s="539" t="s">
        <v>2783</v>
      </c>
      <c r="D394" s="550" t="s">
        <v>2809</v>
      </c>
      <c r="E394" s="552">
        <v>0</v>
      </c>
      <c r="F394" s="755"/>
      <c r="G394" s="756"/>
    </row>
    <row r="395" spans="1:7" ht="16.3" customHeight="1">
      <c r="A395" s="552" t="s">
        <v>3694</v>
      </c>
      <c r="B395" s="697" t="s">
        <v>3699</v>
      </c>
      <c r="C395" s="539" t="s">
        <v>2783</v>
      </c>
      <c r="D395" s="550" t="s">
        <v>2809</v>
      </c>
      <c r="E395" s="552">
        <v>0</v>
      </c>
      <c r="F395" s="755"/>
      <c r="G395" s="756"/>
    </row>
    <row r="396" spans="1:7" ht="16.3" customHeight="1">
      <c r="A396" s="552" t="s">
        <v>3694</v>
      </c>
      <c r="B396" s="697" t="s">
        <v>3699</v>
      </c>
      <c r="C396" s="539" t="s">
        <v>2783</v>
      </c>
      <c r="D396" s="550" t="s">
        <v>2809</v>
      </c>
      <c r="E396" s="552">
        <v>0</v>
      </c>
      <c r="F396" s="755"/>
      <c r="G396" s="756"/>
    </row>
    <row r="397" spans="1:7" ht="16.3" customHeight="1">
      <c r="A397" s="552" t="s">
        <v>3694</v>
      </c>
      <c r="B397" s="697" t="s">
        <v>3699</v>
      </c>
      <c r="C397" s="539" t="s">
        <v>2783</v>
      </c>
      <c r="D397" s="550" t="s">
        <v>2809</v>
      </c>
      <c r="E397" s="552">
        <v>0</v>
      </c>
      <c r="F397" s="755"/>
      <c r="G397" s="756"/>
    </row>
    <row r="398" spans="1:7" ht="16.3" customHeight="1">
      <c r="A398" s="552" t="s">
        <v>3694</v>
      </c>
      <c r="B398" s="694" t="s">
        <v>3700</v>
      </c>
      <c r="C398" s="539" t="s">
        <v>2783</v>
      </c>
      <c r="D398" s="550" t="s">
        <v>2971</v>
      </c>
      <c r="E398" s="552">
        <v>0</v>
      </c>
      <c r="F398" s="755"/>
      <c r="G398" s="756"/>
    </row>
    <row r="399" spans="1:7" ht="16.3" customHeight="1">
      <c r="A399" s="552" t="s">
        <v>3694</v>
      </c>
      <c r="B399" s="694" t="s">
        <v>3700</v>
      </c>
      <c r="C399" s="539" t="s">
        <v>2783</v>
      </c>
      <c r="D399" s="550" t="s">
        <v>2971</v>
      </c>
      <c r="E399" s="552">
        <v>0</v>
      </c>
      <c r="F399" s="755"/>
      <c r="G399" s="756"/>
    </row>
    <row r="400" spans="1:7" ht="16.3" customHeight="1">
      <c r="A400" s="552" t="s">
        <v>3694</v>
      </c>
      <c r="B400" s="700" t="s">
        <v>6055</v>
      </c>
      <c r="C400" s="539" t="s">
        <v>2783</v>
      </c>
      <c r="D400" s="550" t="s">
        <v>6697</v>
      </c>
      <c r="E400" s="552">
        <v>0</v>
      </c>
      <c r="F400" s="755"/>
      <c r="G400" s="756"/>
    </row>
    <row r="401" spans="1:7" ht="16.3" customHeight="1">
      <c r="A401" s="552" t="s">
        <v>3694</v>
      </c>
      <c r="B401" s="698" t="s">
        <v>3695</v>
      </c>
      <c r="C401" s="539" t="s">
        <v>6229</v>
      </c>
      <c r="D401" s="550" t="s">
        <v>2802</v>
      </c>
      <c r="E401" s="552">
        <v>0</v>
      </c>
      <c r="F401" s="755"/>
      <c r="G401" s="756"/>
    </row>
    <row r="402" spans="1:7" ht="16.3" customHeight="1">
      <c r="A402" s="552" t="s">
        <v>3694</v>
      </c>
      <c r="B402" s="698" t="s">
        <v>3695</v>
      </c>
      <c r="C402" s="539" t="s">
        <v>2783</v>
      </c>
      <c r="D402" s="550" t="s">
        <v>2802</v>
      </c>
      <c r="E402" s="552">
        <v>0</v>
      </c>
      <c r="F402" s="755"/>
      <c r="G402" s="756"/>
    </row>
    <row r="403" spans="1:7" ht="16.3" customHeight="1">
      <c r="A403" s="552" t="s">
        <v>3694</v>
      </c>
      <c r="B403" s="699" t="s">
        <v>3696</v>
      </c>
      <c r="C403" s="539" t="s">
        <v>6230</v>
      </c>
      <c r="D403" s="550" t="s">
        <v>2805</v>
      </c>
      <c r="E403" s="552">
        <v>0</v>
      </c>
      <c r="F403" s="755"/>
      <c r="G403" s="756"/>
    </row>
    <row r="404" spans="1:7" ht="16.3" customHeight="1">
      <c r="A404" s="552" t="s">
        <v>3694</v>
      </c>
      <c r="B404" s="699" t="s">
        <v>3696</v>
      </c>
      <c r="C404" s="539" t="s">
        <v>2783</v>
      </c>
      <c r="D404" s="550" t="s">
        <v>2805</v>
      </c>
      <c r="E404" s="552">
        <v>0</v>
      </c>
      <c r="F404" s="755"/>
      <c r="G404" s="756"/>
    </row>
    <row r="405" spans="1:7" ht="16.3" customHeight="1">
      <c r="A405" s="552" t="s">
        <v>3694</v>
      </c>
      <c r="B405" s="696" t="s">
        <v>3697</v>
      </c>
      <c r="C405" s="539" t="s">
        <v>6231</v>
      </c>
      <c r="D405" s="550" t="s">
        <v>2875</v>
      </c>
      <c r="E405" s="552">
        <v>0</v>
      </c>
      <c r="F405" s="755"/>
      <c r="G405" s="756"/>
    </row>
    <row r="406" spans="1:7" ht="16.3" customHeight="1">
      <c r="A406" s="552" t="s">
        <v>3694</v>
      </c>
      <c r="B406" s="696" t="s">
        <v>3697</v>
      </c>
      <c r="C406" s="539" t="s">
        <v>2783</v>
      </c>
      <c r="D406" s="550" t="s">
        <v>2875</v>
      </c>
      <c r="E406" s="552">
        <v>0</v>
      </c>
      <c r="F406" s="755"/>
      <c r="G406" s="756"/>
    </row>
    <row r="407" spans="1:7" ht="16.3" customHeight="1">
      <c r="A407" s="552" t="s">
        <v>3694</v>
      </c>
      <c r="B407" s="696" t="s">
        <v>3697</v>
      </c>
      <c r="C407" s="539" t="s">
        <v>2783</v>
      </c>
      <c r="D407" s="550" t="s">
        <v>2875</v>
      </c>
      <c r="E407" s="552">
        <v>0</v>
      </c>
      <c r="F407" s="755"/>
      <c r="G407" s="756"/>
    </row>
    <row r="408" spans="1:7" ht="16.3" customHeight="1">
      <c r="A408" s="552" t="s">
        <v>3694</v>
      </c>
      <c r="B408" s="695" t="s">
        <v>3698</v>
      </c>
      <c r="C408" s="539" t="s">
        <v>2783</v>
      </c>
      <c r="D408" s="550" t="s">
        <v>2998</v>
      </c>
      <c r="E408" s="552">
        <v>0</v>
      </c>
      <c r="F408" s="755"/>
      <c r="G408" s="756"/>
    </row>
    <row r="409" spans="1:7" ht="16.3" customHeight="1">
      <c r="A409" s="552" t="s">
        <v>3694</v>
      </c>
      <c r="B409" s="695" t="s">
        <v>3698</v>
      </c>
      <c r="C409" s="539" t="s">
        <v>2783</v>
      </c>
      <c r="D409" s="550" t="s">
        <v>2998</v>
      </c>
      <c r="E409" s="552">
        <v>0</v>
      </c>
      <c r="F409" s="755"/>
      <c r="G409" s="756"/>
    </row>
    <row r="410" spans="1:7" ht="16.3" customHeight="1">
      <c r="A410" s="552" t="s">
        <v>3694</v>
      </c>
      <c r="B410" s="695" t="s">
        <v>3698</v>
      </c>
      <c r="C410" s="539" t="s">
        <v>6232</v>
      </c>
      <c r="D410" s="550" t="s">
        <v>2998</v>
      </c>
      <c r="E410" s="552">
        <v>0</v>
      </c>
      <c r="F410" s="755"/>
      <c r="G410" s="756"/>
    </row>
    <row r="411" spans="1:7" ht="16.3" customHeight="1">
      <c r="A411" s="552" t="s">
        <v>3694</v>
      </c>
      <c r="B411" s="695" t="s">
        <v>3698</v>
      </c>
      <c r="C411" s="539" t="s">
        <v>2783</v>
      </c>
      <c r="D411" s="550" t="s">
        <v>2998</v>
      </c>
      <c r="E411" s="552">
        <v>0</v>
      </c>
      <c r="F411" s="755"/>
      <c r="G411" s="756"/>
    </row>
    <row r="412" spans="1:7" ht="16.3" customHeight="1">
      <c r="A412" s="552" t="s">
        <v>3694</v>
      </c>
      <c r="B412" s="697" t="s">
        <v>3699</v>
      </c>
      <c r="C412" s="539" t="s">
        <v>2783</v>
      </c>
      <c r="D412" s="550" t="s">
        <v>2809</v>
      </c>
      <c r="E412" s="552">
        <v>0</v>
      </c>
      <c r="F412" s="755"/>
      <c r="G412" s="756"/>
    </row>
    <row r="413" spans="1:7" ht="16.3" customHeight="1">
      <c r="A413" s="552" t="s">
        <v>3694</v>
      </c>
      <c r="B413" s="697" t="s">
        <v>3699</v>
      </c>
      <c r="C413" s="539" t="s">
        <v>2783</v>
      </c>
      <c r="D413" s="550" t="s">
        <v>2809</v>
      </c>
      <c r="E413" s="552">
        <v>0</v>
      </c>
      <c r="F413" s="755"/>
      <c r="G413" s="756"/>
    </row>
    <row r="414" spans="1:7" ht="16.3" customHeight="1">
      <c r="A414" s="552" t="s">
        <v>3694</v>
      </c>
      <c r="B414" s="697" t="s">
        <v>3699</v>
      </c>
      <c r="C414" s="539" t="s">
        <v>3701</v>
      </c>
      <c r="D414" s="550" t="s">
        <v>2809</v>
      </c>
      <c r="E414" s="552">
        <v>0</v>
      </c>
      <c r="F414" s="755"/>
      <c r="G414" s="756"/>
    </row>
    <row r="415" spans="1:7" ht="16.3" customHeight="1">
      <c r="A415" s="552" t="s">
        <v>3694</v>
      </c>
      <c r="B415" s="697" t="s">
        <v>3699</v>
      </c>
      <c r="C415" s="539" t="s">
        <v>6233</v>
      </c>
      <c r="D415" s="550" t="s">
        <v>2809</v>
      </c>
      <c r="E415" s="552">
        <v>0</v>
      </c>
      <c r="F415" s="755"/>
      <c r="G415" s="756"/>
    </row>
    <row r="416" spans="1:7" ht="16.3" customHeight="1">
      <c r="A416" s="552" t="s">
        <v>3694</v>
      </c>
      <c r="B416" s="697" t="s">
        <v>3699</v>
      </c>
      <c r="C416" s="539" t="s">
        <v>2783</v>
      </c>
      <c r="D416" s="550" t="s">
        <v>2809</v>
      </c>
      <c r="E416" s="552">
        <v>0</v>
      </c>
      <c r="F416" s="755"/>
      <c r="G416" s="756"/>
    </row>
    <row r="417" spans="1:7" ht="16.3" customHeight="1">
      <c r="A417" s="552" t="s">
        <v>3694</v>
      </c>
      <c r="B417" s="694" t="s">
        <v>3700</v>
      </c>
      <c r="C417" s="539" t="s">
        <v>6234</v>
      </c>
      <c r="D417" s="550" t="s">
        <v>2971</v>
      </c>
      <c r="E417" s="552">
        <v>0</v>
      </c>
      <c r="F417" s="755"/>
      <c r="G417" s="756"/>
    </row>
    <row r="418" spans="1:7" ht="16.3" customHeight="1">
      <c r="A418" s="552" t="s">
        <v>3694</v>
      </c>
      <c r="B418" s="694" t="s">
        <v>3700</v>
      </c>
      <c r="C418" s="539" t="s">
        <v>2783</v>
      </c>
      <c r="D418" s="550" t="s">
        <v>2971</v>
      </c>
      <c r="E418" s="552">
        <v>0</v>
      </c>
      <c r="F418" s="755"/>
      <c r="G418" s="756"/>
    </row>
    <row r="419" spans="1:7" ht="16.3" customHeight="1">
      <c r="A419" s="552" t="s">
        <v>3694</v>
      </c>
      <c r="B419" s="700" t="s">
        <v>6055</v>
      </c>
      <c r="C419" s="539" t="s">
        <v>2783</v>
      </c>
      <c r="D419" s="550" t="s">
        <v>6697</v>
      </c>
      <c r="E419" s="552">
        <v>0</v>
      </c>
      <c r="F419" s="755"/>
      <c r="G419" s="756"/>
    </row>
    <row r="420" spans="1:7" ht="16.3" customHeight="1">
      <c r="A420" s="552" t="s">
        <v>3694</v>
      </c>
      <c r="B420" s="698" t="s">
        <v>3695</v>
      </c>
      <c r="C420" s="539" t="s">
        <v>6235</v>
      </c>
      <c r="D420" s="550" t="s">
        <v>2802</v>
      </c>
      <c r="E420" s="552">
        <v>0</v>
      </c>
      <c r="F420" s="755"/>
      <c r="G420" s="756"/>
    </row>
    <row r="421" spans="1:7" ht="16.3" customHeight="1">
      <c r="A421" s="552" t="s">
        <v>3694</v>
      </c>
      <c r="B421" s="698" t="s">
        <v>3695</v>
      </c>
      <c r="C421" s="539" t="s">
        <v>2783</v>
      </c>
      <c r="D421" s="550" t="s">
        <v>2802</v>
      </c>
      <c r="E421" s="552">
        <v>0</v>
      </c>
      <c r="F421" s="755"/>
      <c r="G421" s="756"/>
    </row>
    <row r="422" spans="1:7" ht="16.3" customHeight="1">
      <c r="A422" s="552" t="s">
        <v>3694</v>
      </c>
      <c r="B422" s="699" t="s">
        <v>3696</v>
      </c>
      <c r="C422" s="539" t="s">
        <v>6236</v>
      </c>
      <c r="D422" s="550" t="s">
        <v>2805</v>
      </c>
      <c r="E422" s="552">
        <v>0</v>
      </c>
      <c r="F422" s="755"/>
      <c r="G422" s="756"/>
    </row>
    <row r="423" spans="1:7" ht="16.3" customHeight="1">
      <c r="A423" s="552" t="s">
        <v>3694</v>
      </c>
      <c r="B423" s="699" t="s">
        <v>3696</v>
      </c>
      <c r="C423" s="539" t="s">
        <v>2783</v>
      </c>
      <c r="D423" s="550" t="s">
        <v>2805</v>
      </c>
      <c r="E423" s="552">
        <v>0</v>
      </c>
      <c r="F423" s="755"/>
      <c r="G423" s="756"/>
    </row>
    <row r="424" spans="1:7" ht="16.3" customHeight="1">
      <c r="A424" s="552" t="s">
        <v>3694</v>
      </c>
      <c r="B424" s="696" t="s">
        <v>3697</v>
      </c>
      <c r="C424" s="541" t="s">
        <v>6237</v>
      </c>
      <c r="D424" s="550" t="s">
        <v>2875</v>
      </c>
      <c r="E424" s="552">
        <v>0</v>
      </c>
      <c r="F424" s="755"/>
      <c r="G424" s="756"/>
    </row>
    <row r="425" spans="1:7" ht="16.3" customHeight="1">
      <c r="A425" s="552" t="s">
        <v>3694</v>
      </c>
      <c r="B425" s="696" t="s">
        <v>3697</v>
      </c>
      <c r="C425" s="539" t="s">
        <v>6238</v>
      </c>
      <c r="D425" s="550" t="s">
        <v>2875</v>
      </c>
      <c r="E425" s="552">
        <v>0</v>
      </c>
      <c r="F425" s="755"/>
      <c r="G425" s="756"/>
    </row>
    <row r="426" spans="1:7" ht="16.3" customHeight="1">
      <c r="A426" s="552" t="s">
        <v>3694</v>
      </c>
      <c r="B426" s="696" t="s">
        <v>3697</v>
      </c>
      <c r="C426" s="539" t="s">
        <v>2783</v>
      </c>
      <c r="D426" s="550" t="s">
        <v>2875</v>
      </c>
      <c r="E426" s="552">
        <v>0</v>
      </c>
      <c r="F426" s="755"/>
      <c r="G426" s="756"/>
    </row>
    <row r="427" spans="1:7" ht="16.3" customHeight="1">
      <c r="A427" s="552" t="s">
        <v>3694</v>
      </c>
      <c r="B427" s="695" t="s">
        <v>3698</v>
      </c>
      <c r="C427" s="539" t="s">
        <v>9005</v>
      </c>
      <c r="D427" s="550" t="s">
        <v>2998</v>
      </c>
      <c r="E427" s="552">
        <v>0</v>
      </c>
      <c r="F427" s="755"/>
      <c r="G427" s="756"/>
    </row>
    <row r="428" spans="1:7" ht="16.3" customHeight="1">
      <c r="A428" s="552" t="s">
        <v>3694</v>
      </c>
      <c r="B428" s="695" t="s">
        <v>3698</v>
      </c>
      <c r="C428" s="539" t="s">
        <v>6240</v>
      </c>
      <c r="D428" s="550" t="s">
        <v>2998</v>
      </c>
      <c r="E428" s="552">
        <v>0</v>
      </c>
      <c r="F428" s="755"/>
      <c r="G428" s="756"/>
    </row>
    <row r="429" spans="1:7" ht="16.3" customHeight="1">
      <c r="A429" s="552" t="s">
        <v>3694</v>
      </c>
      <c r="B429" s="695" t="s">
        <v>3698</v>
      </c>
      <c r="C429" s="539" t="s">
        <v>2783</v>
      </c>
      <c r="D429" s="550" t="s">
        <v>2998</v>
      </c>
      <c r="E429" s="552">
        <v>0</v>
      </c>
      <c r="F429" s="755"/>
      <c r="G429" s="756"/>
    </row>
    <row r="430" spans="1:7" ht="16.3" customHeight="1">
      <c r="A430" s="552" t="s">
        <v>3694</v>
      </c>
      <c r="B430" s="695" t="s">
        <v>3698</v>
      </c>
      <c r="C430" s="539" t="s">
        <v>2783</v>
      </c>
      <c r="D430" s="550" t="s">
        <v>2998</v>
      </c>
      <c r="E430" s="552">
        <v>0</v>
      </c>
      <c r="F430" s="755"/>
      <c r="G430" s="756"/>
    </row>
    <row r="431" spans="1:7" ht="16.3" customHeight="1">
      <c r="A431" s="552" t="s">
        <v>3694</v>
      </c>
      <c r="B431" s="697" t="s">
        <v>3699</v>
      </c>
      <c r="C431" s="539" t="s">
        <v>9006</v>
      </c>
      <c r="D431" s="550" t="s">
        <v>2809</v>
      </c>
      <c r="E431" s="552">
        <v>0</v>
      </c>
      <c r="F431" s="755"/>
      <c r="G431" s="756"/>
    </row>
    <row r="432" spans="1:7" ht="16.3" customHeight="1">
      <c r="A432" s="552" t="s">
        <v>3694</v>
      </c>
      <c r="B432" s="697" t="s">
        <v>3699</v>
      </c>
      <c r="C432" s="539" t="s">
        <v>6242</v>
      </c>
      <c r="D432" s="550" t="s">
        <v>2809</v>
      </c>
      <c r="E432" s="552">
        <v>0</v>
      </c>
      <c r="F432" s="755"/>
      <c r="G432" s="756"/>
    </row>
    <row r="433" spans="1:7" ht="16.3" customHeight="1">
      <c r="A433" s="552" t="s">
        <v>3694</v>
      </c>
      <c r="B433" s="697" t="s">
        <v>3699</v>
      </c>
      <c r="C433" s="539" t="s">
        <v>6243</v>
      </c>
      <c r="D433" s="550" t="s">
        <v>2809</v>
      </c>
      <c r="E433" s="552">
        <v>0</v>
      </c>
      <c r="F433" s="755"/>
      <c r="G433" s="756"/>
    </row>
    <row r="434" spans="1:7" ht="16.3" customHeight="1">
      <c r="A434" s="552" t="s">
        <v>3694</v>
      </c>
      <c r="B434" s="697" t="s">
        <v>3699</v>
      </c>
      <c r="C434" s="539" t="s">
        <v>9007</v>
      </c>
      <c r="D434" s="550" t="s">
        <v>2809</v>
      </c>
      <c r="E434" s="552">
        <v>0</v>
      </c>
      <c r="F434" s="755"/>
      <c r="G434" s="756"/>
    </row>
    <row r="435" spans="1:7" ht="16.3" customHeight="1">
      <c r="A435" s="552" t="s">
        <v>3694</v>
      </c>
      <c r="B435" s="697" t="s">
        <v>3699</v>
      </c>
      <c r="C435" s="539" t="s">
        <v>9008</v>
      </c>
      <c r="D435" s="550" t="s">
        <v>2809</v>
      </c>
      <c r="E435" s="552">
        <v>0</v>
      </c>
      <c r="F435" s="755"/>
      <c r="G435" s="756"/>
    </row>
    <row r="436" spans="1:7" ht="16.3" customHeight="1">
      <c r="A436" s="552" t="s">
        <v>3694</v>
      </c>
      <c r="B436" s="694" t="s">
        <v>3700</v>
      </c>
      <c r="C436" s="539" t="s">
        <v>6246</v>
      </c>
      <c r="D436" s="550" t="s">
        <v>2971</v>
      </c>
      <c r="E436" s="552">
        <v>0</v>
      </c>
      <c r="F436" s="755"/>
      <c r="G436" s="756"/>
    </row>
    <row r="437" spans="1:7" ht="16.3" customHeight="1">
      <c r="A437" s="552" t="s">
        <v>3694</v>
      </c>
      <c r="B437" s="694" t="s">
        <v>3700</v>
      </c>
      <c r="C437" s="539" t="s">
        <v>2783</v>
      </c>
      <c r="D437" s="550" t="s">
        <v>2971</v>
      </c>
      <c r="E437" s="552">
        <v>0</v>
      </c>
      <c r="F437" s="755"/>
      <c r="G437" s="756"/>
    </row>
    <row r="438" spans="1:7" ht="16.3" customHeight="1">
      <c r="A438" s="552" t="s">
        <v>3694</v>
      </c>
      <c r="B438" s="700" t="s">
        <v>6055</v>
      </c>
      <c r="C438" s="539" t="s">
        <v>2783</v>
      </c>
      <c r="D438" s="550" t="s">
        <v>6697</v>
      </c>
      <c r="E438" s="552">
        <v>0</v>
      </c>
      <c r="F438" s="755"/>
      <c r="G438" s="756"/>
    </row>
    <row r="439" spans="1:7" ht="16.3" customHeight="1">
      <c r="A439" s="552" t="s">
        <v>3694</v>
      </c>
      <c r="B439" s="698" t="s">
        <v>3695</v>
      </c>
      <c r="C439" s="539" t="s">
        <v>6247</v>
      </c>
      <c r="D439" s="550" t="s">
        <v>2802</v>
      </c>
      <c r="E439" s="552">
        <v>0</v>
      </c>
      <c r="F439" s="755"/>
      <c r="G439" s="756"/>
    </row>
    <row r="440" spans="1:7" ht="16.3" customHeight="1">
      <c r="A440" s="552" t="s">
        <v>3694</v>
      </c>
      <c r="B440" s="698" t="s">
        <v>3695</v>
      </c>
      <c r="C440" s="539" t="s">
        <v>2783</v>
      </c>
      <c r="D440" s="550" t="s">
        <v>2802</v>
      </c>
      <c r="E440" s="552">
        <v>0</v>
      </c>
      <c r="F440" s="755"/>
      <c r="G440" s="756"/>
    </row>
    <row r="441" spans="1:7" ht="16.3" customHeight="1">
      <c r="A441" s="552" t="s">
        <v>3694</v>
      </c>
      <c r="B441" s="699" t="s">
        <v>3696</v>
      </c>
      <c r="C441" s="539" t="s">
        <v>6248</v>
      </c>
      <c r="D441" s="550" t="s">
        <v>2805</v>
      </c>
      <c r="E441" s="552">
        <v>0</v>
      </c>
      <c r="F441" s="755"/>
      <c r="G441" s="756"/>
    </row>
    <row r="442" spans="1:7" ht="16.3" customHeight="1">
      <c r="A442" s="552" t="s">
        <v>3694</v>
      </c>
      <c r="B442" s="699" t="s">
        <v>3696</v>
      </c>
      <c r="C442" s="539" t="s">
        <v>2783</v>
      </c>
      <c r="D442" s="550" t="s">
        <v>2805</v>
      </c>
      <c r="E442" s="552">
        <v>0</v>
      </c>
      <c r="F442" s="755"/>
      <c r="G442" s="756"/>
    </row>
    <row r="443" spans="1:7" ht="16.3" customHeight="1">
      <c r="A443" s="552" t="s">
        <v>3694</v>
      </c>
      <c r="B443" s="696" t="s">
        <v>3697</v>
      </c>
      <c r="C443" s="539" t="s">
        <v>6249</v>
      </c>
      <c r="D443" s="550" t="s">
        <v>2875</v>
      </c>
      <c r="E443" s="552">
        <v>0</v>
      </c>
      <c r="F443" s="755"/>
      <c r="G443" s="756"/>
    </row>
    <row r="444" spans="1:7" ht="16.3" customHeight="1">
      <c r="A444" s="552" t="s">
        <v>3694</v>
      </c>
      <c r="B444" s="696" t="s">
        <v>3697</v>
      </c>
      <c r="C444" s="539" t="s">
        <v>6250</v>
      </c>
      <c r="D444" s="550" t="s">
        <v>2875</v>
      </c>
      <c r="E444" s="552">
        <v>0</v>
      </c>
      <c r="F444" s="755"/>
      <c r="G444" s="756"/>
    </row>
    <row r="445" spans="1:7" ht="16.3" customHeight="1">
      <c r="A445" s="552" t="s">
        <v>3694</v>
      </c>
      <c r="B445" s="696" t="s">
        <v>3697</v>
      </c>
      <c r="C445" s="539" t="s">
        <v>2783</v>
      </c>
      <c r="D445" s="550" t="s">
        <v>2875</v>
      </c>
      <c r="E445" s="552">
        <v>0</v>
      </c>
      <c r="F445" s="755"/>
      <c r="G445" s="756"/>
    </row>
    <row r="446" spans="1:7" ht="16.3" customHeight="1">
      <c r="A446" s="552" t="s">
        <v>3694</v>
      </c>
      <c r="B446" s="695" t="s">
        <v>3698</v>
      </c>
      <c r="C446" s="539" t="s">
        <v>9009</v>
      </c>
      <c r="D446" s="550" t="s">
        <v>2998</v>
      </c>
      <c r="E446" s="552">
        <v>0</v>
      </c>
      <c r="F446" s="755"/>
      <c r="G446" s="756"/>
    </row>
    <row r="447" spans="1:7" ht="16.3" customHeight="1">
      <c r="A447" s="552" t="s">
        <v>3694</v>
      </c>
      <c r="B447" s="695" t="s">
        <v>3698</v>
      </c>
      <c r="C447" s="539" t="s">
        <v>6252</v>
      </c>
      <c r="D447" s="550" t="s">
        <v>2998</v>
      </c>
      <c r="E447" s="552">
        <v>0</v>
      </c>
      <c r="F447" s="755"/>
      <c r="G447" s="756"/>
    </row>
    <row r="448" spans="1:7" ht="16.3" customHeight="1">
      <c r="A448" s="552" t="s">
        <v>3694</v>
      </c>
      <c r="B448" s="695" t="s">
        <v>3698</v>
      </c>
      <c r="C448" s="539" t="s">
        <v>6253</v>
      </c>
      <c r="D448" s="550" t="s">
        <v>2998</v>
      </c>
      <c r="E448" s="552">
        <v>0</v>
      </c>
      <c r="F448" s="755"/>
      <c r="G448" s="756"/>
    </row>
    <row r="449" spans="1:7" ht="16.3" customHeight="1">
      <c r="A449" s="552" t="s">
        <v>3694</v>
      </c>
      <c r="B449" s="695" t="s">
        <v>3698</v>
      </c>
      <c r="C449" s="539" t="s">
        <v>2783</v>
      </c>
      <c r="D449" s="550" t="s">
        <v>2998</v>
      </c>
      <c r="E449" s="552">
        <v>0</v>
      </c>
      <c r="F449" s="755"/>
      <c r="G449" s="756"/>
    </row>
    <row r="450" spans="1:7" ht="16.3" customHeight="1">
      <c r="A450" s="552" t="s">
        <v>3694</v>
      </c>
      <c r="B450" s="697" t="s">
        <v>3699</v>
      </c>
      <c r="C450" s="539" t="s">
        <v>6254</v>
      </c>
      <c r="D450" s="550" t="s">
        <v>2809</v>
      </c>
      <c r="E450" s="552">
        <v>0</v>
      </c>
      <c r="F450" s="755"/>
      <c r="G450" s="756"/>
    </row>
    <row r="451" spans="1:7" ht="16.3" customHeight="1">
      <c r="A451" s="552" t="s">
        <v>3694</v>
      </c>
      <c r="B451" s="697" t="s">
        <v>3699</v>
      </c>
      <c r="C451" s="539" t="s">
        <v>6255</v>
      </c>
      <c r="D451" s="550" t="s">
        <v>2809</v>
      </c>
      <c r="E451" s="552">
        <v>0</v>
      </c>
      <c r="F451" s="755"/>
      <c r="G451" s="756"/>
    </row>
    <row r="452" spans="1:7" ht="16.3" customHeight="1">
      <c r="A452" s="552" t="s">
        <v>3694</v>
      </c>
      <c r="B452" s="697" t="s">
        <v>3699</v>
      </c>
      <c r="C452" s="539" t="s">
        <v>6256</v>
      </c>
      <c r="D452" s="550" t="s">
        <v>2809</v>
      </c>
      <c r="E452" s="552">
        <v>0</v>
      </c>
      <c r="F452" s="755"/>
      <c r="G452" s="756"/>
    </row>
    <row r="453" spans="1:7" ht="16.3" customHeight="1">
      <c r="A453" s="552" t="s">
        <v>3694</v>
      </c>
      <c r="B453" s="697" t="s">
        <v>3699</v>
      </c>
      <c r="C453" s="539" t="s">
        <v>2783</v>
      </c>
      <c r="D453" s="550" t="s">
        <v>2809</v>
      </c>
      <c r="E453" s="552">
        <v>0</v>
      </c>
      <c r="F453" s="755"/>
      <c r="G453" s="756"/>
    </row>
    <row r="454" spans="1:7" ht="16.3" customHeight="1">
      <c r="A454" s="552" t="s">
        <v>3694</v>
      </c>
      <c r="B454" s="697" t="s">
        <v>3699</v>
      </c>
      <c r="C454" s="539" t="s">
        <v>2783</v>
      </c>
      <c r="D454" s="550" t="s">
        <v>2809</v>
      </c>
      <c r="E454" s="552">
        <v>0</v>
      </c>
      <c r="F454" s="755"/>
      <c r="G454" s="756"/>
    </row>
    <row r="455" spans="1:7" ht="16.3" customHeight="1">
      <c r="A455" s="552" t="s">
        <v>3694</v>
      </c>
      <c r="B455" s="694" t="s">
        <v>3700</v>
      </c>
      <c r="C455" s="539" t="s">
        <v>6257</v>
      </c>
      <c r="D455" s="550" t="s">
        <v>2971</v>
      </c>
      <c r="E455" s="552">
        <v>0</v>
      </c>
      <c r="F455" s="755"/>
      <c r="G455" s="756"/>
    </row>
    <row r="456" spans="1:7" ht="16.3" customHeight="1">
      <c r="A456" s="552" t="s">
        <v>3694</v>
      </c>
      <c r="B456" s="694" t="s">
        <v>3700</v>
      </c>
      <c r="C456" s="539" t="s">
        <v>2783</v>
      </c>
      <c r="D456" s="550" t="s">
        <v>2971</v>
      </c>
      <c r="E456" s="552">
        <v>0</v>
      </c>
      <c r="F456" s="755"/>
      <c r="G456" s="756"/>
    </row>
    <row r="457" spans="1:7" ht="16.3" customHeight="1">
      <c r="A457" s="552" t="s">
        <v>3694</v>
      </c>
      <c r="B457" s="700" t="s">
        <v>6055</v>
      </c>
      <c r="C457" s="539" t="s">
        <v>2783</v>
      </c>
      <c r="D457" s="550" t="s">
        <v>6697</v>
      </c>
      <c r="E457" s="552">
        <v>0</v>
      </c>
      <c r="F457" s="755"/>
      <c r="G457" s="756"/>
    </row>
    <row r="458" spans="1:7" ht="16.3" customHeight="1">
      <c r="A458" s="552" t="s">
        <v>3694</v>
      </c>
      <c r="B458" s="698" t="s">
        <v>3695</v>
      </c>
      <c r="C458" s="539" t="s">
        <v>6258</v>
      </c>
      <c r="D458" s="550" t="s">
        <v>2802</v>
      </c>
      <c r="E458" s="552">
        <v>0</v>
      </c>
      <c r="F458" s="755"/>
      <c r="G458" s="756"/>
    </row>
    <row r="459" spans="1:7" ht="16.3" customHeight="1">
      <c r="A459" s="552" t="s">
        <v>3694</v>
      </c>
      <c r="B459" s="698" t="s">
        <v>3695</v>
      </c>
      <c r="C459" s="539" t="s">
        <v>2783</v>
      </c>
      <c r="D459" s="550" t="s">
        <v>2802</v>
      </c>
      <c r="E459" s="552">
        <v>0</v>
      </c>
      <c r="F459" s="755"/>
      <c r="G459" s="756"/>
    </row>
    <row r="460" spans="1:7" ht="16.3" customHeight="1">
      <c r="A460" s="552" t="s">
        <v>3694</v>
      </c>
      <c r="B460" s="699" t="s">
        <v>3696</v>
      </c>
      <c r="C460" s="539" t="s">
        <v>6259</v>
      </c>
      <c r="D460" s="550" t="s">
        <v>2805</v>
      </c>
      <c r="E460" s="552">
        <v>0</v>
      </c>
      <c r="F460" s="755"/>
      <c r="G460" s="756"/>
    </row>
    <row r="461" spans="1:7" ht="16.3" customHeight="1">
      <c r="A461" s="552" t="s">
        <v>3694</v>
      </c>
      <c r="B461" s="699" t="s">
        <v>3696</v>
      </c>
      <c r="C461" s="539" t="s">
        <v>2783</v>
      </c>
      <c r="D461" s="550" t="s">
        <v>2805</v>
      </c>
      <c r="E461" s="552">
        <v>0</v>
      </c>
      <c r="F461" s="755"/>
      <c r="G461" s="756"/>
    </row>
    <row r="462" spans="1:7" ht="16.3" customHeight="1">
      <c r="A462" s="552" t="s">
        <v>3694</v>
      </c>
      <c r="B462" s="696" t="s">
        <v>3697</v>
      </c>
      <c r="C462" s="539" t="s">
        <v>6260</v>
      </c>
      <c r="D462" s="550" t="s">
        <v>2875</v>
      </c>
      <c r="E462" s="552">
        <v>0</v>
      </c>
      <c r="F462" s="755"/>
      <c r="G462" s="757"/>
    </row>
    <row r="463" spans="1:7" ht="16.3" customHeight="1">
      <c r="A463" s="552" t="s">
        <v>3694</v>
      </c>
      <c r="B463" s="696" t="s">
        <v>3697</v>
      </c>
      <c r="C463" s="539" t="s">
        <v>6261</v>
      </c>
      <c r="D463" s="550" t="s">
        <v>2875</v>
      </c>
      <c r="E463" s="552">
        <v>0</v>
      </c>
      <c r="F463" s="755"/>
      <c r="G463" s="757"/>
    </row>
    <row r="464" spans="1:7" ht="16.3" customHeight="1">
      <c r="A464" s="552" t="s">
        <v>3694</v>
      </c>
      <c r="B464" s="696" t="s">
        <v>3697</v>
      </c>
      <c r="C464" s="539" t="s">
        <v>2783</v>
      </c>
      <c r="D464" s="550" t="s">
        <v>2875</v>
      </c>
      <c r="E464" s="552">
        <v>0</v>
      </c>
      <c r="F464" s="755"/>
      <c r="G464" s="756"/>
    </row>
    <row r="465" spans="1:7" ht="16.3" customHeight="1">
      <c r="A465" s="552" t="s">
        <v>3694</v>
      </c>
      <c r="B465" s="695" t="s">
        <v>3698</v>
      </c>
      <c r="C465" s="539" t="s">
        <v>7490</v>
      </c>
      <c r="D465" s="550" t="s">
        <v>2998</v>
      </c>
      <c r="E465" s="552">
        <v>0</v>
      </c>
      <c r="F465" s="755"/>
      <c r="G465" s="756"/>
    </row>
    <row r="466" spans="1:7" ht="16.3" customHeight="1">
      <c r="A466" s="552" t="s">
        <v>3694</v>
      </c>
      <c r="B466" s="695" t="s">
        <v>3698</v>
      </c>
      <c r="C466" s="539" t="s">
        <v>9010</v>
      </c>
      <c r="D466" s="550" t="s">
        <v>2998</v>
      </c>
      <c r="E466" s="552">
        <v>0</v>
      </c>
      <c r="F466" s="755"/>
      <c r="G466" s="757"/>
    </row>
    <row r="467" spans="1:7" ht="16.3" customHeight="1">
      <c r="A467" s="552" t="s">
        <v>3694</v>
      </c>
      <c r="B467" s="695" t="s">
        <v>3698</v>
      </c>
      <c r="C467" s="539" t="s">
        <v>2783</v>
      </c>
      <c r="D467" s="550" t="s">
        <v>2998</v>
      </c>
      <c r="E467" s="552">
        <v>0</v>
      </c>
      <c r="F467" s="755"/>
      <c r="G467" s="757"/>
    </row>
    <row r="468" spans="1:7" ht="16.3" customHeight="1">
      <c r="A468" s="552" t="s">
        <v>3694</v>
      </c>
      <c r="B468" s="695" t="s">
        <v>3698</v>
      </c>
      <c r="C468" s="539" t="s">
        <v>2783</v>
      </c>
      <c r="D468" s="550" t="s">
        <v>2998</v>
      </c>
      <c r="E468" s="552">
        <v>0</v>
      </c>
      <c r="F468" s="755"/>
      <c r="G468" s="757"/>
    </row>
    <row r="469" spans="1:7" ht="16.3" customHeight="1">
      <c r="A469" s="552" t="s">
        <v>3694</v>
      </c>
      <c r="B469" s="697" t="s">
        <v>3699</v>
      </c>
      <c r="C469" s="539" t="s">
        <v>7497</v>
      </c>
      <c r="D469" s="550" t="s">
        <v>2809</v>
      </c>
      <c r="E469" s="552">
        <v>0</v>
      </c>
      <c r="F469" s="755"/>
      <c r="G469" s="757"/>
    </row>
    <row r="470" spans="1:7" ht="16.3" customHeight="1">
      <c r="A470" s="552" t="s">
        <v>3694</v>
      </c>
      <c r="B470" s="697" t="s">
        <v>3699</v>
      </c>
      <c r="C470" s="539" t="s">
        <v>9011</v>
      </c>
      <c r="D470" s="550" t="s">
        <v>2809</v>
      </c>
      <c r="E470" s="552">
        <v>0</v>
      </c>
      <c r="F470" s="755"/>
      <c r="G470" s="757"/>
    </row>
    <row r="471" spans="1:7" ht="16.3" customHeight="1">
      <c r="A471" s="552" t="s">
        <v>3694</v>
      </c>
      <c r="B471" s="697" t="s">
        <v>3699</v>
      </c>
      <c r="C471" s="539" t="s">
        <v>6264</v>
      </c>
      <c r="D471" s="550" t="s">
        <v>2809</v>
      </c>
      <c r="E471" s="552">
        <v>0</v>
      </c>
      <c r="F471" s="755"/>
      <c r="G471" s="756"/>
    </row>
    <row r="472" spans="1:7" ht="16.3" customHeight="1">
      <c r="A472" s="552" t="s">
        <v>3694</v>
      </c>
      <c r="B472" s="697" t="s">
        <v>3699</v>
      </c>
      <c r="C472" s="539" t="s">
        <v>6265</v>
      </c>
      <c r="D472" s="550" t="s">
        <v>2809</v>
      </c>
      <c r="E472" s="552">
        <v>0</v>
      </c>
      <c r="F472" s="755"/>
      <c r="G472" s="756"/>
    </row>
    <row r="473" spans="1:7" ht="16.3" customHeight="1">
      <c r="A473" s="552" t="s">
        <v>3694</v>
      </c>
      <c r="B473" s="697" t="s">
        <v>3699</v>
      </c>
      <c r="C473" s="539" t="s">
        <v>2783</v>
      </c>
      <c r="D473" s="550" t="s">
        <v>2809</v>
      </c>
      <c r="E473" s="552">
        <v>0</v>
      </c>
      <c r="F473" s="755"/>
      <c r="G473" s="756"/>
    </row>
    <row r="474" spans="1:7" ht="16.3" customHeight="1">
      <c r="A474" s="552" t="s">
        <v>3694</v>
      </c>
      <c r="B474" s="694" t="s">
        <v>3700</v>
      </c>
      <c r="C474" s="539" t="s">
        <v>6266</v>
      </c>
      <c r="D474" s="550" t="s">
        <v>2971</v>
      </c>
      <c r="E474" s="552">
        <v>0</v>
      </c>
      <c r="F474" s="755"/>
      <c r="G474" s="757"/>
    </row>
    <row r="475" spans="1:7" ht="16.3" customHeight="1">
      <c r="A475" s="552" t="s">
        <v>3694</v>
      </c>
      <c r="B475" s="694" t="s">
        <v>3700</v>
      </c>
      <c r="C475" s="539" t="s">
        <v>6267</v>
      </c>
      <c r="D475" s="550" t="s">
        <v>2971</v>
      </c>
      <c r="E475" s="552">
        <v>0</v>
      </c>
      <c r="F475" s="755"/>
      <c r="G475" s="756"/>
    </row>
    <row r="476" spans="1:7" ht="16.3" customHeight="1">
      <c r="A476" s="552" t="s">
        <v>3694</v>
      </c>
      <c r="B476" s="700" t="s">
        <v>6055</v>
      </c>
      <c r="C476" s="539" t="s">
        <v>2783</v>
      </c>
      <c r="D476" s="550" t="s">
        <v>6697</v>
      </c>
      <c r="E476" s="552">
        <v>0</v>
      </c>
      <c r="F476" s="755"/>
      <c r="G476" s="757"/>
    </row>
    <row r="477" spans="1:7" ht="16.3" customHeight="1">
      <c r="A477" s="552" t="s">
        <v>3694</v>
      </c>
      <c r="B477" s="698" t="s">
        <v>3695</v>
      </c>
      <c r="C477" s="539" t="s">
        <v>6268</v>
      </c>
      <c r="D477" s="550" t="s">
        <v>2802</v>
      </c>
      <c r="E477" s="552">
        <v>0</v>
      </c>
      <c r="F477" s="755"/>
      <c r="G477" s="756"/>
    </row>
    <row r="478" spans="1:7" ht="16.3" customHeight="1">
      <c r="A478" s="552" t="s">
        <v>3694</v>
      </c>
      <c r="B478" s="698" t="s">
        <v>3695</v>
      </c>
      <c r="C478" s="539" t="s">
        <v>6269</v>
      </c>
      <c r="D478" s="550" t="s">
        <v>2802</v>
      </c>
      <c r="E478" s="552">
        <v>0</v>
      </c>
      <c r="F478" s="755"/>
      <c r="G478" s="757"/>
    </row>
    <row r="479" spans="1:7" ht="16.3" customHeight="1">
      <c r="A479" s="552" t="s">
        <v>3694</v>
      </c>
      <c r="B479" s="699" t="s">
        <v>3696</v>
      </c>
      <c r="C479" s="539" t="s">
        <v>9012</v>
      </c>
      <c r="D479" s="550" t="s">
        <v>2805</v>
      </c>
      <c r="E479" s="552">
        <v>0</v>
      </c>
      <c r="F479" s="755"/>
      <c r="G479" s="756"/>
    </row>
    <row r="480" spans="1:7" ht="16.3" customHeight="1">
      <c r="A480" s="552" t="s">
        <v>3694</v>
      </c>
      <c r="B480" s="699" t="s">
        <v>3696</v>
      </c>
      <c r="C480" s="539" t="s">
        <v>2783</v>
      </c>
      <c r="D480" s="550" t="s">
        <v>2805</v>
      </c>
      <c r="E480" s="552">
        <v>0</v>
      </c>
      <c r="F480" s="755"/>
      <c r="G480" s="757"/>
    </row>
    <row r="481" spans="1:7" ht="16.3" customHeight="1">
      <c r="A481" s="552" t="s">
        <v>3694</v>
      </c>
      <c r="B481" s="696" t="s">
        <v>3697</v>
      </c>
      <c r="C481" s="539" t="s">
        <v>6271</v>
      </c>
      <c r="D481" s="550" t="s">
        <v>2875</v>
      </c>
      <c r="E481" s="552">
        <v>0</v>
      </c>
      <c r="F481" s="755"/>
      <c r="G481" s="756"/>
    </row>
    <row r="482" spans="1:7" ht="16.3" customHeight="1">
      <c r="A482" s="552" t="s">
        <v>3694</v>
      </c>
      <c r="B482" s="696" t="s">
        <v>3697</v>
      </c>
      <c r="C482" s="539" t="s">
        <v>6272</v>
      </c>
      <c r="D482" s="550" t="s">
        <v>2875</v>
      </c>
      <c r="E482" s="552">
        <v>0</v>
      </c>
      <c r="F482" s="755"/>
      <c r="G482" s="756"/>
    </row>
    <row r="483" spans="1:7" ht="16.3" customHeight="1">
      <c r="A483" s="552" t="s">
        <v>3694</v>
      </c>
      <c r="B483" s="696" t="s">
        <v>3697</v>
      </c>
      <c r="C483" s="539" t="s">
        <v>2783</v>
      </c>
      <c r="D483" s="550" t="s">
        <v>2875</v>
      </c>
      <c r="E483" s="552">
        <v>0</v>
      </c>
      <c r="F483" s="755"/>
      <c r="G483" s="756"/>
    </row>
    <row r="484" spans="1:7" ht="16.3" customHeight="1">
      <c r="A484" s="552" t="s">
        <v>3694</v>
      </c>
      <c r="B484" s="695" t="s">
        <v>3698</v>
      </c>
      <c r="C484" s="539" t="s">
        <v>7527</v>
      </c>
      <c r="D484" s="550" t="s">
        <v>2998</v>
      </c>
      <c r="E484" s="552">
        <v>0</v>
      </c>
      <c r="F484" s="755"/>
      <c r="G484" s="756"/>
    </row>
    <row r="485" spans="1:7" ht="16.3" customHeight="1">
      <c r="A485" s="552" t="s">
        <v>3694</v>
      </c>
      <c r="B485" s="695" t="s">
        <v>3698</v>
      </c>
      <c r="C485" s="539" t="s">
        <v>6273</v>
      </c>
      <c r="D485" s="550" t="s">
        <v>2998</v>
      </c>
      <c r="E485" s="552">
        <v>0</v>
      </c>
      <c r="F485" s="755"/>
      <c r="G485" s="756"/>
    </row>
    <row r="486" spans="1:7" ht="16.3" customHeight="1">
      <c r="A486" s="552" t="s">
        <v>3694</v>
      </c>
      <c r="B486" s="695" t="s">
        <v>3698</v>
      </c>
      <c r="C486" s="539" t="s">
        <v>7534</v>
      </c>
      <c r="D486" s="550" t="s">
        <v>2998</v>
      </c>
      <c r="E486" s="552">
        <v>0</v>
      </c>
      <c r="F486" s="755"/>
      <c r="G486" s="756"/>
    </row>
    <row r="487" spans="1:7" ht="16.3" customHeight="1">
      <c r="A487" s="552" t="s">
        <v>3694</v>
      </c>
      <c r="B487" s="695" t="s">
        <v>3698</v>
      </c>
      <c r="C487" s="539" t="s">
        <v>2783</v>
      </c>
      <c r="D487" s="550" t="s">
        <v>2998</v>
      </c>
      <c r="E487" s="552">
        <v>0</v>
      </c>
      <c r="F487" s="755"/>
      <c r="G487" s="757"/>
    </row>
    <row r="488" spans="1:7" ht="16.3" customHeight="1">
      <c r="A488" s="552" t="s">
        <v>3694</v>
      </c>
      <c r="B488" s="697" t="s">
        <v>3699</v>
      </c>
      <c r="C488" s="539" t="s">
        <v>6274</v>
      </c>
      <c r="D488" s="550" t="s">
        <v>2809</v>
      </c>
      <c r="E488" s="552">
        <v>0</v>
      </c>
      <c r="F488" s="755"/>
      <c r="G488" s="756"/>
    </row>
    <row r="489" spans="1:7" ht="16.3" customHeight="1">
      <c r="A489" s="552" t="s">
        <v>3694</v>
      </c>
      <c r="B489" s="697" t="s">
        <v>3699</v>
      </c>
      <c r="C489" s="539" t="s">
        <v>9013</v>
      </c>
      <c r="D489" s="550" t="s">
        <v>2809</v>
      </c>
      <c r="E489" s="552">
        <v>0</v>
      </c>
      <c r="F489" s="755"/>
      <c r="G489" s="756"/>
    </row>
    <row r="490" spans="1:7" ht="16.3" customHeight="1">
      <c r="A490" s="552" t="s">
        <v>3694</v>
      </c>
      <c r="B490" s="697" t="s">
        <v>3699</v>
      </c>
      <c r="C490" s="539" t="s">
        <v>9014</v>
      </c>
      <c r="D490" s="550" t="s">
        <v>2809</v>
      </c>
      <c r="E490" s="552">
        <v>0</v>
      </c>
      <c r="F490" s="755"/>
      <c r="G490" s="756"/>
    </row>
    <row r="491" spans="1:7" ht="16.3" customHeight="1">
      <c r="A491" s="552" t="s">
        <v>3694</v>
      </c>
      <c r="B491" s="697" t="s">
        <v>3699</v>
      </c>
      <c r="C491" s="539" t="s">
        <v>9015</v>
      </c>
      <c r="D491" s="550" t="s">
        <v>2809</v>
      </c>
      <c r="E491" s="552">
        <v>0</v>
      </c>
      <c r="F491" s="755"/>
      <c r="G491" s="756"/>
    </row>
    <row r="492" spans="1:7" ht="16.3" customHeight="1">
      <c r="A492" s="552" t="s">
        <v>3694</v>
      </c>
      <c r="B492" s="697" t="s">
        <v>3699</v>
      </c>
      <c r="C492" s="539" t="s">
        <v>2783</v>
      </c>
      <c r="D492" s="550" t="s">
        <v>2809</v>
      </c>
      <c r="E492" s="552">
        <v>0</v>
      </c>
      <c r="F492" s="755"/>
      <c r="G492" s="756"/>
    </row>
    <row r="493" spans="1:7" ht="16.3" customHeight="1">
      <c r="A493" s="552" t="s">
        <v>3694</v>
      </c>
      <c r="B493" s="694" t="s">
        <v>3700</v>
      </c>
      <c r="C493" s="539" t="s">
        <v>9016</v>
      </c>
      <c r="D493" s="550" t="s">
        <v>2971</v>
      </c>
      <c r="E493" s="552">
        <v>0</v>
      </c>
      <c r="F493" s="755"/>
      <c r="G493" s="756"/>
    </row>
    <row r="494" spans="1:7" ht="16.3" customHeight="1">
      <c r="A494" s="552" t="s">
        <v>3694</v>
      </c>
      <c r="B494" s="694" t="s">
        <v>3700</v>
      </c>
      <c r="C494" s="539" t="s">
        <v>2783</v>
      </c>
      <c r="D494" s="550" t="s">
        <v>2971</v>
      </c>
      <c r="E494" s="552">
        <v>0</v>
      </c>
      <c r="F494" s="755"/>
      <c r="G494" s="756"/>
    </row>
    <row r="495" spans="1:7" ht="16.3" customHeight="1">
      <c r="A495" s="552" t="s">
        <v>3694</v>
      </c>
      <c r="B495" s="700" t="s">
        <v>6055</v>
      </c>
      <c r="C495" s="539" t="s">
        <v>2783</v>
      </c>
      <c r="D495" s="550" t="s">
        <v>6697</v>
      </c>
      <c r="E495" s="552">
        <v>0</v>
      </c>
      <c r="F495" s="755"/>
      <c r="G495" s="756"/>
    </row>
    <row r="496" spans="1:7" ht="16.3" customHeight="1">
      <c r="A496" s="552" t="s">
        <v>3694</v>
      </c>
      <c r="B496" s="698" t="s">
        <v>3695</v>
      </c>
      <c r="C496" s="539" t="s">
        <v>6279</v>
      </c>
      <c r="D496" s="550" t="s">
        <v>2802</v>
      </c>
      <c r="E496" s="552">
        <v>0</v>
      </c>
      <c r="F496" s="755"/>
      <c r="G496" s="757"/>
    </row>
    <row r="497" spans="1:7" ht="16.3" customHeight="1">
      <c r="A497" s="552" t="s">
        <v>3694</v>
      </c>
      <c r="B497" s="698" t="s">
        <v>3695</v>
      </c>
      <c r="C497" s="539" t="s">
        <v>6280</v>
      </c>
      <c r="D497" s="550" t="s">
        <v>2802</v>
      </c>
      <c r="E497" s="552">
        <v>0</v>
      </c>
      <c r="F497" s="755"/>
      <c r="G497" s="756"/>
    </row>
    <row r="498" spans="1:7" ht="16.3" customHeight="1">
      <c r="A498" s="552" t="s">
        <v>3694</v>
      </c>
      <c r="B498" s="699" t="s">
        <v>3696</v>
      </c>
      <c r="C498" s="539" t="s">
        <v>6281</v>
      </c>
      <c r="D498" s="550" t="s">
        <v>2805</v>
      </c>
      <c r="E498" s="552">
        <v>0</v>
      </c>
      <c r="F498" s="755"/>
      <c r="G498" s="756"/>
    </row>
    <row r="499" spans="1:7" ht="16.3" customHeight="1">
      <c r="A499" s="552" t="s">
        <v>3694</v>
      </c>
      <c r="B499" s="699" t="s">
        <v>3696</v>
      </c>
      <c r="C499" s="539" t="s">
        <v>2783</v>
      </c>
      <c r="D499" s="550" t="s">
        <v>2805</v>
      </c>
      <c r="E499" s="552">
        <v>0</v>
      </c>
      <c r="F499" s="755"/>
      <c r="G499" s="756"/>
    </row>
    <row r="500" spans="1:7" ht="16.3" customHeight="1">
      <c r="A500" s="552" t="s">
        <v>3694</v>
      </c>
      <c r="B500" s="696" t="s">
        <v>3697</v>
      </c>
      <c r="C500" s="539" t="s">
        <v>6282</v>
      </c>
      <c r="D500" s="550" t="s">
        <v>2875</v>
      </c>
      <c r="E500" s="552">
        <v>0</v>
      </c>
      <c r="F500" s="755"/>
      <c r="G500" s="756"/>
    </row>
    <row r="501" spans="1:7" ht="16.3" customHeight="1">
      <c r="A501" s="552" t="s">
        <v>3694</v>
      </c>
      <c r="B501" s="696" t="s">
        <v>3697</v>
      </c>
      <c r="C501" s="539" t="s">
        <v>6283</v>
      </c>
      <c r="D501" s="550" t="s">
        <v>2875</v>
      </c>
      <c r="E501" s="552">
        <v>0</v>
      </c>
      <c r="F501" s="755"/>
      <c r="G501" s="756"/>
    </row>
    <row r="502" spans="1:7" ht="16.3" customHeight="1">
      <c r="A502" s="552" t="s">
        <v>3694</v>
      </c>
      <c r="B502" s="696" t="s">
        <v>3697</v>
      </c>
      <c r="C502" s="539" t="s">
        <v>2783</v>
      </c>
      <c r="D502" s="550" t="s">
        <v>2875</v>
      </c>
      <c r="E502" s="552">
        <v>0</v>
      </c>
      <c r="F502" s="755"/>
      <c r="G502" s="756"/>
    </row>
    <row r="503" spans="1:7" ht="16.3" customHeight="1">
      <c r="A503" s="552" t="s">
        <v>3694</v>
      </c>
      <c r="B503" s="695" t="s">
        <v>3698</v>
      </c>
      <c r="C503" s="539" t="s">
        <v>7563</v>
      </c>
      <c r="D503" s="550" t="s">
        <v>2998</v>
      </c>
      <c r="E503" s="552">
        <v>0</v>
      </c>
      <c r="F503" s="755"/>
      <c r="G503" s="756"/>
    </row>
    <row r="504" spans="1:7" ht="16.3" customHeight="1">
      <c r="A504" s="552" t="s">
        <v>3694</v>
      </c>
      <c r="B504" s="695" t="s">
        <v>3698</v>
      </c>
      <c r="C504" s="539" t="s">
        <v>2783</v>
      </c>
      <c r="D504" s="550" t="s">
        <v>2998</v>
      </c>
      <c r="E504" s="552">
        <v>0</v>
      </c>
      <c r="F504" s="755"/>
      <c r="G504" s="756"/>
    </row>
    <row r="505" spans="1:7" ht="16.3" customHeight="1">
      <c r="A505" s="552" t="s">
        <v>3694</v>
      </c>
      <c r="B505" s="695" t="s">
        <v>3698</v>
      </c>
      <c r="C505" s="539" t="s">
        <v>2783</v>
      </c>
      <c r="D505" s="550" t="s">
        <v>2998</v>
      </c>
      <c r="E505" s="552">
        <v>0</v>
      </c>
      <c r="F505" s="755"/>
      <c r="G505" s="756"/>
    </row>
    <row r="506" spans="1:7" ht="16.3" customHeight="1">
      <c r="A506" s="552" t="s">
        <v>3694</v>
      </c>
      <c r="B506" s="695" t="s">
        <v>3698</v>
      </c>
      <c r="C506" s="539" t="s">
        <v>2783</v>
      </c>
      <c r="D506" s="550" t="s">
        <v>2998</v>
      </c>
      <c r="E506" s="552">
        <v>0</v>
      </c>
      <c r="F506" s="755"/>
      <c r="G506" s="756"/>
    </row>
    <row r="507" spans="1:7" ht="16.3" customHeight="1">
      <c r="A507" s="552" t="s">
        <v>3694</v>
      </c>
      <c r="B507" s="697" t="s">
        <v>3699</v>
      </c>
      <c r="C507" s="539" t="s">
        <v>6284</v>
      </c>
      <c r="D507" s="550" t="s">
        <v>2809</v>
      </c>
      <c r="E507" s="552">
        <v>0</v>
      </c>
      <c r="F507" s="755"/>
      <c r="G507" s="756"/>
    </row>
    <row r="508" spans="1:7" ht="16.3" customHeight="1">
      <c r="A508" s="552" t="s">
        <v>3694</v>
      </c>
      <c r="B508" s="697" t="s">
        <v>3699</v>
      </c>
      <c r="C508" s="539" t="s">
        <v>9085</v>
      </c>
      <c r="D508" s="550" t="s">
        <v>2809</v>
      </c>
      <c r="E508" s="552">
        <v>0</v>
      </c>
      <c r="F508" s="755"/>
      <c r="G508" s="756"/>
    </row>
    <row r="509" spans="1:7" ht="16.3" customHeight="1">
      <c r="A509" s="552" t="s">
        <v>3694</v>
      </c>
      <c r="B509" s="697" t="s">
        <v>3699</v>
      </c>
      <c r="C509" s="539" t="s">
        <v>6285</v>
      </c>
      <c r="D509" s="550" t="s">
        <v>2809</v>
      </c>
      <c r="E509" s="552">
        <v>0</v>
      </c>
      <c r="F509" s="755"/>
      <c r="G509" s="756"/>
    </row>
    <row r="510" spans="1:7" ht="16.3" customHeight="1">
      <c r="A510" s="552" t="s">
        <v>3694</v>
      </c>
      <c r="B510" s="697" t="s">
        <v>3699</v>
      </c>
      <c r="C510" s="539" t="s">
        <v>6286</v>
      </c>
      <c r="D510" s="550" t="s">
        <v>2809</v>
      </c>
      <c r="E510" s="552">
        <v>0</v>
      </c>
      <c r="F510" s="755"/>
      <c r="G510" s="756"/>
    </row>
    <row r="511" spans="1:7" ht="16.3" customHeight="1">
      <c r="A511" s="552" t="s">
        <v>3694</v>
      </c>
      <c r="B511" s="697" t="s">
        <v>3699</v>
      </c>
      <c r="C511" s="539" t="s">
        <v>2783</v>
      </c>
      <c r="D511" s="550" t="s">
        <v>2809</v>
      </c>
      <c r="E511" s="552">
        <v>0</v>
      </c>
      <c r="F511" s="755"/>
      <c r="G511" s="756"/>
    </row>
    <row r="512" spans="1:7" ht="16.3" customHeight="1">
      <c r="A512" s="552" t="s">
        <v>3694</v>
      </c>
      <c r="B512" s="694" t="s">
        <v>3700</v>
      </c>
      <c r="C512" s="539" t="s">
        <v>6287</v>
      </c>
      <c r="D512" s="550" t="s">
        <v>2971</v>
      </c>
      <c r="E512" s="552">
        <v>0</v>
      </c>
      <c r="F512" s="755"/>
      <c r="G512" s="756"/>
    </row>
    <row r="513" spans="1:7" ht="16.3" customHeight="1">
      <c r="A513" s="552" t="s">
        <v>3694</v>
      </c>
      <c r="B513" s="694" t="s">
        <v>3700</v>
      </c>
      <c r="C513" s="539" t="s">
        <v>2783</v>
      </c>
      <c r="D513" s="550" t="s">
        <v>2971</v>
      </c>
      <c r="E513" s="552">
        <v>0</v>
      </c>
      <c r="F513" s="755"/>
      <c r="G513" s="756"/>
    </row>
    <row r="514" spans="1:7" ht="16.3" customHeight="1">
      <c r="A514" s="552" t="s">
        <v>3694</v>
      </c>
      <c r="B514" s="700" t="s">
        <v>6055</v>
      </c>
      <c r="C514" s="539" t="s">
        <v>2783</v>
      </c>
      <c r="D514" s="550" t="s">
        <v>6697</v>
      </c>
      <c r="E514" s="552">
        <v>0</v>
      </c>
      <c r="F514" s="755"/>
      <c r="G514" s="757"/>
    </row>
    <row r="515" spans="1:7" ht="16.3" customHeight="1">
      <c r="A515" s="552" t="s">
        <v>3694</v>
      </c>
      <c r="B515" s="698" t="s">
        <v>3695</v>
      </c>
      <c r="C515" s="539" t="s">
        <v>6288</v>
      </c>
      <c r="D515" s="550" t="s">
        <v>2802</v>
      </c>
      <c r="E515" s="552">
        <v>0</v>
      </c>
      <c r="F515" s="755"/>
      <c r="G515" s="757"/>
    </row>
    <row r="516" spans="1:7" ht="16.3" customHeight="1">
      <c r="A516" s="552" t="s">
        <v>3694</v>
      </c>
      <c r="B516" s="698" t="s">
        <v>3695</v>
      </c>
      <c r="C516" s="539" t="s">
        <v>2783</v>
      </c>
      <c r="D516" s="550" t="s">
        <v>2802</v>
      </c>
      <c r="E516" s="552">
        <v>0</v>
      </c>
      <c r="F516" s="755"/>
      <c r="G516" s="756"/>
    </row>
    <row r="517" spans="1:7" ht="16.3" customHeight="1">
      <c r="A517" s="552" t="s">
        <v>3694</v>
      </c>
      <c r="B517" s="699" t="s">
        <v>3696</v>
      </c>
      <c r="C517" s="539" t="s">
        <v>6289</v>
      </c>
      <c r="D517" s="550" t="s">
        <v>2805</v>
      </c>
      <c r="E517" s="552">
        <v>0</v>
      </c>
      <c r="F517" s="755"/>
      <c r="G517" s="757"/>
    </row>
    <row r="518" spans="1:7" ht="16.3" customHeight="1">
      <c r="A518" s="552" t="s">
        <v>3694</v>
      </c>
      <c r="B518" s="699" t="s">
        <v>3696</v>
      </c>
      <c r="C518" s="539" t="s">
        <v>2783</v>
      </c>
      <c r="D518" s="550" t="s">
        <v>2805</v>
      </c>
      <c r="E518" s="552">
        <v>0</v>
      </c>
      <c r="F518" s="755"/>
      <c r="G518" s="756"/>
    </row>
    <row r="519" spans="1:7" ht="16.3" customHeight="1">
      <c r="A519" s="552" t="s">
        <v>3694</v>
      </c>
      <c r="B519" s="696" t="s">
        <v>3697</v>
      </c>
      <c r="C519" s="539" t="s">
        <v>6290</v>
      </c>
      <c r="D519" s="550" t="s">
        <v>2875</v>
      </c>
      <c r="E519" s="552">
        <v>0</v>
      </c>
      <c r="F519" s="755"/>
      <c r="G519" s="756"/>
    </row>
    <row r="520" spans="1:7" ht="16.3" customHeight="1">
      <c r="A520" s="552" t="s">
        <v>3694</v>
      </c>
      <c r="B520" s="696" t="s">
        <v>3697</v>
      </c>
      <c r="C520" s="539" t="s">
        <v>9017</v>
      </c>
      <c r="D520" s="550" t="s">
        <v>2875</v>
      </c>
      <c r="E520" s="552">
        <v>0</v>
      </c>
      <c r="F520" s="755"/>
      <c r="G520" s="757"/>
    </row>
    <row r="521" spans="1:7" ht="16.3" customHeight="1">
      <c r="A521" s="552" t="s">
        <v>3694</v>
      </c>
      <c r="B521" s="696" t="s">
        <v>3697</v>
      </c>
      <c r="C521" s="539" t="s">
        <v>2783</v>
      </c>
      <c r="D521" s="550" t="s">
        <v>2875</v>
      </c>
      <c r="E521" s="552">
        <v>0</v>
      </c>
      <c r="F521" s="755"/>
      <c r="G521" s="756"/>
    </row>
    <row r="522" spans="1:7" ht="16.3" customHeight="1">
      <c r="A522" s="552" t="s">
        <v>3694</v>
      </c>
      <c r="B522" s="695" t="s">
        <v>3698</v>
      </c>
      <c r="C522" s="539" t="s">
        <v>6292</v>
      </c>
      <c r="D522" s="550" t="s">
        <v>2998</v>
      </c>
      <c r="E522" s="552">
        <v>0</v>
      </c>
      <c r="F522" s="755"/>
      <c r="G522" s="756"/>
    </row>
    <row r="523" spans="1:7" ht="16.3" customHeight="1">
      <c r="A523" s="552" t="s">
        <v>3694</v>
      </c>
      <c r="B523" s="695" t="s">
        <v>3698</v>
      </c>
      <c r="C523" s="539" t="s">
        <v>7589</v>
      </c>
      <c r="D523" s="550" t="s">
        <v>2998</v>
      </c>
      <c r="E523" s="552">
        <v>0</v>
      </c>
      <c r="F523" s="755"/>
      <c r="G523" s="756"/>
    </row>
    <row r="524" spans="1:7" ht="16.3" customHeight="1">
      <c r="A524" s="552" t="s">
        <v>3694</v>
      </c>
      <c r="B524" s="695" t="s">
        <v>3698</v>
      </c>
      <c r="C524" s="539" t="s">
        <v>2783</v>
      </c>
      <c r="D524" s="550" t="s">
        <v>2998</v>
      </c>
      <c r="E524" s="552">
        <v>0</v>
      </c>
      <c r="F524" s="755"/>
      <c r="G524" s="756"/>
    </row>
    <row r="525" spans="1:7" ht="16.3" customHeight="1">
      <c r="A525" s="552" t="s">
        <v>3694</v>
      </c>
      <c r="B525" s="695" t="s">
        <v>3698</v>
      </c>
      <c r="C525" s="539" t="s">
        <v>2783</v>
      </c>
      <c r="D525" s="550" t="s">
        <v>2998</v>
      </c>
      <c r="E525" s="552">
        <v>0</v>
      </c>
      <c r="F525" s="755"/>
      <c r="G525" s="756"/>
    </row>
    <row r="526" spans="1:7" ht="16.3" customHeight="1">
      <c r="A526" s="552" t="s">
        <v>3694</v>
      </c>
      <c r="B526" s="697" t="s">
        <v>3699</v>
      </c>
      <c r="C526" s="539" t="s">
        <v>7594</v>
      </c>
      <c r="D526" s="550" t="s">
        <v>2809</v>
      </c>
      <c r="E526" s="552">
        <v>0</v>
      </c>
      <c r="F526" s="755"/>
      <c r="G526" s="756"/>
    </row>
    <row r="527" spans="1:7" ht="16.3" customHeight="1">
      <c r="A527" s="552" t="s">
        <v>3694</v>
      </c>
      <c r="B527" s="697" t="s">
        <v>3699</v>
      </c>
      <c r="C527" s="539" t="s">
        <v>7599</v>
      </c>
      <c r="D527" s="550" t="s">
        <v>2809</v>
      </c>
      <c r="E527" s="552">
        <v>0</v>
      </c>
      <c r="F527" s="755"/>
      <c r="G527" s="756"/>
    </row>
    <row r="528" spans="1:7" ht="16.3" customHeight="1">
      <c r="A528" s="552" t="s">
        <v>3694</v>
      </c>
      <c r="B528" s="697" t="s">
        <v>3699</v>
      </c>
      <c r="C528" s="539" t="s">
        <v>7604</v>
      </c>
      <c r="D528" s="550" t="s">
        <v>2809</v>
      </c>
      <c r="E528" s="552">
        <v>0</v>
      </c>
      <c r="F528" s="755"/>
      <c r="G528" s="756"/>
    </row>
    <row r="529" spans="1:7" ht="16.3" customHeight="1">
      <c r="A529" s="552" t="s">
        <v>3694</v>
      </c>
      <c r="B529" s="697" t="s">
        <v>3699</v>
      </c>
      <c r="C529" s="539" t="s">
        <v>6293</v>
      </c>
      <c r="D529" s="550" t="s">
        <v>2809</v>
      </c>
      <c r="E529" s="552">
        <v>0</v>
      </c>
      <c r="F529" s="755"/>
      <c r="G529" s="756"/>
    </row>
    <row r="530" spans="1:7" ht="16.3" customHeight="1">
      <c r="A530" s="552" t="s">
        <v>3694</v>
      </c>
      <c r="B530" s="697" t="s">
        <v>3699</v>
      </c>
      <c r="C530" s="539" t="s">
        <v>2783</v>
      </c>
      <c r="D530" s="550" t="s">
        <v>2809</v>
      </c>
      <c r="E530" s="552">
        <v>0</v>
      </c>
      <c r="F530" s="755"/>
      <c r="G530" s="756"/>
    </row>
    <row r="531" spans="1:7" ht="16.3" customHeight="1">
      <c r="A531" s="552" t="s">
        <v>3694</v>
      </c>
      <c r="B531" s="694" t="s">
        <v>3700</v>
      </c>
      <c r="C531" s="539" t="s">
        <v>2783</v>
      </c>
      <c r="D531" s="550" t="s">
        <v>2971</v>
      </c>
      <c r="E531" s="552">
        <v>0</v>
      </c>
      <c r="F531" s="755"/>
      <c r="G531" s="756"/>
    </row>
    <row r="532" spans="1:7" ht="16.3" customHeight="1">
      <c r="A532" s="552" t="s">
        <v>3694</v>
      </c>
      <c r="B532" s="694" t="s">
        <v>3700</v>
      </c>
      <c r="C532" s="539" t="s">
        <v>2783</v>
      </c>
      <c r="D532" s="550" t="s">
        <v>2971</v>
      </c>
      <c r="E532" s="552">
        <v>0</v>
      </c>
      <c r="F532" s="755"/>
      <c r="G532" s="757"/>
    </row>
    <row r="533" spans="1:7" ht="16.3" customHeight="1">
      <c r="A533" s="552" t="s">
        <v>3694</v>
      </c>
      <c r="B533" s="700" t="s">
        <v>6055</v>
      </c>
      <c r="C533" s="539" t="s">
        <v>2783</v>
      </c>
      <c r="D533" s="550" t="s">
        <v>6697</v>
      </c>
      <c r="E533" s="552">
        <v>0</v>
      </c>
      <c r="F533" s="755"/>
      <c r="G533" s="757"/>
    </row>
    <row r="534" spans="1:7" ht="16.3" customHeight="1">
      <c r="A534" s="552" t="s">
        <v>3694</v>
      </c>
      <c r="B534" s="698" t="s">
        <v>3695</v>
      </c>
      <c r="C534" s="539" t="s">
        <v>8630</v>
      </c>
      <c r="D534" s="550" t="s">
        <v>2802</v>
      </c>
      <c r="E534" s="552">
        <v>0</v>
      </c>
      <c r="F534" s="755"/>
      <c r="G534" s="757"/>
    </row>
    <row r="535" spans="1:7" ht="16.3" customHeight="1">
      <c r="A535" s="552" t="s">
        <v>3694</v>
      </c>
      <c r="B535" s="698" t="s">
        <v>3695</v>
      </c>
      <c r="C535" s="539" t="s">
        <v>8660</v>
      </c>
      <c r="D535" s="550" t="s">
        <v>2802</v>
      </c>
      <c r="E535" s="552">
        <v>0</v>
      </c>
      <c r="F535" s="755"/>
      <c r="G535" s="757"/>
    </row>
    <row r="536" spans="1:7" ht="16.3" customHeight="1">
      <c r="A536" s="552" t="s">
        <v>3694</v>
      </c>
      <c r="B536" s="699" t="s">
        <v>3696</v>
      </c>
      <c r="C536" s="539" t="s">
        <v>8631</v>
      </c>
      <c r="D536" s="550" t="s">
        <v>2805</v>
      </c>
      <c r="E536" s="552">
        <v>0</v>
      </c>
      <c r="F536" s="755"/>
      <c r="G536" s="757"/>
    </row>
    <row r="537" spans="1:7" ht="16.3" customHeight="1">
      <c r="A537" s="552" t="s">
        <v>3694</v>
      </c>
      <c r="B537" s="699" t="s">
        <v>3696</v>
      </c>
      <c r="C537" s="539" t="s">
        <v>8660</v>
      </c>
      <c r="D537" s="550" t="s">
        <v>2805</v>
      </c>
      <c r="E537" s="552">
        <v>0</v>
      </c>
      <c r="F537" s="755"/>
      <c r="G537" s="757"/>
    </row>
    <row r="538" spans="1:7" ht="16.3" customHeight="1">
      <c r="A538" s="552" t="s">
        <v>3694</v>
      </c>
      <c r="B538" s="696" t="s">
        <v>3697</v>
      </c>
      <c r="C538" s="539" t="s">
        <v>8632</v>
      </c>
      <c r="D538" s="550" t="s">
        <v>2875</v>
      </c>
      <c r="E538" s="552">
        <v>0</v>
      </c>
      <c r="F538" s="755"/>
      <c r="G538" s="757"/>
    </row>
    <row r="539" spans="1:7" ht="16.3" customHeight="1">
      <c r="A539" s="552" t="s">
        <v>3694</v>
      </c>
      <c r="B539" s="696" t="s">
        <v>3697</v>
      </c>
      <c r="C539" s="539" t="s">
        <v>8633</v>
      </c>
      <c r="D539" s="550" t="s">
        <v>2875</v>
      </c>
      <c r="E539" s="552">
        <v>0</v>
      </c>
      <c r="F539" s="755"/>
      <c r="G539" s="757"/>
    </row>
    <row r="540" spans="1:7" ht="16.3" customHeight="1">
      <c r="A540" s="552" t="s">
        <v>3694</v>
      </c>
      <c r="B540" s="696" t="s">
        <v>3697</v>
      </c>
      <c r="C540" s="539" t="s">
        <v>8660</v>
      </c>
      <c r="D540" s="550" t="s">
        <v>2875</v>
      </c>
      <c r="E540" s="552">
        <v>0</v>
      </c>
      <c r="F540" s="755"/>
      <c r="G540" s="757"/>
    </row>
    <row r="541" spans="1:7" ht="16.3" customHeight="1">
      <c r="A541" s="552" t="s">
        <v>3694</v>
      </c>
      <c r="B541" s="695" t="s">
        <v>3698</v>
      </c>
      <c r="C541" s="539" t="s">
        <v>9018</v>
      </c>
      <c r="D541" s="550" t="s">
        <v>2998</v>
      </c>
      <c r="E541" s="552">
        <v>0</v>
      </c>
      <c r="F541" s="755"/>
      <c r="G541" s="756"/>
    </row>
    <row r="542" spans="1:7" ht="16.3" customHeight="1">
      <c r="A542" s="552" t="s">
        <v>3694</v>
      </c>
      <c r="B542" s="695" t="s">
        <v>3698</v>
      </c>
      <c r="C542" s="539" t="s">
        <v>8634</v>
      </c>
      <c r="D542" s="550" t="s">
        <v>2998</v>
      </c>
      <c r="E542" s="552">
        <v>0</v>
      </c>
      <c r="F542" s="755"/>
      <c r="G542" s="756"/>
    </row>
    <row r="543" spans="1:7" ht="16.3" customHeight="1">
      <c r="A543" s="552" t="s">
        <v>3694</v>
      </c>
      <c r="B543" s="695" t="s">
        <v>3698</v>
      </c>
      <c r="C543" s="539" t="s">
        <v>8660</v>
      </c>
      <c r="D543" s="550" t="s">
        <v>2998</v>
      </c>
      <c r="E543" s="552">
        <v>0</v>
      </c>
      <c r="F543" s="755"/>
      <c r="G543" s="756"/>
    </row>
    <row r="544" spans="1:7" ht="16.3" customHeight="1">
      <c r="A544" s="552" t="s">
        <v>3694</v>
      </c>
      <c r="B544" s="695" t="s">
        <v>3698</v>
      </c>
      <c r="C544" s="539" t="s">
        <v>8660</v>
      </c>
      <c r="D544" s="550" t="s">
        <v>2998</v>
      </c>
      <c r="E544" s="552">
        <v>0</v>
      </c>
      <c r="F544" s="755"/>
      <c r="G544" s="756"/>
    </row>
    <row r="545" spans="1:7" ht="16.3" customHeight="1">
      <c r="A545" s="552" t="s">
        <v>3694</v>
      </c>
      <c r="B545" s="697" t="s">
        <v>3699</v>
      </c>
      <c r="C545" s="539" t="s">
        <v>8635</v>
      </c>
      <c r="D545" s="550" t="s">
        <v>2809</v>
      </c>
      <c r="E545" s="552">
        <v>0</v>
      </c>
      <c r="F545" s="755"/>
      <c r="G545" s="757"/>
    </row>
    <row r="546" spans="1:7" ht="16.3" customHeight="1">
      <c r="A546" s="552" t="s">
        <v>3694</v>
      </c>
      <c r="B546" s="697" t="s">
        <v>3699</v>
      </c>
      <c r="C546" s="539" t="s">
        <v>8636</v>
      </c>
      <c r="D546" s="550" t="s">
        <v>2809</v>
      </c>
      <c r="E546" s="552">
        <v>0</v>
      </c>
      <c r="F546" s="755"/>
      <c r="G546" s="756"/>
    </row>
    <row r="547" spans="1:7" ht="16.3" customHeight="1">
      <c r="A547" s="552" t="s">
        <v>3694</v>
      </c>
      <c r="B547" s="697" t="s">
        <v>3699</v>
      </c>
      <c r="C547" s="539" t="s">
        <v>9125</v>
      </c>
      <c r="D547" s="550" t="s">
        <v>2809</v>
      </c>
      <c r="E547" s="552">
        <v>0</v>
      </c>
      <c r="F547" s="755"/>
      <c r="G547" s="757"/>
    </row>
    <row r="548" spans="1:7" ht="16.3" customHeight="1">
      <c r="A548" s="552" t="s">
        <v>3694</v>
      </c>
      <c r="B548" s="697" t="s">
        <v>3699</v>
      </c>
      <c r="C548" s="539" t="s">
        <v>8660</v>
      </c>
      <c r="D548" s="550" t="s">
        <v>2809</v>
      </c>
      <c r="E548" s="552">
        <v>0</v>
      </c>
      <c r="F548" s="755"/>
      <c r="G548" s="757"/>
    </row>
    <row r="549" spans="1:7" ht="16.3" customHeight="1">
      <c r="A549" s="552" t="s">
        <v>3694</v>
      </c>
      <c r="B549" s="697" t="s">
        <v>3699</v>
      </c>
      <c r="C549" s="539" t="s">
        <v>9019</v>
      </c>
      <c r="D549" s="550" t="s">
        <v>2809</v>
      </c>
      <c r="E549" s="552">
        <v>0</v>
      </c>
      <c r="F549" s="755"/>
      <c r="G549" s="757"/>
    </row>
    <row r="550" spans="1:7" ht="16.3" customHeight="1">
      <c r="A550" s="552" t="s">
        <v>3694</v>
      </c>
      <c r="B550" s="694" t="s">
        <v>3700</v>
      </c>
      <c r="C550" s="539" t="s">
        <v>9020</v>
      </c>
      <c r="D550" s="550" t="s">
        <v>2971</v>
      </c>
      <c r="E550" s="552">
        <v>0</v>
      </c>
      <c r="F550" s="755"/>
      <c r="G550" s="757"/>
    </row>
    <row r="551" spans="1:7" ht="16.3" customHeight="1">
      <c r="A551" s="552" t="s">
        <v>3694</v>
      </c>
      <c r="B551" s="694" t="s">
        <v>3700</v>
      </c>
      <c r="C551" s="539" t="s">
        <v>9021</v>
      </c>
      <c r="D551" s="550" t="s">
        <v>2971</v>
      </c>
      <c r="E551" s="552">
        <v>0</v>
      </c>
      <c r="F551" s="755"/>
      <c r="G551" s="757"/>
    </row>
    <row r="552" spans="1:7" ht="16.3" customHeight="1">
      <c r="A552" s="552" t="s">
        <v>3694</v>
      </c>
      <c r="B552" s="700" t="s">
        <v>6055</v>
      </c>
      <c r="C552" s="539" t="s">
        <v>2783</v>
      </c>
      <c r="D552" s="550" t="s">
        <v>6697</v>
      </c>
      <c r="E552" s="552">
        <v>0</v>
      </c>
      <c r="F552" s="755"/>
      <c r="G552" s="757"/>
    </row>
    <row r="553" spans="1:7" ht="16.3" customHeight="1">
      <c r="A553" s="552" t="s">
        <v>3694</v>
      </c>
      <c r="B553" s="698" t="s">
        <v>3695</v>
      </c>
      <c r="C553" s="539" t="s">
        <v>8637</v>
      </c>
      <c r="D553" s="550" t="s">
        <v>2802</v>
      </c>
      <c r="E553" s="552">
        <v>0</v>
      </c>
      <c r="F553" s="755"/>
      <c r="G553" s="757"/>
    </row>
    <row r="554" spans="1:7" ht="16.3" customHeight="1">
      <c r="A554" s="552" t="s">
        <v>3694</v>
      </c>
      <c r="B554" s="698" t="s">
        <v>3695</v>
      </c>
      <c r="C554" s="539" t="s">
        <v>8660</v>
      </c>
      <c r="D554" s="550" t="s">
        <v>2802</v>
      </c>
      <c r="E554" s="552">
        <v>0</v>
      </c>
      <c r="F554" s="755"/>
      <c r="G554" s="757"/>
    </row>
    <row r="555" spans="1:7" ht="16.3" customHeight="1">
      <c r="A555" s="552" t="s">
        <v>3694</v>
      </c>
      <c r="B555" s="699" t="s">
        <v>3696</v>
      </c>
      <c r="C555" s="539" t="s">
        <v>9022</v>
      </c>
      <c r="D555" s="550" t="s">
        <v>2805</v>
      </c>
      <c r="E555" s="552">
        <v>0</v>
      </c>
      <c r="F555" s="755"/>
      <c r="G555" s="756"/>
    </row>
    <row r="556" spans="1:7" ht="16.3" customHeight="1">
      <c r="A556" s="552" t="s">
        <v>3694</v>
      </c>
      <c r="B556" s="699" t="s">
        <v>3696</v>
      </c>
      <c r="C556" s="539" t="s">
        <v>8660</v>
      </c>
      <c r="D556" s="550" t="s">
        <v>2805</v>
      </c>
      <c r="E556" s="552">
        <v>0</v>
      </c>
      <c r="F556" s="755"/>
      <c r="G556" s="756"/>
    </row>
    <row r="557" spans="1:7" ht="16.3" customHeight="1">
      <c r="A557" s="552" t="s">
        <v>3694</v>
      </c>
      <c r="B557" s="696" t="s">
        <v>3697</v>
      </c>
      <c r="C557" s="539" t="s">
        <v>8638</v>
      </c>
      <c r="D557" s="550" t="s">
        <v>2875</v>
      </c>
      <c r="E557" s="552">
        <v>0</v>
      </c>
      <c r="F557" s="755"/>
      <c r="G557" s="756"/>
    </row>
    <row r="558" spans="1:7" ht="16.3" customHeight="1">
      <c r="A558" s="552" t="s">
        <v>3694</v>
      </c>
      <c r="B558" s="696" t="s">
        <v>3697</v>
      </c>
      <c r="C558" s="539" t="s">
        <v>8639</v>
      </c>
      <c r="D558" s="550" t="s">
        <v>2875</v>
      </c>
      <c r="E558" s="552">
        <v>0</v>
      </c>
      <c r="F558" s="755"/>
      <c r="G558" s="756"/>
    </row>
    <row r="559" spans="1:7" ht="16.3" customHeight="1">
      <c r="A559" s="552" t="s">
        <v>3694</v>
      </c>
      <c r="B559" s="696" t="s">
        <v>3697</v>
      </c>
      <c r="C559" s="539" t="s">
        <v>8640</v>
      </c>
      <c r="D559" s="550" t="s">
        <v>2875</v>
      </c>
      <c r="E559" s="552">
        <v>0</v>
      </c>
      <c r="F559" s="755"/>
      <c r="G559" s="756"/>
    </row>
    <row r="560" spans="1:7" ht="16.3" customHeight="1">
      <c r="A560" s="552" t="s">
        <v>3694</v>
      </c>
      <c r="B560" s="695" t="s">
        <v>3698</v>
      </c>
      <c r="C560" s="539" t="s">
        <v>8641</v>
      </c>
      <c r="D560" s="550" t="s">
        <v>2998</v>
      </c>
      <c r="E560" s="552">
        <v>0</v>
      </c>
      <c r="F560" s="755"/>
      <c r="G560" s="756"/>
    </row>
    <row r="561" spans="1:7" ht="16.3" customHeight="1">
      <c r="A561" s="552" t="s">
        <v>3694</v>
      </c>
      <c r="B561" s="695" t="s">
        <v>3698</v>
      </c>
      <c r="C561" s="539" t="s">
        <v>9023</v>
      </c>
      <c r="D561" s="550" t="s">
        <v>2998</v>
      </c>
      <c r="E561" s="552">
        <v>0</v>
      </c>
      <c r="F561" s="755"/>
      <c r="G561" s="757"/>
    </row>
    <row r="562" spans="1:7" ht="16.3" customHeight="1">
      <c r="A562" s="552" t="s">
        <v>3694</v>
      </c>
      <c r="B562" s="695" t="s">
        <v>3698</v>
      </c>
      <c r="C562" s="539" t="s">
        <v>8660</v>
      </c>
      <c r="D562" s="550" t="s">
        <v>2998</v>
      </c>
      <c r="E562" s="552">
        <v>0</v>
      </c>
      <c r="F562" s="755"/>
      <c r="G562" s="757"/>
    </row>
    <row r="563" spans="1:7" ht="16.3" customHeight="1">
      <c r="A563" s="552" t="s">
        <v>3694</v>
      </c>
      <c r="B563" s="695" t="s">
        <v>3698</v>
      </c>
      <c r="C563" s="539" t="s">
        <v>8660</v>
      </c>
      <c r="D563" s="550" t="s">
        <v>2998</v>
      </c>
      <c r="E563" s="552">
        <v>0</v>
      </c>
      <c r="F563" s="755"/>
      <c r="G563" s="757"/>
    </row>
    <row r="564" spans="1:7" ht="16.3" customHeight="1">
      <c r="A564" s="552" t="s">
        <v>3694</v>
      </c>
      <c r="B564" s="697" t="s">
        <v>3699</v>
      </c>
      <c r="C564" s="539" t="s">
        <v>9024</v>
      </c>
      <c r="D564" s="550" t="s">
        <v>2809</v>
      </c>
      <c r="E564" s="552">
        <v>0</v>
      </c>
      <c r="F564" s="755"/>
      <c r="G564" s="757"/>
    </row>
    <row r="565" spans="1:7" ht="16.3" customHeight="1">
      <c r="A565" s="552" t="s">
        <v>3694</v>
      </c>
      <c r="B565" s="697" t="s">
        <v>3699</v>
      </c>
      <c r="C565" s="539" t="s">
        <v>8642</v>
      </c>
      <c r="D565" s="550" t="s">
        <v>2809</v>
      </c>
      <c r="E565" s="552">
        <v>0</v>
      </c>
      <c r="F565" s="755"/>
      <c r="G565" s="757"/>
    </row>
    <row r="566" spans="1:7" ht="16.3" customHeight="1">
      <c r="A566" s="552" t="s">
        <v>3694</v>
      </c>
      <c r="B566" s="697" t="s">
        <v>3699</v>
      </c>
      <c r="C566" s="539" t="s">
        <v>8660</v>
      </c>
      <c r="D566" s="550" t="s">
        <v>2809</v>
      </c>
      <c r="E566" s="552">
        <v>0</v>
      </c>
      <c r="F566" s="755"/>
      <c r="G566" s="757"/>
    </row>
    <row r="567" spans="1:7" ht="16.3" customHeight="1">
      <c r="A567" s="552" t="s">
        <v>3694</v>
      </c>
      <c r="B567" s="697" t="s">
        <v>3699</v>
      </c>
      <c r="C567" s="539" t="s">
        <v>8660</v>
      </c>
      <c r="D567" s="550" t="s">
        <v>2809</v>
      </c>
      <c r="E567" s="552">
        <v>0</v>
      </c>
      <c r="F567" s="755"/>
      <c r="G567" s="756"/>
    </row>
    <row r="568" spans="1:7" ht="16.3" customHeight="1">
      <c r="A568" s="552" t="s">
        <v>3694</v>
      </c>
      <c r="B568" s="697" t="s">
        <v>3699</v>
      </c>
      <c r="C568" s="539" t="s">
        <v>8660</v>
      </c>
      <c r="D568" s="550" t="s">
        <v>2809</v>
      </c>
      <c r="E568" s="552">
        <v>0</v>
      </c>
      <c r="F568" s="755"/>
      <c r="G568" s="756"/>
    </row>
    <row r="569" spans="1:7" ht="16.3" customHeight="1">
      <c r="A569" s="552" t="s">
        <v>3694</v>
      </c>
      <c r="B569" s="694" t="s">
        <v>3700</v>
      </c>
      <c r="C569" s="539" t="s">
        <v>8643</v>
      </c>
      <c r="D569" s="550" t="s">
        <v>2971</v>
      </c>
      <c r="E569" s="552">
        <v>0</v>
      </c>
      <c r="F569" s="755"/>
      <c r="G569" s="756"/>
    </row>
    <row r="570" spans="1:7" ht="16.3" customHeight="1">
      <c r="A570" s="552" t="s">
        <v>3694</v>
      </c>
      <c r="B570" s="694" t="s">
        <v>3700</v>
      </c>
      <c r="C570" s="539" t="s">
        <v>8660</v>
      </c>
      <c r="D570" s="550" t="s">
        <v>2971</v>
      </c>
      <c r="E570" s="552">
        <v>0</v>
      </c>
      <c r="F570" s="755"/>
      <c r="G570" s="756"/>
    </row>
    <row r="571" spans="1:7" ht="16.3" customHeight="1">
      <c r="A571" s="552" t="s">
        <v>3694</v>
      </c>
      <c r="B571" s="700" t="s">
        <v>6055</v>
      </c>
      <c r="C571" s="539" t="s">
        <v>2783</v>
      </c>
      <c r="D571" s="550" t="s">
        <v>6697</v>
      </c>
      <c r="E571" s="552">
        <v>0</v>
      </c>
      <c r="F571" s="755"/>
      <c r="G571" s="756"/>
    </row>
    <row r="572" spans="1:7" ht="16.3" customHeight="1">
      <c r="A572" s="552" t="s">
        <v>3694</v>
      </c>
      <c r="B572" s="698" t="s">
        <v>3695</v>
      </c>
      <c r="C572" s="539" t="s">
        <v>8644</v>
      </c>
      <c r="D572" s="550" t="s">
        <v>2802</v>
      </c>
      <c r="E572" s="552">
        <v>0</v>
      </c>
      <c r="F572" s="755"/>
      <c r="G572" s="757"/>
    </row>
    <row r="573" spans="1:7" ht="16.3" customHeight="1">
      <c r="A573" s="552" t="s">
        <v>3694</v>
      </c>
      <c r="B573" s="698" t="s">
        <v>3695</v>
      </c>
      <c r="C573" s="539" t="s">
        <v>8660</v>
      </c>
      <c r="D573" s="550" t="s">
        <v>2802</v>
      </c>
      <c r="E573" s="552">
        <v>0</v>
      </c>
      <c r="F573" s="755"/>
      <c r="G573" s="757"/>
    </row>
    <row r="574" spans="1:7" ht="16.3" customHeight="1">
      <c r="A574" s="552" t="s">
        <v>3694</v>
      </c>
      <c r="B574" s="699" t="s">
        <v>3696</v>
      </c>
      <c r="C574" s="539" t="s">
        <v>8645</v>
      </c>
      <c r="D574" s="550" t="s">
        <v>2805</v>
      </c>
      <c r="E574" s="552">
        <v>0</v>
      </c>
      <c r="F574" s="755"/>
      <c r="G574" s="757"/>
    </row>
    <row r="575" spans="1:7" ht="16.3" customHeight="1">
      <c r="A575" s="552" t="s">
        <v>3694</v>
      </c>
      <c r="B575" s="699" t="s">
        <v>3696</v>
      </c>
      <c r="C575" s="539" t="s">
        <v>8660</v>
      </c>
      <c r="D575" s="550" t="s">
        <v>2805</v>
      </c>
      <c r="E575" s="552">
        <v>0</v>
      </c>
      <c r="F575" s="755"/>
      <c r="G575" s="757"/>
    </row>
    <row r="576" spans="1:7" ht="16.3" customHeight="1">
      <c r="A576" s="552" t="s">
        <v>3694</v>
      </c>
      <c r="B576" s="696" t="s">
        <v>3697</v>
      </c>
      <c r="C576" s="539" t="s">
        <v>8646</v>
      </c>
      <c r="D576" s="550" t="s">
        <v>2875</v>
      </c>
      <c r="E576" s="552">
        <v>0</v>
      </c>
      <c r="F576" s="755"/>
      <c r="G576" s="757"/>
    </row>
    <row r="577" spans="1:7" ht="16.3" customHeight="1">
      <c r="A577" s="552" t="s">
        <v>3694</v>
      </c>
      <c r="B577" s="696" t="s">
        <v>3697</v>
      </c>
      <c r="C577" s="539" t="s">
        <v>8647</v>
      </c>
      <c r="D577" s="550" t="s">
        <v>2875</v>
      </c>
      <c r="E577" s="552">
        <v>0</v>
      </c>
      <c r="F577" s="755"/>
      <c r="G577" s="757"/>
    </row>
    <row r="578" spans="1:7" ht="16.3" customHeight="1">
      <c r="A578" s="552" t="s">
        <v>3694</v>
      </c>
      <c r="B578" s="696" t="s">
        <v>3697</v>
      </c>
      <c r="C578" s="539" t="s">
        <v>8660</v>
      </c>
      <c r="D578" s="550" t="s">
        <v>2875</v>
      </c>
      <c r="E578" s="552">
        <v>0</v>
      </c>
      <c r="F578" s="755"/>
      <c r="G578" s="756"/>
    </row>
    <row r="579" spans="1:7" ht="16.3" customHeight="1">
      <c r="A579" s="552" t="s">
        <v>3694</v>
      </c>
      <c r="B579" s="695" t="s">
        <v>3698</v>
      </c>
      <c r="C579" s="539" t="s">
        <v>9025</v>
      </c>
      <c r="D579" s="550" t="s">
        <v>2998</v>
      </c>
      <c r="E579" s="552">
        <v>0</v>
      </c>
      <c r="F579" s="755"/>
      <c r="G579" s="756"/>
    </row>
    <row r="580" spans="1:7" ht="16.3" customHeight="1">
      <c r="A580" s="552" t="s">
        <v>3694</v>
      </c>
      <c r="B580" s="695" t="s">
        <v>3698</v>
      </c>
      <c r="C580" s="539" t="s">
        <v>8648</v>
      </c>
      <c r="D580" s="550" t="s">
        <v>2998</v>
      </c>
      <c r="E580" s="552">
        <v>0</v>
      </c>
      <c r="F580" s="755"/>
      <c r="G580" s="756"/>
    </row>
    <row r="581" spans="1:7" ht="16.3" customHeight="1">
      <c r="A581" s="552" t="s">
        <v>3694</v>
      </c>
      <c r="B581" s="695" t="s">
        <v>3698</v>
      </c>
      <c r="C581" s="539" t="s">
        <v>8649</v>
      </c>
      <c r="D581" s="550" t="s">
        <v>2998</v>
      </c>
      <c r="E581" s="552">
        <v>0</v>
      </c>
      <c r="F581" s="755"/>
      <c r="G581" s="756"/>
    </row>
    <row r="582" spans="1:7" ht="16.3" customHeight="1">
      <c r="A582" s="552" t="s">
        <v>3694</v>
      </c>
      <c r="B582" s="695" t="s">
        <v>3698</v>
      </c>
      <c r="C582" s="539" t="s">
        <v>8660</v>
      </c>
      <c r="D582" s="550" t="s">
        <v>2998</v>
      </c>
      <c r="E582" s="552">
        <v>0</v>
      </c>
      <c r="F582" s="755"/>
      <c r="G582" s="757"/>
    </row>
    <row r="583" spans="1:7" ht="16.3" customHeight="1">
      <c r="A583" s="552" t="s">
        <v>3694</v>
      </c>
      <c r="B583" s="697" t="s">
        <v>3699</v>
      </c>
      <c r="C583" s="539" t="s">
        <v>8650</v>
      </c>
      <c r="D583" s="550" t="s">
        <v>2809</v>
      </c>
      <c r="E583" s="552">
        <v>0</v>
      </c>
      <c r="F583" s="755"/>
      <c r="G583" s="756"/>
    </row>
    <row r="584" spans="1:7" ht="16.3" customHeight="1">
      <c r="A584" s="552" t="s">
        <v>3694</v>
      </c>
      <c r="B584" s="697" t="s">
        <v>3699</v>
      </c>
      <c r="C584" s="539" t="s">
        <v>8651</v>
      </c>
      <c r="D584" s="550" t="s">
        <v>2809</v>
      </c>
      <c r="E584" s="552">
        <v>0</v>
      </c>
      <c r="F584" s="755"/>
      <c r="G584" s="757"/>
    </row>
    <row r="585" spans="1:7" ht="16.3" customHeight="1">
      <c r="A585" s="552" t="s">
        <v>3694</v>
      </c>
      <c r="B585" s="697" t="s">
        <v>3699</v>
      </c>
      <c r="C585" s="539" t="s">
        <v>8660</v>
      </c>
      <c r="D585" s="550" t="s">
        <v>2809</v>
      </c>
      <c r="E585" s="552">
        <v>0</v>
      </c>
      <c r="F585" s="755"/>
      <c r="G585" s="757"/>
    </row>
    <row r="586" spans="1:7" ht="16.3" customHeight="1">
      <c r="A586" s="552" t="s">
        <v>3694</v>
      </c>
      <c r="B586" s="697" t="s">
        <v>3699</v>
      </c>
      <c r="C586" s="539" t="s">
        <v>8660</v>
      </c>
      <c r="D586" s="550" t="s">
        <v>2809</v>
      </c>
      <c r="E586" s="552">
        <v>0</v>
      </c>
      <c r="F586" s="755"/>
      <c r="G586" s="757"/>
    </row>
    <row r="587" spans="1:7" ht="16.3" customHeight="1">
      <c r="A587" s="552" t="s">
        <v>3694</v>
      </c>
      <c r="B587" s="697" t="s">
        <v>3699</v>
      </c>
      <c r="C587" s="539" t="s">
        <v>8660</v>
      </c>
      <c r="D587" s="550" t="s">
        <v>2809</v>
      </c>
      <c r="E587" s="552">
        <v>0</v>
      </c>
      <c r="F587" s="755"/>
      <c r="G587" s="757"/>
    </row>
    <row r="588" spans="1:7" ht="16.3" customHeight="1">
      <c r="A588" s="552" t="s">
        <v>3694</v>
      </c>
      <c r="B588" s="694" t="s">
        <v>3700</v>
      </c>
      <c r="C588" s="539" t="s">
        <v>6320</v>
      </c>
      <c r="D588" s="550" t="s">
        <v>2971</v>
      </c>
      <c r="E588" s="552">
        <v>0</v>
      </c>
      <c r="F588" s="755"/>
      <c r="G588" s="757"/>
    </row>
    <row r="589" spans="1:7" ht="16.3" customHeight="1">
      <c r="A589" s="552" t="s">
        <v>3694</v>
      </c>
      <c r="B589" s="694" t="s">
        <v>3700</v>
      </c>
      <c r="C589" s="539" t="s">
        <v>8660</v>
      </c>
      <c r="D589" s="550" t="s">
        <v>2971</v>
      </c>
      <c r="E589" s="552">
        <v>0</v>
      </c>
      <c r="F589" s="755"/>
      <c r="G589" s="756"/>
    </row>
    <row r="590" spans="1:7" ht="16.3" customHeight="1">
      <c r="A590" s="552" t="s">
        <v>3694</v>
      </c>
      <c r="B590" s="700" t="s">
        <v>6055</v>
      </c>
      <c r="C590" s="539" t="s">
        <v>2783</v>
      </c>
      <c r="D590" s="550" t="s">
        <v>6697</v>
      </c>
      <c r="E590" s="552">
        <v>0</v>
      </c>
      <c r="F590" s="755"/>
      <c r="G590" s="756"/>
    </row>
    <row r="591" spans="1:7" ht="16.3" customHeight="1">
      <c r="A591" s="552" t="s">
        <v>3694</v>
      </c>
      <c r="B591" s="698" t="s">
        <v>3695</v>
      </c>
      <c r="C591" s="541" t="s">
        <v>8652</v>
      </c>
      <c r="D591" s="550" t="s">
        <v>2802</v>
      </c>
      <c r="E591" s="552">
        <v>0</v>
      </c>
      <c r="F591" s="755"/>
      <c r="G591" s="756"/>
    </row>
    <row r="592" spans="1:7" ht="16.3" customHeight="1">
      <c r="A592" s="552" t="s">
        <v>3694</v>
      </c>
      <c r="B592" s="698" t="s">
        <v>3695</v>
      </c>
      <c r="C592" s="539" t="s">
        <v>8653</v>
      </c>
      <c r="D592" s="550" t="s">
        <v>2802</v>
      </c>
      <c r="E592" s="552">
        <v>0</v>
      </c>
      <c r="F592" s="755"/>
      <c r="G592" s="756"/>
    </row>
    <row r="593" spans="1:7" ht="16.3" customHeight="1">
      <c r="A593" s="552" t="s">
        <v>3694</v>
      </c>
      <c r="B593" s="699" t="s">
        <v>3696</v>
      </c>
      <c r="C593" s="539" t="s">
        <v>8654</v>
      </c>
      <c r="D593" s="550" t="s">
        <v>2805</v>
      </c>
      <c r="E593" s="552">
        <v>0</v>
      </c>
      <c r="F593" s="755"/>
      <c r="G593" s="757"/>
    </row>
    <row r="594" spans="1:7" ht="16.3" customHeight="1">
      <c r="A594" s="552" t="s">
        <v>3694</v>
      </c>
      <c r="B594" s="699" t="s">
        <v>3696</v>
      </c>
      <c r="C594" s="539" t="s">
        <v>8660</v>
      </c>
      <c r="D594" s="550" t="s">
        <v>2805</v>
      </c>
      <c r="E594" s="552">
        <v>0</v>
      </c>
      <c r="F594" s="755"/>
      <c r="G594" s="757"/>
    </row>
    <row r="595" spans="1:7" ht="16.3" customHeight="1">
      <c r="A595" s="552" t="s">
        <v>3694</v>
      </c>
      <c r="B595" s="696" t="s">
        <v>3697</v>
      </c>
      <c r="C595" s="539" t="s">
        <v>8655</v>
      </c>
      <c r="D595" s="550" t="s">
        <v>2875</v>
      </c>
      <c r="E595" s="552">
        <v>0</v>
      </c>
      <c r="F595" s="755"/>
      <c r="G595" s="757"/>
    </row>
    <row r="596" spans="1:7" ht="16.3" customHeight="1">
      <c r="A596" s="552" t="s">
        <v>3694</v>
      </c>
      <c r="B596" s="696" t="s">
        <v>3697</v>
      </c>
      <c r="C596" s="539" t="s">
        <v>9086</v>
      </c>
      <c r="D596" s="550" t="s">
        <v>2875</v>
      </c>
      <c r="E596" s="552">
        <v>0</v>
      </c>
      <c r="F596" s="755"/>
      <c r="G596" s="757"/>
    </row>
    <row r="597" spans="1:7" ht="16.3" customHeight="1">
      <c r="A597" s="552" t="s">
        <v>3694</v>
      </c>
      <c r="B597" s="696" t="s">
        <v>3697</v>
      </c>
      <c r="C597" s="539" t="s">
        <v>9026</v>
      </c>
      <c r="D597" s="550" t="s">
        <v>2875</v>
      </c>
      <c r="E597" s="552">
        <v>0</v>
      </c>
      <c r="F597" s="755"/>
      <c r="G597" s="756"/>
    </row>
    <row r="598" spans="1:7" ht="16.3" customHeight="1">
      <c r="A598" s="552" t="s">
        <v>3694</v>
      </c>
      <c r="B598" s="695" t="s">
        <v>3698</v>
      </c>
      <c r="C598" s="539" t="s">
        <v>8656</v>
      </c>
      <c r="D598" s="550" t="s">
        <v>2998</v>
      </c>
      <c r="E598" s="552">
        <v>0</v>
      </c>
      <c r="F598" s="755"/>
      <c r="G598" s="756"/>
    </row>
    <row r="599" spans="1:7" ht="16.3" customHeight="1">
      <c r="A599" s="552" t="s">
        <v>3694</v>
      </c>
      <c r="B599" s="695" t="s">
        <v>3698</v>
      </c>
      <c r="C599" s="539" t="s">
        <v>8657</v>
      </c>
      <c r="D599" s="550" t="s">
        <v>2998</v>
      </c>
      <c r="E599" s="552">
        <v>0</v>
      </c>
      <c r="F599" s="755"/>
      <c r="G599" s="756"/>
    </row>
    <row r="600" spans="1:7" ht="16.3" customHeight="1">
      <c r="A600" s="552" t="s">
        <v>3694</v>
      </c>
      <c r="B600" s="695" t="s">
        <v>3698</v>
      </c>
      <c r="C600" s="539" t="s">
        <v>8658</v>
      </c>
      <c r="D600" s="550" t="s">
        <v>2998</v>
      </c>
      <c r="E600" s="552">
        <v>0</v>
      </c>
      <c r="F600" s="755"/>
      <c r="G600" s="756"/>
    </row>
    <row r="601" spans="1:7" ht="16.3" customHeight="1">
      <c r="A601" s="552" t="s">
        <v>3694</v>
      </c>
      <c r="B601" s="695" t="s">
        <v>3698</v>
      </c>
      <c r="C601" s="539" t="s">
        <v>8660</v>
      </c>
      <c r="D601" s="550" t="s">
        <v>2998</v>
      </c>
      <c r="E601" s="552">
        <v>0</v>
      </c>
      <c r="F601" s="755"/>
      <c r="G601" s="756"/>
    </row>
    <row r="602" spans="1:7" ht="16.3" customHeight="1">
      <c r="A602" s="552" t="s">
        <v>3694</v>
      </c>
      <c r="B602" s="697" t="s">
        <v>3699</v>
      </c>
      <c r="C602" s="539" t="s">
        <v>6328</v>
      </c>
      <c r="D602" s="550" t="s">
        <v>2809</v>
      </c>
      <c r="E602" s="552">
        <v>0</v>
      </c>
      <c r="F602" s="755"/>
      <c r="G602" s="756"/>
    </row>
    <row r="603" spans="1:7" ht="16.3" customHeight="1">
      <c r="A603" s="552" t="s">
        <v>3694</v>
      </c>
      <c r="B603" s="697" t="s">
        <v>3699</v>
      </c>
      <c r="C603" s="539" t="s">
        <v>9087</v>
      </c>
      <c r="D603" s="550" t="s">
        <v>2809</v>
      </c>
      <c r="E603" s="552">
        <v>0</v>
      </c>
      <c r="F603" s="755"/>
      <c r="G603" s="757"/>
    </row>
    <row r="604" spans="1:7" ht="16.3" customHeight="1">
      <c r="A604" s="552" t="s">
        <v>3694</v>
      </c>
      <c r="B604" s="697" t="s">
        <v>3699</v>
      </c>
      <c r="C604" s="539" t="s">
        <v>9027</v>
      </c>
      <c r="D604" s="550" t="s">
        <v>2809</v>
      </c>
      <c r="E604" s="552">
        <v>0</v>
      </c>
      <c r="F604" s="755"/>
      <c r="G604" s="757"/>
    </row>
    <row r="605" spans="1:7" ht="16.3" customHeight="1">
      <c r="A605" s="552" t="s">
        <v>3694</v>
      </c>
      <c r="B605" s="697" t="s">
        <v>3699</v>
      </c>
      <c r="C605" s="539" t="s">
        <v>9028</v>
      </c>
      <c r="D605" s="550" t="s">
        <v>2809</v>
      </c>
      <c r="E605" s="552">
        <v>0</v>
      </c>
      <c r="F605" s="755"/>
      <c r="G605" s="757"/>
    </row>
    <row r="606" spans="1:7" ht="16.3" customHeight="1">
      <c r="A606" s="552" t="s">
        <v>3694</v>
      </c>
      <c r="B606" s="697" t="s">
        <v>3699</v>
      </c>
      <c r="C606" s="539" t="s">
        <v>8659</v>
      </c>
      <c r="D606" s="550" t="s">
        <v>2809</v>
      </c>
      <c r="E606" s="552">
        <v>0</v>
      </c>
      <c r="F606" s="755"/>
      <c r="G606" s="756"/>
    </row>
    <row r="607" spans="1:7" ht="16.3" customHeight="1">
      <c r="A607" s="552" t="s">
        <v>3694</v>
      </c>
      <c r="B607" s="694" t="s">
        <v>3700</v>
      </c>
      <c r="C607" s="539" t="s">
        <v>9088</v>
      </c>
      <c r="D607" s="550" t="s">
        <v>2971</v>
      </c>
      <c r="E607" s="552">
        <v>0</v>
      </c>
      <c r="F607" s="755"/>
      <c r="G607" s="756"/>
    </row>
    <row r="608" spans="1:7" ht="16.3" customHeight="1">
      <c r="A608" s="552" t="s">
        <v>3694</v>
      </c>
      <c r="B608" s="694" t="s">
        <v>3700</v>
      </c>
      <c r="C608" s="539" t="s">
        <v>2783</v>
      </c>
      <c r="D608" s="550" t="s">
        <v>2971</v>
      </c>
      <c r="E608" s="552">
        <v>0</v>
      </c>
      <c r="F608" s="755"/>
      <c r="G608" s="756"/>
    </row>
    <row r="609" spans="1:7" ht="16.3" customHeight="1">
      <c r="A609" s="552" t="s">
        <v>3694</v>
      </c>
      <c r="B609" s="700" t="s">
        <v>6055</v>
      </c>
      <c r="C609" s="539" t="s">
        <v>2783</v>
      </c>
      <c r="D609" s="550" t="s">
        <v>6697</v>
      </c>
      <c r="E609" s="552">
        <v>0</v>
      </c>
      <c r="F609" s="755"/>
      <c r="G609" s="756"/>
    </row>
    <row r="610" spans="1:7" ht="16.3" customHeight="1">
      <c r="A610" s="552" t="s">
        <v>3694</v>
      </c>
      <c r="B610" s="698" t="s">
        <v>3695</v>
      </c>
      <c r="C610" s="539" t="s">
        <v>6330</v>
      </c>
      <c r="D610" s="550" t="s">
        <v>2802</v>
      </c>
      <c r="E610" s="552">
        <v>0</v>
      </c>
      <c r="F610" s="755"/>
      <c r="G610" s="756"/>
    </row>
    <row r="611" spans="1:7" ht="16.3" customHeight="1">
      <c r="A611" s="552" t="s">
        <v>3694</v>
      </c>
      <c r="B611" s="698" t="s">
        <v>3695</v>
      </c>
      <c r="C611" s="539" t="s">
        <v>2783</v>
      </c>
      <c r="D611" s="550" t="s">
        <v>2802</v>
      </c>
      <c r="E611" s="552">
        <v>0</v>
      </c>
      <c r="F611" s="755"/>
      <c r="G611" s="756"/>
    </row>
    <row r="612" spans="1:7" ht="16.3" customHeight="1">
      <c r="A612" s="552" t="s">
        <v>3694</v>
      </c>
      <c r="B612" s="699" t="s">
        <v>3696</v>
      </c>
      <c r="C612" s="539" t="s">
        <v>6331</v>
      </c>
      <c r="D612" s="550" t="s">
        <v>2805</v>
      </c>
      <c r="E612" s="552">
        <v>0</v>
      </c>
      <c r="F612" s="755"/>
      <c r="G612" s="757"/>
    </row>
    <row r="613" spans="1:7" ht="16.3" customHeight="1">
      <c r="A613" s="552" t="s">
        <v>3694</v>
      </c>
      <c r="B613" s="699" t="s">
        <v>3696</v>
      </c>
      <c r="C613" s="539" t="s">
        <v>2783</v>
      </c>
      <c r="D613" s="550" t="s">
        <v>2805</v>
      </c>
      <c r="E613" s="552">
        <v>0</v>
      </c>
      <c r="F613" s="755"/>
      <c r="G613" s="757"/>
    </row>
    <row r="614" spans="1:7" ht="16.3" customHeight="1">
      <c r="A614" s="552" t="s">
        <v>3694</v>
      </c>
      <c r="B614" s="696" t="s">
        <v>3697</v>
      </c>
      <c r="C614" s="539" t="s">
        <v>6332</v>
      </c>
      <c r="D614" s="550" t="s">
        <v>2875</v>
      </c>
      <c r="E614" s="552">
        <v>0</v>
      </c>
      <c r="F614" s="755"/>
      <c r="G614" s="756"/>
    </row>
    <row r="615" spans="1:7" ht="16.3" customHeight="1">
      <c r="A615" s="552" t="s">
        <v>3694</v>
      </c>
      <c r="B615" s="696" t="s">
        <v>3697</v>
      </c>
      <c r="C615" s="539" t="s">
        <v>6333</v>
      </c>
      <c r="D615" s="550" t="s">
        <v>2875</v>
      </c>
      <c r="E615" s="552">
        <v>0</v>
      </c>
      <c r="F615" s="755"/>
      <c r="G615" s="756"/>
    </row>
    <row r="616" spans="1:7" ht="16.3" customHeight="1">
      <c r="A616" s="552" t="s">
        <v>3694</v>
      </c>
      <c r="B616" s="696" t="s">
        <v>3697</v>
      </c>
      <c r="C616" s="539" t="s">
        <v>2783</v>
      </c>
      <c r="D616" s="550" t="s">
        <v>2875</v>
      </c>
      <c r="E616" s="552">
        <v>0</v>
      </c>
      <c r="F616" s="755"/>
      <c r="G616" s="756"/>
    </row>
    <row r="617" spans="1:7" ht="16.3" customHeight="1">
      <c r="A617" s="552" t="s">
        <v>3694</v>
      </c>
      <c r="B617" s="695" t="s">
        <v>3698</v>
      </c>
      <c r="C617" s="539" t="s">
        <v>6334</v>
      </c>
      <c r="D617" s="550" t="s">
        <v>2998</v>
      </c>
      <c r="E617" s="552">
        <v>0</v>
      </c>
      <c r="F617" s="755"/>
      <c r="G617" s="756"/>
    </row>
    <row r="618" spans="1:7" ht="16.3" customHeight="1">
      <c r="A618" s="552" t="s">
        <v>3694</v>
      </c>
      <c r="B618" s="695" t="s">
        <v>3698</v>
      </c>
      <c r="C618" s="539" t="s">
        <v>6335</v>
      </c>
      <c r="D618" s="550" t="s">
        <v>2998</v>
      </c>
      <c r="E618" s="552">
        <v>0</v>
      </c>
      <c r="F618" s="755"/>
      <c r="G618" s="756"/>
    </row>
    <row r="619" spans="1:7" ht="16.3" customHeight="1">
      <c r="A619" s="552" t="s">
        <v>3694</v>
      </c>
      <c r="B619" s="695" t="s">
        <v>3698</v>
      </c>
      <c r="C619" s="539" t="s">
        <v>2783</v>
      </c>
      <c r="D619" s="550" t="s">
        <v>2998</v>
      </c>
      <c r="E619" s="552">
        <v>0</v>
      </c>
      <c r="F619" s="755"/>
      <c r="G619" s="756"/>
    </row>
    <row r="620" spans="1:7" ht="16.3" customHeight="1">
      <c r="A620" s="552" t="s">
        <v>3694</v>
      </c>
      <c r="B620" s="695" t="s">
        <v>3698</v>
      </c>
      <c r="C620" s="539" t="s">
        <v>2783</v>
      </c>
      <c r="D620" s="550" t="s">
        <v>2998</v>
      </c>
      <c r="E620" s="552">
        <v>0</v>
      </c>
      <c r="F620" s="755"/>
      <c r="G620" s="756"/>
    </row>
    <row r="621" spans="1:7" ht="16.3" customHeight="1">
      <c r="A621" s="552" t="s">
        <v>3694</v>
      </c>
      <c r="B621" s="697" t="s">
        <v>3699</v>
      </c>
      <c r="C621" s="539" t="s">
        <v>6336</v>
      </c>
      <c r="D621" s="550" t="s">
        <v>2809</v>
      </c>
      <c r="E621" s="552">
        <v>0</v>
      </c>
      <c r="F621" s="755"/>
      <c r="G621" s="756"/>
    </row>
    <row r="622" spans="1:7" ht="16.3" customHeight="1">
      <c r="A622" s="552" t="s">
        <v>3694</v>
      </c>
      <c r="B622" s="697" t="s">
        <v>3699</v>
      </c>
      <c r="C622" s="539" t="s">
        <v>6337</v>
      </c>
      <c r="D622" s="550" t="s">
        <v>2809</v>
      </c>
      <c r="E622" s="552">
        <v>0</v>
      </c>
      <c r="F622" s="755"/>
      <c r="G622" s="756"/>
    </row>
    <row r="623" spans="1:7" ht="16.3" customHeight="1">
      <c r="A623" s="552" t="s">
        <v>3694</v>
      </c>
      <c r="B623" s="697" t="s">
        <v>3699</v>
      </c>
      <c r="C623" s="539" t="s">
        <v>6338</v>
      </c>
      <c r="D623" s="550" t="s">
        <v>2809</v>
      </c>
      <c r="E623" s="552">
        <v>0</v>
      </c>
      <c r="F623" s="755"/>
      <c r="G623" s="756"/>
    </row>
    <row r="624" spans="1:7" ht="16.3" customHeight="1">
      <c r="A624" s="552" t="s">
        <v>3694</v>
      </c>
      <c r="B624" s="697" t="s">
        <v>3699</v>
      </c>
      <c r="C624" s="539" t="s">
        <v>2783</v>
      </c>
      <c r="D624" s="550" t="s">
        <v>2809</v>
      </c>
      <c r="E624" s="552">
        <v>0</v>
      </c>
      <c r="F624" s="755"/>
      <c r="G624" s="756"/>
    </row>
    <row r="625" spans="1:7" ht="16.3" customHeight="1">
      <c r="A625" s="552" t="s">
        <v>3694</v>
      </c>
      <c r="B625" s="697" t="s">
        <v>3699</v>
      </c>
      <c r="C625" s="539" t="s">
        <v>2783</v>
      </c>
      <c r="D625" s="550" t="s">
        <v>2809</v>
      </c>
      <c r="E625" s="552">
        <v>0</v>
      </c>
      <c r="F625" s="755"/>
      <c r="G625" s="756"/>
    </row>
    <row r="626" spans="1:7" ht="16.3" customHeight="1">
      <c r="A626" s="552" t="s">
        <v>3694</v>
      </c>
      <c r="B626" s="694" t="s">
        <v>3700</v>
      </c>
      <c r="C626" s="539" t="s">
        <v>6339</v>
      </c>
      <c r="D626" s="550" t="s">
        <v>2971</v>
      </c>
      <c r="E626" s="552">
        <v>0</v>
      </c>
      <c r="F626" s="755"/>
      <c r="G626" s="756"/>
    </row>
    <row r="627" spans="1:7" ht="16.3" customHeight="1">
      <c r="A627" s="552" t="s">
        <v>3694</v>
      </c>
      <c r="B627" s="694" t="s">
        <v>3700</v>
      </c>
      <c r="C627" s="539" t="s">
        <v>2783</v>
      </c>
      <c r="D627" s="550" t="s">
        <v>2971</v>
      </c>
      <c r="E627" s="552">
        <v>0</v>
      </c>
      <c r="F627" s="755"/>
      <c r="G627" s="756"/>
    </row>
    <row r="628" spans="1:7" ht="16.3" customHeight="1">
      <c r="A628" s="552" t="s">
        <v>3694</v>
      </c>
      <c r="B628" s="700" t="s">
        <v>6055</v>
      </c>
      <c r="C628" s="539" t="s">
        <v>2783</v>
      </c>
      <c r="D628" s="550" t="s">
        <v>6697</v>
      </c>
      <c r="E628" s="552">
        <v>0</v>
      </c>
      <c r="F628" s="755"/>
      <c r="G628" s="756"/>
    </row>
    <row r="629" spans="1:7" ht="16.3" customHeight="1">
      <c r="A629" s="552" t="s">
        <v>3694</v>
      </c>
      <c r="B629" s="698" t="s">
        <v>3695</v>
      </c>
      <c r="C629" s="539" t="s">
        <v>6340</v>
      </c>
      <c r="D629" s="550" t="s">
        <v>2802</v>
      </c>
      <c r="E629" s="552">
        <v>0</v>
      </c>
      <c r="F629" s="755"/>
      <c r="G629" s="756"/>
    </row>
    <row r="630" spans="1:7" ht="16.3" customHeight="1">
      <c r="A630" s="552" t="s">
        <v>3694</v>
      </c>
      <c r="B630" s="698" t="s">
        <v>3695</v>
      </c>
      <c r="C630" s="539" t="s">
        <v>2783</v>
      </c>
      <c r="D630" s="550" t="s">
        <v>2802</v>
      </c>
      <c r="E630" s="552">
        <v>0</v>
      </c>
      <c r="F630" s="755"/>
      <c r="G630" s="756"/>
    </row>
    <row r="631" spans="1:7" ht="16.3" customHeight="1">
      <c r="A631" s="552" t="s">
        <v>3694</v>
      </c>
      <c r="B631" s="699" t="s">
        <v>3696</v>
      </c>
      <c r="C631" s="539" t="s">
        <v>6341</v>
      </c>
      <c r="D631" s="550" t="s">
        <v>2805</v>
      </c>
      <c r="E631" s="552">
        <v>0</v>
      </c>
      <c r="F631" s="755"/>
      <c r="G631" s="756"/>
    </row>
    <row r="632" spans="1:7" ht="16.3" customHeight="1">
      <c r="A632" s="552" t="s">
        <v>3694</v>
      </c>
      <c r="B632" s="699" t="s">
        <v>3696</v>
      </c>
      <c r="C632" s="539" t="s">
        <v>2783</v>
      </c>
      <c r="D632" s="550" t="s">
        <v>2805</v>
      </c>
      <c r="E632" s="552">
        <v>0</v>
      </c>
      <c r="F632" s="755"/>
      <c r="G632" s="756"/>
    </row>
    <row r="633" spans="1:7" ht="16.3" customHeight="1">
      <c r="A633" s="552" t="s">
        <v>3694</v>
      </c>
      <c r="B633" s="696" t="s">
        <v>3697</v>
      </c>
      <c r="C633" s="539" t="s">
        <v>6342</v>
      </c>
      <c r="D633" s="550" t="s">
        <v>2875</v>
      </c>
      <c r="E633" s="552">
        <v>0</v>
      </c>
      <c r="F633" s="755"/>
      <c r="G633" s="756"/>
    </row>
    <row r="634" spans="1:7" ht="16.3" customHeight="1">
      <c r="A634" s="552" t="s">
        <v>3694</v>
      </c>
      <c r="B634" s="696" t="s">
        <v>3697</v>
      </c>
      <c r="C634" s="539" t="s">
        <v>6343</v>
      </c>
      <c r="D634" s="550" t="s">
        <v>2875</v>
      </c>
      <c r="E634" s="552">
        <v>0</v>
      </c>
      <c r="F634" s="755"/>
      <c r="G634" s="756"/>
    </row>
    <row r="635" spans="1:7" ht="16.3" customHeight="1">
      <c r="A635" s="552" t="s">
        <v>3694</v>
      </c>
      <c r="B635" s="696" t="s">
        <v>3697</v>
      </c>
      <c r="C635" s="539" t="s">
        <v>2783</v>
      </c>
      <c r="D635" s="550" t="s">
        <v>2875</v>
      </c>
      <c r="E635" s="552">
        <v>0</v>
      </c>
      <c r="F635" s="755"/>
      <c r="G635" s="756"/>
    </row>
    <row r="636" spans="1:7" ht="16.3" customHeight="1">
      <c r="A636" s="552" t="s">
        <v>3694</v>
      </c>
      <c r="B636" s="695" t="s">
        <v>3698</v>
      </c>
      <c r="C636" s="539" t="s">
        <v>2783</v>
      </c>
      <c r="D636" s="550" t="s">
        <v>2998</v>
      </c>
      <c r="E636" s="552">
        <v>0</v>
      </c>
      <c r="F636" s="755"/>
      <c r="G636" s="756"/>
    </row>
    <row r="637" spans="1:7" ht="16.3" customHeight="1">
      <c r="A637" s="552" t="s">
        <v>3694</v>
      </c>
      <c r="B637" s="695" t="s">
        <v>3698</v>
      </c>
      <c r="C637" s="539" t="s">
        <v>6344</v>
      </c>
      <c r="D637" s="550" t="s">
        <v>2998</v>
      </c>
      <c r="E637" s="552">
        <v>0</v>
      </c>
      <c r="F637" s="755"/>
      <c r="G637" s="757"/>
    </row>
    <row r="638" spans="1:7" ht="16.3" customHeight="1">
      <c r="A638" s="552" t="s">
        <v>3694</v>
      </c>
      <c r="B638" s="695" t="s">
        <v>3698</v>
      </c>
      <c r="C638" s="539" t="s">
        <v>6345</v>
      </c>
      <c r="D638" s="550" t="s">
        <v>2998</v>
      </c>
      <c r="E638" s="552">
        <v>0</v>
      </c>
      <c r="F638" s="755"/>
      <c r="G638" s="756"/>
    </row>
    <row r="639" spans="1:7" ht="16.3" customHeight="1">
      <c r="A639" s="552" t="s">
        <v>3694</v>
      </c>
      <c r="B639" s="695" t="s">
        <v>3698</v>
      </c>
      <c r="C639" s="539" t="s">
        <v>2783</v>
      </c>
      <c r="D639" s="550" t="s">
        <v>2998</v>
      </c>
      <c r="E639" s="552">
        <v>0</v>
      </c>
      <c r="F639" s="755"/>
      <c r="G639" s="756"/>
    </row>
    <row r="640" spans="1:7" ht="16.3" customHeight="1">
      <c r="A640" s="552" t="s">
        <v>3694</v>
      </c>
      <c r="B640" s="697" t="s">
        <v>3699</v>
      </c>
      <c r="C640" s="539" t="s">
        <v>2783</v>
      </c>
      <c r="D640" s="550" t="s">
        <v>2809</v>
      </c>
      <c r="E640" s="552">
        <v>0</v>
      </c>
      <c r="F640" s="755"/>
      <c r="G640" s="756"/>
    </row>
    <row r="641" spans="1:7" ht="16.3" customHeight="1">
      <c r="A641" s="552" t="s">
        <v>3694</v>
      </c>
      <c r="B641" s="697" t="s">
        <v>3699</v>
      </c>
      <c r="C641" s="539" t="s">
        <v>6346</v>
      </c>
      <c r="D641" s="550" t="s">
        <v>2809</v>
      </c>
      <c r="E641" s="552">
        <v>0</v>
      </c>
      <c r="F641" s="755"/>
      <c r="G641" s="756"/>
    </row>
    <row r="642" spans="1:7" ht="16.3" customHeight="1">
      <c r="A642" s="552" t="s">
        <v>3694</v>
      </c>
      <c r="B642" s="697" t="s">
        <v>3699</v>
      </c>
      <c r="C642" s="539" t="s">
        <v>6347</v>
      </c>
      <c r="D642" s="550" t="s">
        <v>2809</v>
      </c>
      <c r="E642" s="552">
        <v>0</v>
      </c>
      <c r="F642" s="755"/>
      <c r="G642" s="756"/>
    </row>
    <row r="643" spans="1:7" ht="16.3" customHeight="1">
      <c r="A643" s="552" t="s">
        <v>3694</v>
      </c>
      <c r="B643" s="697" t="s">
        <v>3699</v>
      </c>
      <c r="C643" s="539" t="s">
        <v>2783</v>
      </c>
      <c r="D643" s="550" t="s">
        <v>2809</v>
      </c>
      <c r="E643" s="552">
        <v>0</v>
      </c>
      <c r="F643" s="755"/>
      <c r="G643" s="757"/>
    </row>
    <row r="644" spans="1:7" ht="16.3" customHeight="1">
      <c r="A644" s="552" t="s">
        <v>3694</v>
      </c>
      <c r="B644" s="697" t="s">
        <v>3699</v>
      </c>
      <c r="C644" s="539" t="s">
        <v>2783</v>
      </c>
      <c r="D644" s="550" t="s">
        <v>2809</v>
      </c>
      <c r="E644" s="552">
        <v>0</v>
      </c>
      <c r="F644" s="755"/>
      <c r="G644" s="757"/>
    </row>
    <row r="645" spans="1:7" ht="16.3" customHeight="1">
      <c r="A645" s="552" t="s">
        <v>3694</v>
      </c>
      <c r="B645" s="694" t="s">
        <v>3700</v>
      </c>
      <c r="C645" s="539" t="s">
        <v>2783</v>
      </c>
      <c r="D645" s="550" t="s">
        <v>2971</v>
      </c>
      <c r="E645" s="552">
        <v>0</v>
      </c>
      <c r="F645" s="755"/>
      <c r="G645" s="756"/>
    </row>
    <row r="646" spans="1:7" ht="16.3" customHeight="1">
      <c r="A646" s="552" t="s">
        <v>3694</v>
      </c>
      <c r="B646" s="694" t="s">
        <v>3700</v>
      </c>
      <c r="C646" s="539" t="s">
        <v>6348</v>
      </c>
      <c r="D646" s="550" t="s">
        <v>2971</v>
      </c>
      <c r="E646" s="552">
        <v>0</v>
      </c>
      <c r="F646" s="755"/>
      <c r="G646" s="756"/>
    </row>
    <row r="647" spans="1:7" ht="16.3" customHeight="1">
      <c r="A647" s="552" t="s">
        <v>3694</v>
      </c>
      <c r="B647" s="700" t="s">
        <v>6055</v>
      </c>
      <c r="C647" s="539" t="s">
        <v>2783</v>
      </c>
      <c r="D647" s="550" t="s">
        <v>6697</v>
      </c>
      <c r="E647" s="552">
        <v>0</v>
      </c>
      <c r="F647" s="755"/>
      <c r="G647" s="756"/>
    </row>
    <row r="648" spans="1:7" ht="16.3" customHeight="1">
      <c r="A648" s="552" t="s">
        <v>3694</v>
      </c>
      <c r="B648" s="698" t="s">
        <v>3695</v>
      </c>
      <c r="C648" s="539" t="s">
        <v>6349</v>
      </c>
      <c r="D648" s="550" t="s">
        <v>2802</v>
      </c>
      <c r="E648" s="552">
        <v>0</v>
      </c>
      <c r="F648" s="755"/>
      <c r="G648" s="757"/>
    </row>
    <row r="649" spans="1:7" ht="16.3" customHeight="1">
      <c r="A649" s="552" t="s">
        <v>3694</v>
      </c>
      <c r="B649" s="698" t="s">
        <v>3695</v>
      </c>
      <c r="C649" s="539" t="s">
        <v>6350</v>
      </c>
      <c r="D649" s="550" t="s">
        <v>2802</v>
      </c>
      <c r="E649" s="552">
        <v>0</v>
      </c>
      <c r="F649" s="755"/>
      <c r="G649" s="756"/>
    </row>
    <row r="650" spans="1:7" ht="16.3" customHeight="1">
      <c r="A650" s="552" t="s">
        <v>3694</v>
      </c>
      <c r="B650" s="699" t="s">
        <v>3696</v>
      </c>
      <c r="C650" s="539" t="s">
        <v>6351</v>
      </c>
      <c r="D650" s="550" t="s">
        <v>2805</v>
      </c>
      <c r="E650" s="552">
        <v>0</v>
      </c>
      <c r="F650" s="755"/>
      <c r="G650" s="757"/>
    </row>
    <row r="651" spans="1:7" ht="16.3" customHeight="1">
      <c r="A651" s="552" t="s">
        <v>3694</v>
      </c>
      <c r="B651" s="699" t="s">
        <v>3696</v>
      </c>
      <c r="C651" s="539" t="s">
        <v>2783</v>
      </c>
      <c r="D651" s="550" t="s">
        <v>2805</v>
      </c>
      <c r="E651" s="552">
        <v>0</v>
      </c>
      <c r="F651" s="755"/>
      <c r="G651" s="756"/>
    </row>
    <row r="652" spans="1:7" ht="16.3" customHeight="1">
      <c r="A652" s="552" t="s">
        <v>3694</v>
      </c>
      <c r="B652" s="696" t="s">
        <v>3697</v>
      </c>
      <c r="C652" s="539" t="s">
        <v>6352</v>
      </c>
      <c r="D652" s="550" t="s">
        <v>2875</v>
      </c>
      <c r="E652" s="552">
        <v>0</v>
      </c>
      <c r="F652" s="755"/>
      <c r="G652" s="756"/>
    </row>
    <row r="653" spans="1:7" ht="16.3" customHeight="1">
      <c r="A653" s="552" t="s">
        <v>3694</v>
      </c>
      <c r="B653" s="696" t="s">
        <v>3697</v>
      </c>
      <c r="C653" s="539" t="s">
        <v>6353</v>
      </c>
      <c r="D653" s="550" t="s">
        <v>2875</v>
      </c>
      <c r="E653" s="552">
        <v>0</v>
      </c>
      <c r="F653" s="755"/>
      <c r="G653" s="756"/>
    </row>
    <row r="654" spans="1:7" ht="16.3" customHeight="1">
      <c r="A654" s="552" t="s">
        <v>3694</v>
      </c>
      <c r="B654" s="696" t="s">
        <v>3697</v>
      </c>
      <c r="C654" s="539" t="s">
        <v>6354</v>
      </c>
      <c r="D654" s="550" t="s">
        <v>2875</v>
      </c>
      <c r="E654" s="552">
        <v>0</v>
      </c>
      <c r="F654" s="755"/>
      <c r="G654" s="756"/>
    </row>
    <row r="655" spans="1:7" ht="16.3" customHeight="1">
      <c r="A655" s="552" t="s">
        <v>3694</v>
      </c>
      <c r="B655" s="695" t="s">
        <v>3698</v>
      </c>
      <c r="C655" s="539" t="s">
        <v>6355</v>
      </c>
      <c r="D655" s="550" t="s">
        <v>2998</v>
      </c>
      <c r="E655" s="552">
        <v>0</v>
      </c>
      <c r="F655" s="755"/>
      <c r="G655" s="756"/>
    </row>
    <row r="656" spans="1:7" ht="16.3" customHeight="1">
      <c r="A656" s="552" t="s">
        <v>3694</v>
      </c>
      <c r="B656" s="695" t="s">
        <v>3698</v>
      </c>
      <c r="C656" s="539" t="s">
        <v>9089</v>
      </c>
      <c r="D656" s="550" t="s">
        <v>2998</v>
      </c>
      <c r="E656" s="552">
        <v>0</v>
      </c>
      <c r="F656" s="755"/>
      <c r="G656" s="756"/>
    </row>
    <row r="657" spans="1:7" ht="16.3" customHeight="1">
      <c r="A657" s="552" t="s">
        <v>3694</v>
      </c>
      <c r="B657" s="695" t="s">
        <v>3698</v>
      </c>
      <c r="C657" s="539" t="s">
        <v>2783</v>
      </c>
      <c r="D657" s="550" t="s">
        <v>2998</v>
      </c>
      <c r="E657" s="552">
        <v>0</v>
      </c>
      <c r="F657" s="755"/>
      <c r="G657" s="756"/>
    </row>
    <row r="658" spans="1:7" ht="16.3" customHeight="1">
      <c r="A658" s="552" t="s">
        <v>3694</v>
      </c>
      <c r="B658" s="695" t="s">
        <v>3698</v>
      </c>
      <c r="C658" s="539" t="s">
        <v>2783</v>
      </c>
      <c r="D658" s="550" t="s">
        <v>2998</v>
      </c>
      <c r="E658" s="552">
        <v>0</v>
      </c>
      <c r="F658" s="755"/>
      <c r="G658" s="756"/>
    </row>
    <row r="659" spans="1:7" ht="16.3" customHeight="1">
      <c r="A659" s="552" t="s">
        <v>3694</v>
      </c>
      <c r="B659" s="697" t="s">
        <v>3699</v>
      </c>
      <c r="C659" s="539" t="s">
        <v>6356</v>
      </c>
      <c r="D659" s="550" t="s">
        <v>2809</v>
      </c>
      <c r="E659" s="552">
        <v>0</v>
      </c>
      <c r="F659" s="755"/>
      <c r="G659" s="756"/>
    </row>
    <row r="660" spans="1:7" ht="16.3" customHeight="1">
      <c r="A660" s="552" t="s">
        <v>3694</v>
      </c>
      <c r="B660" s="697" t="s">
        <v>3699</v>
      </c>
      <c r="C660" s="539" t="s">
        <v>9029</v>
      </c>
      <c r="D660" s="550" t="s">
        <v>2809</v>
      </c>
      <c r="E660" s="552">
        <v>0</v>
      </c>
      <c r="F660" s="755"/>
      <c r="G660" s="756"/>
    </row>
    <row r="661" spans="1:7" ht="16.3" customHeight="1">
      <c r="A661" s="552" t="s">
        <v>3694</v>
      </c>
      <c r="B661" s="697" t="s">
        <v>3699</v>
      </c>
      <c r="C661" s="539" t="s">
        <v>9030</v>
      </c>
      <c r="D661" s="550" t="s">
        <v>2809</v>
      </c>
      <c r="E661" s="552">
        <v>0</v>
      </c>
      <c r="F661" s="755"/>
      <c r="G661" s="756"/>
    </row>
    <row r="662" spans="1:7" ht="16.3" customHeight="1">
      <c r="A662" s="552" t="s">
        <v>3694</v>
      </c>
      <c r="B662" s="697" t="s">
        <v>3699</v>
      </c>
      <c r="C662" s="539" t="s">
        <v>6359</v>
      </c>
      <c r="D662" s="550" t="s">
        <v>2809</v>
      </c>
      <c r="E662" s="552">
        <v>0</v>
      </c>
      <c r="F662" s="755"/>
      <c r="G662" s="756"/>
    </row>
    <row r="663" spans="1:7" ht="16.3" customHeight="1">
      <c r="A663" s="552" t="s">
        <v>3694</v>
      </c>
      <c r="B663" s="697" t="s">
        <v>3699</v>
      </c>
      <c r="C663" s="539" t="s">
        <v>2783</v>
      </c>
      <c r="D663" s="550" t="s">
        <v>2809</v>
      </c>
      <c r="E663" s="552">
        <v>0</v>
      </c>
      <c r="F663" s="755"/>
      <c r="G663" s="756"/>
    </row>
    <row r="664" spans="1:7" ht="16.3" customHeight="1">
      <c r="A664" s="552" t="s">
        <v>3694</v>
      </c>
      <c r="B664" s="694" t="s">
        <v>3700</v>
      </c>
      <c r="C664" s="539" t="s">
        <v>9031</v>
      </c>
      <c r="D664" s="550" t="s">
        <v>2971</v>
      </c>
      <c r="E664" s="552">
        <v>0</v>
      </c>
      <c r="F664" s="755"/>
      <c r="G664" s="756"/>
    </row>
    <row r="665" spans="1:7" ht="16.3" customHeight="1">
      <c r="A665" s="552" t="s">
        <v>3694</v>
      </c>
      <c r="B665" s="694" t="s">
        <v>3700</v>
      </c>
      <c r="C665" s="539" t="s">
        <v>2783</v>
      </c>
      <c r="D665" s="550" t="s">
        <v>2971</v>
      </c>
      <c r="E665" s="552">
        <v>0</v>
      </c>
      <c r="F665" s="755"/>
      <c r="G665" s="756"/>
    </row>
    <row r="666" spans="1:7" ht="16.3" customHeight="1">
      <c r="A666" s="552" t="s">
        <v>3694</v>
      </c>
      <c r="B666" s="700" t="s">
        <v>6055</v>
      </c>
      <c r="C666" s="539" t="s">
        <v>2783</v>
      </c>
      <c r="D666" s="550" t="s">
        <v>6697</v>
      </c>
      <c r="E666" s="552">
        <v>0</v>
      </c>
      <c r="F666" s="755"/>
      <c r="G666" s="756"/>
    </row>
    <row r="667" spans="1:7" ht="16.3" customHeight="1">
      <c r="A667" s="552" t="s">
        <v>3694</v>
      </c>
      <c r="B667" s="698" t="s">
        <v>3695</v>
      </c>
      <c r="C667" s="539" t="s">
        <v>6361</v>
      </c>
      <c r="D667" s="550" t="s">
        <v>2802</v>
      </c>
      <c r="E667" s="552">
        <v>0</v>
      </c>
      <c r="F667" s="755"/>
      <c r="G667" s="756"/>
    </row>
    <row r="668" spans="1:7" ht="16.3" customHeight="1">
      <c r="A668" s="552" t="s">
        <v>3694</v>
      </c>
      <c r="B668" s="698" t="s">
        <v>3695</v>
      </c>
      <c r="C668" s="539" t="s">
        <v>2783</v>
      </c>
      <c r="D668" s="550" t="s">
        <v>2802</v>
      </c>
      <c r="E668" s="552">
        <v>0</v>
      </c>
      <c r="F668" s="755"/>
      <c r="G668" s="756"/>
    </row>
    <row r="669" spans="1:7" ht="16.3" customHeight="1">
      <c r="A669" s="552" t="s">
        <v>3694</v>
      </c>
      <c r="B669" s="699" t="s">
        <v>3696</v>
      </c>
      <c r="C669" s="539" t="s">
        <v>6362</v>
      </c>
      <c r="D669" s="550" t="s">
        <v>2805</v>
      </c>
      <c r="E669" s="552">
        <v>0</v>
      </c>
      <c r="F669" s="755"/>
      <c r="G669" s="756"/>
    </row>
    <row r="670" spans="1:7" ht="16.3" customHeight="1">
      <c r="A670" s="552" t="s">
        <v>3694</v>
      </c>
      <c r="B670" s="699" t="s">
        <v>3696</v>
      </c>
      <c r="C670" s="539" t="s">
        <v>2783</v>
      </c>
      <c r="D670" s="550" t="s">
        <v>2805</v>
      </c>
      <c r="E670" s="552">
        <v>0</v>
      </c>
      <c r="F670" s="755"/>
      <c r="G670" s="756"/>
    </row>
    <row r="671" spans="1:7" ht="16.3" customHeight="1">
      <c r="A671" s="552" t="s">
        <v>3694</v>
      </c>
      <c r="B671" s="696" t="s">
        <v>3697</v>
      </c>
      <c r="C671" s="539" t="s">
        <v>7779</v>
      </c>
      <c r="D671" s="550" t="s">
        <v>2875</v>
      </c>
      <c r="E671" s="552">
        <v>0</v>
      </c>
      <c r="F671" s="755"/>
      <c r="G671" s="756"/>
    </row>
    <row r="672" spans="1:7" ht="16.3" customHeight="1">
      <c r="A672" s="552" t="s">
        <v>3694</v>
      </c>
      <c r="B672" s="696" t="s">
        <v>3697</v>
      </c>
      <c r="C672" s="539" t="s">
        <v>6363</v>
      </c>
      <c r="D672" s="550" t="s">
        <v>2875</v>
      </c>
      <c r="E672" s="552">
        <v>0</v>
      </c>
      <c r="F672" s="755"/>
      <c r="G672" s="756"/>
    </row>
    <row r="673" spans="1:7" ht="16.3" customHeight="1">
      <c r="A673" s="552" t="s">
        <v>3694</v>
      </c>
      <c r="B673" s="696" t="s">
        <v>3697</v>
      </c>
      <c r="C673" s="539" t="s">
        <v>2783</v>
      </c>
      <c r="D673" s="550" t="s">
        <v>2875</v>
      </c>
      <c r="E673" s="552">
        <v>0</v>
      </c>
      <c r="F673" s="755"/>
      <c r="G673" s="756"/>
    </row>
    <row r="674" spans="1:7" ht="16.3" customHeight="1">
      <c r="A674" s="552" t="s">
        <v>3694</v>
      </c>
      <c r="B674" s="695" t="s">
        <v>3698</v>
      </c>
      <c r="C674" s="539" t="s">
        <v>6364</v>
      </c>
      <c r="D674" s="550" t="s">
        <v>2998</v>
      </c>
      <c r="E674" s="552">
        <v>0</v>
      </c>
      <c r="F674" s="755"/>
      <c r="G674" s="756"/>
    </row>
    <row r="675" spans="1:7" ht="16.3" customHeight="1">
      <c r="A675" s="552" t="s">
        <v>3694</v>
      </c>
      <c r="B675" s="695" t="s">
        <v>3698</v>
      </c>
      <c r="C675" s="539" t="s">
        <v>6365</v>
      </c>
      <c r="D675" s="550" t="s">
        <v>2998</v>
      </c>
      <c r="E675" s="552">
        <v>0</v>
      </c>
      <c r="F675" s="755"/>
      <c r="G675" s="756"/>
    </row>
    <row r="676" spans="1:7" ht="16.3" customHeight="1">
      <c r="A676" s="552" t="s">
        <v>3694</v>
      </c>
      <c r="B676" s="695" t="s">
        <v>3698</v>
      </c>
      <c r="C676" s="539" t="s">
        <v>6366</v>
      </c>
      <c r="D676" s="550" t="s">
        <v>2998</v>
      </c>
      <c r="E676" s="552">
        <v>0</v>
      </c>
      <c r="F676" s="755"/>
      <c r="G676" s="756"/>
    </row>
    <row r="677" spans="1:7" ht="16.3" customHeight="1">
      <c r="A677" s="552" t="s">
        <v>3694</v>
      </c>
      <c r="B677" s="695" t="s">
        <v>3698</v>
      </c>
      <c r="C677" s="539" t="s">
        <v>6367</v>
      </c>
      <c r="D677" s="550" t="s">
        <v>2998</v>
      </c>
      <c r="E677" s="552">
        <v>0</v>
      </c>
      <c r="F677" s="755"/>
      <c r="G677" s="756"/>
    </row>
    <row r="678" spans="1:7" ht="16.3" customHeight="1">
      <c r="A678" s="552" t="s">
        <v>3694</v>
      </c>
      <c r="B678" s="697" t="s">
        <v>3699</v>
      </c>
      <c r="C678" s="539" t="s">
        <v>6368</v>
      </c>
      <c r="D678" s="550" t="s">
        <v>2809</v>
      </c>
      <c r="E678" s="552">
        <v>0</v>
      </c>
      <c r="F678" s="755"/>
      <c r="G678" s="756"/>
    </row>
    <row r="679" spans="1:7" ht="16.3" customHeight="1">
      <c r="A679" s="552" t="s">
        <v>3694</v>
      </c>
      <c r="B679" s="697" t="s">
        <v>3699</v>
      </c>
      <c r="C679" s="539" t="s">
        <v>6369</v>
      </c>
      <c r="D679" s="550" t="s">
        <v>2809</v>
      </c>
      <c r="E679" s="552">
        <v>0</v>
      </c>
      <c r="F679" s="755"/>
      <c r="G679" s="756"/>
    </row>
    <row r="680" spans="1:7" ht="16.3" customHeight="1">
      <c r="A680" s="552" t="s">
        <v>3694</v>
      </c>
      <c r="B680" s="697" t="s">
        <v>3699</v>
      </c>
      <c r="C680" s="539" t="s">
        <v>6370</v>
      </c>
      <c r="D680" s="550" t="s">
        <v>2809</v>
      </c>
      <c r="E680" s="552">
        <v>0</v>
      </c>
      <c r="F680" s="755"/>
      <c r="G680" s="756"/>
    </row>
    <row r="681" spans="1:7" ht="16.3" customHeight="1">
      <c r="A681" s="552" t="s">
        <v>3694</v>
      </c>
      <c r="B681" s="697" t="s">
        <v>3699</v>
      </c>
      <c r="C681" s="539" t="s">
        <v>7796</v>
      </c>
      <c r="D681" s="550" t="s">
        <v>2809</v>
      </c>
      <c r="E681" s="552">
        <v>0</v>
      </c>
      <c r="F681" s="755"/>
      <c r="G681" s="756"/>
    </row>
    <row r="682" spans="1:7" ht="16.3" customHeight="1">
      <c r="A682" s="552" t="s">
        <v>3694</v>
      </c>
      <c r="B682" s="697" t="s">
        <v>3699</v>
      </c>
      <c r="C682" s="539" t="s">
        <v>2783</v>
      </c>
      <c r="D682" s="550" t="s">
        <v>2809</v>
      </c>
      <c r="E682" s="552">
        <v>0</v>
      </c>
      <c r="F682" s="755"/>
      <c r="G682" s="756"/>
    </row>
    <row r="683" spans="1:7" ht="16.3" customHeight="1">
      <c r="A683" s="552" t="s">
        <v>3694</v>
      </c>
      <c r="B683" s="694" t="s">
        <v>3700</v>
      </c>
      <c r="C683" s="539" t="s">
        <v>6371</v>
      </c>
      <c r="D683" s="550" t="s">
        <v>2971</v>
      </c>
      <c r="E683" s="552">
        <v>0</v>
      </c>
      <c r="F683" s="755"/>
      <c r="G683" s="757"/>
    </row>
    <row r="684" spans="1:7" ht="16.3" customHeight="1">
      <c r="A684" s="552" t="s">
        <v>3694</v>
      </c>
      <c r="B684" s="694" t="s">
        <v>3700</v>
      </c>
      <c r="C684" s="539" t="s">
        <v>6372</v>
      </c>
      <c r="D684" s="550" t="s">
        <v>2971</v>
      </c>
      <c r="E684" s="552">
        <v>0</v>
      </c>
      <c r="F684" s="755"/>
      <c r="G684" s="756"/>
    </row>
    <row r="685" spans="1:7" ht="16.3" customHeight="1">
      <c r="A685" s="552" t="s">
        <v>3694</v>
      </c>
      <c r="B685" s="700" t="s">
        <v>6055</v>
      </c>
      <c r="C685" s="539" t="s">
        <v>2783</v>
      </c>
      <c r="D685" s="550" t="s">
        <v>6697</v>
      </c>
      <c r="E685" s="552">
        <v>0</v>
      </c>
      <c r="F685" s="755"/>
      <c r="G685" s="756"/>
    </row>
    <row r="686" spans="1:7" ht="16.3" customHeight="1">
      <c r="A686" s="552" t="s">
        <v>3694</v>
      </c>
      <c r="B686" s="698" t="s">
        <v>3695</v>
      </c>
      <c r="C686" s="539" t="s">
        <v>6373</v>
      </c>
      <c r="D686" s="550" t="s">
        <v>2802</v>
      </c>
      <c r="E686" s="552">
        <v>0</v>
      </c>
      <c r="F686" s="755"/>
      <c r="G686" s="756"/>
    </row>
    <row r="687" spans="1:7" ht="16.3" customHeight="1">
      <c r="A687" s="552" t="s">
        <v>3694</v>
      </c>
      <c r="B687" s="698" t="s">
        <v>3695</v>
      </c>
      <c r="C687" s="539" t="s">
        <v>6374</v>
      </c>
      <c r="D687" s="550" t="s">
        <v>2802</v>
      </c>
      <c r="E687" s="552">
        <v>0</v>
      </c>
      <c r="F687" s="755"/>
      <c r="G687" s="756"/>
    </row>
    <row r="688" spans="1:7" ht="16.3" customHeight="1">
      <c r="A688" s="552" t="s">
        <v>3694</v>
      </c>
      <c r="B688" s="699" t="s">
        <v>3696</v>
      </c>
      <c r="C688" s="539" t="s">
        <v>6375</v>
      </c>
      <c r="D688" s="550" t="s">
        <v>2805</v>
      </c>
      <c r="E688" s="552">
        <v>0</v>
      </c>
      <c r="F688" s="755"/>
      <c r="G688" s="756"/>
    </row>
    <row r="689" spans="1:7" ht="16.3" customHeight="1">
      <c r="A689" s="552" t="s">
        <v>3694</v>
      </c>
      <c r="B689" s="699" t="s">
        <v>3696</v>
      </c>
      <c r="C689" s="539" t="s">
        <v>2783</v>
      </c>
      <c r="D689" s="550" t="s">
        <v>2805</v>
      </c>
      <c r="E689" s="552">
        <v>0</v>
      </c>
      <c r="F689" s="755"/>
      <c r="G689" s="756"/>
    </row>
    <row r="690" spans="1:7" ht="16.3" customHeight="1">
      <c r="A690" s="552" t="s">
        <v>3694</v>
      </c>
      <c r="B690" s="696" t="s">
        <v>3697</v>
      </c>
      <c r="C690" s="539" t="s">
        <v>7809</v>
      </c>
      <c r="D690" s="550" t="s">
        <v>2875</v>
      </c>
      <c r="E690" s="552">
        <v>0</v>
      </c>
      <c r="F690" s="755"/>
      <c r="G690" s="756"/>
    </row>
    <row r="691" spans="1:7" ht="16.3" customHeight="1">
      <c r="A691" s="552" t="s">
        <v>3694</v>
      </c>
      <c r="B691" s="696" t="s">
        <v>3697</v>
      </c>
      <c r="C691" s="539" t="s">
        <v>6376</v>
      </c>
      <c r="D691" s="550" t="s">
        <v>2875</v>
      </c>
      <c r="E691" s="552">
        <v>0</v>
      </c>
      <c r="F691" s="755"/>
      <c r="G691" s="756"/>
    </row>
    <row r="692" spans="1:7" ht="16.3" customHeight="1">
      <c r="A692" s="552" t="s">
        <v>3694</v>
      </c>
      <c r="B692" s="696" t="s">
        <v>3697</v>
      </c>
      <c r="C692" s="539" t="s">
        <v>6377</v>
      </c>
      <c r="D692" s="550" t="s">
        <v>2875</v>
      </c>
      <c r="E692" s="552">
        <v>0</v>
      </c>
      <c r="F692" s="755"/>
      <c r="G692" s="756"/>
    </row>
    <row r="693" spans="1:7" ht="16.3" customHeight="1">
      <c r="A693" s="552" t="s">
        <v>3694</v>
      </c>
      <c r="B693" s="695" t="s">
        <v>3698</v>
      </c>
      <c r="C693" s="539" t="s">
        <v>9090</v>
      </c>
      <c r="D693" s="550" t="s">
        <v>2998</v>
      </c>
      <c r="E693" s="552">
        <v>0</v>
      </c>
      <c r="F693" s="755"/>
      <c r="G693" s="756"/>
    </row>
    <row r="694" spans="1:7" ht="16.3" customHeight="1">
      <c r="A694" s="552" t="s">
        <v>3694</v>
      </c>
      <c r="B694" s="695" t="s">
        <v>3698</v>
      </c>
      <c r="C694" s="539" t="s">
        <v>6378</v>
      </c>
      <c r="D694" s="550" t="s">
        <v>2998</v>
      </c>
      <c r="E694" s="552">
        <v>0</v>
      </c>
      <c r="F694" s="755"/>
      <c r="G694" s="756"/>
    </row>
    <row r="695" spans="1:7" ht="16.3" customHeight="1">
      <c r="A695" s="552" t="s">
        <v>3694</v>
      </c>
      <c r="B695" s="695" t="s">
        <v>3698</v>
      </c>
      <c r="C695" s="539" t="s">
        <v>2783</v>
      </c>
      <c r="D695" s="550" t="s">
        <v>2998</v>
      </c>
      <c r="E695" s="552">
        <v>0</v>
      </c>
      <c r="F695" s="755"/>
      <c r="G695" s="756"/>
    </row>
    <row r="696" spans="1:7" ht="16.3" customHeight="1">
      <c r="A696" s="552" t="s">
        <v>3694</v>
      </c>
      <c r="B696" s="695" t="s">
        <v>3698</v>
      </c>
      <c r="C696" s="539" t="s">
        <v>2783</v>
      </c>
      <c r="D696" s="550" t="s">
        <v>2998</v>
      </c>
      <c r="E696" s="552">
        <v>0</v>
      </c>
      <c r="F696" s="755"/>
      <c r="G696" s="756"/>
    </row>
    <row r="697" spans="1:7" ht="16.3" customHeight="1">
      <c r="A697" s="552" t="s">
        <v>3694</v>
      </c>
      <c r="B697" s="697" t="s">
        <v>3699</v>
      </c>
      <c r="C697" s="539" t="s">
        <v>7817</v>
      </c>
      <c r="D697" s="550" t="s">
        <v>2809</v>
      </c>
      <c r="E697" s="552">
        <v>0</v>
      </c>
      <c r="F697" s="755"/>
      <c r="G697" s="756"/>
    </row>
    <row r="698" spans="1:7" ht="16.3" customHeight="1">
      <c r="A698" s="552" t="s">
        <v>3694</v>
      </c>
      <c r="B698" s="697" t="s">
        <v>3699</v>
      </c>
      <c r="C698" s="539" t="s">
        <v>9032</v>
      </c>
      <c r="D698" s="550" t="s">
        <v>2809</v>
      </c>
      <c r="E698" s="552">
        <v>0</v>
      </c>
      <c r="F698" s="755"/>
      <c r="G698" s="756"/>
    </row>
    <row r="699" spans="1:7" ht="16.3" customHeight="1">
      <c r="A699" s="552" t="s">
        <v>3694</v>
      </c>
      <c r="B699" s="697" t="s">
        <v>3699</v>
      </c>
      <c r="C699" s="539" t="s">
        <v>2783</v>
      </c>
      <c r="D699" s="550" t="s">
        <v>2809</v>
      </c>
      <c r="E699" s="552">
        <v>0</v>
      </c>
      <c r="F699" s="755"/>
      <c r="G699" s="757"/>
    </row>
    <row r="700" spans="1:7" ht="16.3" customHeight="1">
      <c r="A700" s="552" t="s">
        <v>3694</v>
      </c>
      <c r="B700" s="697" t="s">
        <v>3699</v>
      </c>
      <c r="C700" s="539" t="s">
        <v>2783</v>
      </c>
      <c r="D700" s="550" t="s">
        <v>2809</v>
      </c>
      <c r="E700" s="552">
        <v>0</v>
      </c>
      <c r="F700" s="755"/>
      <c r="G700" s="756"/>
    </row>
    <row r="701" spans="1:7" ht="16.3" customHeight="1">
      <c r="A701" s="552" t="s">
        <v>3694</v>
      </c>
      <c r="B701" s="697" t="s">
        <v>3699</v>
      </c>
      <c r="C701" s="539" t="s">
        <v>2783</v>
      </c>
      <c r="D701" s="550" t="s">
        <v>2809</v>
      </c>
      <c r="E701" s="552">
        <v>0</v>
      </c>
      <c r="F701" s="755"/>
      <c r="G701" s="756"/>
    </row>
    <row r="702" spans="1:7" ht="16.3" customHeight="1">
      <c r="A702" s="552" t="s">
        <v>3694</v>
      </c>
      <c r="B702" s="694" t="s">
        <v>3700</v>
      </c>
      <c r="C702" s="539" t="s">
        <v>6380</v>
      </c>
      <c r="D702" s="550" t="s">
        <v>2971</v>
      </c>
      <c r="E702" s="552">
        <v>0</v>
      </c>
      <c r="F702" s="755"/>
      <c r="G702" s="756"/>
    </row>
    <row r="703" spans="1:7" ht="16.3" customHeight="1">
      <c r="A703" s="552" t="s">
        <v>3694</v>
      </c>
      <c r="B703" s="694" t="s">
        <v>3700</v>
      </c>
      <c r="C703" s="539" t="s">
        <v>2783</v>
      </c>
      <c r="D703" s="550" t="s">
        <v>2971</v>
      </c>
      <c r="E703" s="552">
        <v>0</v>
      </c>
      <c r="F703" s="755"/>
      <c r="G703" s="756"/>
    </row>
    <row r="704" spans="1:7" ht="16.3" customHeight="1">
      <c r="A704" s="552" t="s">
        <v>3694</v>
      </c>
      <c r="B704" s="700" t="s">
        <v>6055</v>
      </c>
      <c r="C704" s="539" t="s">
        <v>2783</v>
      </c>
      <c r="D704" s="550" t="s">
        <v>6697</v>
      </c>
      <c r="E704" s="552">
        <v>0</v>
      </c>
      <c r="F704" s="755"/>
      <c r="G704" s="756"/>
    </row>
    <row r="705" spans="1:7" ht="16.3" customHeight="1">
      <c r="A705" s="552" t="s">
        <v>3694</v>
      </c>
      <c r="B705" s="698" t="s">
        <v>3695</v>
      </c>
      <c r="C705" s="539" t="s">
        <v>6381</v>
      </c>
      <c r="D705" s="550" t="s">
        <v>2802</v>
      </c>
      <c r="E705" s="552">
        <v>0</v>
      </c>
      <c r="F705" s="755"/>
      <c r="G705" s="756"/>
    </row>
    <row r="706" spans="1:7" ht="16.3" customHeight="1">
      <c r="A706" s="552" t="s">
        <v>3694</v>
      </c>
      <c r="B706" s="698" t="s">
        <v>3695</v>
      </c>
      <c r="C706" s="539" t="s">
        <v>6382</v>
      </c>
      <c r="D706" s="550" t="s">
        <v>2802</v>
      </c>
      <c r="E706" s="552">
        <v>0</v>
      </c>
      <c r="F706" s="755"/>
      <c r="G706" s="756"/>
    </row>
    <row r="707" spans="1:7" ht="16.3" customHeight="1">
      <c r="A707" s="552" t="s">
        <v>3694</v>
      </c>
      <c r="B707" s="699" t="s">
        <v>3696</v>
      </c>
      <c r="C707" s="539" t="s">
        <v>6383</v>
      </c>
      <c r="D707" s="550" t="s">
        <v>2805</v>
      </c>
      <c r="E707" s="552">
        <v>0</v>
      </c>
      <c r="F707" s="755"/>
      <c r="G707" s="756"/>
    </row>
    <row r="708" spans="1:7" ht="16.3" customHeight="1">
      <c r="A708" s="552" t="s">
        <v>3694</v>
      </c>
      <c r="B708" s="699" t="s">
        <v>3696</v>
      </c>
      <c r="C708" s="539" t="s">
        <v>2783</v>
      </c>
      <c r="D708" s="550" t="s">
        <v>2805</v>
      </c>
      <c r="E708" s="552">
        <v>0</v>
      </c>
      <c r="F708" s="755"/>
      <c r="G708" s="756"/>
    </row>
    <row r="709" spans="1:7" ht="16.3" customHeight="1">
      <c r="A709" s="552" t="s">
        <v>3694</v>
      </c>
      <c r="B709" s="696" t="s">
        <v>3697</v>
      </c>
      <c r="C709" s="539" t="s">
        <v>6384</v>
      </c>
      <c r="D709" s="550" t="s">
        <v>2875</v>
      </c>
      <c r="E709" s="552">
        <v>0</v>
      </c>
      <c r="F709" s="755"/>
      <c r="G709" s="756"/>
    </row>
    <row r="710" spans="1:7" ht="16.3" customHeight="1">
      <c r="A710" s="552" t="s">
        <v>3694</v>
      </c>
      <c r="B710" s="696" t="s">
        <v>3697</v>
      </c>
      <c r="C710" s="539" t="s">
        <v>6385</v>
      </c>
      <c r="D710" s="550" t="s">
        <v>2875</v>
      </c>
      <c r="E710" s="552">
        <v>0</v>
      </c>
      <c r="F710" s="755"/>
      <c r="G710" s="756"/>
    </row>
    <row r="711" spans="1:7" ht="16.3" customHeight="1">
      <c r="A711" s="552" t="s">
        <v>3694</v>
      </c>
      <c r="B711" s="696" t="s">
        <v>3697</v>
      </c>
      <c r="C711" s="539" t="s">
        <v>2783</v>
      </c>
      <c r="D711" s="550" t="s">
        <v>2875</v>
      </c>
      <c r="E711" s="552">
        <v>0</v>
      </c>
      <c r="F711" s="755"/>
      <c r="G711" s="756"/>
    </row>
    <row r="712" spans="1:7" ht="16.3" customHeight="1">
      <c r="A712" s="552" t="s">
        <v>3694</v>
      </c>
      <c r="B712" s="695" t="s">
        <v>3698</v>
      </c>
      <c r="C712" s="539" t="s">
        <v>6386</v>
      </c>
      <c r="D712" s="550" t="s">
        <v>2998</v>
      </c>
      <c r="E712" s="552">
        <v>0</v>
      </c>
      <c r="F712" s="755"/>
      <c r="G712" s="756"/>
    </row>
    <row r="713" spans="1:7" ht="16.3" customHeight="1">
      <c r="A713" s="552" t="s">
        <v>3694</v>
      </c>
      <c r="B713" s="695" t="s">
        <v>3698</v>
      </c>
      <c r="C713" s="539" t="s">
        <v>9033</v>
      </c>
      <c r="D713" s="550" t="s">
        <v>2998</v>
      </c>
      <c r="E713" s="552">
        <v>0</v>
      </c>
      <c r="F713" s="755"/>
      <c r="G713" s="756"/>
    </row>
    <row r="714" spans="1:7" ht="16.3" customHeight="1">
      <c r="A714" s="552" t="s">
        <v>3694</v>
      </c>
      <c r="B714" s="695" t="s">
        <v>3698</v>
      </c>
      <c r="C714" s="539" t="s">
        <v>2783</v>
      </c>
      <c r="D714" s="550" t="s">
        <v>2998</v>
      </c>
      <c r="E714" s="552">
        <v>0</v>
      </c>
      <c r="F714" s="755"/>
      <c r="G714" s="756"/>
    </row>
    <row r="715" spans="1:7" ht="16.3" customHeight="1">
      <c r="A715" s="552" t="s">
        <v>3694</v>
      </c>
      <c r="B715" s="695" t="s">
        <v>3698</v>
      </c>
      <c r="C715" s="539" t="s">
        <v>2783</v>
      </c>
      <c r="D715" s="550" t="s">
        <v>2998</v>
      </c>
      <c r="E715" s="552">
        <v>0</v>
      </c>
      <c r="F715" s="755"/>
      <c r="G715" s="757"/>
    </row>
    <row r="716" spans="1:7" ht="16.3" customHeight="1">
      <c r="A716" s="552" t="s">
        <v>3694</v>
      </c>
      <c r="B716" s="697" t="s">
        <v>3699</v>
      </c>
      <c r="C716" s="539" t="s">
        <v>7835</v>
      </c>
      <c r="D716" s="550" t="s">
        <v>2809</v>
      </c>
      <c r="E716" s="552">
        <v>0</v>
      </c>
      <c r="F716" s="755"/>
      <c r="G716" s="756"/>
    </row>
    <row r="717" spans="1:7" ht="16.3" customHeight="1">
      <c r="A717" s="552" t="s">
        <v>3694</v>
      </c>
      <c r="B717" s="697" t="s">
        <v>3699</v>
      </c>
      <c r="C717" s="539" t="s">
        <v>6388</v>
      </c>
      <c r="D717" s="550" t="s">
        <v>2809</v>
      </c>
      <c r="E717" s="552">
        <v>0</v>
      </c>
      <c r="F717" s="755"/>
      <c r="G717" s="757"/>
    </row>
    <row r="718" spans="1:7" ht="16.3" customHeight="1">
      <c r="A718" s="552" t="s">
        <v>3694</v>
      </c>
      <c r="B718" s="697" t="s">
        <v>3699</v>
      </c>
      <c r="C718" s="539" t="s">
        <v>9034</v>
      </c>
      <c r="D718" s="550" t="s">
        <v>2809</v>
      </c>
      <c r="E718" s="552">
        <v>0</v>
      </c>
      <c r="F718" s="755"/>
      <c r="G718" s="756"/>
    </row>
    <row r="719" spans="1:7" ht="16.3" customHeight="1">
      <c r="A719" s="552" t="s">
        <v>3694</v>
      </c>
      <c r="B719" s="697" t="s">
        <v>3699</v>
      </c>
      <c r="C719" s="539" t="s">
        <v>6390</v>
      </c>
      <c r="D719" s="550" t="s">
        <v>2809</v>
      </c>
      <c r="E719" s="552">
        <v>0</v>
      </c>
      <c r="F719" s="755"/>
      <c r="G719" s="756"/>
    </row>
    <row r="720" spans="1:7" ht="16.3" customHeight="1">
      <c r="A720" s="552" t="s">
        <v>3694</v>
      </c>
      <c r="B720" s="697" t="s">
        <v>3699</v>
      </c>
      <c r="C720" s="539" t="s">
        <v>2783</v>
      </c>
      <c r="D720" s="550" t="s">
        <v>2809</v>
      </c>
      <c r="E720" s="552">
        <v>0</v>
      </c>
      <c r="F720" s="755"/>
      <c r="G720" s="756"/>
    </row>
    <row r="721" spans="1:7" ht="16.3" customHeight="1">
      <c r="A721" s="552" t="s">
        <v>3694</v>
      </c>
      <c r="B721" s="694" t="s">
        <v>3700</v>
      </c>
      <c r="C721" s="539" t="s">
        <v>9035</v>
      </c>
      <c r="D721" s="550" t="s">
        <v>2971</v>
      </c>
      <c r="E721" s="552">
        <v>0</v>
      </c>
      <c r="F721" s="755"/>
      <c r="G721" s="756"/>
    </row>
    <row r="722" spans="1:7" ht="16.3" customHeight="1">
      <c r="A722" s="552" t="s">
        <v>3694</v>
      </c>
      <c r="B722" s="694" t="s">
        <v>3700</v>
      </c>
      <c r="C722" s="539" t="s">
        <v>2783</v>
      </c>
      <c r="D722" s="550" t="s">
        <v>2971</v>
      </c>
      <c r="E722" s="552">
        <v>0</v>
      </c>
      <c r="F722" s="755"/>
      <c r="G722" s="756"/>
    </row>
    <row r="723" spans="1:7" ht="16.3" customHeight="1">
      <c r="A723" s="552" t="s">
        <v>3694</v>
      </c>
      <c r="B723" s="700" t="s">
        <v>6055</v>
      </c>
      <c r="C723" s="539" t="s">
        <v>2783</v>
      </c>
      <c r="D723" s="550" t="s">
        <v>6697</v>
      </c>
      <c r="E723" s="552">
        <v>0</v>
      </c>
      <c r="F723" s="755"/>
      <c r="G723" s="756"/>
    </row>
    <row r="724" spans="1:7" ht="16.3" customHeight="1">
      <c r="A724" s="552" t="s">
        <v>3694</v>
      </c>
      <c r="B724" s="698" t="s">
        <v>3695</v>
      </c>
      <c r="C724" s="539" t="s">
        <v>6391</v>
      </c>
      <c r="D724" s="550" t="s">
        <v>2802</v>
      </c>
      <c r="E724" s="552">
        <v>0</v>
      </c>
      <c r="F724" s="755"/>
      <c r="G724" s="756"/>
    </row>
    <row r="725" spans="1:7" ht="16.3" customHeight="1">
      <c r="A725" s="552" t="s">
        <v>3694</v>
      </c>
      <c r="B725" s="698" t="s">
        <v>3695</v>
      </c>
      <c r="C725" s="539" t="s">
        <v>2783</v>
      </c>
      <c r="D725" s="550" t="s">
        <v>2802</v>
      </c>
      <c r="E725" s="552">
        <v>0</v>
      </c>
      <c r="F725" s="755"/>
      <c r="G725" s="756"/>
    </row>
    <row r="726" spans="1:7" ht="16.3" customHeight="1">
      <c r="A726" s="552" t="s">
        <v>3694</v>
      </c>
      <c r="B726" s="699" t="s">
        <v>3696</v>
      </c>
      <c r="C726" s="539" t="s">
        <v>6392</v>
      </c>
      <c r="D726" s="550" t="s">
        <v>2805</v>
      </c>
      <c r="E726" s="552">
        <v>0</v>
      </c>
      <c r="F726" s="755"/>
      <c r="G726" s="756"/>
    </row>
    <row r="727" spans="1:7" ht="16.3" customHeight="1">
      <c r="A727" s="552" t="s">
        <v>3694</v>
      </c>
      <c r="B727" s="699" t="s">
        <v>3696</v>
      </c>
      <c r="C727" s="539" t="s">
        <v>2783</v>
      </c>
      <c r="D727" s="550" t="s">
        <v>2805</v>
      </c>
      <c r="E727" s="552">
        <v>0</v>
      </c>
      <c r="F727" s="755"/>
      <c r="G727" s="757"/>
    </row>
    <row r="728" spans="1:7" ht="16.3" customHeight="1">
      <c r="A728" s="552" t="s">
        <v>3694</v>
      </c>
      <c r="B728" s="696" t="s">
        <v>3697</v>
      </c>
      <c r="C728" s="539" t="s">
        <v>6393</v>
      </c>
      <c r="D728" s="550" t="s">
        <v>2875</v>
      </c>
      <c r="E728" s="552">
        <v>0</v>
      </c>
      <c r="F728" s="755"/>
      <c r="G728" s="756"/>
    </row>
    <row r="729" spans="1:7" ht="16.3" customHeight="1">
      <c r="A729" s="552" t="s">
        <v>3694</v>
      </c>
      <c r="B729" s="696" t="s">
        <v>3697</v>
      </c>
      <c r="C729" s="539" t="s">
        <v>6394</v>
      </c>
      <c r="D729" s="550" t="s">
        <v>2875</v>
      </c>
      <c r="E729" s="552">
        <v>0</v>
      </c>
      <c r="F729" s="755"/>
      <c r="G729" s="756"/>
    </row>
    <row r="730" spans="1:7" ht="16.3" customHeight="1">
      <c r="A730" s="552" t="s">
        <v>3694</v>
      </c>
      <c r="B730" s="696" t="s">
        <v>3697</v>
      </c>
      <c r="C730" s="539" t="s">
        <v>2783</v>
      </c>
      <c r="D730" s="550" t="s">
        <v>2875</v>
      </c>
      <c r="E730" s="552">
        <v>0</v>
      </c>
      <c r="F730" s="755"/>
      <c r="G730" s="756"/>
    </row>
    <row r="731" spans="1:7" ht="16.3" customHeight="1">
      <c r="A731" s="552" t="s">
        <v>3694</v>
      </c>
      <c r="B731" s="695" t="s">
        <v>3698</v>
      </c>
      <c r="C731" s="539" t="s">
        <v>9036</v>
      </c>
      <c r="D731" s="550" t="s">
        <v>2998</v>
      </c>
      <c r="E731" s="552">
        <v>0</v>
      </c>
      <c r="F731" s="755"/>
      <c r="G731" s="756"/>
    </row>
    <row r="732" spans="1:7" ht="16.3" customHeight="1">
      <c r="A732" s="552" t="s">
        <v>3694</v>
      </c>
      <c r="B732" s="695" t="s">
        <v>3698</v>
      </c>
      <c r="C732" s="539" t="s">
        <v>6396</v>
      </c>
      <c r="D732" s="550" t="s">
        <v>2998</v>
      </c>
      <c r="E732" s="552">
        <v>0</v>
      </c>
      <c r="F732" s="755"/>
      <c r="G732" s="756"/>
    </row>
    <row r="733" spans="1:7" ht="16.3" customHeight="1">
      <c r="A733" s="552" t="s">
        <v>3694</v>
      </c>
      <c r="B733" s="695" t="s">
        <v>3698</v>
      </c>
      <c r="C733" s="539" t="s">
        <v>2783</v>
      </c>
      <c r="D733" s="550" t="s">
        <v>2998</v>
      </c>
      <c r="E733" s="552">
        <v>0</v>
      </c>
      <c r="F733" s="755"/>
      <c r="G733" s="756"/>
    </row>
    <row r="734" spans="1:7" ht="16.3" customHeight="1">
      <c r="A734" s="552" t="s">
        <v>3694</v>
      </c>
      <c r="B734" s="695" t="s">
        <v>3698</v>
      </c>
      <c r="C734" s="539" t="s">
        <v>2783</v>
      </c>
      <c r="D734" s="550" t="s">
        <v>2998</v>
      </c>
      <c r="E734" s="552">
        <v>0</v>
      </c>
      <c r="F734" s="755"/>
      <c r="G734" s="756"/>
    </row>
    <row r="735" spans="1:7" ht="16.3" customHeight="1">
      <c r="A735" s="552" t="s">
        <v>3694</v>
      </c>
      <c r="B735" s="697" t="s">
        <v>3699</v>
      </c>
      <c r="C735" s="539" t="s">
        <v>2783</v>
      </c>
      <c r="D735" s="550" t="s">
        <v>2809</v>
      </c>
      <c r="E735" s="552">
        <v>0</v>
      </c>
      <c r="F735" s="755"/>
      <c r="G735" s="756"/>
    </row>
    <row r="736" spans="1:7" ht="16.3" customHeight="1">
      <c r="A736" s="552" t="s">
        <v>3694</v>
      </c>
      <c r="B736" s="697" t="s">
        <v>3699</v>
      </c>
      <c r="C736" s="539" t="s">
        <v>6397</v>
      </c>
      <c r="D736" s="550" t="s">
        <v>2809</v>
      </c>
      <c r="E736" s="552">
        <v>0</v>
      </c>
      <c r="F736" s="755"/>
      <c r="G736" s="756"/>
    </row>
    <row r="737" spans="1:7" ht="16.3" customHeight="1">
      <c r="A737" s="552" t="s">
        <v>3694</v>
      </c>
      <c r="B737" s="697" t="s">
        <v>3699</v>
      </c>
      <c r="C737" s="539" t="s">
        <v>6398</v>
      </c>
      <c r="D737" s="550" t="s">
        <v>2809</v>
      </c>
      <c r="E737" s="552">
        <v>0</v>
      </c>
      <c r="F737" s="755"/>
      <c r="G737" s="756"/>
    </row>
    <row r="738" spans="1:7" ht="16.3" customHeight="1">
      <c r="A738" s="552" t="s">
        <v>3694</v>
      </c>
      <c r="B738" s="697" t="s">
        <v>3699</v>
      </c>
      <c r="C738" s="539" t="s">
        <v>6399</v>
      </c>
      <c r="D738" s="550" t="s">
        <v>2809</v>
      </c>
      <c r="E738" s="552">
        <v>0</v>
      </c>
      <c r="F738" s="755"/>
      <c r="G738" s="756"/>
    </row>
    <row r="739" spans="1:7" ht="16.3" customHeight="1">
      <c r="A739" s="552" t="s">
        <v>3694</v>
      </c>
      <c r="B739" s="697" t="s">
        <v>3699</v>
      </c>
      <c r="C739" s="539" t="s">
        <v>2783</v>
      </c>
      <c r="D739" s="550" t="s">
        <v>2809</v>
      </c>
      <c r="E739" s="552">
        <v>0</v>
      </c>
      <c r="F739" s="755"/>
      <c r="G739" s="756"/>
    </row>
    <row r="740" spans="1:7" ht="16.3" customHeight="1">
      <c r="A740" s="552" t="s">
        <v>3694</v>
      </c>
      <c r="B740" s="694" t="s">
        <v>3700</v>
      </c>
      <c r="C740" s="539" t="s">
        <v>9091</v>
      </c>
      <c r="D740" s="550" t="s">
        <v>2971</v>
      </c>
      <c r="E740" s="552">
        <v>0</v>
      </c>
      <c r="F740" s="755"/>
      <c r="G740" s="756"/>
    </row>
    <row r="741" spans="1:7" ht="16.3" customHeight="1">
      <c r="A741" s="552" t="s">
        <v>3694</v>
      </c>
      <c r="B741" s="694" t="s">
        <v>3700</v>
      </c>
      <c r="C741" s="539" t="s">
        <v>6400</v>
      </c>
      <c r="D741" s="550" t="s">
        <v>2971</v>
      </c>
      <c r="E741" s="552">
        <v>0</v>
      </c>
      <c r="F741" s="755"/>
      <c r="G741" s="756"/>
    </row>
    <row r="742" spans="1:7" ht="16.3" customHeight="1">
      <c r="A742" s="552" t="s">
        <v>3694</v>
      </c>
      <c r="B742" s="700" t="s">
        <v>6055</v>
      </c>
      <c r="C742" s="539" t="s">
        <v>2783</v>
      </c>
      <c r="D742" s="550" t="s">
        <v>6697</v>
      </c>
      <c r="E742" s="552">
        <v>0</v>
      </c>
      <c r="F742" s="755"/>
      <c r="G742" s="756"/>
    </row>
    <row r="743" spans="1:7" ht="16.3" customHeight="1">
      <c r="A743" s="552" t="s">
        <v>3694</v>
      </c>
      <c r="B743" s="698" t="s">
        <v>3695</v>
      </c>
      <c r="C743" s="539" t="s">
        <v>6401</v>
      </c>
      <c r="D743" s="550" t="s">
        <v>2802</v>
      </c>
      <c r="E743" s="552">
        <v>0</v>
      </c>
      <c r="F743" s="755"/>
      <c r="G743" s="756"/>
    </row>
    <row r="744" spans="1:7" ht="16.3" customHeight="1">
      <c r="A744" s="552" t="s">
        <v>3694</v>
      </c>
      <c r="B744" s="698" t="s">
        <v>3695</v>
      </c>
      <c r="C744" s="539" t="s">
        <v>2783</v>
      </c>
      <c r="D744" s="550" t="s">
        <v>2802</v>
      </c>
      <c r="E744" s="552">
        <v>0</v>
      </c>
      <c r="F744" s="755"/>
      <c r="G744" s="756"/>
    </row>
    <row r="745" spans="1:7" ht="16.3" customHeight="1">
      <c r="A745" s="552" t="s">
        <v>3694</v>
      </c>
      <c r="B745" s="699" t="s">
        <v>3696</v>
      </c>
      <c r="C745" s="539" t="s">
        <v>6402</v>
      </c>
      <c r="D745" s="550" t="s">
        <v>2805</v>
      </c>
      <c r="E745" s="552">
        <v>0</v>
      </c>
      <c r="F745" s="755"/>
      <c r="G745" s="756"/>
    </row>
    <row r="746" spans="1:7" ht="16.3" customHeight="1">
      <c r="A746" s="552" t="s">
        <v>3694</v>
      </c>
      <c r="B746" s="699" t="s">
        <v>3696</v>
      </c>
      <c r="C746" s="539" t="s">
        <v>2783</v>
      </c>
      <c r="D746" s="550" t="s">
        <v>2805</v>
      </c>
      <c r="E746" s="552">
        <v>0</v>
      </c>
      <c r="F746" s="755"/>
      <c r="G746" s="756"/>
    </row>
    <row r="747" spans="1:7" ht="16.3" customHeight="1">
      <c r="A747" s="552" t="s">
        <v>3694</v>
      </c>
      <c r="B747" s="696" t="s">
        <v>3697</v>
      </c>
      <c r="C747" s="539" t="s">
        <v>6403</v>
      </c>
      <c r="D747" s="550" t="s">
        <v>2875</v>
      </c>
      <c r="E747" s="552">
        <v>0</v>
      </c>
      <c r="F747" s="755"/>
      <c r="G747" s="756"/>
    </row>
    <row r="748" spans="1:7" ht="16.3" customHeight="1">
      <c r="A748" s="552" t="s">
        <v>3694</v>
      </c>
      <c r="B748" s="696" t="s">
        <v>3697</v>
      </c>
      <c r="C748" s="539" t="s">
        <v>6404</v>
      </c>
      <c r="D748" s="550" t="s">
        <v>2875</v>
      </c>
      <c r="E748" s="552">
        <v>0</v>
      </c>
      <c r="F748" s="755"/>
      <c r="G748" s="756"/>
    </row>
    <row r="749" spans="1:7" ht="16.3" customHeight="1">
      <c r="A749" s="552" t="s">
        <v>3694</v>
      </c>
      <c r="B749" s="696" t="s">
        <v>3697</v>
      </c>
      <c r="C749" s="539" t="s">
        <v>2783</v>
      </c>
      <c r="D749" s="550" t="s">
        <v>2875</v>
      </c>
      <c r="E749" s="552">
        <v>0</v>
      </c>
      <c r="F749" s="755"/>
      <c r="G749" s="756"/>
    </row>
    <row r="750" spans="1:7" ht="16.3" customHeight="1">
      <c r="A750" s="552" t="s">
        <v>3694</v>
      </c>
      <c r="B750" s="695" t="s">
        <v>3698</v>
      </c>
      <c r="C750" s="539" t="s">
        <v>2783</v>
      </c>
      <c r="D750" s="550" t="s">
        <v>2998</v>
      </c>
      <c r="E750" s="552">
        <v>0</v>
      </c>
      <c r="F750" s="755"/>
      <c r="G750" s="756"/>
    </row>
    <row r="751" spans="1:7" ht="16.3" customHeight="1">
      <c r="A751" s="552" t="s">
        <v>3694</v>
      </c>
      <c r="B751" s="695" t="s">
        <v>3698</v>
      </c>
      <c r="C751" s="539" t="s">
        <v>2783</v>
      </c>
      <c r="D751" s="550" t="s">
        <v>2998</v>
      </c>
      <c r="E751" s="552">
        <v>0</v>
      </c>
      <c r="F751" s="755"/>
      <c r="G751" s="756"/>
    </row>
    <row r="752" spans="1:7" ht="16.3" customHeight="1">
      <c r="A752" s="552" t="s">
        <v>3694</v>
      </c>
      <c r="B752" s="695" t="s">
        <v>3698</v>
      </c>
      <c r="C752" s="539" t="s">
        <v>6405</v>
      </c>
      <c r="D752" s="550" t="s">
        <v>2998</v>
      </c>
      <c r="E752" s="552">
        <v>0</v>
      </c>
      <c r="F752" s="755"/>
      <c r="G752" s="756"/>
    </row>
    <row r="753" spans="1:7" ht="16.3" customHeight="1">
      <c r="A753" s="552" t="s">
        <v>3694</v>
      </c>
      <c r="B753" s="695" t="s">
        <v>3698</v>
      </c>
      <c r="C753" s="539" t="s">
        <v>9092</v>
      </c>
      <c r="D753" s="550" t="s">
        <v>2998</v>
      </c>
      <c r="E753" s="552">
        <v>0</v>
      </c>
      <c r="F753" s="755"/>
      <c r="G753" s="756"/>
    </row>
    <row r="754" spans="1:7" ht="16.3" customHeight="1">
      <c r="A754" s="552" t="s">
        <v>3694</v>
      </c>
      <c r="B754" s="697" t="s">
        <v>3699</v>
      </c>
      <c r="C754" s="539" t="s">
        <v>7874</v>
      </c>
      <c r="D754" s="550" t="s">
        <v>2809</v>
      </c>
      <c r="E754" s="552">
        <v>0</v>
      </c>
      <c r="F754" s="755"/>
      <c r="G754" s="756"/>
    </row>
    <row r="755" spans="1:7" ht="16.3" customHeight="1">
      <c r="A755" s="552" t="s">
        <v>3694</v>
      </c>
      <c r="B755" s="697" t="s">
        <v>3699</v>
      </c>
      <c r="C755" s="541" t="s">
        <v>9093</v>
      </c>
      <c r="D755" s="550" t="s">
        <v>2809</v>
      </c>
      <c r="E755" s="552">
        <v>0</v>
      </c>
      <c r="F755" s="755"/>
      <c r="G755" s="756"/>
    </row>
    <row r="756" spans="1:7" ht="16.3" customHeight="1">
      <c r="A756" s="552" t="s">
        <v>3694</v>
      </c>
      <c r="B756" s="697" t="s">
        <v>3699</v>
      </c>
      <c r="C756" s="539" t="s">
        <v>2783</v>
      </c>
      <c r="D756" s="550" t="s">
        <v>2809</v>
      </c>
      <c r="E756" s="552">
        <v>0</v>
      </c>
      <c r="F756" s="755"/>
      <c r="G756" s="756"/>
    </row>
    <row r="757" spans="1:7" ht="16.3" customHeight="1">
      <c r="A757" s="552" t="s">
        <v>3694</v>
      </c>
      <c r="B757" s="697" t="s">
        <v>3699</v>
      </c>
      <c r="C757" s="539" t="s">
        <v>2783</v>
      </c>
      <c r="D757" s="550" t="s">
        <v>2809</v>
      </c>
      <c r="E757" s="552">
        <v>0</v>
      </c>
      <c r="F757" s="755"/>
      <c r="G757" s="756"/>
    </row>
    <row r="758" spans="1:7" ht="16.3" customHeight="1">
      <c r="A758" s="552" t="s">
        <v>3694</v>
      </c>
      <c r="B758" s="697" t="s">
        <v>3699</v>
      </c>
      <c r="C758" s="539" t="s">
        <v>2783</v>
      </c>
      <c r="D758" s="550" t="s">
        <v>2809</v>
      </c>
      <c r="E758" s="552">
        <v>0</v>
      </c>
      <c r="F758" s="755"/>
      <c r="G758" s="756"/>
    </row>
    <row r="759" spans="1:7" ht="16.3" customHeight="1">
      <c r="A759" s="552" t="s">
        <v>3694</v>
      </c>
      <c r="B759" s="694" t="s">
        <v>3700</v>
      </c>
      <c r="C759" s="539" t="s">
        <v>7880</v>
      </c>
      <c r="D759" s="550" t="s">
        <v>2971</v>
      </c>
      <c r="E759" s="552">
        <v>0</v>
      </c>
      <c r="F759" s="755"/>
      <c r="G759" s="756"/>
    </row>
    <row r="760" spans="1:7" ht="16.3" customHeight="1">
      <c r="A760" s="552" t="s">
        <v>3694</v>
      </c>
      <c r="B760" s="694" t="s">
        <v>3700</v>
      </c>
      <c r="C760" s="539" t="s">
        <v>9037</v>
      </c>
      <c r="D760" s="550" t="s">
        <v>2971</v>
      </c>
      <c r="E760" s="552">
        <v>0</v>
      </c>
      <c r="F760" s="755"/>
      <c r="G760" s="756"/>
    </row>
    <row r="761" spans="1:7" ht="16.3" customHeight="1">
      <c r="A761" s="552" t="s">
        <v>3694</v>
      </c>
      <c r="B761" s="700" t="s">
        <v>6055</v>
      </c>
      <c r="C761" s="539" t="s">
        <v>2783</v>
      </c>
      <c r="D761" s="550" t="s">
        <v>6697</v>
      </c>
      <c r="E761" s="552">
        <v>0</v>
      </c>
      <c r="F761" s="755"/>
      <c r="G761" s="756"/>
    </row>
    <row r="762" spans="1:7" ht="16.3" customHeight="1">
      <c r="A762" s="552" t="s">
        <v>3694</v>
      </c>
      <c r="B762" s="698" t="s">
        <v>3695</v>
      </c>
      <c r="C762" s="539" t="s">
        <v>6407</v>
      </c>
      <c r="D762" s="550" t="s">
        <v>2802</v>
      </c>
      <c r="E762" s="552">
        <v>0</v>
      </c>
      <c r="F762" s="755"/>
      <c r="G762" s="756"/>
    </row>
    <row r="763" spans="1:7" ht="16.3" customHeight="1">
      <c r="A763" s="552" t="s">
        <v>3694</v>
      </c>
      <c r="B763" s="698" t="s">
        <v>3695</v>
      </c>
      <c r="C763" s="539" t="s">
        <v>2783</v>
      </c>
      <c r="D763" s="550" t="s">
        <v>2802</v>
      </c>
      <c r="E763" s="552">
        <v>0</v>
      </c>
      <c r="F763" s="755"/>
      <c r="G763" s="756"/>
    </row>
    <row r="764" spans="1:7" ht="16.3" customHeight="1">
      <c r="A764" s="552" t="s">
        <v>3694</v>
      </c>
      <c r="B764" s="699" t="s">
        <v>3696</v>
      </c>
      <c r="C764" s="539" t="s">
        <v>6408</v>
      </c>
      <c r="D764" s="550" t="s">
        <v>2805</v>
      </c>
      <c r="E764" s="552">
        <v>0</v>
      </c>
      <c r="F764" s="755"/>
      <c r="G764" s="756"/>
    </row>
    <row r="765" spans="1:7" ht="16.3" customHeight="1">
      <c r="A765" s="552" t="s">
        <v>3694</v>
      </c>
      <c r="B765" s="699" t="s">
        <v>3696</v>
      </c>
      <c r="C765" s="539" t="s">
        <v>2783</v>
      </c>
      <c r="D765" s="550" t="s">
        <v>2805</v>
      </c>
      <c r="E765" s="552">
        <v>0</v>
      </c>
      <c r="F765" s="755"/>
      <c r="G765" s="756"/>
    </row>
    <row r="766" spans="1:7" ht="16.3" customHeight="1">
      <c r="A766" s="552" t="s">
        <v>3694</v>
      </c>
      <c r="B766" s="696" t="s">
        <v>3697</v>
      </c>
      <c r="C766" s="539" t="s">
        <v>6409</v>
      </c>
      <c r="D766" s="550" t="s">
        <v>2875</v>
      </c>
      <c r="E766" s="552">
        <v>0</v>
      </c>
      <c r="F766" s="755"/>
      <c r="G766" s="756"/>
    </row>
    <row r="767" spans="1:7" ht="16.3" customHeight="1">
      <c r="A767" s="552" t="s">
        <v>3694</v>
      </c>
      <c r="B767" s="696" t="s">
        <v>3697</v>
      </c>
      <c r="C767" s="539" t="s">
        <v>2783</v>
      </c>
      <c r="D767" s="550" t="s">
        <v>2875</v>
      </c>
      <c r="E767" s="552">
        <v>0</v>
      </c>
      <c r="F767" s="755"/>
      <c r="G767" s="756"/>
    </row>
    <row r="768" spans="1:7" ht="16.3" customHeight="1">
      <c r="A768" s="552" t="s">
        <v>3694</v>
      </c>
      <c r="B768" s="696" t="s">
        <v>3697</v>
      </c>
      <c r="C768" s="539" t="s">
        <v>2783</v>
      </c>
      <c r="D768" s="550" t="s">
        <v>2875</v>
      </c>
      <c r="E768" s="552">
        <v>0</v>
      </c>
      <c r="F768" s="755"/>
      <c r="G768" s="756"/>
    </row>
    <row r="769" spans="1:7" ht="16.3" customHeight="1">
      <c r="A769" s="552" t="s">
        <v>3694</v>
      </c>
      <c r="B769" s="695" t="s">
        <v>3698</v>
      </c>
      <c r="C769" s="539" t="s">
        <v>6410</v>
      </c>
      <c r="D769" s="550" t="s">
        <v>2998</v>
      </c>
      <c r="E769" s="552">
        <v>0</v>
      </c>
      <c r="F769" s="755"/>
      <c r="G769" s="756"/>
    </row>
    <row r="770" spans="1:7" ht="16.3" customHeight="1">
      <c r="A770" s="552" t="s">
        <v>3694</v>
      </c>
      <c r="B770" s="695" t="s">
        <v>3698</v>
      </c>
      <c r="C770" s="539" t="s">
        <v>6411</v>
      </c>
      <c r="D770" s="550" t="s">
        <v>2998</v>
      </c>
      <c r="E770" s="552">
        <v>0</v>
      </c>
      <c r="F770" s="755"/>
      <c r="G770" s="756"/>
    </row>
    <row r="771" spans="1:7" ht="16.3" customHeight="1">
      <c r="A771" s="552" t="s">
        <v>3694</v>
      </c>
      <c r="B771" s="695" t="s">
        <v>3698</v>
      </c>
      <c r="C771" s="539" t="s">
        <v>2783</v>
      </c>
      <c r="D771" s="550" t="s">
        <v>2998</v>
      </c>
      <c r="E771" s="552">
        <v>0</v>
      </c>
      <c r="F771" s="755"/>
      <c r="G771" s="756"/>
    </row>
    <row r="772" spans="1:7" ht="16.3" customHeight="1">
      <c r="A772" s="552" t="s">
        <v>3694</v>
      </c>
      <c r="B772" s="695" t="s">
        <v>3698</v>
      </c>
      <c r="C772" s="539" t="s">
        <v>2783</v>
      </c>
      <c r="D772" s="550" t="s">
        <v>2998</v>
      </c>
      <c r="E772" s="552">
        <v>0</v>
      </c>
      <c r="F772" s="755"/>
      <c r="G772" s="756"/>
    </row>
    <row r="773" spans="1:7" ht="16.3" customHeight="1">
      <c r="A773" s="552" t="s">
        <v>3694</v>
      </c>
      <c r="B773" s="697" t="s">
        <v>3699</v>
      </c>
      <c r="C773" s="539" t="s">
        <v>2783</v>
      </c>
      <c r="D773" s="550" t="s">
        <v>2809</v>
      </c>
      <c r="E773" s="552">
        <v>0</v>
      </c>
      <c r="F773" s="755"/>
      <c r="G773" s="756"/>
    </row>
    <row r="774" spans="1:7" ht="16.3" customHeight="1">
      <c r="A774" s="552" t="s">
        <v>3694</v>
      </c>
      <c r="B774" s="697" t="s">
        <v>3699</v>
      </c>
      <c r="C774" s="539" t="s">
        <v>6412</v>
      </c>
      <c r="D774" s="550" t="s">
        <v>2809</v>
      </c>
      <c r="E774" s="552">
        <v>0</v>
      </c>
      <c r="F774" s="755"/>
      <c r="G774" s="756"/>
    </row>
    <row r="775" spans="1:7" ht="16.3" customHeight="1">
      <c r="A775" s="552" t="s">
        <v>3694</v>
      </c>
      <c r="B775" s="697" t="s">
        <v>3699</v>
      </c>
      <c r="C775" s="539" t="s">
        <v>6413</v>
      </c>
      <c r="D775" s="550" t="s">
        <v>2809</v>
      </c>
      <c r="E775" s="552">
        <v>0</v>
      </c>
      <c r="F775" s="755"/>
      <c r="G775" s="756"/>
    </row>
    <row r="776" spans="1:7" ht="16.3" customHeight="1">
      <c r="A776" s="552" t="s">
        <v>3694</v>
      </c>
      <c r="B776" s="697" t="s">
        <v>3699</v>
      </c>
      <c r="C776" s="539" t="s">
        <v>2783</v>
      </c>
      <c r="D776" s="550" t="s">
        <v>2809</v>
      </c>
      <c r="E776" s="552">
        <v>0</v>
      </c>
      <c r="F776" s="755"/>
      <c r="G776" s="756"/>
    </row>
    <row r="777" spans="1:7" ht="16.3" customHeight="1">
      <c r="A777" s="552" t="s">
        <v>3694</v>
      </c>
      <c r="B777" s="697" t="s">
        <v>3699</v>
      </c>
      <c r="C777" s="539" t="s">
        <v>6414</v>
      </c>
      <c r="D777" s="550" t="s">
        <v>2809</v>
      </c>
      <c r="E777" s="552">
        <v>0</v>
      </c>
      <c r="F777" s="755"/>
      <c r="G777" s="756"/>
    </row>
    <row r="778" spans="1:7" ht="16.3" customHeight="1">
      <c r="A778" s="552" t="s">
        <v>3694</v>
      </c>
      <c r="B778" s="694" t="s">
        <v>3700</v>
      </c>
      <c r="C778" s="539" t="s">
        <v>6415</v>
      </c>
      <c r="D778" s="550" t="s">
        <v>2971</v>
      </c>
      <c r="E778" s="552">
        <v>0</v>
      </c>
      <c r="F778" s="755"/>
      <c r="G778" s="756"/>
    </row>
    <row r="779" spans="1:7" ht="16.3" customHeight="1">
      <c r="A779" s="552" t="s">
        <v>3694</v>
      </c>
      <c r="B779" s="694" t="s">
        <v>3700</v>
      </c>
      <c r="C779" s="539" t="s">
        <v>7904</v>
      </c>
      <c r="D779" s="550" t="s">
        <v>2971</v>
      </c>
      <c r="E779" s="552">
        <v>0</v>
      </c>
      <c r="F779" s="755"/>
      <c r="G779" s="756"/>
    </row>
    <row r="780" spans="1:7" ht="16.3" customHeight="1">
      <c r="A780" s="552" t="s">
        <v>3694</v>
      </c>
      <c r="B780" s="700" t="s">
        <v>6055</v>
      </c>
      <c r="C780" s="539" t="s">
        <v>2783</v>
      </c>
      <c r="D780" s="550" t="s">
        <v>6697</v>
      </c>
      <c r="E780" s="552">
        <v>0</v>
      </c>
      <c r="F780" s="755"/>
      <c r="G780" s="756"/>
    </row>
    <row r="781" spans="1:7" ht="16.3" customHeight="1">
      <c r="A781" s="552" t="s">
        <v>3694</v>
      </c>
      <c r="B781" s="698" t="s">
        <v>3695</v>
      </c>
      <c r="C781" s="539" t="s">
        <v>6416</v>
      </c>
      <c r="D781" s="550" t="s">
        <v>2802</v>
      </c>
      <c r="E781" s="552">
        <v>0</v>
      </c>
      <c r="F781" s="755"/>
      <c r="G781" s="756"/>
    </row>
    <row r="782" spans="1:7" ht="16.3" customHeight="1">
      <c r="A782" s="552" t="s">
        <v>3694</v>
      </c>
      <c r="B782" s="698" t="s">
        <v>3695</v>
      </c>
      <c r="C782" s="539" t="s">
        <v>2783</v>
      </c>
      <c r="D782" s="550" t="s">
        <v>2802</v>
      </c>
      <c r="E782" s="552">
        <v>0</v>
      </c>
      <c r="F782" s="755"/>
      <c r="G782" s="756"/>
    </row>
    <row r="783" spans="1:7" ht="16.3" customHeight="1">
      <c r="A783" s="552" t="s">
        <v>3694</v>
      </c>
      <c r="B783" s="699" t="s">
        <v>3696</v>
      </c>
      <c r="C783" s="539" t="s">
        <v>6417</v>
      </c>
      <c r="D783" s="550" t="s">
        <v>2805</v>
      </c>
      <c r="E783" s="552">
        <v>0</v>
      </c>
      <c r="F783" s="755"/>
      <c r="G783" s="756"/>
    </row>
    <row r="784" spans="1:7" ht="16.3" customHeight="1">
      <c r="A784" s="552" t="s">
        <v>3694</v>
      </c>
      <c r="B784" s="699" t="s">
        <v>3696</v>
      </c>
      <c r="C784" s="539" t="s">
        <v>2783</v>
      </c>
      <c r="D784" s="550" t="s">
        <v>2805</v>
      </c>
      <c r="E784" s="552">
        <v>0</v>
      </c>
      <c r="F784" s="755"/>
      <c r="G784" s="756"/>
    </row>
    <row r="785" spans="1:7" ht="16.3" customHeight="1">
      <c r="A785" s="552" t="s">
        <v>3694</v>
      </c>
      <c r="B785" s="696" t="s">
        <v>3697</v>
      </c>
      <c r="C785" s="539" t="s">
        <v>6418</v>
      </c>
      <c r="D785" s="550" t="s">
        <v>2875</v>
      </c>
      <c r="E785" s="552">
        <v>0</v>
      </c>
      <c r="F785" s="755"/>
      <c r="G785" s="756"/>
    </row>
    <row r="786" spans="1:7" ht="16.3" customHeight="1">
      <c r="A786" s="552" t="s">
        <v>3694</v>
      </c>
      <c r="B786" s="696" t="s">
        <v>3697</v>
      </c>
      <c r="C786" s="539" t="s">
        <v>6419</v>
      </c>
      <c r="D786" s="550" t="s">
        <v>2875</v>
      </c>
      <c r="E786" s="552">
        <v>0</v>
      </c>
      <c r="F786" s="755"/>
      <c r="G786" s="756"/>
    </row>
    <row r="787" spans="1:7" ht="16.3" customHeight="1">
      <c r="A787" s="552" t="s">
        <v>3694</v>
      </c>
      <c r="B787" s="696" t="s">
        <v>3697</v>
      </c>
      <c r="C787" s="539" t="s">
        <v>2783</v>
      </c>
      <c r="D787" s="550" t="s">
        <v>2875</v>
      </c>
      <c r="E787" s="552">
        <v>0</v>
      </c>
      <c r="F787" s="755"/>
      <c r="G787" s="756"/>
    </row>
    <row r="788" spans="1:7" ht="16.3" customHeight="1">
      <c r="A788" s="552" t="s">
        <v>3694</v>
      </c>
      <c r="B788" s="695" t="s">
        <v>3698</v>
      </c>
      <c r="C788" s="539" t="s">
        <v>2783</v>
      </c>
      <c r="D788" s="550" t="s">
        <v>2998</v>
      </c>
      <c r="E788" s="552">
        <v>0</v>
      </c>
      <c r="F788" s="755"/>
      <c r="G788" s="756"/>
    </row>
    <row r="789" spans="1:7" ht="16.3" customHeight="1">
      <c r="A789" s="552" t="s">
        <v>3694</v>
      </c>
      <c r="B789" s="695" t="s">
        <v>3698</v>
      </c>
      <c r="C789" s="539" t="s">
        <v>6420</v>
      </c>
      <c r="D789" s="550" t="s">
        <v>2998</v>
      </c>
      <c r="E789" s="552">
        <v>0</v>
      </c>
      <c r="F789" s="755"/>
      <c r="G789" s="756"/>
    </row>
    <row r="790" spans="1:7" ht="16.3" customHeight="1">
      <c r="A790" s="552" t="s">
        <v>3694</v>
      </c>
      <c r="B790" s="695" t="s">
        <v>3698</v>
      </c>
      <c r="C790" s="539" t="s">
        <v>2783</v>
      </c>
      <c r="D790" s="550" t="s">
        <v>2998</v>
      </c>
      <c r="E790" s="552">
        <v>0</v>
      </c>
      <c r="F790" s="755"/>
      <c r="G790" s="756"/>
    </row>
    <row r="791" spans="1:7" ht="16.3" customHeight="1">
      <c r="A791" s="552" t="s">
        <v>3694</v>
      </c>
      <c r="B791" s="695" t="s">
        <v>3698</v>
      </c>
      <c r="C791" s="539" t="s">
        <v>6421</v>
      </c>
      <c r="D791" s="550" t="s">
        <v>2998</v>
      </c>
      <c r="E791" s="552">
        <v>0</v>
      </c>
      <c r="F791" s="755"/>
      <c r="G791" s="756"/>
    </row>
    <row r="792" spans="1:7" ht="16.3" customHeight="1">
      <c r="A792" s="552" t="s">
        <v>3694</v>
      </c>
      <c r="B792" s="697" t="s">
        <v>3699</v>
      </c>
      <c r="C792" s="539" t="s">
        <v>9094</v>
      </c>
      <c r="D792" s="550" t="s">
        <v>2809</v>
      </c>
      <c r="E792" s="552">
        <v>0</v>
      </c>
      <c r="F792" s="755"/>
      <c r="G792" s="756"/>
    </row>
    <row r="793" spans="1:7" ht="16.3" customHeight="1">
      <c r="A793" s="552" t="s">
        <v>3694</v>
      </c>
      <c r="B793" s="697" t="s">
        <v>3699</v>
      </c>
      <c r="C793" s="539" t="s">
        <v>2783</v>
      </c>
      <c r="D793" s="550" t="s">
        <v>2809</v>
      </c>
      <c r="E793" s="552">
        <v>0</v>
      </c>
      <c r="F793" s="755"/>
      <c r="G793" s="756"/>
    </row>
    <row r="794" spans="1:7" ht="16.3" customHeight="1">
      <c r="A794" s="552" t="s">
        <v>3694</v>
      </c>
      <c r="B794" s="697" t="s">
        <v>3699</v>
      </c>
      <c r="C794" s="539" t="s">
        <v>2783</v>
      </c>
      <c r="D794" s="550" t="s">
        <v>2809</v>
      </c>
      <c r="E794" s="552">
        <v>0</v>
      </c>
      <c r="F794" s="755"/>
      <c r="G794" s="756"/>
    </row>
    <row r="795" spans="1:7" ht="16.3" customHeight="1">
      <c r="A795" s="552" t="s">
        <v>3694</v>
      </c>
      <c r="B795" s="697" t="s">
        <v>3699</v>
      </c>
      <c r="C795" s="539" t="s">
        <v>2783</v>
      </c>
      <c r="D795" s="550" t="s">
        <v>2809</v>
      </c>
      <c r="E795" s="552">
        <v>0</v>
      </c>
      <c r="F795" s="755"/>
      <c r="G795" s="756"/>
    </row>
    <row r="796" spans="1:7" ht="16.3" customHeight="1">
      <c r="A796" s="552" t="s">
        <v>3694</v>
      </c>
      <c r="B796" s="697" t="s">
        <v>3699</v>
      </c>
      <c r="C796" s="539" t="s">
        <v>6422</v>
      </c>
      <c r="D796" s="550" t="s">
        <v>2809</v>
      </c>
      <c r="E796" s="552">
        <v>0</v>
      </c>
      <c r="F796" s="755"/>
      <c r="G796" s="756"/>
    </row>
    <row r="797" spans="1:7" ht="16.3" customHeight="1">
      <c r="A797" s="552" t="s">
        <v>3694</v>
      </c>
      <c r="B797" s="694" t="s">
        <v>3700</v>
      </c>
      <c r="C797" s="539" t="s">
        <v>6423</v>
      </c>
      <c r="D797" s="550" t="s">
        <v>2971</v>
      </c>
      <c r="E797" s="552">
        <v>0</v>
      </c>
      <c r="F797" s="755"/>
      <c r="G797" s="756"/>
    </row>
    <row r="798" spans="1:7" ht="16.3" customHeight="1">
      <c r="A798" s="552" t="s">
        <v>3694</v>
      </c>
      <c r="B798" s="694" t="s">
        <v>3700</v>
      </c>
      <c r="C798" s="539" t="s">
        <v>2783</v>
      </c>
      <c r="D798" s="550" t="s">
        <v>2971</v>
      </c>
      <c r="E798" s="552">
        <v>0</v>
      </c>
      <c r="F798" s="755"/>
      <c r="G798" s="756"/>
    </row>
    <row r="799" spans="1:7" ht="16.3" customHeight="1">
      <c r="A799" s="552" t="s">
        <v>3694</v>
      </c>
      <c r="B799" s="700" t="s">
        <v>6055</v>
      </c>
      <c r="C799" s="539" t="s">
        <v>2783</v>
      </c>
      <c r="D799" s="550" t="s">
        <v>6697</v>
      </c>
      <c r="E799" s="552">
        <v>0</v>
      </c>
      <c r="F799" s="755"/>
      <c r="G799" s="756"/>
    </row>
    <row r="800" spans="1:7" ht="16.3" customHeight="1">
      <c r="A800" s="552" t="s">
        <v>3694</v>
      </c>
      <c r="B800" s="698" t="s">
        <v>3695</v>
      </c>
      <c r="C800" s="539" t="s">
        <v>6424</v>
      </c>
      <c r="D800" s="550" t="s">
        <v>2802</v>
      </c>
      <c r="E800" s="552">
        <v>0</v>
      </c>
      <c r="F800" s="755"/>
      <c r="G800" s="756"/>
    </row>
    <row r="801" spans="1:7" ht="16.3" customHeight="1">
      <c r="A801" s="552" t="s">
        <v>3694</v>
      </c>
      <c r="B801" s="698" t="s">
        <v>3695</v>
      </c>
      <c r="C801" s="539" t="s">
        <v>2783</v>
      </c>
      <c r="D801" s="550" t="s">
        <v>2802</v>
      </c>
      <c r="E801" s="552">
        <v>0</v>
      </c>
      <c r="F801" s="755"/>
      <c r="G801" s="756"/>
    </row>
    <row r="802" spans="1:7" ht="16.3" customHeight="1">
      <c r="A802" s="552" t="s">
        <v>3694</v>
      </c>
      <c r="B802" s="699" t="s">
        <v>3696</v>
      </c>
      <c r="C802" s="539" t="s">
        <v>6425</v>
      </c>
      <c r="D802" s="550" t="s">
        <v>2805</v>
      </c>
      <c r="E802" s="552">
        <v>0</v>
      </c>
      <c r="F802" s="755"/>
      <c r="G802" s="756"/>
    </row>
    <row r="803" spans="1:7" ht="16.3" customHeight="1">
      <c r="A803" s="552" t="s">
        <v>3694</v>
      </c>
      <c r="B803" s="699" t="s">
        <v>3696</v>
      </c>
      <c r="C803" s="539" t="s">
        <v>2783</v>
      </c>
      <c r="D803" s="550" t="s">
        <v>2805</v>
      </c>
      <c r="E803" s="552">
        <v>0</v>
      </c>
      <c r="F803" s="755"/>
      <c r="G803" s="756"/>
    </row>
    <row r="804" spans="1:7" ht="16.3" customHeight="1">
      <c r="A804" s="552" t="s">
        <v>3694</v>
      </c>
      <c r="B804" s="696" t="s">
        <v>3697</v>
      </c>
      <c r="C804" s="539" t="s">
        <v>6426</v>
      </c>
      <c r="D804" s="550" t="s">
        <v>2875</v>
      </c>
      <c r="E804" s="552">
        <v>0</v>
      </c>
      <c r="F804" s="755"/>
      <c r="G804" s="756"/>
    </row>
    <row r="805" spans="1:7" ht="16.3" customHeight="1">
      <c r="A805" s="552" t="s">
        <v>3694</v>
      </c>
      <c r="B805" s="696" t="s">
        <v>3697</v>
      </c>
      <c r="C805" s="539" t="s">
        <v>6427</v>
      </c>
      <c r="D805" s="550" t="s">
        <v>2875</v>
      </c>
      <c r="E805" s="552">
        <v>0</v>
      </c>
      <c r="F805" s="755"/>
      <c r="G805" s="756"/>
    </row>
    <row r="806" spans="1:7" ht="16.3" customHeight="1">
      <c r="A806" s="552" t="s">
        <v>3694</v>
      </c>
      <c r="B806" s="696" t="s">
        <v>3697</v>
      </c>
      <c r="C806" s="539" t="s">
        <v>2783</v>
      </c>
      <c r="D806" s="550" t="s">
        <v>2875</v>
      </c>
      <c r="E806" s="552">
        <v>0</v>
      </c>
      <c r="F806" s="755"/>
      <c r="G806" s="756"/>
    </row>
    <row r="807" spans="1:7" ht="16.3" customHeight="1">
      <c r="A807" s="552" t="s">
        <v>3694</v>
      </c>
      <c r="B807" s="695" t="s">
        <v>3698</v>
      </c>
      <c r="C807" s="539" t="s">
        <v>6428</v>
      </c>
      <c r="D807" s="550" t="s">
        <v>2998</v>
      </c>
      <c r="E807" s="552">
        <v>0</v>
      </c>
      <c r="F807" s="755"/>
      <c r="G807" s="756"/>
    </row>
    <row r="808" spans="1:7" ht="16.3" customHeight="1">
      <c r="A808" s="552" t="s">
        <v>3694</v>
      </c>
      <c r="B808" s="695" t="s">
        <v>3698</v>
      </c>
      <c r="C808" s="539" t="s">
        <v>6429</v>
      </c>
      <c r="D808" s="550" t="s">
        <v>2998</v>
      </c>
      <c r="E808" s="552">
        <v>0</v>
      </c>
      <c r="F808" s="755"/>
      <c r="G808" s="756"/>
    </row>
    <row r="809" spans="1:7" ht="16.3" customHeight="1">
      <c r="A809" s="552" t="s">
        <v>3694</v>
      </c>
      <c r="B809" s="695" t="s">
        <v>3698</v>
      </c>
      <c r="C809" s="539" t="s">
        <v>2783</v>
      </c>
      <c r="D809" s="550" t="s">
        <v>2998</v>
      </c>
      <c r="E809" s="552">
        <v>0</v>
      </c>
      <c r="F809" s="755"/>
      <c r="G809" s="756"/>
    </row>
    <row r="810" spans="1:7" ht="16.3" customHeight="1">
      <c r="A810" s="552" t="s">
        <v>3694</v>
      </c>
      <c r="B810" s="695" t="s">
        <v>3698</v>
      </c>
      <c r="C810" s="539" t="s">
        <v>2783</v>
      </c>
      <c r="D810" s="550" t="s">
        <v>2998</v>
      </c>
      <c r="E810" s="552">
        <v>0</v>
      </c>
      <c r="F810" s="755"/>
      <c r="G810" s="756"/>
    </row>
    <row r="811" spans="1:7" ht="16.3" customHeight="1">
      <c r="A811" s="552" t="s">
        <v>3694</v>
      </c>
      <c r="B811" s="697" t="s">
        <v>3699</v>
      </c>
      <c r="C811" s="539" t="s">
        <v>9038</v>
      </c>
      <c r="D811" s="550" t="s">
        <v>2809</v>
      </c>
      <c r="E811" s="552">
        <v>0</v>
      </c>
      <c r="F811" s="755"/>
      <c r="G811" s="756"/>
    </row>
    <row r="812" spans="1:7" ht="16.3" customHeight="1">
      <c r="A812" s="552" t="s">
        <v>3694</v>
      </c>
      <c r="B812" s="697" t="s">
        <v>3699</v>
      </c>
      <c r="C812" s="539" t="s">
        <v>9095</v>
      </c>
      <c r="D812" s="550" t="s">
        <v>2809</v>
      </c>
      <c r="E812" s="552">
        <v>0</v>
      </c>
      <c r="F812" s="755"/>
      <c r="G812" s="756"/>
    </row>
    <row r="813" spans="1:7" ht="16.3" customHeight="1">
      <c r="A813" s="552" t="s">
        <v>3694</v>
      </c>
      <c r="B813" s="697" t="s">
        <v>3699</v>
      </c>
      <c r="C813" s="539" t="s">
        <v>6431</v>
      </c>
      <c r="D813" s="550" t="s">
        <v>2809</v>
      </c>
      <c r="E813" s="552">
        <v>0</v>
      </c>
      <c r="F813" s="755"/>
      <c r="G813" s="756"/>
    </row>
    <row r="814" spans="1:7" ht="16.3" customHeight="1">
      <c r="A814" s="552" t="s">
        <v>3694</v>
      </c>
      <c r="B814" s="697" t="s">
        <v>3699</v>
      </c>
      <c r="C814" s="539" t="s">
        <v>2783</v>
      </c>
      <c r="D814" s="550" t="s">
        <v>2809</v>
      </c>
      <c r="E814" s="552">
        <v>0</v>
      </c>
      <c r="F814" s="755"/>
      <c r="G814" s="756"/>
    </row>
    <row r="815" spans="1:7" ht="16.3" customHeight="1">
      <c r="A815" s="552" t="s">
        <v>3694</v>
      </c>
      <c r="B815" s="697" t="s">
        <v>3699</v>
      </c>
      <c r="C815" s="539" t="s">
        <v>2783</v>
      </c>
      <c r="D815" s="550" t="s">
        <v>2809</v>
      </c>
      <c r="E815" s="552">
        <v>0</v>
      </c>
      <c r="F815" s="755"/>
      <c r="G815" s="756"/>
    </row>
    <row r="816" spans="1:7" ht="16.3" customHeight="1">
      <c r="A816" s="552" t="s">
        <v>3694</v>
      </c>
      <c r="B816" s="694" t="s">
        <v>3700</v>
      </c>
      <c r="C816" s="539" t="s">
        <v>2783</v>
      </c>
      <c r="D816" s="550" t="s">
        <v>2971</v>
      </c>
      <c r="E816" s="552">
        <v>0</v>
      </c>
      <c r="F816" s="755"/>
      <c r="G816" s="756"/>
    </row>
    <row r="817" spans="1:7" ht="16.3" customHeight="1">
      <c r="A817" s="552" t="s">
        <v>3694</v>
      </c>
      <c r="B817" s="694" t="s">
        <v>3700</v>
      </c>
      <c r="C817" s="539" t="s">
        <v>6432</v>
      </c>
      <c r="D817" s="550" t="s">
        <v>2971</v>
      </c>
      <c r="E817" s="552">
        <v>0</v>
      </c>
      <c r="F817" s="755"/>
      <c r="G817" s="756"/>
    </row>
    <row r="818" spans="1:7" ht="16.3" customHeight="1">
      <c r="A818" s="552" t="s">
        <v>3694</v>
      </c>
      <c r="B818" s="700" t="s">
        <v>6055</v>
      </c>
      <c r="C818" s="539" t="s">
        <v>8983</v>
      </c>
      <c r="D818" s="550" t="s">
        <v>6697</v>
      </c>
      <c r="E818" s="552">
        <v>0</v>
      </c>
      <c r="F818" s="755"/>
      <c r="G818" s="756"/>
    </row>
    <row r="819" spans="1:7" ht="16.3" customHeight="1">
      <c r="A819" s="552" t="s">
        <v>3694</v>
      </c>
      <c r="B819" s="698" t="s">
        <v>3695</v>
      </c>
      <c r="C819" s="542" t="s">
        <v>6433</v>
      </c>
      <c r="D819" s="550" t="s">
        <v>2802</v>
      </c>
      <c r="E819" s="552">
        <v>0</v>
      </c>
      <c r="F819" s="755"/>
      <c r="G819" s="756"/>
    </row>
    <row r="820" spans="1:7" ht="16.3" customHeight="1">
      <c r="A820" s="552" t="s">
        <v>3694</v>
      </c>
      <c r="B820" s="698" t="s">
        <v>3695</v>
      </c>
      <c r="C820" s="539" t="s">
        <v>6434</v>
      </c>
      <c r="D820" s="550" t="s">
        <v>2802</v>
      </c>
      <c r="E820" s="552">
        <v>0</v>
      </c>
      <c r="F820" s="755"/>
      <c r="G820" s="756"/>
    </row>
    <row r="821" spans="1:7" ht="16.3" customHeight="1">
      <c r="A821" s="552" t="s">
        <v>3694</v>
      </c>
      <c r="B821" s="699" t="s">
        <v>3696</v>
      </c>
      <c r="C821" s="539" t="s">
        <v>6435</v>
      </c>
      <c r="D821" s="550" t="s">
        <v>2805</v>
      </c>
      <c r="E821" s="552">
        <v>0</v>
      </c>
      <c r="F821" s="755"/>
      <c r="G821" s="756"/>
    </row>
    <row r="822" spans="1:7" ht="16.3" customHeight="1">
      <c r="A822" s="552" t="s">
        <v>3694</v>
      </c>
      <c r="B822" s="699" t="s">
        <v>3696</v>
      </c>
      <c r="C822" s="539" t="s">
        <v>2783</v>
      </c>
      <c r="D822" s="550" t="s">
        <v>2805</v>
      </c>
      <c r="E822" s="552">
        <v>0</v>
      </c>
      <c r="F822" s="755"/>
      <c r="G822" s="756"/>
    </row>
    <row r="823" spans="1:7" ht="16.3" customHeight="1">
      <c r="A823" s="552" t="s">
        <v>3694</v>
      </c>
      <c r="B823" s="696" t="s">
        <v>3697</v>
      </c>
      <c r="C823" s="539" t="s">
        <v>6436</v>
      </c>
      <c r="D823" s="550" t="s">
        <v>2875</v>
      </c>
      <c r="E823" s="552">
        <v>0</v>
      </c>
      <c r="F823" s="755"/>
      <c r="G823" s="756"/>
    </row>
    <row r="824" spans="1:7" ht="16.3" customHeight="1">
      <c r="A824" s="552" t="s">
        <v>3694</v>
      </c>
      <c r="B824" s="696" t="s">
        <v>3697</v>
      </c>
      <c r="C824" s="539" t="s">
        <v>6437</v>
      </c>
      <c r="D824" s="550" t="s">
        <v>2875</v>
      </c>
      <c r="E824" s="552">
        <v>0</v>
      </c>
      <c r="F824" s="755"/>
      <c r="G824" s="756"/>
    </row>
    <row r="825" spans="1:7" ht="16.3" customHeight="1">
      <c r="A825" s="552" t="s">
        <v>3694</v>
      </c>
      <c r="B825" s="696" t="s">
        <v>3697</v>
      </c>
      <c r="C825" s="539" t="s">
        <v>2783</v>
      </c>
      <c r="D825" s="550" t="s">
        <v>2875</v>
      </c>
      <c r="E825" s="552">
        <v>0</v>
      </c>
      <c r="F825" s="755"/>
      <c r="G825" s="756"/>
    </row>
    <row r="826" spans="1:7" ht="16.3" customHeight="1">
      <c r="A826" s="552" t="s">
        <v>3694</v>
      </c>
      <c r="B826" s="695" t="s">
        <v>3698</v>
      </c>
      <c r="C826" s="539" t="s">
        <v>9096</v>
      </c>
      <c r="D826" s="550" t="s">
        <v>2998</v>
      </c>
      <c r="E826" s="552">
        <v>0</v>
      </c>
      <c r="F826" s="755"/>
      <c r="G826" s="756"/>
    </row>
    <row r="827" spans="1:7" ht="16.3" customHeight="1">
      <c r="A827" s="552" t="s">
        <v>3694</v>
      </c>
      <c r="B827" s="695" t="s">
        <v>3698</v>
      </c>
      <c r="C827" s="539" t="s">
        <v>6438</v>
      </c>
      <c r="D827" s="550" t="s">
        <v>2998</v>
      </c>
      <c r="E827" s="552">
        <v>0</v>
      </c>
      <c r="F827" s="755"/>
      <c r="G827" s="756"/>
    </row>
    <row r="828" spans="1:7" ht="16.3" customHeight="1">
      <c r="A828" s="552" t="s">
        <v>3694</v>
      </c>
      <c r="B828" s="695" t="s">
        <v>3698</v>
      </c>
      <c r="C828" s="539" t="s">
        <v>6439</v>
      </c>
      <c r="D828" s="550" t="s">
        <v>2998</v>
      </c>
      <c r="E828" s="552">
        <v>0</v>
      </c>
      <c r="F828" s="755"/>
      <c r="G828" s="756"/>
    </row>
    <row r="829" spans="1:7" ht="16.3" customHeight="1">
      <c r="A829" s="552" t="s">
        <v>3694</v>
      </c>
      <c r="B829" s="695" t="s">
        <v>3698</v>
      </c>
      <c r="C829" s="539" t="s">
        <v>2783</v>
      </c>
      <c r="D829" s="550" t="s">
        <v>2998</v>
      </c>
      <c r="E829" s="552">
        <v>0</v>
      </c>
      <c r="F829" s="755"/>
      <c r="G829" s="756"/>
    </row>
    <row r="830" spans="1:7" ht="16.3" customHeight="1">
      <c r="A830" s="552" t="s">
        <v>3694</v>
      </c>
      <c r="B830" s="697" t="s">
        <v>3699</v>
      </c>
      <c r="C830" s="539" t="s">
        <v>6440</v>
      </c>
      <c r="D830" s="550" t="s">
        <v>2809</v>
      </c>
      <c r="E830" s="552">
        <v>0</v>
      </c>
      <c r="F830" s="755"/>
      <c r="G830" s="756"/>
    </row>
    <row r="831" spans="1:7" ht="16.3" customHeight="1">
      <c r="A831" s="552" t="s">
        <v>3694</v>
      </c>
      <c r="B831" s="697" t="s">
        <v>3699</v>
      </c>
      <c r="C831" s="539" t="s">
        <v>7954</v>
      </c>
      <c r="D831" s="550" t="s">
        <v>2809</v>
      </c>
      <c r="E831" s="552">
        <v>0</v>
      </c>
      <c r="F831" s="755"/>
      <c r="G831" s="756"/>
    </row>
    <row r="832" spans="1:7" ht="16.3" customHeight="1">
      <c r="A832" s="552" t="s">
        <v>3694</v>
      </c>
      <c r="B832" s="697" t="s">
        <v>3699</v>
      </c>
      <c r="C832" s="539" t="s">
        <v>6441</v>
      </c>
      <c r="D832" s="550" t="s">
        <v>2809</v>
      </c>
      <c r="E832" s="552">
        <v>0</v>
      </c>
      <c r="F832" s="755"/>
      <c r="G832" s="756"/>
    </row>
    <row r="833" spans="1:7" ht="16.3" customHeight="1">
      <c r="A833" s="552" t="s">
        <v>3694</v>
      </c>
      <c r="B833" s="697" t="s">
        <v>3699</v>
      </c>
      <c r="C833" s="539" t="s">
        <v>9097</v>
      </c>
      <c r="D833" s="550" t="s">
        <v>2809</v>
      </c>
      <c r="E833" s="552">
        <v>0</v>
      </c>
      <c r="F833" s="755"/>
      <c r="G833" s="756"/>
    </row>
    <row r="834" spans="1:7" ht="16.3" customHeight="1">
      <c r="A834" s="552" t="s">
        <v>3694</v>
      </c>
      <c r="B834" s="697" t="s">
        <v>3699</v>
      </c>
      <c r="C834" s="539" t="s">
        <v>2783</v>
      </c>
      <c r="D834" s="550" t="s">
        <v>2809</v>
      </c>
      <c r="E834" s="552">
        <v>0</v>
      </c>
      <c r="F834" s="755"/>
      <c r="G834" s="756"/>
    </row>
    <row r="835" spans="1:7" ht="16.3" customHeight="1">
      <c r="A835" s="552" t="s">
        <v>3694</v>
      </c>
      <c r="B835" s="694" t="s">
        <v>3700</v>
      </c>
      <c r="C835" s="539" t="s">
        <v>9039</v>
      </c>
      <c r="D835" s="550" t="s">
        <v>2971</v>
      </c>
      <c r="E835" s="552">
        <v>0</v>
      </c>
      <c r="F835" s="755"/>
      <c r="G835" s="756"/>
    </row>
    <row r="836" spans="1:7" ht="16.3" customHeight="1">
      <c r="A836" s="552" t="s">
        <v>3694</v>
      </c>
      <c r="B836" s="694" t="s">
        <v>3700</v>
      </c>
      <c r="C836" s="539" t="s">
        <v>7962</v>
      </c>
      <c r="D836" s="550" t="s">
        <v>2971</v>
      </c>
      <c r="E836" s="552">
        <v>0</v>
      </c>
      <c r="F836" s="755"/>
      <c r="G836" s="756"/>
    </row>
    <row r="837" spans="1:7" ht="16.3" customHeight="1">
      <c r="A837" s="552" t="s">
        <v>3694</v>
      </c>
      <c r="B837" s="700" t="s">
        <v>6055</v>
      </c>
      <c r="C837" s="846" t="s">
        <v>8982</v>
      </c>
      <c r="D837" s="550" t="s">
        <v>6697</v>
      </c>
      <c r="E837" s="552">
        <v>0</v>
      </c>
      <c r="F837" s="755"/>
      <c r="G837" s="756"/>
    </row>
    <row r="838" spans="1:7" ht="16.3" customHeight="1">
      <c r="A838" s="552" t="s">
        <v>3694</v>
      </c>
      <c r="B838" s="698" t="s">
        <v>3695</v>
      </c>
      <c r="C838" s="539" t="s">
        <v>6443</v>
      </c>
      <c r="D838" s="550" t="s">
        <v>2802</v>
      </c>
      <c r="E838" s="552">
        <v>0</v>
      </c>
      <c r="F838" s="755"/>
      <c r="G838" s="756"/>
    </row>
    <row r="839" spans="1:7" ht="16.3" customHeight="1">
      <c r="A839" s="552" t="s">
        <v>3694</v>
      </c>
      <c r="B839" s="698" t="s">
        <v>3695</v>
      </c>
      <c r="C839" s="539" t="s">
        <v>6444</v>
      </c>
      <c r="D839" s="550" t="s">
        <v>2802</v>
      </c>
      <c r="E839" s="552">
        <v>0</v>
      </c>
      <c r="F839" s="755"/>
      <c r="G839" s="756"/>
    </row>
    <row r="840" spans="1:7" ht="16.3" customHeight="1">
      <c r="A840" s="552" t="s">
        <v>3694</v>
      </c>
      <c r="B840" s="699" t="s">
        <v>3696</v>
      </c>
      <c r="C840" s="539" t="s">
        <v>6445</v>
      </c>
      <c r="D840" s="550" t="s">
        <v>2805</v>
      </c>
      <c r="E840" s="552">
        <v>0</v>
      </c>
      <c r="F840" s="755"/>
      <c r="G840" s="756"/>
    </row>
    <row r="841" spans="1:7" ht="16.3" customHeight="1">
      <c r="A841" s="552" t="s">
        <v>3694</v>
      </c>
      <c r="B841" s="699" t="s">
        <v>3696</v>
      </c>
      <c r="C841" s="539" t="s">
        <v>2783</v>
      </c>
      <c r="D841" s="550" t="s">
        <v>2805</v>
      </c>
      <c r="E841" s="552">
        <v>0</v>
      </c>
      <c r="F841" s="755"/>
      <c r="G841" s="756"/>
    </row>
    <row r="842" spans="1:7" ht="16.3" customHeight="1">
      <c r="A842" s="552" t="s">
        <v>3694</v>
      </c>
      <c r="B842" s="696" t="s">
        <v>3697</v>
      </c>
      <c r="C842" s="539" t="s">
        <v>6446</v>
      </c>
      <c r="D842" s="550" t="s">
        <v>2875</v>
      </c>
      <c r="E842" s="552">
        <v>0</v>
      </c>
      <c r="F842" s="755"/>
      <c r="G842" s="756"/>
    </row>
    <row r="843" spans="1:7" ht="16.3" customHeight="1">
      <c r="A843" s="552" t="s">
        <v>3694</v>
      </c>
      <c r="B843" s="696" t="s">
        <v>3697</v>
      </c>
      <c r="C843" s="539" t="s">
        <v>6447</v>
      </c>
      <c r="D843" s="550" t="s">
        <v>2875</v>
      </c>
      <c r="E843" s="552">
        <v>0</v>
      </c>
      <c r="F843" s="755"/>
      <c r="G843" s="756"/>
    </row>
    <row r="844" spans="1:7" ht="16.3" customHeight="1">
      <c r="A844" s="552" t="s">
        <v>3694</v>
      </c>
      <c r="B844" s="696" t="s">
        <v>3697</v>
      </c>
      <c r="C844" s="539" t="s">
        <v>6448</v>
      </c>
      <c r="D844" s="550" t="s">
        <v>2875</v>
      </c>
      <c r="E844" s="552">
        <v>0</v>
      </c>
      <c r="F844" s="755"/>
      <c r="G844" s="756"/>
    </row>
    <row r="845" spans="1:7" ht="16.3" customHeight="1">
      <c r="A845" s="552" t="s">
        <v>3694</v>
      </c>
      <c r="B845" s="695" t="s">
        <v>3698</v>
      </c>
      <c r="C845" s="539" t="s">
        <v>6449</v>
      </c>
      <c r="D845" s="550" t="s">
        <v>2998</v>
      </c>
      <c r="E845" s="552">
        <v>0</v>
      </c>
      <c r="F845" s="755"/>
      <c r="G845" s="756"/>
    </row>
    <row r="846" spans="1:7" ht="16.3" customHeight="1">
      <c r="A846" s="552" t="s">
        <v>3694</v>
      </c>
      <c r="B846" s="695" t="s">
        <v>3698</v>
      </c>
      <c r="C846" s="539" t="s">
        <v>6450</v>
      </c>
      <c r="D846" s="550" t="s">
        <v>2998</v>
      </c>
      <c r="E846" s="552">
        <v>0</v>
      </c>
      <c r="F846" s="755"/>
      <c r="G846" s="756"/>
    </row>
    <row r="847" spans="1:7" ht="16.3" customHeight="1">
      <c r="A847" s="552" t="s">
        <v>3694</v>
      </c>
      <c r="B847" s="695" t="s">
        <v>3698</v>
      </c>
      <c r="C847" s="539" t="s">
        <v>6451</v>
      </c>
      <c r="D847" s="550" t="s">
        <v>2998</v>
      </c>
      <c r="E847" s="552">
        <v>0</v>
      </c>
      <c r="F847" s="755"/>
      <c r="G847" s="756"/>
    </row>
    <row r="848" spans="1:7" ht="16.3" customHeight="1">
      <c r="A848" s="552" t="s">
        <v>3694</v>
      </c>
      <c r="B848" s="695" t="s">
        <v>3698</v>
      </c>
      <c r="C848" s="539" t="s">
        <v>2783</v>
      </c>
      <c r="D848" s="550" t="s">
        <v>2998</v>
      </c>
      <c r="E848" s="552">
        <v>0</v>
      </c>
      <c r="F848" s="755"/>
      <c r="G848" s="756"/>
    </row>
    <row r="849" spans="1:7" ht="16.3" customHeight="1">
      <c r="A849" s="552" t="s">
        <v>3694</v>
      </c>
      <c r="B849" s="697" t="s">
        <v>3699</v>
      </c>
      <c r="C849" s="539" t="s">
        <v>9040</v>
      </c>
      <c r="D849" s="550" t="s">
        <v>2809</v>
      </c>
      <c r="E849" s="552">
        <v>0</v>
      </c>
      <c r="F849" s="755"/>
      <c r="G849" s="756"/>
    </row>
    <row r="850" spans="1:7" ht="16.3" customHeight="1">
      <c r="A850" s="552" t="s">
        <v>3694</v>
      </c>
      <c r="B850" s="697" t="s">
        <v>3699</v>
      </c>
      <c r="C850" s="539" t="s">
        <v>9041</v>
      </c>
      <c r="D850" s="550" t="s">
        <v>2809</v>
      </c>
      <c r="E850" s="552">
        <v>0</v>
      </c>
      <c r="F850" s="755"/>
      <c r="G850" s="756"/>
    </row>
    <row r="851" spans="1:7" ht="16.3" customHeight="1">
      <c r="A851" s="552" t="s">
        <v>3694</v>
      </c>
      <c r="B851" s="697" t="s">
        <v>3699</v>
      </c>
      <c r="C851" s="539" t="s">
        <v>6454</v>
      </c>
      <c r="D851" s="550" t="s">
        <v>2809</v>
      </c>
      <c r="E851" s="552">
        <v>0</v>
      </c>
      <c r="F851" s="755"/>
      <c r="G851" s="756"/>
    </row>
    <row r="852" spans="1:7" ht="16.3" customHeight="1">
      <c r="A852" s="552" t="s">
        <v>3694</v>
      </c>
      <c r="B852" s="697" t="s">
        <v>3699</v>
      </c>
      <c r="C852" s="539" t="s">
        <v>2783</v>
      </c>
      <c r="D852" s="550" t="s">
        <v>2809</v>
      </c>
      <c r="E852" s="552">
        <v>0</v>
      </c>
      <c r="F852" s="755"/>
      <c r="G852" s="756"/>
    </row>
    <row r="853" spans="1:7" ht="16.3" customHeight="1">
      <c r="A853" s="552" t="s">
        <v>3694</v>
      </c>
      <c r="B853" s="697" t="s">
        <v>3699</v>
      </c>
      <c r="C853" s="539" t="s">
        <v>2783</v>
      </c>
      <c r="D853" s="550" t="s">
        <v>2809</v>
      </c>
      <c r="E853" s="552">
        <v>0</v>
      </c>
      <c r="F853" s="755"/>
      <c r="G853" s="756"/>
    </row>
    <row r="854" spans="1:7" ht="16.3" customHeight="1">
      <c r="A854" s="552" t="s">
        <v>3694</v>
      </c>
      <c r="B854" s="694" t="s">
        <v>3700</v>
      </c>
      <c r="C854" s="539" t="s">
        <v>6455</v>
      </c>
      <c r="D854" s="550" t="s">
        <v>2971</v>
      </c>
      <c r="E854" s="552">
        <v>0</v>
      </c>
      <c r="F854" s="755"/>
      <c r="G854" s="756"/>
    </row>
    <row r="855" spans="1:7" ht="16.3" customHeight="1">
      <c r="A855" s="552" t="s">
        <v>3694</v>
      </c>
      <c r="B855" s="694" t="s">
        <v>3700</v>
      </c>
      <c r="C855" s="539" t="s">
        <v>2783</v>
      </c>
      <c r="D855" s="550" t="s">
        <v>2971</v>
      </c>
      <c r="E855" s="552">
        <v>0</v>
      </c>
      <c r="F855" s="755"/>
      <c r="G855" s="758"/>
    </row>
    <row r="856" spans="1:7" ht="16.3" customHeight="1">
      <c r="A856" s="552" t="s">
        <v>3694</v>
      </c>
      <c r="B856" s="700" t="s">
        <v>6055</v>
      </c>
      <c r="C856" s="539" t="s">
        <v>2783</v>
      </c>
      <c r="D856" s="550" t="s">
        <v>6697</v>
      </c>
      <c r="E856" s="552">
        <v>0</v>
      </c>
      <c r="F856" s="755"/>
      <c r="G856" s="758"/>
    </row>
    <row r="857" spans="1:7" ht="16.3" customHeight="1">
      <c r="A857" s="552" t="s">
        <v>3694</v>
      </c>
      <c r="B857" s="698" t="s">
        <v>3695</v>
      </c>
      <c r="C857" s="539" t="s">
        <v>6456</v>
      </c>
      <c r="D857" s="550" t="s">
        <v>2802</v>
      </c>
      <c r="E857" s="552">
        <v>0</v>
      </c>
      <c r="F857" s="755"/>
      <c r="G857" s="758"/>
    </row>
    <row r="858" spans="1:7" ht="16.3" customHeight="1">
      <c r="A858" s="552" t="s">
        <v>3694</v>
      </c>
      <c r="B858" s="698" t="s">
        <v>3695</v>
      </c>
      <c r="C858" s="539" t="s">
        <v>6457</v>
      </c>
      <c r="D858" s="550" t="s">
        <v>2802</v>
      </c>
      <c r="E858" s="552">
        <v>0</v>
      </c>
      <c r="F858" s="755"/>
      <c r="G858" s="758"/>
    </row>
    <row r="859" spans="1:7" ht="16.3" customHeight="1">
      <c r="A859" s="552" t="s">
        <v>3694</v>
      </c>
      <c r="B859" s="699" t="s">
        <v>3696</v>
      </c>
      <c r="C859" s="539" t="s">
        <v>6458</v>
      </c>
      <c r="D859" s="550" t="s">
        <v>2805</v>
      </c>
      <c r="E859" s="552">
        <v>0</v>
      </c>
      <c r="F859" s="755"/>
      <c r="G859" s="758"/>
    </row>
    <row r="860" spans="1:7" ht="16.3" customHeight="1">
      <c r="A860" s="552" t="s">
        <v>3694</v>
      </c>
      <c r="B860" s="699" t="s">
        <v>3696</v>
      </c>
      <c r="C860" s="539" t="s">
        <v>2783</v>
      </c>
      <c r="D860" s="550" t="s">
        <v>2805</v>
      </c>
      <c r="E860" s="552">
        <v>0</v>
      </c>
      <c r="F860" s="755"/>
      <c r="G860" s="758"/>
    </row>
    <row r="861" spans="1:7" ht="16.3" customHeight="1">
      <c r="A861" s="552" t="s">
        <v>3694</v>
      </c>
      <c r="B861" s="696" t="s">
        <v>3697</v>
      </c>
      <c r="C861" s="539" t="s">
        <v>6459</v>
      </c>
      <c r="D861" s="550" t="s">
        <v>2875</v>
      </c>
      <c r="E861" s="552">
        <v>0</v>
      </c>
      <c r="F861" s="755"/>
      <c r="G861" s="758"/>
    </row>
    <row r="862" spans="1:7" ht="16.3" customHeight="1">
      <c r="A862" s="552" t="s">
        <v>3694</v>
      </c>
      <c r="B862" s="696" t="s">
        <v>3697</v>
      </c>
      <c r="C862" s="539" t="s">
        <v>6460</v>
      </c>
      <c r="D862" s="550" t="s">
        <v>2875</v>
      </c>
      <c r="E862" s="552">
        <v>0</v>
      </c>
      <c r="F862" s="755"/>
      <c r="G862" s="758"/>
    </row>
    <row r="863" spans="1:7" ht="16.3" customHeight="1">
      <c r="A863" s="552" t="s">
        <v>3694</v>
      </c>
      <c r="B863" s="696" t="s">
        <v>3697</v>
      </c>
      <c r="C863" s="539" t="s">
        <v>2783</v>
      </c>
      <c r="D863" s="550" t="s">
        <v>2875</v>
      </c>
      <c r="E863" s="552">
        <v>0</v>
      </c>
      <c r="F863" s="755"/>
      <c r="G863" s="758"/>
    </row>
    <row r="864" spans="1:7" ht="16.3" customHeight="1">
      <c r="A864" s="552" t="s">
        <v>3694</v>
      </c>
      <c r="B864" s="695" t="s">
        <v>3698</v>
      </c>
      <c r="C864" s="539" t="s">
        <v>6461</v>
      </c>
      <c r="D864" s="550" t="s">
        <v>2998</v>
      </c>
      <c r="E864" s="552">
        <v>0</v>
      </c>
      <c r="F864" s="755"/>
      <c r="G864" s="758"/>
    </row>
    <row r="865" spans="1:5" ht="16.3" customHeight="1">
      <c r="A865" s="552" t="s">
        <v>3694</v>
      </c>
      <c r="B865" s="695" t="s">
        <v>3698</v>
      </c>
      <c r="C865" s="539" t="s">
        <v>6462</v>
      </c>
      <c r="D865" s="550" t="s">
        <v>2998</v>
      </c>
      <c r="E865" s="552">
        <v>0</v>
      </c>
    </row>
    <row r="866" spans="1:5" ht="16.3" customHeight="1">
      <c r="A866" s="552" t="s">
        <v>3694</v>
      </c>
      <c r="B866" s="695" t="s">
        <v>3698</v>
      </c>
      <c r="C866" s="539" t="s">
        <v>6463</v>
      </c>
      <c r="D866" s="550" t="s">
        <v>2998</v>
      </c>
      <c r="E866" s="552">
        <v>0</v>
      </c>
    </row>
    <row r="867" spans="1:5" ht="16.3" customHeight="1">
      <c r="A867" s="552" t="s">
        <v>3694</v>
      </c>
      <c r="B867" s="695" t="s">
        <v>3698</v>
      </c>
      <c r="C867" s="539" t="s">
        <v>6464</v>
      </c>
      <c r="D867" s="550" t="s">
        <v>2998</v>
      </c>
      <c r="E867" s="552">
        <v>0</v>
      </c>
    </row>
    <row r="868" spans="1:5" ht="16.3" customHeight="1">
      <c r="A868" s="552" t="s">
        <v>3694</v>
      </c>
      <c r="B868" s="697" t="s">
        <v>3699</v>
      </c>
      <c r="C868" s="539" t="s">
        <v>6465</v>
      </c>
      <c r="D868" s="550" t="s">
        <v>2809</v>
      </c>
      <c r="E868" s="552">
        <v>0</v>
      </c>
    </row>
    <row r="869" spans="1:5" ht="16.3" customHeight="1">
      <c r="A869" s="552" t="s">
        <v>3694</v>
      </c>
      <c r="B869" s="697" t="s">
        <v>3699</v>
      </c>
      <c r="C869" s="539" t="s">
        <v>8007</v>
      </c>
      <c r="D869" s="550" t="s">
        <v>2809</v>
      </c>
      <c r="E869" s="552">
        <v>0</v>
      </c>
    </row>
    <row r="870" spans="1:5" ht="16.3" customHeight="1">
      <c r="A870" s="552" t="s">
        <v>3694</v>
      </c>
      <c r="B870" s="697" t="s">
        <v>3699</v>
      </c>
      <c r="C870" s="539" t="s">
        <v>6466</v>
      </c>
      <c r="D870" s="550" t="s">
        <v>2809</v>
      </c>
      <c r="E870" s="552">
        <v>0</v>
      </c>
    </row>
    <row r="871" spans="1:5" ht="16.3" customHeight="1">
      <c r="A871" s="552" t="s">
        <v>3694</v>
      </c>
      <c r="B871" s="697" t="s">
        <v>3699</v>
      </c>
      <c r="C871" s="539" t="s">
        <v>8012</v>
      </c>
      <c r="D871" s="550" t="s">
        <v>2809</v>
      </c>
      <c r="E871" s="552">
        <v>0</v>
      </c>
    </row>
    <row r="872" spans="1:5" ht="16.3" customHeight="1">
      <c r="A872" s="552" t="s">
        <v>3694</v>
      </c>
      <c r="B872" s="697" t="s">
        <v>3699</v>
      </c>
      <c r="C872" s="539" t="s">
        <v>2783</v>
      </c>
      <c r="D872" s="550" t="s">
        <v>2809</v>
      </c>
      <c r="E872" s="552">
        <v>0</v>
      </c>
    </row>
    <row r="873" spans="1:5" ht="16.3" customHeight="1">
      <c r="A873" s="552" t="s">
        <v>3694</v>
      </c>
      <c r="B873" s="694" t="s">
        <v>3700</v>
      </c>
      <c r="C873" s="539" t="s">
        <v>6467</v>
      </c>
      <c r="D873" s="550" t="s">
        <v>2971</v>
      </c>
      <c r="E873" s="552">
        <v>0</v>
      </c>
    </row>
    <row r="874" spans="1:5" ht="16.3" customHeight="1">
      <c r="A874" s="552" t="s">
        <v>3694</v>
      </c>
      <c r="B874" s="694" t="s">
        <v>3700</v>
      </c>
      <c r="C874" s="539" t="s">
        <v>2783</v>
      </c>
      <c r="D874" s="550" t="s">
        <v>2971</v>
      </c>
      <c r="E874" s="552">
        <v>0</v>
      </c>
    </row>
    <row r="875" spans="1:5" ht="16.3" customHeight="1">
      <c r="A875" s="552" t="s">
        <v>3694</v>
      </c>
      <c r="B875" s="700" t="s">
        <v>6055</v>
      </c>
      <c r="C875" s="539" t="s">
        <v>2783</v>
      </c>
      <c r="D875" s="550" t="s">
        <v>6697</v>
      </c>
      <c r="E875" s="552">
        <v>0</v>
      </c>
    </row>
    <row r="876" spans="1:5" ht="16.3" customHeight="1">
      <c r="A876" s="552" t="s">
        <v>3694</v>
      </c>
      <c r="B876" s="698" t="s">
        <v>3695</v>
      </c>
      <c r="C876" s="539" t="s">
        <v>6468</v>
      </c>
      <c r="D876" s="550" t="s">
        <v>2802</v>
      </c>
      <c r="E876" s="552">
        <v>0</v>
      </c>
    </row>
    <row r="877" spans="1:5" ht="16.3" customHeight="1">
      <c r="A877" s="552" t="s">
        <v>3694</v>
      </c>
      <c r="B877" s="698" t="s">
        <v>3695</v>
      </c>
      <c r="C877" s="539" t="s">
        <v>2783</v>
      </c>
      <c r="D877" s="550" t="s">
        <v>2802</v>
      </c>
      <c r="E877" s="552">
        <v>0</v>
      </c>
    </row>
    <row r="878" spans="1:5" ht="16.3" customHeight="1">
      <c r="A878" s="552" t="s">
        <v>3694</v>
      </c>
      <c r="B878" s="699" t="s">
        <v>3696</v>
      </c>
      <c r="C878" s="539" t="s">
        <v>2783</v>
      </c>
      <c r="D878" s="550" t="s">
        <v>2805</v>
      </c>
      <c r="E878" s="552">
        <v>0</v>
      </c>
    </row>
    <row r="879" spans="1:5" ht="16.3" customHeight="1">
      <c r="A879" s="552" t="s">
        <v>3694</v>
      </c>
      <c r="B879" s="699" t="s">
        <v>3696</v>
      </c>
      <c r="C879" s="539" t="s">
        <v>2783</v>
      </c>
      <c r="D879" s="550" t="s">
        <v>2805</v>
      </c>
      <c r="E879" s="552">
        <v>0</v>
      </c>
    </row>
    <row r="880" spans="1:5" ht="16.3" customHeight="1">
      <c r="A880" s="552" t="s">
        <v>3694</v>
      </c>
      <c r="B880" s="696" t="s">
        <v>3697</v>
      </c>
      <c r="C880" s="539" t="s">
        <v>2783</v>
      </c>
      <c r="D880" s="550" t="s">
        <v>2875</v>
      </c>
      <c r="E880" s="552">
        <v>0</v>
      </c>
    </row>
    <row r="881" spans="1:5" ht="16.3" customHeight="1">
      <c r="A881" s="552" t="s">
        <v>3694</v>
      </c>
      <c r="B881" s="696" t="s">
        <v>3697</v>
      </c>
      <c r="C881" s="539" t="s">
        <v>6469</v>
      </c>
      <c r="D881" s="550" t="s">
        <v>2875</v>
      </c>
      <c r="E881" s="552">
        <v>0</v>
      </c>
    </row>
    <row r="882" spans="1:5" ht="16.3" customHeight="1">
      <c r="A882" s="552" t="s">
        <v>3694</v>
      </c>
      <c r="B882" s="696" t="s">
        <v>3697</v>
      </c>
      <c r="C882" s="539" t="s">
        <v>2783</v>
      </c>
      <c r="D882" s="550" t="s">
        <v>2875</v>
      </c>
      <c r="E882" s="552">
        <v>0</v>
      </c>
    </row>
    <row r="883" spans="1:5" ht="16.3" customHeight="1">
      <c r="A883" s="552" t="s">
        <v>3694</v>
      </c>
      <c r="B883" s="695" t="s">
        <v>3698</v>
      </c>
      <c r="C883" s="539" t="s">
        <v>8022</v>
      </c>
      <c r="D883" s="550" t="s">
        <v>2998</v>
      </c>
      <c r="E883" s="552">
        <v>0</v>
      </c>
    </row>
    <row r="884" spans="1:5" ht="16.3" customHeight="1">
      <c r="A884" s="552" t="s">
        <v>3694</v>
      </c>
      <c r="B884" s="695" t="s">
        <v>3698</v>
      </c>
      <c r="C884" s="539" t="s">
        <v>6470</v>
      </c>
      <c r="D884" s="550" t="s">
        <v>2998</v>
      </c>
      <c r="E884" s="552">
        <v>0</v>
      </c>
    </row>
    <row r="885" spans="1:5" ht="16.3" customHeight="1">
      <c r="A885" s="552" t="s">
        <v>3694</v>
      </c>
      <c r="B885" s="695" t="s">
        <v>3698</v>
      </c>
      <c r="C885" s="539" t="s">
        <v>2783</v>
      </c>
      <c r="D885" s="550" t="s">
        <v>2998</v>
      </c>
      <c r="E885" s="552">
        <v>0</v>
      </c>
    </row>
    <row r="886" spans="1:5" ht="16.3" customHeight="1">
      <c r="A886" s="552" t="s">
        <v>3694</v>
      </c>
      <c r="B886" s="695" t="s">
        <v>3698</v>
      </c>
      <c r="C886" s="539" t="s">
        <v>2783</v>
      </c>
      <c r="D886" s="550" t="s">
        <v>2998</v>
      </c>
      <c r="E886" s="552">
        <v>0</v>
      </c>
    </row>
    <row r="887" spans="1:5" ht="16.3" customHeight="1">
      <c r="A887" s="552" t="s">
        <v>3694</v>
      </c>
      <c r="B887" s="697" t="s">
        <v>3699</v>
      </c>
      <c r="C887" s="539" t="s">
        <v>6471</v>
      </c>
      <c r="D887" s="550" t="s">
        <v>2809</v>
      </c>
      <c r="E887" s="552">
        <v>0</v>
      </c>
    </row>
    <row r="888" spans="1:5" ht="16.3" customHeight="1">
      <c r="A888" s="552" t="s">
        <v>3694</v>
      </c>
      <c r="B888" s="697" t="s">
        <v>3699</v>
      </c>
      <c r="C888" s="539" t="s">
        <v>6472</v>
      </c>
      <c r="D888" s="550" t="s">
        <v>2809</v>
      </c>
      <c r="E888" s="552">
        <v>0</v>
      </c>
    </row>
    <row r="889" spans="1:5" ht="16.3" customHeight="1">
      <c r="A889" s="552" t="s">
        <v>3694</v>
      </c>
      <c r="B889" s="697" t="s">
        <v>3699</v>
      </c>
      <c r="C889" s="539" t="s">
        <v>6473</v>
      </c>
      <c r="D889" s="550" t="s">
        <v>2809</v>
      </c>
      <c r="E889" s="552">
        <v>0</v>
      </c>
    </row>
    <row r="890" spans="1:5" ht="16.3" customHeight="1">
      <c r="A890" s="552" t="s">
        <v>3694</v>
      </c>
      <c r="B890" s="697" t="s">
        <v>3699</v>
      </c>
      <c r="C890" s="539" t="s">
        <v>2783</v>
      </c>
      <c r="D890" s="550" t="s">
        <v>2809</v>
      </c>
      <c r="E890" s="552">
        <v>0</v>
      </c>
    </row>
    <row r="891" spans="1:5" ht="16.3" customHeight="1">
      <c r="A891" s="552" t="s">
        <v>3694</v>
      </c>
      <c r="B891" s="697" t="s">
        <v>3699</v>
      </c>
      <c r="C891" s="539" t="s">
        <v>2783</v>
      </c>
      <c r="D891" s="550" t="s">
        <v>2809</v>
      </c>
      <c r="E891" s="552">
        <v>0</v>
      </c>
    </row>
    <row r="892" spans="1:5" ht="16.3" customHeight="1">
      <c r="A892" s="552" t="s">
        <v>3694</v>
      </c>
      <c r="B892" s="694" t="s">
        <v>3700</v>
      </c>
      <c r="C892" s="539" t="s">
        <v>8032</v>
      </c>
      <c r="D892" s="550" t="s">
        <v>2971</v>
      </c>
      <c r="E892" s="552">
        <v>0</v>
      </c>
    </row>
    <row r="893" spans="1:5" ht="16.3" customHeight="1">
      <c r="A893" s="552" t="s">
        <v>3694</v>
      </c>
      <c r="B893" s="694" t="s">
        <v>3700</v>
      </c>
      <c r="C893" s="539" t="s">
        <v>2783</v>
      </c>
      <c r="D893" s="550" t="s">
        <v>2971</v>
      </c>
      <c r="E893" s="552">
        <v>0</v>
      </c>
    </row>
    <row r="894" spans="1:5" ht="16.3" customHeight="1">
      <c r="A894" s="552" t="s">
        <v>3694</v>
      </c>
      <c r="B894" s="700" t="s">
        <v>6055</v>
      </c>
      <c r="C894" s="539" t="s">
        <v>2783</v>
      </c>
      <c r="D894" s="550" t="s">
        <v>6697</v>
      </c>
      <c r="E894" s="552">
        <v>0</v>
      </c>
    </row>
    <row r="895" spans="1:5" ht="16.3" customHeight="1">
      <c r="A895" s="552" t="s">
        <v>3694</v>
      </c>
      <c r="B895" s="698" t="s">
        <v>3695</v>
      </c>
      <c r="C895" s="539" t="s">
        <v>2783</v>
      </c>
      <c r="D895" s="550" t="s">
        <v>2802</v>
      </c>
      <c r="E895" s="552">
        <v>0</v>
      </c>
    </row>
    <row r="896" spans="1:5" ht="16.3" customHeight="1">
      <c r="A896" s="552" t="s">
        <v>3694</v>
      </c>
      <c r="B896" s="698" t="s">
        <v>3695</v>
      </c>
      <c r="C896" s="539" t="s">
        <v>6474</v>
      </c>
      <c r="D896" s="550" t="s">
        <v>2802</v>
      </c>
      <c r="E896" s="552">
        <v>0</v>
      </c>
    </row>
    <row r="897" spans="1:5" ht="16.3" customHeight="1">
      <c r="A897" s="552" t="s">
        <v>3694</v>
      </c>
      <c r="B897" s="699" t="s">
        <v>3696</v>
      </c>
      <c r="C897" s="539" t="s">
        <v>6475</v>
      </c>
      <c r="D897" s="550" t="s">
        <v>2805</v>
      </c>
      <c r="E897" s="552">
        <v>0</v>
      </c>
    </row>
    <row r="898" spans="1:5" ht="16.3" customHeight="1">
      <c r="A898" s="552" t="s">
        <v>3694</v>
      </c>
      <c r="B898" s="699" t="s">
        <v>3696</v>
      </c>
      <c r="C898" s="539" t="s">
        <v>2783</v>
      </c>
      <c r="D898" s="550" t="s">
        <v>2805</v>
      </c>
      <c r="E898" s="552">
        <v>0</v>
      </c>
    </row>
    <row r="899" spans="1:5" ht="16.3" customHeight="1">
      <c r="A899" s="552" t="s">
        <v>3694</v>
      </c>
      <c r="B899" s="696" t="s">
        <v>3697</v>
      </c>
      <c r="C899" s="539" t="s">
        <v>6476</v>
      </c>
      <c r="D899" s="550" t="s">
        <v>2875</v>
      </c>
      <c r="E899" s="552">
        <v>0</v>
      </c>
    </row>
    <row r="900" spans="1:5" ht="16.3" customHeight="1">
      <c r="A900" s="552" t="s">
        <v>3694</v>
      </c>
      <c r="B900" s="696" t="s">
        <v>3697</v>
      </c>
      <c r="C900" s="539" t="s">
        <v>6477</v>
      </c>
      <c r="D900" s="550" t="s">
        <v>2875</v>
      </c>
      <c r="E900" s="552">
        <v>0</v>
      </c>
    </row>
    <row r="901" spans="1:5" ht="16.3" customHeight="1">
      <c r="A901" s="552" t="s">
        <v>3694</v>
      </c>
      <c r="B901" s="696" t="s">
        <v>3697</v>
      </c>
      <c r="C901" s="539" t="s">
        <v>6478</v>
      </c>
      <c r="D901" s="550" t="s">
        <v>2875</v>
      </c>
      <c r="E901" s="552">
        <v>0</v>
      </c>
    </row>
    <row r="902" spans="1:5" ht="16.3" customHeight="1">
      <c r="A902" s="552" t="s">
        <v>3694</v>
      </c>
      <c r="B902" s="695" t="s">
        <v>3698</v>
      </c>
      <c r="C902" s="539" t="s">
        <v>2783</v>
      </c>
      <c r="D902" s="550" t="s">
        <v>2998</v>
      </c>
      <c r="E902" s="552">
        <v>0</v>
      </c>
    </row>
    <row r="903" spans="1:5" ht="16.3" customHeight="1">
      <c r="A903" s="552" t="s">
        <v>3694</v>
      </c>
      <c r="B903" s="695" t="s">
        <v>3698</v>
      </c>
      <c r="C903" s="539" t="s">
        <v>8041</v>
      </c>
      <c r="D903" s="550" t="s">
        <v>2998</v>
      </c>
      <c r="E903" s="552">
        <v>0</v>
      </c>
    </row>
    <row r="904" spans="1:5" ht="16.3" customHeight="1">
      <c r="A904" s="552" t="s">
        <v>3694</v>
      </c>
      <c r="B904" s="695" t="s">
        <v>3698</v>
      </c>
      <c r="C904" s="539" t="s">
        <v>2783</v>
      </c>
      <c r="D904" s="550" t="s">
        <v>2998</v>
      </c>
      <c r="E904" s="552">
        <v>0</v>
      </c>
    </row>
    <row r="905" spans="1:5" ht="16.3" customHeight="1">
      <c r="A905" s="552" t="s">
        <v>3694</v>
      </c>
      <c r="B905" s="695" t="s">
        <v>3698</v>
      </c>
      <c r="C905" s="539" t="s">
        <v>2783</v>
      </c>
      <c r="D905" s="550" t="s">
        <v>2998</v>
      </c>
      <c r="E905" s="552">
        <v>0</v>
      </c>
    </row>
    <row r="906" spans="1:5" ht="16.3" customHeight="1">
      <c r="A906" s="552" t="s">
        <v>3694</v>
      </c>
      <c r="B906" s="697" t="s">
        <v>3699</v>
      </c>
      <c r="C906" s="539" t="s">
        <v>8044</v>
      </c>
      <c r="D906" s="550" t="s">
        <v>2809</v>
      </c>
      <c r="E906" s="552">
        <v>0</v>
      </c>
    </row>
    <row r="907" spans="1:5" ht="16.3" customHeight="1">
      <c r="A907" s="552" t="s">
        <v>3694</v>
      </c>
      <c r="B907" s="697" t="s">
        <v>3699</v>
      </c>
      <c r="C907" s="539" t="s">
        <v>2783</v>
      </c>
      <c r="D907" s="550" t="s">
        <v>2809</v>
      </c>
      <c r="E907" s="552">
        <v>0</v>
      </c>
    </row>
    <row r="908" spans="1:5" ht="16.3" customHeight="1">
      <c r="A908" s="552" t="s">
        <v>3694</v>
      </c>
      <c r="B908" s="697" t="s">
        <v>3699</v>
      </c>
      <c r="C908" s="539" t="s">
        <v>9042</v>
      </c>
      <c r="D908" s="550" t="s">
        <v>2809</v>
      </c>
      <c r="E908" s="552">
        <v>0</v>
      </c>
    </row>
    <row r="909" spans="1:5" ht="16.3" customHeight="1">
      <c r="A909" s="552" t="s">
        <v>3694</v>
      </c>
      <c r="B909" s="697" t="s">
        <v>3699</v>
      </c>
      <c r="C909" s="539" t="s">
        <v>6480</v>
      </c>
      <c r="D909" s="550" t="s">
        <v>2809</v>
      </c>
      <c r="E909" s="552">
        <v>0</v>
      </c>
    </row>
    <row r="910" spans="1:5" ht="16.3" customHeight="1">
      <c r="A910" s="552" t="s">
        <v>3694</v>
      </c>
      <c r="B910" s="697" t="s">
        <v>3699</v>
      </c>
      <c r="C910" s="539" t="s">
        <v>2783</v>
      </c>
      <c r="D910" s="550" t="s">
        <v>2809</v>
      </c>
      <c r="E910" s="552">
        <v>0</v>
      </c>
    </row>
    <row r="911" spans="1:5" ht="16.3" customHeight="1">
      <c r="A911" s="552" t="s">
        <v>3694</v>
      </c>
      <c r="B911" s="694" t="s">
        <v>3700</v>
      </c>
      <c r="C911" s="539" t="s">
        <v>6481</v>
      </c>
      <c r="D911" s="550" t="s">
        <v>2971</v>
      </c>
      <c r="E911" s="552">
        <v>0</v>
      </c>
    </row>
    <row r="912" spans="1:5" ht="16.3" customHeight="1">
      <c r="A912" s="552" t="s">
        <v>3694</v>
      </c>
      <c r="B912" s="694" t="s">
        <v>3700</v>
      </c>
      <c r="C912" s="539" t="s">
        <v>2783</v>
      </c>
      <c r="D912" s="550" t="s">
        <v>2971</v>
      </c>
      <c r="E912" s="552">
        <v>0</v>
      </c>
    </row>
    <row r="913" spans="1:5" ht="16.3" customHeight="1">
      <c r="A913" s="552" t="s">
        <v>3694</v>
      </c>
      <c r="B913" s="700" t="s">
        <v>6055</v>
      </c>
      <c r="C913" s="539" t="s">
        <v>2783</v>
      </c>
      <c r="D913" s="550" t="s">
        <v>6697</v>
      </c>
      <c r="E913" s="552">
        <v>0</v>
      </c>
    </row>
    <row r="914" spans="1:5" ht="16.3" customHeight="1">
      <c r="A914" s="552" t="s">
        <v>3694</v>
      </c>
      <c r="B914" s="698" t="s">
        <v>3695</v>
      </c>
      <c r="C914" s="539" t="s">
        <v>6482</v>
      </c>
      <c r="D914" s="550" t="s">
        <v>2802</v>
      </c>
      <c r="E914" s="552">
        <v>0</v>
      </c>
    </row>
    <row r="915" spans="1:5" ht="16.3" customHeight="1">
      <c r="A915" s="552" t="s">
        <v>3694</v>
      </c>
      <c r="B915" s="698" t="s">
        <v>3695</v>
      </c>
      <c r="C915" s="539" t="s">
        <v>2783</v>
      </c>
      <c r="D915" s="550" t="s">
        <v>2802</v>
      </c>
      <c r="E915" s="552">
        <v>0</v>
      </c>
    </row>
    <row r="916" spans="1:5" ht="16.3" customHeight="1">
      <c r="A916" s="552" t="s">
        <v>3694</v>
      </c>
      <c r="B916" s="699" t="s">
        <v>3696</v>
      </c>
      <c r="C916" s="539" t="s">
        <v>6483</v>
      </c>
      <c r="D916" s="550" t="s">
        <v>2805</v>
      </c>
      <c r="E916" s="552">
        <v>0</v>
      </c>
    </row>
    <row r="917" spans="1:5" ht="16.3" customHeight="1">
      <c r="A917" s="552" t="s">
        <v>3694</v>
      </c>
      <c r="B917" s="699" t="s">
        <v>3696</v>
      </c>
      <c r="C917" s="539" t="s">
        <v>2783</v>
      </c>
      <c r="D917" s="550" t="s">
        <v>2805</v>
      </c>
      <c r="E917" s="552">
        <v>0</v>
      </c>
    </row>
    <row r="918" spans="1:5" ht="16.3" customHeight="1">
      <c r="A918" s="552" t="s">
        <v>3694</v>
      </c>
      <c r="B918" s="696" t="s">
        <v>3697</v>
      </c>
      <c r="C918" s="539" t="s">
        <v>6484</v>
      </c>
      <c r="D918" s="550" t="s">
        <v>2875</v>
      </c>
      <c r="E918" s="552">
        <v>0</v>
      </c>
    </row>
    <row r="919" spans="1:5" ht="16.3" customHeight="1">
      <c r="A919" s="552" t="s">
        <v>3694</v>
      </c>
      <c r="B919" s="696" t="s">
        <v>3697</v>
      </c>
      <c r="C919" s="539" t="s">
        <v>6485</v>
      </c>
      <c r="D919" s="550" t="s">
        <v>2875</v>
      </c>
      <c r="E919" s="552">
        <v>0</v>
      </c>
    </row>
    <row r="920" spans="1:5" ht="16.3" customHeight="1">
      <c r="A920" s="552" t="s">
        <v>3694</v>
      </c>
      <c r="B920" s="696" t="s">
        <v>3697</v>
      </c>
      <c r="C920" s="539" t="s">
        <v>2783</v>
      </c>
      <c r="D920" s="550" t="s">
        <v>2875</v>
      </c>
      <c r="E920" s="552">
        <v>0</v>
      </c>
    </row>
    <row r="921" spans="1:5" ht="16.3" customHeight="1">
      <c r="A921" s="552" t="s">
        <v>3694</v>
      </c>
      <c r="B921" s="695" t="s">
        <v>3698</v>
      </c>
      <c r="C921" s="539" t="s">
        <v>9043</v>
      </c>
      <c r="D921" s="550" t="s">
        <v>2998</v>
      </c>
      <c r="E921" s="552">
        <v>0</v>
      </c>
    </row>
    <row r="922" spans="1:5" ht="16.3" customHeight="1">
      <c r="A922" s="552" t="s">
        <v>3694</v>
      </c>
      <c r="B922" s="695" t="s">
        <v>3698</v>
      </c>
      <c r="C922" s="539" t="s">
        <v>6487</v>
      </c>
      <c r="D922" s="550" t="s">
        <v>2998</v>
      </c>
      <c r="E922" s="552">
        <v>0</v>
      </c>
    </row>
    <row r="923" spans="1:5" ht="16.3" customHeight="1">
      <c r="A923" s="552" t="s">
        <v>3694</v>
      </c>
      <c r="B923" s="695" t="s">
        <v>3698</v>
      </c>
      <c r="C923" s="539" t="s">
        <v>2783</v>
      </c>
      <c r="D923" s="550" t="s">
        <v>2998</v>
      </c>
      <c r="E923" s="552">
        <v>0</v>
      </c>
    </row>
    <row r="924" spans="1:5" ht="16.3" customHeight="1">
      <c r="A924" s="552" t="s">
        <v>3694</v>
      </c>
      <c r="B924" s="695" t="s">
        <v>3698</v>
      </c>
      <c r="C924" s="539" t="s">
        <v>2783</v>
      </c>
      <c r="D924" s="550" t="s">
        <v>2998</v>
      </c>
      <c r="E924" s="552">
        <v>0</v>
      </c>
    </row>
    <row r="925" spans="1:5" ht="16.3" customHeight="1">
      <c r="A925" s="552" t="s">
        <v>3694</v>
      </c>
      <c r="B925" s="697" t="s">
        <v>3699</v>
      </c>
      <c r="C925" s="539" t="s">
        <v>2783</v>
      </c>
      <c r="D925" s="550" t="s">
        <v>2809</v>
      </c>
      <c r="E925" s="552">
        <v>0</v>
      </c>
    </row>
    <row r="926" spans="1:5" ht="16.3" customHeight="1">
      <c r="A926" s="552" t="s">
        <v>3694</v>
      </c>
      <c r="B926" s="697" t="s">
        <v>3699</v>
      </c>
      <c r="C926" s="539" t="s">
        <v>8063</v>
      </c>
      <c r="D926" s="550" t="s">
        <v>2809</v>
      </c>
      <c r="E926" s="552">
        <v>0</v>
      </c>
    </row>
    <row r="927" spans="1:5" ht="16.3" customHeight="1">
      <c r="A927" s="552" t="s">
        <v>3694</v>
      </c>
      <c r="B927" s="697" t="s">
        <v>3699</v>
      </c>
      <c r="C927" s="539" t="s">
        <v>6488</v>
      </c>
      <c r="D927" s="550" t="s">
        <v>2809</v>
      </c>
      <c r="E927" s="552">
        <v>0</v>
      </c>
    </row>
    <row r="928" spans="1:5" ht="16.3" customHeight="1">
      <c r="A928" s="552" t="s">
        <v>3694</v>
      </c>
      <c r="B928" s="697" t="s">
        <v>3699</v>
      </c>
      <c r="C928" s="539" t="s">
        <v>2783</v>
      </c>
      <c r="D928" s="550" t="s">
        <v>2809</v>
      </c>
      <c r="E928" s="552">
        <v>0</v>
      </c>
    </row>
    <row r="929" spans="1:5" ht="16.3" customHeight="1">
      <c r="A929" s="552" t="s">
        <v>3694</v>
      </c>
      <c r="B929" s="697" t="s">
        <v>3699</v>
      </c>
      <c r="C929" s="539" t="s">
        <v>2783</v>
      </c>
      <c r="D929" s="550" t="s">
        <v>2809</v>
      </c>
      <c r="E929" s="552">
        <v>0</v>
      </c>
    </row>
    <row r="930" spans="1:5" ht="16.3" customHeight="1">
      <c r="A930" s="552" t="s">
        <v>3694</v>
      </c>
      <c r="B930" s="694" t="s">
        <v>3700</v>
      </c>
      <c r="C930" s="539" t="s">
        <v>9098</v>
      </c>
      <c r="D930" s="550" t="s">
        <v>2971</v>
      </c>
      <c r="E930" s="552">
        <v>0</v>
      </c>
    </row>
    <row r="931" spans="1:5" ht="16.3" customHeight="1">
      <c r="A931" s="552" t="s">
        <v>3694</v>
      </c>
      <c r="B931" s="694" t="s">
        <v>3700</v>
      </c>
      <c r="C931" s="539" t="s">
        <v>2783</v>
      </c>
      <c r="D931" s="550" t="s">
        <v>2971</v>
      </c>
      <c r="E931" s="552">
        <v>0</v>
      </c>
    </row>
    <row r="932" spans="1:5" ht="16.3" customHeight="1">
      <c r="A932" s="552" t="s">
        <v>3694</v>
      </c>
      <c r="B932" s="700" t="s">
        <v>6055</v>
      </c>
      <c r="C932" s="539" t="s">
        <v>2783</v>
      </c>
      <c r="D932" s="550" t="s">
        <v>6697</v>
      </c>
      <c r="E932" s="552">
        <v>0</v>
      </c>
    </row>
    <row r="933" spans="1:5" ht="16.3" customHeight="1">
      <c r="A933" s="552" t="s">
        <v>3694</v>
      </c>
      <c r="B933" s="698" t="s">
        <v>3695</v>
      </c>
      <c r="C933" s="539" t="s">
        <v>6489</v>
      </c>
      <c r="D933" s="550" t="s">
        <v>2802</v>
      </c>
      <c r="E933" s="552">
        <v>0</v>
      </c>
    </row>
    <row r="934" spans="1:5" ht="16.3" customHeight="1">
      <c r="A934" s="552" t="s">
        <v>3694</v>
      </c>
      <c r="B934" s="698" t="s">
        <v>3695</v>
      </c>
      <c r="C934" s="539" t="s">
        <v>2783</v>
      </c>
      <c r="D934" s="550" t="s">
        <v>2802</v>
      </c>
      <c r="E934" s="552">
        <v>0</v>
      </c>
    </row>
    <row r="935" spans="1:5" ht="16.3" customHeight="1">
      <c r="A935" s="552" t="s">
        <v>3694</v>
      </c>
      <c r="B935" s="699" t="s">
        <v>3696</v>
      </c>
      <c r="C935" s="539" t="s">
        <v>6490</v>
      </c>
      <c r="D935" s="550" t="s">
        <v>2805</v>
      </c>
      <c r="E935" s="552">
        <v>0</v>
      </c>
    </row>
    <row r="936" spans="1:5" ht="16.3" customHeight="1">
      <c r="A936" s="552" t="s">
        <v>3694</v>
      </c>
      <c r="B936" s="699" t="s">
        <v>3696</v>
      </c>
      <c r="C936" s="539" t="s">
        <v>2783</v>
      </c>
      <c r="D936" s="550" t="s">
        <v>2805</v>
      </c>
      <c r="E936" s="552">
        <v>0</v>
      </c>
    </row>
    <row r="937" spans="1:5" ht="16.3" customHeight="1">
      <c r="A937" s="552" t="s">
        <v>3694</v>
      </c>
      <c r="B937" s="696" t="s">
        <v>3697</v>
      </c>
      <c r="C937" s="539" t="s">
        <v>6491</v>
      </c>
      <c r="D937" s="550" t="s">
        <v>2875</v>
      </c>
      <c r="E937" s="552">
        <v>0</v>
      </c>
    </row>
    <row r="938" spans="1:5" ht="16.3" customHeight="1">
      <c r="A938" s="552" t="s">
        <v>3694</v>
      </c>
      <c r="B938" s="696" t="s">
        <v>3697</v>
      </c>
      <c r="C938" s="539" t="s">
        <v>2783</v>
      </c>
      <c r="D938" s="550" t="s">
        <v>2875</v>
      </c>
      <c r="E938" s="552">
        <v>0</v>
      </c>
    </row>
    <row r="939" spans="1:5" ht="16.3" customHeight="1">
      <c r="A939" s="552" t="s">
        <v>3694</v>
      </c>
      <c r="B939" s="696" t="s">
        <v>3697</v>
      </c>
      <c r="C939" s="539" t="s">
        <v>6492</v>
      </c>
      <c r="D939" s="550" t="s">
        <v>2875</v>
      </c>
      <c r="E939" s="552">
        <v>0</v>
      </c>
    </row>
    <row r="940" spans="1:5" ht="16.3" customHeight="1">
      <c r="A940" s="552" t="s">
        <v>3694</v>
      </c>
      <c r="B940" s="695" t="s">
        <v>3698</v>
      </c>
      <c r="C940" s="539" t="s">
        <v>6493</v>
      </c>
      <c r="D940" s="550" t="s">
        <v>2998</v>
      </c>
      <c r="E940" s="552">
        <v>0</v>
      </c>
    </row>
    <row r="941" spans="1:5" ht="16.3" customHeight="1">
      <c r="A941" s="552" t="s">
        <v>3694</v>
      </c>
      <c r="B941" s="695" t="s">
        <v>3698</v>
      </c>
      <c r="C941" s="539" t="s">
        <v>2783</v>
      </c>
      <c r="D941" s="550" t="s">
        <v>2998</v>
      </c>
      <c r="E941" s="552">
        <v>0</v>
      </c>
    </row>
    <row r="942" spans="1:5" ht="16.3" customHeight="1">
      <c r="A942" s="552" t="s">
        <v>3694</v>
      </c>
      <c r="B942" s="695" t="s">
        <v>3698</v>
      </c>
      <c r="C942" s="539" t="s">
        <v>2783</v>
      </c>
      <c r="D942" s="550" t="s">
        <v>2998</v>
      </c>
      <c r="E942" s="552">
        <v>0</v>
      </c>
    </row>
    <row r="943" spans="1:5" ht="16.3" customHeight="1">
      <c r="A943" s="552" t="s">
        <v>3694</v>
      </c>
      <c r="B943" s="695" t="s">
        <v>3698</v>
      </c>
      <c r="C943" s="539" t="s">
        <v>2783</v>
      </c>
      <c r="D943" s="550" t="s">
        <v>2998</v>
      </c>
      <c r="E943" s="552">
        <v>0</v>
      </c>
    </row>
    <row r="944" spans="1:5" ht="16.3" customHeight="1">
      <c r="A944" s="552" t="s">
        <v>3694</v>
      </c>
      <c r="B944" s="697" t="s">
        <v>3699</v>
      </c>
      <c r="C944" s="539" t="s">
        <v>6494</v>
      </c>
      <c r="D944" s="550" t="s">
        <v>2809</v>
      </c>
      <c r="E944" s="552">
        <v>0</v>
      </c>
    </row>
    <row r="945" spans="1:5" ht="16.3" customHeight="1">
      <c r="A945" s="552" t="s">
        <v>3694</v>
      </c>
      <c r="B945" s="697" t="s">
        <v>3699</v>
      </c>
      <c r="C945" s="539" t="s">
        <v>6495</v>
      </c>
      <c r="D945" s="550" t="s">
        <v>2809</v>
      </c>
      <c r="E945" s="552">
        <v>0</v>
      </c>
    </row>
    <row r="946" spans="1:5" ht="16.3" customHeight="1">
      <c r="A946" s="552" t="s">
        <v>3694</v>
      </c>
      <c r="B946" s="697" t="s">
        <v>3699</v>
      </c>
      <c r="C946" s="539" t="s">
        <v>2783</v>
      </c>
      <c r="D946" s="550" t="s">
        <v>2809</v>
      </c>
      <c r="E946" s="552">
        <v>0</v>
      </c>
    </row>
    <row r="947" spans="1:5" ht="16.3" customHeight="1">
      <c r="A947" s="552" t="s">
        <v>3694</v>
      </c>
      <c r="B947" s="697" t="s">
        <v>3699</v>
      </c>
      <c r="C947" s="539" t="s">
        <v>2783</v>
      </c>
      <c r="D947" s="550" t="s">
        <v>2809</v>
      </c>
      <c r="E947" s="552">
        <v>0</v>
      </c>
    </row>
    <row r="948" spans="1:5" ht="16.3" customHeight="1">
      <c r="A948" s="552" t="s">
        <v>3694</v>
      </c>
      <c r="B948" s="697" t="s">
        <v>3699</v>
      </c>
      <c r="C948" s="539" t="s">
        <v>2783</v>
      </c>
      <c r="D948" s="550" t="s">
        <v>2809</v>
      </c>
      <c r="E948" s="552">
        <v>0</v>
      </c>
    </row>
    <row r="949" spans="1:5" ht="16.3" customHeight="1">
      <c r="A949" s="552" t="s">
        <v>3694</v>
      </c>
      <c r="B949" s="694" t="s">
        <v>3700</v>
      </c>
      <c r="C949" s="539" t="s">
        <v>6496</v>
      </c>
      <c r="D949" s="550" t="s">
        <v>2971</v>
      </c>
      <c r="E949" s="552">
        <v>0</v>
      </c>
    </row>
    <row r="950" spans="1:5" ht="16.3" customHeight="1">
      <c r="A950" s="552" t="s">
        <v>3694</v>
      </c>
      <c r="B950" s="694" t="s">
        <v>3700</v>
      </c>
      <c r="C950" s="539" t="s">
        <v>2783</v>
      </c>
      <c r="D950" s="550" t="s">
        <v>2971</v>
      </c>
      <c r="E950" s="552">
        <v>0</v>
      </c>
    </row>
    <row r="951" spans="1:5" ht="16.3" customHeight="1">
      <c r="A951" s="552" t="s">
        <v>3694</v>
      </c>
      <c r="B951" s="700" t="s">
        <v>6055</v>
      </c>
      <c r="C951" s="539" t="s">
        <v>2783</v>
      </c>
      <c r="D951" s="550" t="s">
        <v>6697</v>
      </c>
      <c r="E951" s="552">
        <v>0</v>
      </c>
    </row>
    <row r="952" spans="1:5" ht="16.3" customHeight="1">
      <c r="A952" s="552" t="s">
        <v>3694</v>
      </c>
      <c r="B952" s="698" t="s">
        <v>3695</v>
      </c>
      <c r="C952" s="539" t="s">
        <v>6497</v>
      </c>
      <c r="D952" s="550" t="s">
        <v>2802</v>
      </c>
      <c r="E952" s="552">
        <v>0</v>
      </c>
    </row>
    <row r="953" spans="1:5" ht="16.3" customHeight="1">
      <c r="A953" s="552" t="s">
        <v>3694</v>
      </c>
      <c r="B953" s="698" t="s">
        <v>3695</v>
      </c>
      <c r="C953" s="539" t="s">
        <v>2783</v>
      </c>
      <c r="D953" s="550" t="s">
        <v>2802</v>
      </c>
      <c r="E953" s="552">
        <v>0</v>
      </c>
    </row>
    <row r="954" spans="1:5" ht="16.3" customHeight="1">
      <c r="A954" s="552" t="s">
        <v>3694</v>
      </c>
      <c r="B954" s="699" t="s">
        <v>3696</v>
      </c>
      <c r="C954" s="539" t="s">
        <v>8086</v>
      </c>
      <c r="D954" s="550" t="s">
        <v>2805</v>
      </c>
      <c r="E954" s="552">
        <v>0</v>
      </c>
    </row>
    <row r="955" spans="1:5" ht="16.3" customHeight="1">
      <c r="A955" s="552" t="s">
        <v>3694</v>
      </c>
      <c r="B955" s="699" t="s">
        <v>3696</v>
      </c>
      <c r="C955" s="539" t="s">
        <v>2783</v>
      </c>
      <c r="D955" s="550" t="s">
        <v>2805</v>
      </c>
      <c r="E955" s="552">
        <v>0</v>
      </c>
    </row>
    <row r="956" spans="1:5" ht="16.3" customHeight="1">
      <c r="A956" s="552" t="s">
        <v>3694</v>
      </c>
      <c r="B956" s="696" t="s">
        <v>3697</v>
      </c>
      <c r="C956" s="539" t="s">
        <v>6498</v>
      </c>
      <c r="D956" s="550" t="s">
        <v>2875</v>
      </c>
      <c r="E956" s="552">
        <v>0</v>
      </c>
    </row>
    <row r="957" spans="1:5" ht="16.3" customHeight="1">
      <c r="A957" s="552" t="s">
        <v>3694</v>
      </c>
      <c r="B957" s="696" t="s">
        <v>3697</v>
      </c>
      <c r="C957" s="539" t="s">
        <v>6499</v>
      </c>
      <c r="D957" s="550" t="s">
        <v>2875</v>
      </c>
      <c r="E957" s="552">
        <v>0</v>
      </c>
    </row>
    <row r="958" spans="1:5" ht="16.3" customHeight="1">
      <c r="A958" s="552" t="s">
        <v>3694</v>
      </c>
      <c r="B958" s="696" t="s">
        <v>3697</v>
      </c>
      <c r="C958" s="539" t="s">
        <v>2783</v>
      </c>
      <c r="D958" s="550" t="s">
        <v>2875</v>
      </c>
      <c r="E958" s="552">
        <v>0</v>
      </c>
    </row>
    <row r="959" spans="1:5" ht="16.3" customHeight="1">
      <c r="A959" s="552" t="s">
        <v>3694</v>
      </c>
      <c r="B959" s="695" t="s">
        <v>3698</v>
      </c>
      <c r="C959" s="539" t="s">
        <v>8092</v>
      </c>
      <c r="D959" s="550" t="s">
        <v>2998</v>
      </c>
      <c r="E959" s="552">
        <v>0</v>
      </c>
    </row>
    <row r="960" spans="1:5" ht="16.3" customHeight="1">
      <c r="A960" s="552" t="s">
        <v>3694</v>
      </c>
      <c r="B960" s="695" t="s">
        <v>3698</v>
      </c>
      <c r="C960" s="539" t="s">
        <v>6500</v>
      </c>
      <c r="D960" s="550" t="s">
        <v>2998</v>
      </c>
      <c r="E960" s="552">
        <v>0</v>
      </c>
    </row>
    <row r="961" spans="1:5" ht="16.3" customHeight="1">
      <c r="A961" s="552" t="s">
        <v>3694</v>
      </c>
      <c r="B961" s="695" t="s">
        <v>3698</v>
      </c>
      <c r="C961" s="539" t="s">
        <v>2783</v>
      </c>
      <c r="D961" s="550" t="s">
        <v>2998</v>
      </c>
      <c r="E961" s="552">
        <v>0</v>
      </c>
    </row>
    <row r="962" spans="1:5" ht="16.3" customHeight="1">
      <c r="A962" s="552" t="s">
        <v>3694</v>
      </c>
      <c r="B962" s="695" t="s">
        <v>3698</v>
      </c>
      <c r="C962" s="539" t="s">
        <v>2783</v>
      </c>
      <c r="D962" s="550" t="s">
        <v>2998</v>
      </c>
      <c r="E962" s="552">
        <v>0</v>
      </c>
    </row>
    <row r="963" spans="1:5" ht="16.3" customHeight="1">
      <c r="A963" s="552" t="s">
        <v>3694</v>
      </c>
      <c r="B963" s="697" t="s">
        <v>3699</v>
      </c>
      <c r="C963" s="539" t="s">
        <v>8097</v>
      </c>
      <c r="D963" s="550" t="s">
        <v>2809</v>
      </c>
      <c r="E963" s="552">
        <v>0</v>
      </c>
    </row>
    <row r="964" spans="1:5" ht="16.3" customHeight="1">
      <c r="A964" s="552" t="s">
        <v>3694</v>
      </c>
      <c r="B964" s="697" t="s">
        <v>3699</v>
      </c>
      <c r="C964" s="539" t="s">
        <v>9099</v>
      </c>
      <c r="D964" s="550" t="s">
        <v>2809</v>
      </c>
      <c r="E964" s="552">
        <v>0</v>
      </c>
    </row>
    <row r="965" spans="1:5" ht="16.3" customHeight="1">
      <c r="A965" s="552" t="s">
        <v>3694</v>
      </c>
      <c r="B965" s="697" t="s">
        <v>3699</v>
      </c>
      <c r="C965" s="539" t="s">
        <v>6501</v>
      </c>
      <c r="D965" s="550" t="s">
        <v>2809</v>
      </c>
      <c r="E965" s="552">
        <v>0</v>
      </c>
    </row>
    <row r="966" spans="1:5" ht="16.3" customHeight="1">
      <c r="A966" s="552" t="s">
        <v>3694</v>
      </c>
      <c r="B966" s="697" t="s">
        <v>3699</v>
      </c>
      <c r="C966" s="539" t="s">
        <v>2783</v>
      </c>
      <c r="D966" s="550" t="s">
        <v>2809</v>
      </c>
      <c r="E966" s="552">
        <v>0</v>
      </c>
    </row>
    <row r="967" spans="1:5" ht="16.3" customHeight="1">
      <c r="A967" s="552" t="s">
        <v>3694</v>
      </c>
      <c r="B967" s="697" t="s">
        <v>3699</v>
      </c>
      <c r="C967" s="539" t="s">
        <v>2783</v>
      </c>
      <c r="D967" s="550" t="s">
        <v>2809</v>
      </c>
      <c r="E967" s="552">
        <v>0</v>
      </c>
    </row>
    <row r="968" spans="1:5" ht="16.3" customHeight="1">
      <c r="A968" s="552" t="s">
        <v>3694</v>
      </c>
      <c r="B968" s="694" t="s">
        <v>3700</v>
      </c>
      <c r="C968" s="539" t="s">
        <v>9044</v>
      </c>
      <c r="D968" s="550" t="s">
        <v>2971</v>
      </c>
      <c r="E968" s="552">
        <v>0</v>
      </c>
    </row>
    <row r="969" spans="1:5" ht="16.3" customHeight="1">
      <c r="A969" s="552" t="s">
        <v>3694</v>
      </c>
      <c r="B969" s="694" t="s">
        <v>3700</v>
      </c>
      <c r="C969" s="539" t="s">
        <v>6503</v>
      </c>
      <c r="D969" s="550" t="s">
        <v>2971</v>
      </c>
      <c r="E969" s="552">
        <v>0</v>
      </c>
    </row>
    <row r="970" spans="1:5" ht="16.3" customHeight="1">
      <c r="A970" s="552" t="s">
        <v>3694</v>
      </c>
      <c r="B970" s="700" t="s">
        <v>6055</v>
      </c>
      <c r="C970" s="539" t="s">
        <v>2783</v>
      </c>
      <c r="D970" s="550" t="s">
        <v>6697</v>
      </c>
      <c r="E970" s="552">
        <v>0</v>
      </c>
    </row>
    <row r="971" spans="1:5" ht="16.3" customHeight="1">
      <c r="A971" s="552" t="s">
        <v>3694</v>
      </c>
      <c r="B971" s="698" t="s">
        <v>3695</v>
      </c>
      <c r="C971" s="539" t="s">
        <v>6504</v>
      </c>
      <c r="D971" s="550" t="s">
        <v>2802</v>
      </c>
      <c r="E971" s="552">
        <v>0</v>
      </c>
    </row>
    <row r="972" spans="1:5" ht="16.3" customHeight="1">
      <c r="A972" s="552" t="s">
        <v>3694</v>
      </c>
      <c r="B972" s="698" t="s">
        <v>3695</v>
      </c>
      <c r="C972" s="539" t="s">
        <v>2783</v>
      </c>
      <c r="D972" s="550" t="s">
        <v>2802</v>
      </c>
      <c r="E972" s="552">
        <v>0</v>
      </c>
    </row>
    <row r="973" spans="1:5" ht="16.3" customHeight="1">
      <c r="A973" s="552" t="s">
        <v>3694</v>
      </c>
      <c r="B973" s="699" t="s">
        <v>3696</v>
      </c>
      <c r="C973" s="539" t="s">
        <v>6505</v>
      </c>
      <c r="D973" s="550" t="s">
        <v>2805</v>
      </c>
      <c r="E973" s="552">
        <v>0</v>
      </c>
    </row>
    <row r="974" spans="1:5" ht="16.3" customHeight="1">
      <c r="A974" s="552" t="s">
        <v>3694</v>
      </c>
      <c r="B974" s="699" t="s">
        <v>3696</v>
      </c>
      <c r="C974" s="539" t="s">
        <v>2783</v>
      </c>
      <c r="D974" s="550" t="s">
        <v>2805</v>
      </c>
      <c r="E974" s="552">
        <v>0</v>
      </c>
    </row>
    <row r="975" spans="1:5" ht="16.3" customHeight="1">
      <c r="A975" s="552" t="s">
        <v>3694</v>
      </c>
      <c r="B975" s="696" t="s">
        <v>3697</v>
      </c>
      <c r="C975" s="539" t="s">
        <v>6506</v>
      </c>
      <c r="D975" s="550" t="s">
        <v>2875</v>
      </c>
      <c r="E975" s="552">
        <v>0</v>
      </c>
    </row>
    <row r="976" spans="1:5" ht="16.3" customHeight="1">
      <c r="A976" s="552" t="s">
        <v>3694</v>
      </c>
      <c r="B976" s="696" t="s">
        <v>3697</v>
      </c>
      <c r="C976" s="539" t="s">
        <v>2783</v>
      </c>
      <c r="D976" s="550" t="s">
        <v>2875</v>
      </c>
      <c r="E976" s="552">
        <v>0</v>
      </c>
    </row>
    <row r="977" spans="1:5" ht="16.3" customHeight="1">
      <c r="A977" s="552" t="s">
        <v>3694</v>
      </c>
      <c r="B977" s="696" t="s">
        <v>3697</v>
      </c>
      <c r="C977" s="539" t="s">
        <v>2783</v>
      </c>
      <c r="D977" s="550" t="s">
        <v>2875</v>
      </c>
      <c r="E977" s="552">
        <v>0</v>
      </c>
    </row>
    <row r="978" spans="1:5" ht="16.3" customHeight="1">
      <c r="A978" s="552" t="s">
        <v>3694</v>
      </c>
      <c r="B978" s="695" t="s">
        <v>3698</v>
      </c>
      <c r="C978" s="539" t="s">
        <v>9045</v>
      </c>
      <c r="D978" s="550" t="s">
        <v>2998</v>
      </c>
      <c r="E978" s="552">
        <v>0</v>
      </c>
    </row>
    <row r="979" spans="1:5" ht="16.3" customHeight="1">
      <c r="A979" s="552" t="s">
        <v>3694</v>
      </c>
      <c r="B979" s="695" t="s">
        <v>3698</v>
      </c>
      <c r="C979" s="539" t="s">
        <v>2783</v>
      </c>
      <c r="D979" s="550" t="s">
        <v>2998</v>
      </c>
      <c r="E979" s="552">
        <v>0</v>
      </c>
    </row>
    <row r="980" spans="1:5" ht="16.3" customHeight="1">
      <c r="A980" s="552" t="s">
        <v>3694</v>
      </c>
      <c r="B980" s="695" t="s">
        <v>3698</v>
      </c>
      <c r="C980" s="539" t="s">
        <v>2783</v>
      </c>
      <c r="D980" s="550" t="s">
        <v>2998</v>
      </c>
      <c r="E980" s="552">
        <v>0</v>
      </c>
    </row>
    <row r="981" spans="1:5" ht="16.3" customHeight="1">
      <c r="A981" s="552" t="s">
        <v>3694</v>
      </c>
      <c r="B981" s="695" t="s">
        <v>3698</v>
      </c>
      <c r="C981" s="539" t="s">
        <v>2783</v>
      </c>
      <c r="D981" s="550" t="s">
        <v>2998</v>
      </c>
      <c r="E981" s="552">
        <v>0</v>
      </c>
    </row>
    <row r="982" spans="1:5" ht="16.3" customHeight="1">
      <c r="A982" s="552" t="s">
        <v>3694</v>
      </c>
      <c r="B982" s="697" t="s">
        <v>3699</v>
      </c>
      <c r="C982" s="539" t="s">
        <v>8115</v>
      </c>
      <c r="D982" s="550" t="s">
        <v>2809</v>
      </c>
      <c r="E982" s="552">
        <v>0</v>
      </c>
    </row>
    <row r="983" spans="1:5" ht="16.3" customHeight="1">
      <c r="A983" s="552" t="s">
        <v>3694</v>
      </c>
      <c r="B983" s="697" t="s">
        <v>3699</v>
      </c>
      <c r="C983" s="539" t="s">
        <v>6508</v>
      </c>
      <c r="D983" s="550" t="s">
        <v>2809</v>
      </c>
      <c r="E983" s="552">
        <v>0</v>
      </c>
    </row>
    <row r="984" spans="1:5" ht="16.3" customHeight="1">
      <c r="A984" s="552" t="s">
        <v>3694</v>
      </c>
      <c r="B984" s="697" t="s">
        <v>3699</v>
      </c>
      <c r="C984" s="539" t="s">
        <v>2783</v>
      </c>
      <c r="D984" s="550" t="s">
        <v>2809</v>
      </c>
      <c r="E984" s="552">
        <v>0</v>
      </c>
    </row>
    <row r="985" spans="1:5" ht="16.3" customHeight="1">
      <c r="A985" s="552" t="s">
        <v>3694</v>
      </c>
      <c r="B985" s="697" t="s">
        <v>3699</v>
      </c>
      <c r="C985" s="539" t="s">
        <v>2783</v>
      </c>
      <c r="D985" s="550" t="s">
        <v>2809</v>
      </c>
      <c r="E985" s="552">
        <v>0</v>
      </c>
    </row>
    <row r="986" spans="1:5" ht="16.3" customHeight="1">
      <c r="A986" s="552" t="s">
        <v>3694</v>
      </c>
      <c r="B986" s="697" t="s">
        <v>3699</v>
      </c>
      <c r="C986" s="539" t="s">
        <v>2783</v>
      </c>
      <c r="D986" s="550" t="s">
        <v>2809</v>
      </c>
      <c r="E986" s="552">
        <v>0</v>
      </c>
    </row>
    <row r="987" spans="1:5" ht="16.3" customHeight="1">
      <c r="A987" s="552" t="s">
        <v>3694</v>
      </c>
      <c r="B987" s="694" t="s">
        <v>3700</v>
      </c>
      <c r="C987" s="539" t="s">
        <v>8120</v>
      </c>
      <c r="D987" s="550" t="s">
        <v>2971</v>
      </c>
      <c r="E987" s="552">
        <v>0</v>
      </c>
    </row>
    <row r="988" spans="1:5" ht="16.3" customHeight="1">
      <c r="A988" s="552" t="s">
        <v>3694</v>
      </c>
      <c r="B988" s="694" t="s">
        <v>3700</v>
      </c>
      <c r="C988" s="539" t="s">
        <v>2783</v>
      </c>
      <c r="D988" s="550" t="s">
        <v>2971</v>
      </c>
      <c r="E988" s="552">
        <v>0</v>
      </c>
    </row>
    <row r="989" spans="1:5" ht="16.3" customHeight="1">
      <c r="A989" s="552" t="s">
        <v>3694</v>
      </c>
      <c r="B989" s="700" t="s">
        <v>6055</v>
      </c>
      <c r="C989" s="539" t="s">
        <v>2783</v>
      </c>
      <c r="D989" s="550" t="s">
        <v>6697</v>
      </c>
      <c r="E989" s="552">
        <v>0</v>
      </c>
    </row>
    <row r="990" spans="1:5" ht="16.3" customHeight="1">
      <c r="A990" s="552" t="s">
        <v>3694</v>
      </c>
      <c r="B990" s="698" t="s">
        <v>3695</v>
      </c>
      <c r="C990" s="539" t="s">
        <v>6509</v>
      </c>
      <c r="D990" s="550" t="s">
        <v>2802</v>
      </c>
      <c r="E990" s="552">
        <v>0</v>
      </c>
    </row>
    <row r="991" spans="1:5" ht="16.3" customHeight="1">
      <c r="A991" s="552" t="s">
        <v>3694</v>
      </c>
      <c r="B991" s="698" t="s">
        <v>3695</v>
      </c>
      <c r="C991" s="539" t="s">
        <v>6510</v>
      </c>
      <c r="D991" s="550" t="s">
        <v>2802</v>
      </c>
      <c r="E991" s="552">
        <v>0</v>
      </c>
    </row>
    <row r="992" spans="1:5" ht="16.3" customHeight="1">
      <c r="A992" s="552" t="s">
        <v>3694</v>
      </c>
      <c r="B992" s="699" t="s">
        <v>3696</v>
      </c>
      <c r="C992" s="539" t="s">
        <v>6511</v>
      </c>
      <c r="D992" s="550" t="s">
        <v>2805</v>
      </c>
      <c r="E992" s="552">
        <v>0</v>
      </c>
    </row>
    <row r="993" spans="1:5" ht="16.3" customHeight="1">
      <c r="A993" s="552" t="s">
        <v>3694</v>
      </c>
      <c r="B993" s="699" t="s">
        <v>3696</v>
      </c>
      <c r="C993" s="539" t="s">
        <v>2783</v>
      </c>
      <c r="D993" s="550" t="s">
        <v>2805</v>
      </c>
      <c r="E993" s="552">
        <v>0</v>
      </c>
    </row>
    <row r="994" spans="1:5" ht="16.3" customHeight="1">
      <c r="A994" s="552" t="s">
        <v>3694</v>
      </c>
      <c r="B994" s="696" t="s">
        <v>3697</v>
      </c>
      <c r="C994" s="539" t="s">
        <v>6512</v>
      </c>
      <c r="D994" s="550" t="s">
        <v>2875</v>
      </c>
      <c r="E994" s="552">
        <v>0</v>
      </c>
    </row>
    <row r="995" spans="1:5" ht="16.3" customHeight="1">
      <c r="A995" s="552" t="s">
        <v>3694</v>
      </c>
      <c r="B995" s="696" t="s">
        <v>3697</v>
      </c>
      <c r="C995" s="539" t="s">
        <v>6513</v>
      </c>
      <c r="D995" s="550" t="s">
        <v>2875</v>
      </c>
      <c r="E995" s="552">
        <v>0</v>
      </c>
    </row>
    <row r="996" spans="1:5" ht="16.3" customHeight="1">
      <c r="A996" s="552" t="s">
        <v>3694</v>
      </c>
      <c r="B996" s="696" t="s">
        <v>3697</v>
      </c>
      <c r="C996" s="539" t="s">
        <v>6514</v>
      </c>
      <c r="D996" s="550" t="s">
        <v>2875</v>
      </c>
      <c r="E996" s="552">
        <v>0</v>
      </c>
    </row>
    <row r="997" spans="1:5" ht="16.3" customHeight="1">
      <c r="A997" s="552" t="s">
        <v>3694</v>
      </c>
      <c r="B997" s="695" t="s">
        <v>3698</v>
      </c>
      <c r="C997" s="539" t="s">
        <v>2783</v>
      </c>
      <c r="D997" s="550" t="s">
        <v>2998</v>
      </c>
      <c r="E997" s="552">
        <v>0</v>
      </c>
    </row>
    <row r="998" spans="1:5" ht="16.3" customHeight="1">
      <c r="A998" s="552" t="s">
        <v>3694</v>
      </c>
      <c r="B998" s="695" t="s">
        <v>3698</v>
      </c>
      <c r="C998" s="539" t="s">
        <v>6515</v>
      </c>
      <c r="D998" s="550" t="s">
        <v>2998</v>
      </c>
      <c r="E998" s="552">
        <v>0</v>
      </c>
    </row>
    <row r="999" spans="1:5" ht="16.3" customHeight="1">
      <c r="A999" s="552" t="s">
        <v>3694</v>
      </c>
      <c r="B999" s="695" t="s">
        <v>3698</v>
      </c>
      <c r="C999" s="539" t="s">
        <v>6516</v>
      </c>
      <c r="D999" s="550" t="s">
        <v>2998</v>
      </c>
      <c r="E999" s="552">
        <v>0</v>
      </c>
    </row>
    <row r="1000" spans="1:5" ht="16.3" customHeight="1">
      <c r="A1000" s="552" t="s">
        <v>3694</v>
      </c>
      <c r="B1000" s="695" t="s">
        <v>3698</v>
      </c>
      <c r="C1000" s="539" t="s">
        <v>2783</v>
      </c>
      <c r="D1000" s="550" t="s">
        <v>2998</v>
      </c>
      <c r="E1000" s="552">
        <v>0</v>
      </c>
    </row>
    <row r="1001" spans="1:5" ht="16.3" customHeight="1">
      <c r="A1001" s="552" t="s">
        <v>3694</v>
      </c>
      <c r="B1001" s="697" t="s">
        <v>3699</v>
      </c>
      <c r="C1001" s="539" t="s">
        <v>2783</v>
      </c>
      <c r="D1001" s="550" t="s">
        <v>2809</v>
      </c>
      <c r="E1001" s="552">
        <v>0</v>
      </c>
    </row>
    <row r="1002" spans="1:5" ht="16.3" customHeight="1">
      <c r="A1002" s="552" t="s">
        <v>3694</v>
      </c>
      <c r="B1002" s="697" t="s">
        <v>3699</v>
      </c>
      <c r="C1002" s="539" t="s">
        <v>9046</v>
      </c>
      <c r="D1002" s="550" t="s">
        <v>2809</v>
      </c>
      <c r="E1002" s="552">
        <v>0</v>
      </c>
    </row>
    <row r="1003" spans="1:5" ht="16.3" customHeight="1">
      <c r="A1003" s="552" t="s">
        <v>3694</v>
      </c>
      <c r="B1003" s="697" t="s">
        <v>3699</v>
      </c>
      <c r="C1003" s="539" t="s">
        <v>6518</v>
      </c>
      <c r="D1003" s="550" t="s">
        <v>2809</v>
      </c>
      <c r="E1003" s="552">
        <v>0</v>
      </c>
    </row>
    <row r="1004" spans="1:5" ht="16.3" customHeight="1">
      <c r="A1004" s="552" t="s">
        <v>3694</v>
      </c>
      <c r="B1004" s="697" t="s">
        <v>3699</v>
      </c>
      <c r="C1004" s="539" t="s">
        <v>6519</v>
      </c>
      <c r="D1004" s="550" t="s">
        <v>2809</v>
      </c>
      <c r="E1004" s="552">
        <v>0</v>
      </c>
    </row>
    <row r="1005" spans="1:5" ht="16.3" customHeight="1">
      <c r="A1005" s="552" t="s">
        <v>3694</v>
      </c>
      <c r="B1005" s="697" t="s">
        <v>3699</v>
      </c>
      <c r="C1005" s="539" t="s">
        <v>6520</v>
      </c>
      <c r="D1005" s="550" t="s">
        <v>2809</v>
      </c>
      <c r="E1005" s="552">
        <v>0</v>
      </c>
    </row>
    <row r="1006" spans="1:5" ht="16.3" customHeight="1">
      <c r="A1006" s="552" t="s">
        <v>3694</v>
      </c>
      <c r="B1006" s="694" t="s">
        <v>3700</v>
      </c>
      <c r="C1006" s="539" t="s">
        <v>2783</v>
      </c>
      <c r="D1006" s="550" t="s">
        <v>2971</v>
      </c>
      <c r="E1006" s="552">
        <v>0</v>
      </c>
    </row>
    <row r="1007" spans="1:5" ht="16.3" customHeight="1">
      <c r="A1007" s="552" t="s">
        <v>3694</v>
      </c>
      <c r="B1007" s="694" t="s">
        <v>3700</v>
      </c>
      <c r="C1007" s="539" t="s">
        <v>8142</v>
      </c>
      <c r="D1007" s="550" t="s">
        <v>2971</v>
      </c>
      <c r="E1007" s="552">
        <v>0</v>
      </c>
    </row>
    <row r="1008" spans="1:5" ht="16.3" customHeight="1">
      <c r="A1008" s="552" t="s">
        <v>3694</v>
      </c>
      <c r="B1008" s="700" t="s">
        <v>6055</v>
      </c>
      <c r="C1008" s="539" t="s">
        <v>9047</v>
      </c>
      <c r="D1008" s="550" t="s">
        <v>6697</v>
      </c>
      <c r="E1008" s="552">
        <v>0</v>
      </c>
    </row>
    <row r="1009" spans="1:5" ht="16.3" customHeight="1">
      <c r="A1009" s="552" t="s">
        <v>3694</v>
      </c>
      <c r="B1009" s="698" t="s">
        <v>3695</v>
      </c>
      <c r="C1009" s="539" t="s">
        <v>6522</v>
      </c>
      <c r="D1009" s="550" t="s">
        <v>2802</v>
      </c>
      <c r="E1009" s="552">
        <v>0</v>
      </c>
    </row>
    <row r="1010" spans="1:5" ht="16.3" customHeight="1">
      <c r="A1010" s="552" t="s">
        <v>3694</v>
      </c>
      <c r="B1010" s="698" t="s">
        <v>3695</v>
      </c>
      <c r="C1010" s="539" t="s">
        <v>6523</v>
      </c>
      <c r="D1010" s="550" t="s">
        <v>2802</v>
      </c>
      <c r="E1010" s="552">
        <v>0</v>
      </c>
    </row>
    <row r="1011" spans="1:5" ht="16.3" customHeight="1">
      <c r="A1011" s="552" t="s">
        <v>3694</v>
      </c>
      <c r="B1011" s="699" t="s">
        <v>3696</v>
      </c>
      <c r="C1011" s="539" t="s">
        <v>9100</v>
      </c>
      <c r="D1011" s="550" t="s">
        <v>2805</v>
      </c>
      <c r="E1011" s="552">
        <v>0</v>
      </c>
    </row>
    <row r="1012" spans="1:5" ht="16.3" customHeight="1">
      <c r="A1012" s="552" t="s">
        <v>3694</v>
      </c>
      <c r="B1012" s="699" t="s">
        <v>3696</v>
      </c>
      <c r="C1012" s="539" t="s">
        <v>2783</v>
      </c>
      <c r="D1012" s="550" t="s">
        <v>2805</v>
      </c>
      <c r="E1012" s="552">
        <v>0</v>
      </c>
    </row>
    <row r="1013" spans="1:5" ht="16.3" customHeight="1">
      <c r="A1013" s="552" t="s">
        <v>3694</v>
      </c>
      <c r="B1013" s="696" t="s">
        <v>3697</v>
      </c>
      <c r="C1013" s="539" t="s">
        <v>6524</v>
      </c>
      <c r="D1013" s="550" t="s">
        <v>2875</v>
      </c>
      <c r="E1013" s="552">
        <v>0</v>
      </c>
    </row>
    <row r="1014" spans="1:5" ht="16.3" customHeight="1">
      <c r="A1014" s="552" t="s">
        <v>3694</v>
      </c>
      <c r="B1014" s="696" t="s">
        <v>3697</v>
      </c>
      <c r="C1014" s="539" t="s">
        <v>2783</v>
      </c>
      <c r="D1014" s="550" t="s">
        <v>2875</v>
      </c>
      <c r="E1014" s="552">
        <v>0</v>
      </c>
    </row>
    <row r="1015" spans="1:5" ht="16.3" customHeight="1">
      <c r="A1015" s="552" t="s">
        <v>3694</v>
      </c>
      <c r="B1015" s="696" t="s">
        <v>3697</v>
      </c>
      <c r="C1015" s="539" t="s">
        <v>2783</v>
      </c>
      <c r="D1015" s="550" t="s">
        <v>2875</v>
      </c>
      <c r="E1015" s="552">
        <v>0</v>
      </c>
    </row>
    <row r="1016" spans="1:5" ht="16.3" customHeight="1">
      <c r="A1016" s="552" t="s">
        <v>3694</v>
      </c>
      <c r="B1016" s="695" t="s">
        <v>3698</v>
      </c>
      <c r="C1016" s="539" t="s">
        <v>9048</v>
      </c>
      <c r="D1016" s="550" t="s">
        <v>2998</v>
      </c>
      <c r="E1016" s="552">
        <v>0</v>
      </c>
    </row>
    <row r="1017" spans="1:5" ht="16.3" customHeight="1">
      <c r="A1017" s="552" t="s">
        <v>3694</v>
      </c>
      <c r="B1017" s="695" t="s">
        <v>3698</v>
      </c>
      <c r="C1017" s="539" t="s">
        <v>2783</v>
      </c>
      <c r="D1017" s="550" t="s">
        <v>2998</v>
      </c>
      <c r="E1017" s="552">
        <v>0</v>
      </c>
    </row>
    <row r="1018" spans="1:5" ht="16.3" customHeight="1">
      <c r="A1018" s="552" t="s">
        <v>3694</v>
      </c>
      <c r="B1018" s="695" t="s">
        <v>3698</v>
      </c>
      <c r="C1018" s="539" t="s">
        <v>6526</v>
      </c>
      <c r="D1018" s="550" t="s">
        <v>2998</v>
      </c>
      <c r="E1018" s="552">
        <v>0</v>
      </c>
    </row>
    <row r="1019" spans="1:5" ht="16.3" customHeight="1">
      <c r="A1019" s="552" t="s">
        <v>3694</v>
      </c>
      <c r="B1019" s="695" t="s">
        <v>3698</v>
      </c>
      <c r="C1019" s="539" t="s">
        <v>2783</v>
      </c>
      <c r="D1019" s="550" t="s">
        <v>2998</v>
      </c>
      <c r="E1019" s="552">
        <v>0</v>
      </c>
    </row>
    <row r="1020" spans="1:5" ht="16.3" customHeight="1">
      <c r="A1020" s="552" t="s">
        <v>3694</v>
      </c>
      <c r="B1020" s="697" t="s">
        <v>3699</v>
      </c>
      <c r="C1020" s="539" t="s">
        <v>8156</v>
      </c>
      <c r="D1020" s="550" t="s">
        <v>2809</v>
      </c>
      <c r="E1020" s="552">
        <v>0</v>
      </c>
    </row>
    <row r="1021" spans="1:5" ht="16.3" customHeight="1">
      <c r="A1021" s="552" t="s">
        <v>3694</v>
      </c>
      <c r="B1021" s="697" t="s">
        <v>3699</v>
      </c>
      <c r="C1021" s="539" t="s">
        <v>8159</v>
      </c>
      <c r="D1021" s="550" t="s">
        <v>2809</v>
      </c>
      <c r="E1021" s="552">
        <v>0</v>
      </c>
    </row>
    <row r="1022" spans="1:5" ht="16.3" customHeight="1">
      <c r="A1022" s="552" t="s">
        <v>3694</v>
      </c>
      <c r="B1022" s="697" t="s">
        <v>3699</v>
      </c>
      <c r="C1022" s="539" t="s">
        <v>8162</v>
      </c>
      <c r="D1022" s="550" t="s">
        <v>2809</v>
      </c>
      <c r="E1022" s="552">
        <v>0</v>
      </c>
    </row>
    <row r="1023" spans="1:5" ht="16.3" customHeight="1">
      <c r="A1023" s="552" t="s">
        <v>3694</v>
      </c>
      <c r="B1023" s="697" t="s">
        <v>3699</v>
      </c>
      <c r="C1023" s="539" t="s">
        <v>6527</v>
      </c>
      <c r="D1023" s="550" t="s">
        <v>2809</v>
      </c>
      <c r="E1023" s="552">
        <v>0</v>
      </c>
    </row>
    <row r="1024" spans="1:5" ht="16.3" customHeight="1">
      <c r="A1024" s="552" t="s">
        <v>3694</v>
      </c>
      <c r="B1024" s="697" t="s">
        <v>3699</v>
      </c>
      <c r="C1024" s="539" t="s">
        <v>2783</v>
      </c>
      <c r="D1024" s="550" t="s">
        <v>2809</v>
      </c>
      <c r="E1024" s="552">
        <v>0</v>
      </c>
    </row>
    <row r="1025" spans="1:5" ht="16.3" customHeight="1">
      <c r="A1025" s="552" t="s">
        <v>3694</v>
      </c>
      <c r="B1025" s="694" t="s">
        <v>3700</v>
      </c>
      <c r="C1025" s="539" t="s">
        <v>9049</v>
      </c>
      <c r="D1025" s="550" t="s">
        <v>2971</v>
      </c>
      <c r="E1025" s="552">
        <v>0</v>
      </c>
    </row>
    <row r="1026" spans="1:5" ht="16.3" customHeight="1">
      <c r="A1026" s="552" t="s">
        <v>3694</v>
      </c>
      <c r="B1026" s="694" t="s">
        <v>3700</v>
      </c>
      <c r="C1026" s="539" t="s">
        <v>6529</v>
      </c>
      <c r="D1026" s="550" t="s">
        <v>2971</v>
      </c>
      <c r="E1026" s="552">
        <v>0</v>
      </c>
    </row>
    <row r="1027" spans="1:5" ht="16.3" customHeight="1">
      <c r="A1027" s="552" t="s">
        <v>3694</v>
      </c>
      <c r="B1027" s="700" t="s">
        <v>6055</v>
      </c>
      <c r="C1027" s="539" t="s">
        <v>2783</v>
      </c>
      <c r="D1027" s="550" t="s">
        <v>6697</v>
      </c>
      <c r="E1027" s="552">
        <v>0</v>
      </c>
    </row>
    <row r="1028" spans="1:5" ht="16.3" customHeight="1">
      <c r="A1028" s="552" t="s">
        <v>3694</v>
      </c>
      <c r="B1028" s="698" t="s">
        <v>3695</v>
      </c>
      <c r="C1028" s="539" t="s">
        <v>6530</v>
      </c>
      <c r="D1028" s="550" t="s">
        <v>2802</v>
      </c>
      <c r="E1028" s="552">
        <v>0</v>
      </c>
    </row>
    <row r="1029" spans="1:5" ht="16.3" customHeight="1">
      <c r="A1029" s="552" t="s">
        <v>3694</v>
      </c>
      <c r="B1029" s="698" t="s">
        <v>3695</v>
      </c>
      <c r="C1029" s="539" t="s">
        <v>2783</v>
      </c>
      <c r="D1029" s="550" t="s">
        <v>2802</v>
      </c>
      <c r="E1029" s="552">
        <v>0</v>
      </c>
    </row>
    <row r="1030" spans="1:5" ht="16.3" customHeight="1">
      <c r="A1030" s="552" t="s">
        <v>3694</v>
      </c>
      <c r="B1030" s="699" t="s">
        <v>3696</v>
      </c>
      <c r="C1030" s="539" t="s">
        <v>6531</v>
      </c>
      <c r="D1030" s="550" t="s">
        <v>2805</v>
      </c>
      <c r="E1030" s="552">
        <v>0</v>
      </c>
    </row>
    <row r="1031" spans="1:5" ht="16.3" customHeight="1">
      <c r="A1031" s="552" t="s">
        <v>3694</v>
      </c>
      <c r="B1031" s="699" t="s">
        <v>3696</v>
      </c>
      <c r="C1031" s="539" t="s">
        <v>2783</v>
      </c>
      <c r="D1031" s="550" t="s">
        <v>2805</v>
      </c>
      <c r="E1031" s="552">
        <v>0</v>
      </c>
    </row>
    <row r="1032" spans="1:5" ht="16.3" customHeight="1">
      <c r="A1032" s="552" t="s">
        <v>3694</v>
      </c>
      <c r="B1032" s="696" t="s">
        <v>3697</v>
      </c>
      <c r="C1032" s="539" t="s">
        <v>6532</v>
      </c>
      <c r="D1032" s="550" t="s">
        <v>2875</v>
      </c>
      <c r="E1032" s="552">
        <v>0</v>
      </c>
    </row>
    <row r="1033" spans="1:5" ht="16.3" customHeight="1">
      <c r="A1033" s="552" t="s">
        <v>3694</v>
      </c>
      <c r="B1033" s="696" t="s">
        <v>3697</v>
      </c>
      <c r="C1033" s="539" t="s">
        <v>2783</v>
      </c>
      <c r="D1033" s="550" t="s">
        <v>2875</v>
      </c>
      <c r="E1033" s="552">
        <v>0</v>
      </c>
    </row>
    <row r="1034" spans="1:5" ht="16.3" customHeight="1">
      <c r="A1034" s="552" t="s">
        <v>3694</v>
      </c>
      <c r="B1034" s="696" t="s">
        <v>3697</v>
      </c>
      <c r="C1034" s="539" t="s">
        <v>2783</v>
      </c>
      <c r="D1034" s="550" t="s">
        <v>2875</v>
      </c>
      <c r="E1034" s="552">
        <v>0</v>
      </c>
    </row>
    <row r="1035" spans="1:5" ht="16.3" customHeight="1">
      <c r="A1035" s="552" t="s">
        <v>3694</v>
      </c>
      <c r="B1035" s="695" t="s">
        <v>3698</v>
      </c>
      <c r="C1035" s="539" t="s">
        <v>6533</v>
      </c>
      <c r="D1035" s="550" t="s">
        <v>2998</v>
      </c>
      <c r="E1035" s="552">
        <v>0</v>
      </c>
    </row>
    <row r="1036" spans="1:5" ht="16.3" customHeight="1">
      <c r="A1036" s="552" t="s">
        <v>3694</v>
      </c>
      <c r="B1036" s="695" t="s">
        <v>3698</v>
      </c>
      <c r="C1036" s="539" t="s">
        <v>2783</v>
      </c>
      <c r="D1036" s="550" t="s">
        <v>2998</v>
      </c>
      <c r="E1036" s="552">
        <v>0</v>
      </c>
    </row>
    <row r="1037" spans="1:5" ht="16.3" customHeight="1">
      <c r="A1037" s="552" t="s">
        <v>3694</v>
      </c>
      <c r="B1037" s="695" t="s">
        <v>3698</v>
      </c>
      <c r="C1037" s="539" t="s">
        <v>6534</v>
      </c>
      <c r="D1037" s="550" t="s">
        <v>2998</v>
      </c>
      <c r="E1037" s="552">
        <v>0</v>
      </c>
    </row>
    <row r="1038" spans="1:5" ht="16.3" customHeight="1">
      <c r="A1038" s="552" t="s">
        <v>3694</v>
      </c>
      <c r="B1038" s="695" t="s">
        <v>3698</v>
      </c>
      <c r="C1038" s="539" t="s">
        <v>2783</v>
      </c>
      <c r="D1038" s="550" t="s">
        <v>2998</v>
      </c>
      <c r="E1038" s="552">
        <v>0</v>
      </c>
    </row>
    <row r="1039" spans="1:5" ht="16.3" customHeight="1">
      <c r="A1039" s="552" t="s">
        <v>3694</v>
      </c>
      <c r="B1039" s="697" t="s">
        <v>3699</v>
      </c>
      <c r="C1039" s="539" t="s">
        <v>6535</v>
      </c>
      <c r="D1039" s="550" t="s">
        <v>2809</v>
      </c>
      <c r="E1039" s="552">
        <v>0</v>
      </c>
    </row>
    <row r="1040" spans="1:5" ht="16.3" customHeight="1">
      <c r="A1040" s="552" t="s">
        <v>3694</v>
      </c>
      <c r="B1040" s="697" t="s">
        <v>3699</v>
      </c>
      <c r="C1040" s="539" t="s">
        <v>9101</v>
      </c>
      <c r="D1040" s="550" t="s">
        <v>2809</v>
      </c>
      <c r="E1040" s="552">
        <v>0</v>
      </c>
    </row>
    <row r="1041" spans="1:5" ht="16.3" customHeight="1">
      <c r="A1041" s="552" t="s">
        <v>3694</v>
      </c>
      <c r="B1041" s="697" t="s">
        <v>3699</v>
      </c>
      <c r="C1041" s="539" t="s">
        <v>8183</v>
      </c>
      <c r="D1041" s="550" t="s">
        <v>2809</v>
      </c>
      <c r="E1041" s="552">
        <v>0</v>
      </c>
    </row>
    <row r="1042" spans="1:5" ht="16.3" customHeight="1">
      <c r="A1042" s="552" t="s">
        <v>3694</v>
      </c>
      <c r="B1042" s="697" t="s">
        <v>3699</v>
      </c>
      <c r="C1042" s="539" t="s">
        <v>2783</v>
      </c>
      <c r="D1042" s="550" t="s">
        <v>2809</v>
      </c>
      <c r="E1042" s="552">
        <v>0</v>
      </c>
    </row>
    <row r="1043" spans="1:5" ht="16.3" customHeight="1">
      <c r="A1043" s="552" t="s">
        <v>3694</v>
      </c>
      <c r="B1043" s="697" t="s">
        <v>3699</v>
      </c>
      <c r="C1043" s="539" t="s">
        <v>2783</v>
      </c>
      <c r="D1043" s="550" t="s">
        <v>2809</v>
      </c>
      <c r="E1043" s="552">
        <v>0</v>
      </c>
    </row>
    <row r="1044" spans="1:5" ht="16.3" customHeight="1">
      <c r="A1044" s="552" t="s">
        <v>3694</v>
      </c>
      <c r="B1044" s="694" t="s">
        <v>3700</v>
      </c>
      <c r="C1044" s="539" t="s">
        <v>9050</v>
      </c>
      <c r="D1044" s="550" t="s">
        <v>2971</v>
      </c>
      <c r="E1044" s="552">
        <v>0</v>
      </c>
    </row>
    <row r="1045" spans="1:5" ht="16.3" customHeight="1">
      <c r="A1045" s="552" t="s">
        <v>3694</v>
      </c>
      <c r="B1045" s="694" t="s">
        <v>3700</v>
      </c>
      <c r="C1045" s="539" t="s">
        <v>2783</v>
      </c>
      <c r="D1045" s="550" t="s">
        <v>2971</v>
      </c>
      <c r="E1045" s="552">
        <v>0</v>
      </c>
    </row>
    <row r="1046" spans="1:5" ht="16.3" customHeight="1">
      <c r="A1046" s="552" t="s">
        <v>3694</v>
      </c>
      <c r="B1046" s="700" t="s">
        <v>6055</v>
      </c>
      <c r="C1046" s="539" t="s">
        <v>2783</v>
      </c>
      <c r="D1046" s="550" t="s">
        <v>6697</v>
      </c>
      <c r="E1046" s="552">
        <v>0</v>
      </c>
    </row>
    <row r="1047" spans="1:5" ht="16.3" customHeight="1">
      <c r="A1047" s="552" t="s">
        <v>3694</v>
      </c>
      <c r="B1047" s="698" t="s">
        <v>3695</v>
      </c>
      <c r="C1047" s="539" t="s">
        <v>6537</v>
      </c>
      <c r="D1047" s="550" t="s">
        <v>2802</v>
      </c>
      <c r="E1047" s="552">
        <v>0</v>
      </c>
    </row>
    <row r="1048" spans="1:5" ht="16.3" customHeight="1">
      <c r="A1048" s="552" t="s">
        <v>3694</v>
      </c>
      <c r="B1048" s="698" t="s">
        <v>3695</v>
      </c>
      <c r="C1048" s="539" t="s">
        <v>2783</v>
      </c>
      <c r="D1048" s="550" t="s">
        <v>2802</v>
      </c>
      <c r="E1048" s="552">
        <v>0</v>
      </c>
    </row>
    <row r="1049" spans="1:5" ht="16.3" customHeight="1">
      <c r="A1049" s="552" t="s">
        <v>3694</v>
      </c>
      <c r="B1049" s="699" t="s">
        <v>3696</v>
      </c>
      <c r="C1049" s="539" t="s">
        <v>6538</v>
      </c>
      <c r="D1049" s="550" t="s">
        <v>2805</v>
      </c>
      <c r="E1049" s="552">
        <v>0</v>
      </c>
    </row>
    <row r="1050" spans="1:5" ht="16.3" customHeight="1">
      <c r="A1050" s="552" t="s">
        <v>3694</v>
      </c>
      <c r="B1050" s="699" t="s">
        <v>3696</v>
      </c>
      <c r="C1050" s="539" t="s">
        <v>2783</v>
      </c>
      <c r="D1050" s="550" t="s">
        <v>2805</v>
      </c>
      <c r="E1050" s="552">
        <v>0</v>
      </c>
    </row>
    <row r="1051" spans="1:5" ht="16.3" customHeight="1">
      <c r="A1051" s="552" t="s">
        <v>3694</v>
      </c>
      <c r="B1051" s="696" t="s">
        <v>3697</v>
      </c>
      <c r="C1051" s="539" t="s">
        <v>6539</v>
      </c>
      <c r="D1051" s="550" t="s">
        <v>2875</v>
      </c>
      <c r="E1051" s="552">
        <v>0</v>
      </c>
    </row>
    <row r="1052" spans="1:5" ht="16.3" customHeight="1">
      <c r="A1052" s="552" t="s">
        <v>3694</v>
      </c>
      <c r="B1052" s="696" t="s">
        <v>3697</v>
      </c>
      <c r="C1052" s="539" t="s">
        <v>6540</v>
      </c>
      <c r="D1052" s="550" t="s">
        <v>2875</v>
      </c>
      <c r="E1052" s="552">
        <v>0</v>
      </c>
    </row>
    <row r="1053" spans="1:5" ht="16.3" customHeight="1">
      <c r="A1053" s="552" t="s">
        <v>3694</v>
      </c>
      <c r="B1053" s="696" t="s">
        <v>3697</v>
      </c>
      <c r="C1053" s="539" t="s">
        <v>2783</v>
      </c>
      <c r="D1053" s="550" t="s">
        <v>2875</v>
      </c>
      <c r="E1053" s="552">
        <v>0</v>
      </c>
    </row>
    <row r="1054" spans="1:5" ht="16.3" customHeight="1">
      <c r="A1054" s="552" t="s">
        <v>3694</v>
      </c>
      <c r="B1054" s="695" t="s">
        <v>3698</v>
      </c>
      <c r="C1054" s="539" t="s">
        <v>2783</v>
      </c>
      <c r="D1054" s="550" t="s">
        <v>2998</v>
      </c>
      <c r="E1054" s="552">
        <v>0</v>
      </c>
    </row>
    <row r="1055" spans="1:5" ht="16.3" customHeight="1">
      <c r="A1055" s="552" t="s">
        <v>3694</v>
      </c>
      <c r="B1055" s="695" t="s">
        <v>3698</v>
      </c>
      <c r="C1055" s="539" t="s">
        <v>8193</v>
      </c>
      <c r="D1055" s="550" t="s">
        <v>2998</v>
      </c>
      <c r="E1055" s="552">
        <v>0</v>
      </c>
    </row>
    <row r="1056" spans="1:5" ht="16.3" customHeight="1">
      <c r="A1056" s="552" t="s">
        <v>3694</v>
      </c>
      <c r="B1056" s="695" t="s">
        <v>3698</v>
      </c>
      <c r="C1056" s="539" t="s">
        <v>9102</v>
      </c>
      <c r="D1056" s="550" t="s">
        <v>2998</v>
      </c>
      <c r="E1056" s="552">
        <v>0</v>
      </c>
    </row>
    <row r="1057" spans="1:5" ht="16.3" customHeight="1">
      <c r="A1057" s="552" t="s">
        <v>3694</v>
      </c>
      <c r="B1057" s="695" t="s">
        <v>3698</v>
      </c>
      <c r="C1057" s="539" t="s">
        <v>2783</v>
      </c>
      <c r="D1057" s="550" t="s">
        <v>2998</v>
      </c>
      <c r="E1057" s="552">
        <v>0</v>
      </c>
    </row>
    <row r="1058" spans="1:5" ht="16.3" customHeight="1">
      <c r="A1058" s="552" t="s">
        <v>3694</v>
      </c>
      <c r="B1058" s="697" t="s">
        <v>3699</v>
      </c>
      <c r="C1058" s="539" t="s">
        <v>2783</v>
      </c>
      <c r="D1058" s="550" t="s">
        <v>2809</v>
      </c>
      <c r="E1058" s="552">
        <v>0</v>
      </c>
    </row>
    <row r="1059" spans="1:5" ht="16.3" customHeight="1">
      <c r="A1059" s="552" t="s">
        <v>3694</v>
      </c>
      <c r="B1059" s="697" t="s">
        <v>3699</v>
      </c>
      <c r="C1059" s="539" t="s">
        <v>6541</v>
      </c>
      <c r="D1059" s="550" t="s">
        <v>2809</v>
      </c>
      <c r="E1059" s="552">
        <v>0</v>
      </c>
    </row>
    <row r="1060" spans="1:5" ht="16.3" customHeight="1">
      <c r="A1060" s="552" t="s">
        <v>3694</v>
      </c>
      <c r="B1060" s="697" t="s">
        <v>3699</v>
      </c>
      <c r="C1060" s="539" t="s">
        <v>2783</v>
      </c>
      <c r="D1060" s="550" t="s">
        <v>2809</v>
      </c>
      <c r="E1060" s="552">
        <v>0</v>
      </c>
    </row>
    <row r="1061" spans="1:5" ht="16.3" customHeight="1">
      <c r="A1061" s="552" t="s">
        <v>3694</v>
      </c>
      <c r="B1061" s="697" t="s">
        <v>3699</v>
      </c>
      <c r="C1061" s="539" t="s">
        <v>9051</v>
      </c>
      <c r="D1061" s="550" t="s">
        <v>2809</v>
      </c>
      <c r="E1061" s="552">
        <v>0</v>
      </c>
    </row>
    <row r="1062" spans="1:5" ht="16.3" customHeight="1">
      <c r="A1062" s="552" t="s">
        <v>3694</v>
      </c>
      <c r="B1062" s="697" t="s">
        <v>3699</v>
      </c>
      <c r="C1062" s="539" t="s">
        <v>2783</v>
      </c>
      <c r="D1062" s="550" t="s">
        <v>2809</v>
      </c>
      <c r="E1062" s="552">
        <v>0</v>
      </c>
    </row>
    <row r="1063" spans="1:5" ht="16.3" customHeight="1">
      <c r="A1063" s="552" t="s">
        <v>3694</v>
      </c>
      <c r="B1063" s="694" t="s">
        <v>3700</v>
      </c>
      <c r="C1063" s="539" t="s">
        <v>9052</v>
      </c>
      <c r="D1063" s="550" t="s">
        <v>2971</v>
      </c>
      <c r="E1063" s="552">
        <v>0</v>
      </c>
    </row>
    <row r="1064" spans="1:5" ht="16.3" customHeight="1">
      <c r="A1064" s="552" t="s">
        <v>3694</v>
      </c>
      <c r="B1064" s="694" t="s">
        <v>3700</v>
      </c>
      <c r="C1064" s="539" t="s">
        <v>9053</v>
      </c>
      <c r="D1064" s="550" t="s">
        <v>2971</v>
      </c>
      <c r="E1064" s="552">
        <v>0</v>
      </c>
    </row>
    <row r="1065" spans="1:5" ht="16.3" customHeight="1">
      <c r="A1065" s="552" t="s">
        <v>3694</v>
      </c>
      <c r="B1065" s="700" t="s">
        <v>6055</v>
      </c>
      <c r="C1065" s="539" t="s">
        <v>2783</v>
      </c>
      <c r="D1065" s="550" t="s">
        <v>6697</v>
      </c>
      <c r="E1065" s="552">
        <v>0</v>
      </c>
    </row>
    <row r="1066" spans="1:5" ht="16.3" customHeight="1">
      <c r="A1066" s="552" t="s">
        <v>3694</v>
      </c>
      <c r="B1066" s="698" t="s">
        <v>3695</v>
      </c>
      <c r="C1066" s="539" t="s">
        <v>6545</v>
      </c>
      <c r="D1066" s="550" t="s">
        <v>2802</v>
      </c>
      <c r="E1066" s="552">
        <v>0</v>
      </c>
    </row>
    <row r="1067" spans="1:5" ht="16.3" customHeight="1">
      <c r="A1067" s="552" t="s">
        <v>3694</v>
      </c>
      <c r="B1067" s="698" t="s">
        <v>3695</v>
      </c>
      <c r="C1067" s="539" t="s">
        <v>6546</v>
      </c>
      <c r="D1067" s="550" t="s">
        <v>2802</v>
      </c>
      <c r="E1067" s="552">
        <v>0</v>
      </c>
    </row>
    <row r="1068" spans="1:5" ht="16.3" customHeight="1">
      <c r="A1068" s="552" t="s">
        <v>3694</v>
      </c>
      <c r="B1068" s="699" t="s">
        <v>3696</v>
      </c>
      <c r="C1068" s="539" t="s">
        <v>6547</v>
      </c>
      <c r="D1068" s="550" t="s">
        <v>2805</v>
      </c>
      <c r="E1068" s="552">
        <v>0</v>
      </c>
    </row>
    <row r="1069" spans="1:5" ht="16.3" customHeight="1">
      <c r="A1069" s="552" t="s">
        <v>3694</v>
      </c>
      <c r="B1069" s="699" t="s">
        <v>3696</v>
      </c>
      <c r="C1069" s="539" t="s">
        <v>2783</v>
      </c>
      <c r="D1069" s="550" t="s">
        <v>2805</v>
      </c>
      <c r="E1069" s="552">
        <v>0</v>
      </c>
    </row>
    <row r="1070" spans="1:5" ht="16.3" customHeight="1">
      <c r="A1070" s="552" t="s">
        <v>3694</v>
      </c>
      <c r="B1070" s="696" t="s">
        <v>3697</v>
      </c>
      <c r="C1070" s="539" t="s">
        <v>6548</v>
      </c>
      <c r="D1070" s="550" t="s">
        <v>2875</v>
      </c>
      <c r="E1070" s="552">
        <v>0</v>
      </c>
    </row>
    <row r="1071" spans="1:5" ht="16.3" customHeight="1">
      <c r="A1071" s="552" t="s">
        <v>3694</v>
      </c>
      <c r="B1071" s="696" t="s">
        <v>3697</v>
      </c>
      <c r="C1071" s="539" t="s">
        <v>6549</v>
      </c>
      <c r="D1071" s="550" t="s">
        <v>2875</v>
      </c>
      <c r="E1071" s="552">
        <v>0</v>
      </c>
    </row>
    <row r="1072" spans="1:5" ht="16.3" customHeight="1">
      <c r="A1072" s="552" t="s">
        <v>3694</v>
      </c>
      <c r="B1072" s="696" t="s">
        <v>3697</v>
      </c>
      <c r="C1072" s="539" t="s">
        <v>6550</v>
      </c>
      <c r="D1072" s="550" t="s">
        <v>2875</v>
      </c>
      <c r="E1072" s="552">
        <v>0</v>
      </c>
    </row>
    <row r="1073" spans="1:5" ht="16.3" customHeight="1">
      <c r="A1073" s="552" t="s">
        <v>3694</v>
      </c>
      <c r="B1073" s="695" t="s">
        <v>3698</v>
      </c>
      <c r="C1073" s="539" t="s">
        <v>6551</v>
      </c>
      <c r="D1073" s="550" t="s">
        <v>2998</v>
      </c>
      <c r="E1073" s="552">
        <v>0</v>
      </c>
    </row>
    <row r="1074" spans="1:5" ht="16.3" customHeight="1">
      <c r="A1074" s="552" t="s">
        <v>3694</v>
      </c>
      <c r="B1074" s="695" t="s">
        <v>3698</v>
      </c>
      <c r="C1074" s="539" t="s">
        <v>9103</v>
      </c>
      <c r="D1074" s="550" t="s">
        <v>2998</v>
      </c>
      <c r="E1074" s="552">
        <v>0</v>
      </c>
    </row>
    <row r="1075" spans="1:5" ht="16.3" customHeight="1">
      <c r="A1075" s="552" t="s">
        <v>3694</v>
      </c>
      <c r="B1075" s="695" t="s">
        <v>3698</v>
      </c>
      <c r="C1075" s="539" t="s">
        <v>8217</v>
      </c>
      <c r="D1075" s="550" t="s">
        <v>2998</v>
      </c>
      <c r="E1075" s="552">
        <v>0</v>
      </c>
    </row>
    <row r="1076" spans="1:5" ht="16.3" customHeight="1">
      <c r="A1076" s="552" t="s">
        <v>3694</v>
      </c>
      <c r="B1076" s="695" t="s">
        <v>3698</v>
      </c>
      <c r="C1076" s="539" t="s">
        <v>2783</v>
      </c>
      <c r="D1076" s="550" t="s">
        <v>2998</v>
      </c>
      <c r="E1076" s="552">
        <v>0</v>
      </c>
    </row>
    <row r="1077" spans="1:5" ht="16.3" customHeight="1">
      <c r="A1077" s="552" t="s">
        <v>3694</v>
      </c>
      <c r="B1077" s="697" t="s">
        <v>3699</v>
      </c>
      <c r="C1077" s="539" t="s">
        <v>6552</v>
      </c>
      <c r="D1077" s="550" t="s">
        <v>2809</v>
      </c>
      <c r="E1077" s="552">
        <v>0</v>
      </c>
    </row>
    <row r="1078" spans="1:5" ht="16.3" customHeight="1">
      <c r="A1078" s="552" t="s">
        <v>3694</v>
      </c>
      <c r="B1078" s="697" t="s">
        <v>3699</v>
      </c>
      <c r="C1078" s="539" t="s">
        <v>2783</v>
      </c>
      <c r="D1078" s="550" t="s">
        <v>2809</v>
      </c>
      <c r="E1078" s="552">
        <v>0</v>
      </c>
    </row>
    <row r="1079" spans="1:5" ht="16.3" customHeight="1">
      <c r="A1079" s="552" t="s">
        <v>3694</v>
      </c>
      <c r="B1079" s="697" t="s">
        <v>3699</v>
      </c>
      <c r="C1079" s="539" t="s">
        <v>8222</v>
      </c>
      <c r="D1079" s="550" t="s">
        <v>2809</v>
      </c>
      <c r="E1079" s="552">
        <v>0</v>
      </c>
    </row>
    <row r="1080" spans="1:5" ht="16.3" customHeight="1">
      <c r="A1080" s="552" t="s">
        <v>3694</v>
      </c>
      <c r="B1080" s="697" t="s">
        <v>3699</v>
      </c>
      <c r="C1080" s="539" t="s">
        <v>2783</v>
      </c>
      <c r="D1080" s="550" t="s">
        <v>2809</v>
      </c>
      <c r="E1080" s="552">
        <v>0</v>
      </c>
    </row>
    <row r="1081" spans="1:5" ht="16.3" customHeight="1">
      <c r="A1081" s="552" t="s">
        <v>3694</v>
      </c>
      <c r="B1081" s="697" t="s">
        <v>3699</v>
      </c>
      <c r="C1081" s="539" t="s">
        <v>2783</v>
      </c>
      <c r="D1081" s="550" t="s">
        <v>2809</v>
      </c>
      <c r="E1081" s="552">
        <v>0</v>
      </c>
    </row>
    <row r="1082" spans="1:5" ht="16.3" customHeight="1">
      <c r="A1082" s="552" t="s">
        <v>3694</v>
      </c>
      <c r="B1082" s="694" t="s">
        <v>3700</v>
      </c>
      <c r="C1082" s="539" t="s">
        <v>6553</v>
      </c>
      <c r="D1082" s="550" t="s">
        <v>2971</v>
      </c>
      <c r="E1082" s="552">
        <v>0</v>
      </c>
    </row>
    <row r="1083" spans="1:5" ht="16.3" customHeight="1">
      <c r="A1083" s="552" t="s">
        <v>3694</v>
      </c>
      <c r="B1083" s="694" t="s">
        <v>3700</v>
      </c>
      <c r="C1083" s="539" t="s">
        <v>2783</v>
      </c>
      <c r="D1083" s="550" t="s">
        <v>2971</v>
      </c>
      <c r="E1083" s="552">
        <v>0</v>
      </c>
    </row>
    <row r="1084" spans="1:5" ht="16.3" customHeight="1">
      <c r="A1084" s="552" t="s">
        <v>3694</v>
      </c>
      <c r="B1084" s="700" t="s">
        <v>6055</v>
      </c>
      <c r="C1084" s="539" t="s">
        <v>2783</v>
      </c>
      <c r="D1084" s="550" t="s">
        <v>6697</v>
      </c>
      <c r="E1084" s="552">
        <v>0</v>
      </c>
    </row>
    <row r="1085" spans="1:5" ht="16.3" customHeight="1">
      <c r="A1085" s="552" t="s">
        <v>3694</v>
      </c>
      <c r="B1085" s="698" t="s">
        <v>3695</v>
      </c>
      <c r="C1085" s="539" t="s">
        <v>2783</v>
      </c>
      <c r="D1085" s="550" t="s">
        <v>2802</v>
      </c>
      <c r="E1085" s="552">
        <v>0</v>
      </c>
    </row>
    <row r="1086" spans="1:5" ht="16.3" customHeight="1">
      <c r="A1086" s="552" t="s">
        <v>3694</v>
      </c>
      <c r="B1086" s="698" t="s">
        <v>3695</v>
      </c>
      <c r="C1086" s="539" t="s">
        <v>2783</v>
      </c>
      <c r="D1086" s="550" t="s">
        <v>2802</v>
      </c>
      <c r="E1086" s="552">
        <v>0</v>
      </c>
    </row>
    <row r="1087" spans="1:5" ht="16.3" customHeight="1">
      <c r="A1087" s="552" t="s">
        <v>3694</v>
      </c>
      <c r="B1087" s="699" t="s">
        <v>3696</v>
      </c>
      <c r="C1087" s="539" t="s">
        <v>6554</v>
      </c>
      <c r="D1087" s="550" t="s">
        <v>2805</v>
      </c>
      <c r="E1087" s="552">
        <v>0</v>
      </c>
    </row>
    <row r="1088" spans="1:5" ht="16.3" customHeight="1">
      <c r="A1088" s="552" t="s">
        <v>3694</v>
      </c>
      <c r="B1088" s="699" t="s">
        <v>3696</v>
      </c>
      <c r="C1088" s="539" t="s">
        <v>2783</v>
      </c>
      <c r="D1088" s="550" t="s">
        <v>2805</v>
      </c>
      <c r="E1088" s="552">
        <v>0</v>
      </c>
    </row>
    <row r="1089" spans="1:5" ht="16.3" customHeight="1">
      <c r="A1089" s="552" t="s">
        <v>3694</v>
      </c>
      <c r="B1089" s="696" t="s">
        <v>3697</v>
      </c>
      <c r="C1089" s="539" t="s">
        <v>6555</v>
      </c>
      <c r="D1089" s="550" t="s">
        <v>2875</v>
      </c>
      <c r="E1089" s="552">
        <v>0</v>
      </c>
    </row>
    <row r="1090" spans="1:5" ht="16.3" customHeight="1">
      <c r="A1090" s="552" t="s">
        <v>3694</v>
      </c>
      <c r="B1090" s="696" t="s">
        <v>3697</v>
      </c>
      <c r="C1090" s="539" t="s">
        <v>9054</v>
      </c>
      <c r="D1090" s="550" t="s">
        <v>2875</v>
      </c>
      <c r="E1090" s="552">
        <v>0</v>
      </c>
    </row>
    <row r="1091" spans="1:5" ht="16.3" customHeight="1">
      <c r="A1091" s="552" t="s">
        <v>3694</v>
      </c>
      <c r="B1091" s="696" t="s">
        <v>3697</v>
      </c>
      <c r="C1091" s="539" t="s">
        <v>2783</v>
      </c>
      <c r="D1091" s="550" t="s">
        <v>2875</v>
      </c>
      <c r="E1091" s="552">
        <v>0</v>
      </c>
    </row>
    <row r="1092" spans="1:5" ht="16.3" customHeight="1">
      <c r="A1092" s="552" t="s">
        <v>3694</v>
      </c>
      <c r="B1092" s="695" t="s">
        <v>3698</v>
      </c>
      <c r="C1092" s="539" t="s">
        <v>6557</v>
      </c>
      <c r="D1092" s="550" t="s">
        <v>2998</v>
      </c>
      <c r="E1092" s="552">
        <v>0</v>
      </c>
    </row>
    <row r="1093" spans="1:5" ht="16.3" customHeight="1">
      <c r="A1093" s="552" t="s">
        <v>3694</v>
      </c>
      <c r="B1093" s="695" t="s">
        <v>3698</v>
      </c>
      <c r="C1093" s="539" t="s">
        <v>6558</v>
      </c>
      <c r="D1093" s="550" t="s">
        <v>2998</v>
      </c>
      <c r="E1093" s="552">
        <v>0</v>
      </c>
    </row>
    <row r="1094" spans="1:5" ht="16.3" customHeight="1">
      <c r="A1094" s="552" t="s">
        <v>3694</v>
      </c>
      <c r="B1094" s="695" t="s">
        <v>3698</v>
      </c>
      <c r="C1094" s="539" t="s">
        <v>6559</v>
      </c>
      <c r="D1094" s="550" t="s">
        <v>2998</v>
      </c>
      <c r="E1094" s="552">
        <v>0</v>
      </c>
    </row>
    <row r="1095" spans="1:5" ht="16.3" customHeight="1">
      <c r="A1095" s="552" t="s">
        <v>3694</v>
      </c>
      <c r="B1095" s="695" t="s">
        <v>3698</v>
      </c>
      <c r="C1095" s="539" t="s">
        <v>2783</v>
      </c>
      <c r="D1095" s="550" t="s">
        <v>2998</v>
      </c>
      <c r="E1095" s="552">
        <v>0</v>
      </c>
    </row>
    <row r="1096" spans="1:5" ht="16.3" customHeight="1">
      <c r="A1096" s="552" t="s">
        <v>3694</v>
      </c>
      <c r="B1096" s="697" t="s">
        <v>3699</v>
      </c>
      <c r="C1096" s="539" t="s">
        <v>6560</v>
      </c>
      <c r="D1096" s="550" t="s">
        <v>2809</v>
      </c>
      <c r="E1096" s="552">
        <v>0</v>
      </c>
    </row>
    <row r="1097" spans="1:5" ht="16.3" customHeight="1">
      <c r="A1097" s="552" t="s">
        <v>3694</v>
      </c>
      <c r="B1097" s="697" t="s">
        <v>3699</v>
      </c>
      <c r="C1097" s="539" t="s">
        <v>9104</v>
      </c>
      <c r="D1097" s="550" t="s">
        <v>2809</v>
      </c>
      <c r="E1097" s="552">
        <v>0</v>
      </c>
    </row>
    <row r="1098" spans="1:5" ht="16.3" customHeight="1">
      <c r="A1098" s="552" t="s">
        <v>3694</v>
      </c>
      <c r="B1098" s="697" t="s">
        <v>3699</v>
      </c>
      <c r="C1098" s="539" t="s">
        <v>2783</v>
      </c>
      <c r="D1098" s="550" t="s">
        <v>2809</v>
      </c>
      <c r="E1098" s="552">
        <v>0</v>
      </c>
    </row>
    <row r="1099" spans="1:5" ht="16.3" customHeight="1">
      <c r="A1099" s="552" t="s">
        <v>3694</v>
      </c>
      <c r="B1099" s="697" t="s">
        <v>3699</v>
      </c>
      <c r="C1099" s="539" t="s">
        <v>2783</v>
      </c>
      <c r="D1099" s="550" t="s">
        <v>2809</v>
      </c>
      <c r="E1099" s="552">
        <v>0</v>
      </c>
    </row>
    <row r="1100" spans="1:5" ht="16.3" customHeight="1">
      <c r="A1100" s="552" t="s">
        <v>3694</v>
      </c>
      <c r="B1100" s="697" t="s">
        <v>3699</v>
      </c>
      <c r="C1100" s="539" t="s">
        <v>2783</v>
      </c>
      <c r="D1100" s="550" t="s">
        <v>2809</v>
      </c>
      <c r="E1100" s="552">
        <v>0</v>
      </c>
    </row>
    <row r="1101" spans="1:5" ht="16.3" customHeight="1">
      <c r="A1101" s="552" t="s">
        <v>3694</v>
      </c>
      <c r="B1101" s="694" t="s">
        <v>3700</v>
      </c>
      <c r="C1101" s="539" t="s">
        <v>6561</v>
      </c>
      <c r="D1101" s="550" t="s">
        <v>2971</v>
      </c>
      <c r="E1101" s="552">
        <v>0</v>
      </c>
    </row>
    <row r="1102" spans="1:5" ht="16.3" customHeight="1">
      <c r="A1102" s="552" t="s">
        <v>3694</v>
      </c>
      <c r="B1102" s="694" t="s">
        <v>3700</v>
      </c>
      <c r="C1102" s="539" t="s">
        <v>2783</v>
      </c>
      <c r="D1102" s="550" t="s">
        <v>2971</v>
      </c>
      <c r="E1102" s="552">
        <v>0</v>
      </c>
    </row>
    <row r="1103" spans="1:5" ht="16.3" customHeight="1">
      <c r="A1103" s="552" t="s">
        <v>3694</v>
      </c>
      <c r="B1103" s="700" t="s">
        <v>6055</v>
      </c>
      <c r="C1103" s="539" t="s">
        <v>2783</v>
      </c>
      <c r="D1103" s="550" t="s">
        <v>6697</v>
      </c>
      <c r="E1103" s="552">
        <v>0</v>
      </c>
    </row>
    <row r="1104" spans="1:5" ht="16.3" customHeight="1">
      <c r="A1104" s="552" t="s">
        <v>3694</v>
      </c>
      <c r="B1104" s="698" t="s">
        <v>3695</v>
      </c>
      <c r="C1104" s="539" t="s">
        <v>6562</v>
      </c>
      <c r="D1104" s="550" t="s">
        <v>2802</v>
      </c>
      <c r="E1104" s="552">
        <v>0</v>
      </c>
    </row>
    <row r="1105" spans="1:5" ht="16.3" customHeight="1">
      <c r="A1105" s="552" t="s">
        <v>3694</v>
      </c>
      <c r="B1105" s="698" t="s">
        <v>3695</v>
      </c>
      <c r="C1105" s="539" t="s">
        <v>2783</v>
      </c>
      <c r="D1105" s="550" t="s">
        <v>2802</v>
      </c>
      <c r="E1105" s="552">
        <v>0</v>
      </c>
    </row>
    <row r="1106" spans="1:5" ht="16.3" customHeight="1">
      <c r="A1106" s="552" t="s">
        <v>3694</v>
      </c>
      <c r="B1106" s="699" t="s">
        <v>3696</v>
      </c>
      <c r="C1106" s="539" t="s">
        <v>6563</v>
      </c>
      <c r="D1106" s="550" t="s">
        <v>2805</v>
      </c>
      <c r="E1106" s="552">
        <v>0</v>
      </c>
    </row>
    <row r="1107" spans="1:5" ht="16.3" customHeight="1">
      <c r="A1107" s="552" t="s">
        <v>3694</v>
      </c>
      <c r="B1107" s="699" t="s">
        <v>3696</v>
      </c>
      <c r="C1107" s="539" t="s">
        <v>2783</v>
      </c>
      <c r="D1107" s="550" t="s">
        <v>2805</v>
      </c>
      <c r="E1107" s="552">
        <v>0</v>
      </c>
    </row>
    <row r="1108" spans="1:5" ht="16.3" customHeight="1">
      <c r="A1108" s="552" t="s">
        <v>3694</v>
      </c>
      <c r="B1108" s="696" t="s">
        <v>3697</v>
      </c>
      <c r="C1108" s="539" t="s">
        <v>6564</v>
      </c>
      <c r="D1108" s="550" t="s">
        <v>2875</v>
      </c>
      <c r="E1108" s="552">
        <v>0</v>
      </c>
    </row>
    <row r="1109" spans="1:5" ht="16.3" customHeight="1">
      <c r="A1109" s="552" t="s">
        <v>3694</v>
      </c>
      <c r="B1109" s="696" t="s">
        <v>3697</v>
      </c>
      <c r="C1109" s="539" t="s">
        <v>6565</v>
      </c>
      <c r="D1109" s="550" t="s">
        <v>2875</v>
      </c>
      <c r="E1109" s="552">
        <v>0</v>
      </c>
    </row>
    <row r="1110" spans="1:5" ht="16.3" customHeight="1">
      <c r="A1110" s="552" t="s">
        <v>3694</v>
      </c>
      <c r="B1110" s="696" t="s">
        <v>3697</v>
      </c>
      <c r="C1110" s="539" t="s">
        <v>6566</v>
      </c>
      <c r="D1110" s="550" t="s">
        <v>2875</v>
      </c>
      <c r="E1110" s="552">
        <v>0</v>
      </c>
    </row>
    <row r="1111" spans="1:5" ht="16.3" customHeight="1">
      <c r="A1111" s="552" t="s">
        <v>3694</v>
      </c>
      <c r="B1111" s="695" t="s">
        <v>3698</v>
      </c>
      <c r="C1111" s="539" t="s">
        <v>6567</v>
      </c>
      <c r="D1111" s="550" t="s">
        <v>2998</v>
      </c>
      <c r="E1111" s="552">
        <v>0</v>
      </c>
    </row>
    <row r="1112" spans="1:5" ht="16.3" customHeight="1">
      <c r="A1112" s="552" t="s">
        <v>3694</v>
      </c>
      <c r="B1112" s="695" t="s">
        <v>3698</v>
      </c>
      <c r="C1112" s="539" t="s">
        <v>6568</v>
      </c>
      <c r="D1112" s="550" t="s">
        <v>2998</v>
      </c>
      <c r="E1112" s="552">
        <v>0</v>
      </c>
    </row>
    <row r="1113" spans="1:5" ht="16.3" customHeight="1">
      <c r="A1113" s="552" t="s">
        <v>3694</v>
      </c>
      <c r="B1113" s="695" t="s">
        <v>3698</v>
      </c>
      <c r="C1113" s="539" t="s">
        <v>2783</v>
      </c>
      <c r="D1113" s="550" t="s">
        <v>2998</v>
      </c>
      <c r="E1113" s="552">
        <v>0</v>
      </c>
    </row>
    <row r="1114" spans="1:5" ht="16.3" customHeight="1">
      <c r="A1114" s="552" t="s">
        <v>3694</v>
      </c>
      <c r="B1114" s="695" t="s">
        <v>3698</v>
      </c>
      <c r="C1114" s="539" t="s">
        <v>2783</v>
      </c>
      <c r="D1114" s="550" t="s">
        <v>2998</v>
      </c>
      <c r="E1114" s="552">
        <v>0</v>
      </c>
    </row>
    <row r="1115" spans="1:5" ht="16.3" customHeight="1">
      <c r="A1115" s="552" t="s">
        <v>3694</v>
      </c>
      <c r="B1115" s="697" t="s">
        <v>3699</v>
      </c>
      <c r="C1115" s="539" t="s">
        <v>6569</v>
      </c>
      <c r="D1115" s="550" t="s">
        <v>2809</v>
      </c>
      <c r="E1115" s="552">
        <v>0</v>
      </c>
    </row>
    <row r="1116" spans="1:5" ht="16.3" customHeight="1">
      <c r="A1116" s="552" t="s">
        <v>3694</v>
      </c>
      <c r="B1116" s="697" t="s">
        <v>3699</v>
      </c>
      <c r="C1116" s="539" t="s">
        <v>6570</v>
      </c>
      <c r="D1116" s="550" t="s">
        <v>2809</v>
      </c>
      <c r="E1116" s="552">
        <v>0</v>
      </c>
    </row>
    <row r="1117" spans="1:5" ht="16.3" customHeight="1">
      <c r="A1117" s="552" t="s">
        <v>3694</v>
      </c>
      <c r="B1117" s="697" t="s">
        <v>3699</v>
      </c>
      <c r="C1117" s="539" t="s">
        <v>9105</v>
      </c>
      <c r="D1117" s="550" t="s">
        <v>2809</v>
      </c>
      <c r="E1117" s="552">
        <v>0</v>
      </c>
    </row>
    <row r="1118" spans="1:5" ht="16.3" customHeight="1">
      <c r="A1118" s="552" t="s">
        <v>3694</v>
      </c>
      <c r="B1118" s="697" t="s">
        <v>3699</v>
      </c>
      <c r="C1118" s="539" t="s">
        <v>6571</v>
      </c>
      <c r="D1118" s="550" t="s">
        <v>2809</v>
      </c>
      <c r="E1118" s="552">
        <v>0</v>
      </c>
    </row>
    <row r="1119" spans="1:5" ht="16.3" customHeight="1">
      <c r="A1119" s="552" t="s">
        <v>3694</v>
      </c>
      <c r="B1119" s="697" t="s">
        <v>3699</v>
      </c>
      <c r="C1119" s="539" t="s">
        <v>6572</v>
      </c>
      <c r="D1119" s="550" t="s">
        <v>2809</v>
      </c>
      <c r="E1119" s="552">
        <v>0</v>
      </c>
    </row>
    <row r="1120" spans="1:5" ht="16.3" customHeight="1">
      <c r="A1120" s="552" t="s">
        <v>3694</v>
      </c>
      <c r="B1120" s="694" t="s">
        <v>3700</v>
      </c>
      <c r="C1120" s="539" t="s">
        <v>9055</v>
      </c>
      <c r="D1120" s="550" t="s">
        <v>2971</v>
      </c>
      <c r="E1120" s="552">
        <v>0</v>
      </c>
    </row>
    <row r="1121" spans="1:5" ht="16.3" customHeight="1">
      <c r="A1121" s="552" t="s">
        <v>3694</v>
      </c>
      <c r="B1121" s="694" t="s">
        <v>3700</v>
      </c>
      <c r="C1121" s="539" t="s">
        <v>2783</v>
      </c>
      <c r="D1121" s="550" t="s">
        <v>2971</v>
      </c>
      <c r="E1121" s="552">
        <v>0</v>
      </c>
    </row>
    <row r="1122" spans="1:5" ht="16.3" customHeight="1">
      <c r="A1122" s="552" t="s">
        <v>3694</v>
      </c>
      <c r="B1122" s="700" t="s">
        <v>6055</v>
      </c>
      <c r="C1122" s="539" t="s">
        <v>2783</v>
      </c>
      <c r="D1122" s="550" t="s">
        <v>6697</v>
      </c>
      <c r="E1122" s="552">
        <v>0</v>
      </c>
    </row>
    <row r="1123" spans="1:5" ht="16.3" customHeight="1">
      <c r="A1123" s="552" t="s">
        <v>3694</v>
      </c>
      <c r="B1123" s="698" t="s">
        <v>3695</v>
      </c>
      <c r="C1123" s="539" t="s">
        <v>6574</v>
      </c>
      <c r="D1123" s="550" t="s">
        <v>2802</v>
      </c>
      <c r="E1123" s="552">
        <v>0</v>
      </c>
    </row>
    <row r="1124" spans="1:5" ht="16.3" customHeight="1">
      <c r="A1124" s="552" t="s">
        <v>3694</v>
      </c>
      <c r="B1124" s="698" t="s">
        <v>3695</v>
      </c>
      <c r="C1124" s="539" t="s">
        <v>2783</v>
      </c>
      <c r="D1124" s="550" t="s">
        <v>2802</v>
      </c>
      <c r="E1124" s="552">
        <v>0</v>
      </c>
    </row>
    <row r="1125" spans="1:5" ht="16.3" customHeight="1">
      <c r="A1125" s="552" t="s">
        <v>3694</v>
      </c>
      <c r="B1125" s="699" t="s">
        <v>3696</v>
      </c>
      <c r="C1125" s="539" t="s">
        <v>2783</v>
      </c>
      <c r="D1125" s="550" t="s">
        <v>2805</v>
      </c>
      <c r="E1125" s="552">
        <v>0</v>
      </c>
    </row>
    <row r="1126" spans="1:5" ht="16.3" customHeight="1">
      <c r="A1126" s="552" t="s">
        <v>3694</v>
      </c>
      <c r="B1126" s="699" t="s">
        <v>3696</v>
      </c>
      <c r="C1126" s="539" t="s">
        <v>2783</v>
      </c>
      <c r="D1126" s="550" t="s">
        <v>2805</v>
      </c>
      <c r="E1126" s="552">
        <v>0</v>
      </c>
    </row>
    <row r="1127" spans="1:5" ht="16.3" customHeight="1">
      <c r="A1127" s="552" t="s">
        <v>3694</v>
      </c>
      <c r="B1127" s="696" t="s">
        <v>3697</v>
      </c>
      <c r="C1127" s="539" t="s">
        <v>6575</v>
      </c>
      <c r="D1127" s="550" t="s">
        <v>2875</v>
      </c>
      <c r="E1127" s="552">
        <v>0</v>
      </c>
    </row>
    <row r="1128" spans="1:5" ht="16.3" customHeight="1">
      <c r="A1128" s="552" t="s">
        <v>3694</v>
      </c>
      <c r="B1128" s="696" t="s">
        <v>3697</v>
      </c>
      <c r="C1128" s="539" t="s">
        <v>2783</v>
      </c>
      <c r="D1128" s="550" t="s">
        <v>2875</v>
      </c>
      <c r="E1128" s="552">
        <v>0</v>
      </c>
    </row>
    <row r="1129" spans="1:5" ht="16.3" customHeight="1">
      <c r="A1129" s="552" t="s">
        <v>3694</v>
      </c>
      <c r="B1129" s="696" t="s">
        <v>3697</v>
      </c>
      <c r="C1129" s="539" t="s">
        <v>2783</v>
      </c>
      <c r="D1129" s="550" t="s">
        <v>2875</v>
      </c>
      <c r="E1129" s="552">
        <v>0</v>
      </c>
    </row>
    <row r="1130" spans="1:5" ht="16.3" customHeight="1">
      <c r="A1130" s="552" t="s">
        <v>3694</v>
      </c>
      <c r="B1130" s="695" t="s">
        <v>3698</v>
      </c>
      <c r="C1130" s="539" t="s">
        <v>6576</v>
      </c>
      <c r="D1130" s="550" t="s">
        <v>2998</v>
      </c>
      <c r="E1130" s="552">
        <v>0</v>
      </c>
    </row>
    <row r="1131" spans="1:5" ht="16.3" customHeight="1">
      <c r="A1131" s="552" t="s">
        <v>3694</v>
      </c>
      <c r="B1131" s="695" t="s">
        <v>3698</v>
      </c>
      <c r="C1131" s="539" t="s">
        <v>2783</v>
      </c>
      <c r="D1131" s="550" t="s">
        <v>2998</v>
      </c>
      <c r="E1131" s="552">
        <v>0</v>
      </c>
    </row>
    <row r="1132" spans="1:5" ht="16.3" customHeight="1">
      <c r="A1132" s="552" t="s">
        <v>3694</v>
      </c>
      <c r="B1132" s="695" t="s">
        <v>3698</v>
      </c>
      <c r="C1132" s="539" t="s">
        <v>2783</v>
      </c>
      <c r="D1132" s="550" t="s">
        <v>2998</v>
      </c>
      <c r="E1132" s="552">
        <v>0</v>
      </c>
    </row>
    <row r="1133" spans="1:5" ht="16.3" customHeight="1">
      <c r="A1133" s="552" t="s">
        <v>3694</v>
      </c>
      <c r="B1133" s="695" t="s">
        <v>3698</v>
      </c>
      <c r="C1133" s="539" t="s">
        <v>2783</v>
      </c>
      <c r="D1133" s="550" t="s">
        <v>2998</v>
      </c>
      <c r="E1133" s="552">
        <v>0</v>
      </c>
    </row>
    <row r="1134" spans="1:5" ht="16.3" customHeight="1">
      <c r="A1134" s="552" t="s">
        <v>3694</v>
      </c>
      <c r="B1134" s="697" t="s">
        <v>3699</v>
      </c>
      <c r="C1134" s="539" t="s">
        <v>6577</v>
      </c>
      <c r="D1134" s="550" t="s">
        <v>2809</v>
      </c>
      <c r="E1134" s="552">
        <v>0</v>
      </c>
    </row>
    <row r="1135" spans="1:5" ht="16.3" customHeight="1">
      <c r="A1135" s="552" t="s">
        <v>3694</v>
      </c>
      <c r="B1135" s="697" t="s">
        <v>3699</v>
      </c>
      <c r="C1135" s="539" t="s">
        <v>6578</v>
      </c>
      <c r="D1135" s="550" t="s">
        <v>2809</v>
      </c>
      <c r="E1135" s="552">
        <v>0</v>
      </c>
    </row>
    <row r="1136" spans="1:5" ht="16.3" customHeight="1">
      <c r="A1136" s="552" t="s">
        <v>3694</v>
      </c>
      <c r="B1136" s="697" t="s">
        <v>3699</v>
      </c>
      <c r="C1136" s="539" t="s">
        <v>6579</v>
      </c>
      <c r="D1136" s="550" t="s">
        <v>2809</v>
      </c>
      <c r="E1136" s="552">
        <v>0</v>
      </c>
    </row>
    <row r="1137" spans="1:5" ht="16.3" customHeight="1">
      <c r="A1137" s="552" t="s">
        <v>3694</v>
      </c>
      <c r="B1137" s="697" t="s">
        <v>3699</v>
      </c>
      <c r="C1137" s="539" t="s">
        <v>6580</v>
      </c>
      <c r="D1137" s="550" t="s">
        <v>2809</v>
      </c>
      <c r="E1137" s="552">
        <v>0</v>
      </c>
    </row>
    <row r="1138" spans="1:5" ht="16.3" customHeight="1">
      <c r="A1138" s="552" t="s">
        <v>3694</v>
      </c>
      <c r="B1138" s="697" t="s">
        <v>3699</v>
      </c>
      <c r="C1138" s="539" t="s">
        <v>2783</v>
      </c>
      <c r="D1138" s="550" t="s">
        <v>2809</v>
      </c>
      <c r="E1138" s="552">
        <v>0</v>
      </c>
    </row>
    <row r="1139" spans="1:5" ht="16.3" customHeight="1">
      <c r="A1139" s="552" t="s">
        <v>3694</v>
      </c>
      <c r="B1139" s="694" t="s">
        <v>3700</v>
      </c>
      <c r="C1139" s="539" t="s">
        <v>6581</v>
      </c>
      <c r="D1139" s="550" t="s">
        <v>2971</v>
      </c>
      <c r="E1139" s="552">
        <v>0</v>
      </c>
    </row>
    <row r="1140" spans="1:5" ht="16.3" customHeight="1">
      <c r="A1140" s="552" t="s">
        <v>3694</v>
      </c>
      <c r="B1140" s="694" t="s">
        <v>3700</v>
      </c>
      <c r="C1140" s="539" t="s">
        <v>2783</v>
      </c>
      <c r="D1140" s="550" t="s">
        <v>2971</v>
      </c>
      <c r="E1140" s="552">
        <v>0</v>
      </c>
    </row>
    <row r="1141" spans="1:5" ht="16.3" customHeight="1">
      <c r="A1141" s="552" t="s">
        <v>3694</v>
      </c>
      <c r="B1141" s="700" t="s">
        <v>6055</v>
      </c>
      <c r="C1141" s="539" t="s">
        <v>2783</v>
      </c>
      <c r="D1141" s="550" t="s">
        <v>6697</v>
      </c>
      <c r="E1141" s="552">
        <v>0</v>
      </c>
    </row>
    <row r="1142" spans="1:5" ht="16.3" customHeight="1">
      <c r="A1142" s="552" t="s">
        <v>3694</v>
      </c>
      <c r="B1142" s="698" t="s">
        <v>3695</v>
      </c>
      <c r="C1142" s="539" t="s">
        <v>6582</v>
      </c>
      <c r="D1142" s="550" t="s">
        <v>2802</v>
      </c>
      <c r="E1142" s="552">
        <v>0</v>
      </c>
    </row>
    <row r="1143" spans="1:5" ht="16.3" customHeight="1">
      <c r="A1143" s="552" t="s">
        <v>3694</v>
      </c>
      <c r="B1143" s="698" t="s">
        <v>3695</v>
      </c>
      <c r="C1143" s="539" t="s">
        <v>2783</v>
      </c>
      <c r="D1143" s="550" t="s">
        <v>2802</v>
      </c>
      <c r="E1143" s="552">
        <v>0</v>
      </c>
    </row>
    <row r="1144" spans="1:5" ht="16.3" customHeight="1">
      <c r="A1144" s="552" t="s">
        <v>3694</v>
      </c>
      <c r="B1144" s="699" t="s">
        <v>3696</v>
      </c>
      <c r="C1144" s="539" t="s">
        <v>6583</v>
      </c>
      <c r="D1144" s="550" t="s">
        <v>2805</v>
      </c>
      <c r="E1144" s="552">
        <v>0</v>
      </c>
    </row>
    <row r="1145" spans="1:5" ht="16.3" customHeight="1">
      <c r="A1145" s="552" t="s">
        <v>3694</v>
      </c>
      <c r="B1145" s="699" t="s">
        <v>3696</v>
      </c>
      <c r="C1145" s="539" t="s">
        <v>2783</v>
      </c>
      <c r="D1145" s="550" t="s">
        <v>2805</v>
      </c>
      <c r="E1145" s="552">
        <v>0</v>
      </c>
    </row>
    <row r="1146" spans="1:5" ht="16.3" customHeight="1">
      <c r="A1146" s="552" t="s">
        <v>3694</v>
      </c>
      <c r="B1146" s="696" t="s">
        <v>3697</v>
      </c>
      <c r="C1146" s="539" t="s">
        <v>6584</v>
      </c>
      <c r="D1146" s="550" t="s">
        <v>2875</v>
      </c>
      <c r="E1146" s="552">
        <v>0</v>
      </c>
    </row>
    <row r="1147" spans="1:5" ht="16.3" customHeight="1">
      <c r="A1147" s="552" t="s">
        <v>3694</v>
      </c>
      <c r="B1147" s="696" t="s">
        <v>3697</v>
      </c>
      <c r="C1147" s="539" t="s">
        <v>6585</v>
      </c>
      <c r="D1147" s="550" t="s">
        <v>2875</v>
      </c>
      <c r="E1147" s="552">
        <v>0</v>
      </c>
    </row>
    <row r="1148" spans="1:5" ht="16.3" customHeight="1">
      <c r="A1148" s="552" t="s">
        <v>3694</v>
      </c>
      <c r="B1148" s="696" t="s">
        <v>3697</v>
      </c>
      <c r="C1148" s="539" t="s">
        <v>6586</v>
      </c>
      <c r="D1148" s="550" t="s">
        <v>2875</v>
      </c>
      <c r="E1148" s="552">
        <v>0</v>
      </c>
    </row>
    <row r="1149" spans="1:5" ht="16.3" customHeight="1">
      <c r="A1149" s="552" t="s">
        <v>3694</v>
      </c>
      <c r="B1149" s="695" t="s">
        <v>3698</v>
      </c>
      <c r="C1149" s="539" t="s">
        <v>9056</v>
      </c>
      <c r="D1149" s="550" t="s">
        <v>2998</v>
      </c>
      <c r="E1149" s="552">
        <v>0</v>
      </c>
    </row>
    <row r="1150" spans="1:5" ht="16.3" customHeight="1">
      <c r="A1150" s="552" t="s">
        <v>3694</v>
      </c>
      <c r="B1150" s="695" t="s">
        <v>3698</v>
      </c>
      <c r="C1150" s="539" t="s">
        <v>6588</v>
      </c>
      <c r="D1150" s="550" t="s">
        <v>2998</v>
      </c>
      <c r="E1150" s="552">
        <v>0</v>
      </c>
    </row>
    <row r="1151" spans="1:5" ht="16.3" customHeight="1">
      <c r="A1151" s="552" t="s">
        <v>3694</v>
      </c>
      <c r="B1151" s="695" t="s">
        <v>3698</v>
      </c>
      <c r="C1151" s="539" t="s">
        <v>8293</v>
      </c>
      <c r="D1151" s="550" t="s">
        <v>2998</v>
      </c>
      <c r="E1151" s="552">
        <v>0</v>
      </c>
    </row>
    <row r="1152" spans="1:5" ht="16.3" customHeight="1">
      <c r="A1152" s="552" t="s">
        <v>3694</v>
      </c>
      <c r="B1152" s="695" t="s">
        <v>3698</v>
      </c>
      <c r="C1152" s="539" t="s">
        <v>6589</v>
      </c>
      <c r="D1152" s="550" t="s">
        <v>2998</v>
      </c>
      <c r="E1152" s="552">
        <v>0</v>
      </c>
    </row>
    <row r="1153" spans="1:5" ht="16.3" customHeight="1">
      <c r="A1153" s="552" t="s">
        <v>3694</v>
      </c>
      <c r="B1153" s="697" t="s">
        <v>3699</v>
      </c>
      <c r="C1153" s="539" t="s">
        <v>6590</v>
      </c>
      <c r="D1153" s="550" t="s">
        <v>2809</v>
      </c>
      <c r="E1153" s="552">
        <v>0</v>
      </c>
    </row>
    <row r="1154" spans="1:5" ht="16.3" customHeight="1">
      <c r="A1154" s="552" t="s">
        <v>3694</v>
      </c>
      <c r="B1154" s="697" t="s">
        <v>3699</v>
      </c>
      <c r="C1154" s="539" t="s">
        <v>2783</v>
      </c>
      <c r="D1154" s="550" t="s">
        <v>2809</v>
      </c>
      <c r="E1154" s="552">
        <v>0</v>
      </c>
    </row>
    <row r="1155" spans="1:5" ht="16.3" customHeight="1">
      <c r="A1155" s="552" t="s">
        <v>3694</v>
      </c>
      <c r="B1155" s="697" t="s">
        <v>3699</v>
      </c>
      <c r="C1155" s="539" t="s">
        <v>6591</v>
      </c>
      <c r="D1155" s="550" t="s">
        <v>2809</v>
      </c>
      <c r="E1155" s="552">
        <v>0</v>
      </c>
    </row>
    <row r="1156" spans="1:5" ht="16.3" customHeight="1">
      <c r="A1156" s="552" t="s">
        <v>3694</v>
      </c>
      <c r="B1156" s="697" t="s">
        <v>3699</v>
      </c>
      <c r="C1156" s="539" t="s">
        <v>8303</v>
      </c>
      <c r="D1156" s="550" t="s">
        <v>2809</v>
      </c>
      <c r="E1156" s="552">
        <v>0</v>
      </c>
    </row>
    <row r="1157" spans="1:5" ht="16.3" customHeight="1">
      <c r="A1157" s="552" t="s">
        <v>3694</v>
      </c>
      <c r="B1157" s="697" t="s">
        <v>3699</v>
      </c>
      <c r="C1157" s="539" t="s">
        <v>6592</v>
      </c>
      <c r="D1157" s="550" t="s">
        <v>2809</v>
      </c>
      <c r="E1157" s="552">
        <v>0</v>
      </c>
    </row>
    <row r="1158" spans="1:5" ht="16.3" customHeight="1">
      <c r="A1158" s="552" t="s">
        <v>3694</v>
      </c>
      <c r="B1158" s="694" t="s">
        <v>3700</v>
      </c>
      <c r="C1158" s="539" t="s">
        <v>6593</v>
      </c>
      <c r="D1158" s="550" t="s">
        <v>2971</v>
      </c>
      <c r="E1158" s="552">
        <v>0</v>
      </c>
    </row>
    <row r="1159" spans="1:5" ht="16.3" customHeight="1">
      <c r="A1159" s="552" t="s">
        <v>3694</v>
      </c>
      <c r="B1159" s="694" t="s">
        <v>3700</v>
      </c>
      <c r="C1159" s="539" t="s">
        <v>2783</v>
      </c>
      <c r="D1159" s="550" t="s">
        <v>2971</v>
      </c>
      <c r="E1159" s="552">
        <v>0</v>
      </c>
    </row>
    <row r="1160" spans="1:5" ht="16.3" customHeight="1">
      <c r="A1160" s="552" t="s">
        <v>3694</v>
      </c>
      <c r="B1160" s="700" t="s">
        <v>6055</v>
      </c>
      <c r="C1160" s="539" t="s">
        <v>2783</v>
      </c>
      <c r="D1160" s="550" t="s">
        <v>6697</v>
      </c>
      <c r="E1160" s="552">
        <v>0</v>
      </c>
    </row>
    <row r="1161" spans="1:5" ht="16.3" customHeight="1">
      <c r="A1161" s="552" t="s">
        <v>3694</v>
      </c>
      <c r="B1161" s="698" t="s">
        <v>3695</v>
      </c>
      <c r="C1161" s="539" t="s">
        <v>6594</v>
      </c>
      <c r="D1161" s="550" t="s">
        <v>2802</v>
      </c>
      <c r="E1161" s="552">
        <v>0</v>
      </c>
    </row>
    <row r="1162" spans="1:5" ht="16.3" customHeight="1">
      <c r="A1162" s="552" t="s">
        <v>3694</v>
      </c>
      <c r="B1162" s="698" t="s">
        <v>3695</v>
      </c>
      <c r="C1162" s="539" t="s">
        <v>2783</v>
      </c>
      <c r="D1162" s="550" t="s">
        <v>2802</v>
      </c>
      <c r="E1162" s="552">
        <v>0</v>
      </c>
    </row>
    <row r="1163" spans="1:5" ht="16.3" customHeight="1">
      <c r="A1163" s="552" t="s">
        <v>3694</v>
      </c>
      <c r="B1163" s="699" t="s">
        <v>3696</v>
      </c>
      <c r="C1163" s="539" t="s">
        <v>6595</v>
      </c>
      <c r="D1163" s="550" t="s">
        <v>2805</v>
      </c>
      <c r="E1163" s="552">
        <v>0</v>
      </c>
    </row>
    <row r="1164" spans="1:5" ht="16.3" customHeight="1">
      <c r="A1164" s="552" t="s">
        <v>3694</v>
      </c>
      <c r="B1164" s="699" t="s">
        <v>3696</v>
      </c>
      <c r="C1164" s="539" t="s">
        <v>2783</v>
      </c>
      <c r="D1164" s="550" t="s">
        <v>2805</v>
      </c>
      <c r="E1164" s="552">
        <v>0</v>
      </c>
    </row>
    <row r="1165" spans="1:5" ht="16.3" customHeight="1">
      <c r="A1165" s="552" t="s">
        <v>3694</v>
      </c>
      <c r="B1165" s="696" t="s">
        <v>3697</v>
      </c>
      <c r="C1165" s="539" t="s">
        <v>6596</v>
      </c>
      <c r="D1165" s="550" t="s">
        <v>2875</v>
      </c>
      <c r="E1165" s="552">
        <v>0</v>
      </c>
    </row>
    <row r="1166" spans="1:5" ht="16.3" customHeight="1">
      <c r="A1166" s="552" t="s">
        <v>3694</v>
      </c>
      <c r="B1166" s="696" t="s">
        <v>3697</v>
      </c>
      <c r="C1166" s="539" t="s">
        <v>6597</v>
      </c>
      <c r="D1166" s="550" t="s">
        <v>2875</v>
      </c>
      <c r="E1166" s="552">
        <v>0</v>
      </c>
    </row>
    <row r="1167" spans="1:5" ht="16.3" customHeight="1">
      <c r="A1167" s="552" t="s">
        <v>3694</v>
      </c>
      <c r="B1167" s="696" t="s">
        <v>3697</v>
      </c>
      <c r="C1167" s="539" t="s">
        <v>2783</v>
      </c>
      <c r="D1167" s="550" t="s">
        <v>2875</v>
      </c>
      <c r="E1167" s="552">
        <v>0</v>
      </c>
    </row>
    <row r="1168" spans="1:5" ht="16.3" customHeight="1">
      <c r="A1168" s="552" t="s">
        <v>3694</v>
      </c>
      <c r="B1168" s="695" t="s">
        <v>3698</v>
      </c>
      <c r="C1168" s="539" t="s">
        <v>6598</v>
      </c>
      <c r="D1168" s="550" t="s">
        <v>2998</v>
      </c>
      <c r="E1168" s="552">
        <v>0</v>
      </c>
    </row>
    <row r="1169" spans="1:5" ht="16.3" customHeight="1">
      <c r="A1169" s="552" t="s">
        <v>3694</v>
      </c>
      <c r="B1169" s="695" t="s">
        <v>3698</v>
      </c>
      <c r="C1169" s="539" t="s">
        <v>2783</v>
      </c>
      <c r="D1169" s="550" t="s">
        <v>2998</v>
      </c>
      <c r="E1169" s="552">
        <v>0</v>
      </c>
    </row>
    <row r="1170" spans="1:5" ht="16.3" customHeight="1">
      <c r="A1170" s="552" t="s">
        <v>3694</v>
      </c>
      <c r="B1170" s="695" t="s">
        <v>3698</v>
      </c>
      <c r="C1170" s="539" t="s">
        <v>2783</v>
      </c>
      <c r="D1170" s="550" t="s">
        <v>2998</v>
      </c>
      <c r="E1170" s="552">
        <v>0</v>
      </c>
    </row>
    <row r="1171" spans="1:5" ht="16.3" customHeight="1">
      <c r="A1171" s="552" t="s">
        <v>3694</v>
      </c>
      <c r="B1171" s="695" t="s">
        <v>3698</v>
      </c>
      <c r="C1171" s="539" t="s">
        <v>2783</v>
      </c>
      <c r="D1171" s="550" t="s">
        <v>2998</v>
      </c>
      <c r="E1171" s="552">
        <v>0</v>
      </c>
    </row>
    <row r="1172" spans="1:5" ht="16.3" customHeight="1">
      <c r="A1172" s="552" t="s">
        <v>3694</v>
      </c>
      <c r="B1172" s="697" t="s">
        <v>3699</v>
      </c>
      <c r="C1172" s="539" t="s">
        <v>8317</v>
      </c>
      <c r="D1172" s="550" t="s">
        <v>2809</v>
      </c>
      <c r="E1172" s="552">
        <v>0</v>
      </c>
    </row>
    <row r="1173" spans="1:5" ht="16.3" customHeight="1">
      <c r="A1173" s="552" t="s">
        <v>3694</v>
      </c>
      <c r="B1173" s="697" t="s">
        <v>3699</v>
      </c>
      <c r="C1173" s="539" t="s">
        <v>8321</v>
      </c>
      <c r="D1173" s="550" t="s">
        <v>2809</v>
      </c>
      <c r="E1173" s="552">
        <v>0</v>
      </c>
    </row>
    <row r="1174" spans="1:5" ht="16.3" customHeight="1">
      <c r="A1174" s="552" t="s">
        <v>3694</v>
      </c>
      <c r="B1174" s="697" t="s">
        <v>3699</v>
      </c>
      <c r="C1174" s="539" t="s">
        <v>2783</v>
      </c>
      <c r="D1174" s="550" t="s">
        <v>2809</v>
      </c>
      <c r="E1174" s="552">
        <v>0</v>
      </c>
    </row>
    <row r="1175" spans="1:5" ht="16.3" customHeight="1">
      <c r="A1175" s="552" t="s">
        <v>3694</v>
      </c>
      <c r="B1175" s="697" t="s">
        <v>3699</v>
      </c>
      <c r="C1175" s="539" t="s">
        <v>2783</v>
      </c>
      <c r="D1175" s="550" t="s">
        <v>2809</v>
      </c>
      <c r="E1175" s="552">
        <v>0</v>
      </c>
    </row>
    <row r="1176" spans="1:5" ht="16.3" customHeight="1">
      <c r="A1176" s="552" t="s">
        <v>3694</v>
      </c>
      <c r="B1176" s="697" t="s">
        <v>3699</v>
      </c>
      <c r="C1176" s="539" t="s">
        <v>2783</v>
      </c>
      <c r="D1176" s="550" t="s">
        <v>2809</v>
      </c>
      <c r="E1176" s="552">
        <v>0</v>
      </c>
    </row>
    <row r="1177" spans="1:5" ht="16.3" customHeight="1">
      <c r="A1177" s="552" t="s">
        <v>3694</v>
      </c>
      <c r="B1177" s="694" t="s">
        <v>3700</v>
      </c>
      <c r="C1177" s="539" t="s">
        <v>8325</v>
      </c>
      <c r="D1177" s="550" t="s">
        <v>2971</v>
      </c>
      <c r="E1177" s="552">
        <v>0</v>
      </c>
    </row>
    <row r="1178" spans="1:5" ht="16.3" customHeight="1">
      <c r="A1178" s="552" t="s">
        <v>3694</v>
      </c>
      <c r="B1178" s="694" t="s">
        <v>3700</v>
      </c>
      <c r="C1178" s="539" t="s">
        <v>2783</v>
      </c>
      <c r="D1178" s="550" t="s">
        <v>2971</v>
      </c>
      <c r="E1178" s="552">
        <v>0</v>
      </c>
    </row>
    <row r="1179" spans="1:5" ht="16.3" customHeight="1">
      <c r="A1179" s="552" t="s">
        <v>3694</v>
      </c>
      <c r="B1179" s="700" t="s">
        <v>6055</v>
      </c>
      <c r="C1179" s="539" t="s">
        <v>2783</v>
      </c>
      <c r="D1179" s="550" t="s">
        <v>6697</v>
      </c>
      <c r="E1179" s="552">
        <v>0</v>
      </c>
    </row>
    <row r="1180" spans="1:5" ht="16.3" customHeight="1">
      <c r="A1180" s="552" t="s">
        <v>3694</v>
      </c>
      <c r="B1180" s="698" t="s">
        <v>3695</v>
      </c>
      <c r="C1180" s="539" t="s">
        <v>6599</v>
      </c>
      <c r="D1180" s="550" t="s">
        <v>2802</v>
      </c>
      <c r="E1180" s="552">
        <v>0</v>
      </c>
    </row>
    <row r="1181" spans="1:5" ht="16.3" customHeight="1">
      <c r="A1181" s="552" t="s">
        <v>3694</v>
      </c>
      <c r="B1181" s="698" t="s">
        <v>3695</v>
      </c>
      <c r="C1181" s="539" t="s">
        <v>6600</v>
      </c>
      <c r="D1181" s="550" t="s">
        <v>2802</v>
      </c>
      <c r="E1181" s="552">
        <v>0</v>
      </c>
    </row>
    <row r="1182" spans="1:5" ht="16.3" customHeight="1">
      <c r="A1182" s="552" t="s">
        <v>3694</v>
      </c>
      <c r="B1182" s="698" t="s">
        <v>3695</v>
      </c>
      <c r="C1182" s="539" t="s">
        <v>6601</v>
      </c>
      <c r="D1182" s="550" t="s">
        <v>2802</v>
      </c>
      <c r="E1182" s="552">
        <v>0</v>
      </c>
    </row>
    <row r="1183" spans="1:5" ht="16.3" customHeight="1">
      <c r="A1183" s="552" t="s">
        <v>3694</v>
      </c>
      <c r="B1183" s="698" t="s">
        <v>3695</v>
      </c>
      <c r="C1183" s="539" t="s">
        <v>6602</v>
      </c>
      <c r="D1183" s="550" t="s">
        <v>2802</v>
      </c>
      <c r="E1183" s="552">
        <v>0</v>
      </c>
    </row>
    <row r="1184" spans="1:5" ht="16.3" customHeight="1">
      <c r="A1184" s="552" t="s">
        <v>3694</v>
      </c>
      <c r="B1184" s="698" t="s">
        <v>3695</v>
      </c>
      <c r="C1184" s="539" t="s">
        <v>6603</v>
      </c>
      <c r="D1184" s="550" t="s">
        <v>2802</v>
      </c>
      <c r="E1184" s="552">
        <v>0</v>
      </c>
    </row>
    <row r="1185" spans="1:5" ht="16.3" customHeight="1">
      <c r="A1185" s="552" t="s">
        <v>3694</v>
      </c>
      <c r="B1185" s="698" t="s">
        <v>3695</v>
      </c>
      <c r="C1185" s="539" t="s">
        <v>6604</v>
      </c>
      <c r="D1185" s="550" t="s">
        <v>2802</v>
      </c>
      <c r="E1185" s="552">
        <v>0</v>
      </c>
    </row>
    <row r="1186" spans="1:5" ht="16.3" customHeight="1">
      <c r="A1186" s="552" t="s">
        <v>3694</v>
      </c>
      <c r="B1186" s="698" t="s">
        <v>3695</v>
      </c>
      <c r="C1186" s="539" t="s">
        <v>6605</v>
      </c>
      <c r="D1186" s="550" t="s">
        <v>2802</v>
      </c>
      <c r="E1186" s="552">
        <v>0</v>
      </c>
    </row>
    <row r="1187" spans="1:5" ht="16.3" customHeight="1">
      <c r="A1187" s="552" t="s">
        <v>3694</v>
      </c>
      <c r="B1187" s="698" t="s">
        <v>3695</v>
      </c>
      <c r="C1187" s="539" t="s">
        <v>6606</v>
      </c>
      <c r="D1187" s="550" t="s">
        <v>2802</v>
      </c>
      <c r="E1187" s="552">
        <v>0</v>
      </c>
    </row>
    <row r="1188" spans="1:5" ht="16.3" customHeight="1">
      <c r="A1188" s="552" t="s">
        <v>3694</v>
      </c>
      <c r="B1188" s="698" t="s">
        <v>3695</v>
      </c>
      <c r="C1188" s="539" t="s">
        <v>6607</v>
      </c>
      <c r="D1188" s="550" t="s">
        <v>2802</v>
      </c>
      <c r="E1188" s="552">
        <v>0</v>
      </c>
    </row>
    <row r="1189" spans="1:5" ht="16.3" customHeight="1">
      <c r="A1189" s="552" t="s">
        <v>3694</v>
      </c>
      <c r="B1189" s="698" t="s">
        <v>3695</v>
      </c>
      <c r="C1189" s="539" t="s">
        <v>6608</v>
      </c>
      <c r="D1189" s="550" t="s">
        <v>2802</v>
      </c>
      <c r="E1189" s="552">
        <v>0</v>
      </c>
    </row>
    <row r="1190" spans="1:5" ht="16.3" customHeight="1">
      <c r="A1190" s="552" t="s">
        <v>3694</v>
      </c>
      <c r="B1190" s="699" t="s">
        <v>3696</v>
      </c>
      <c r="C1190" s="539" t="s">
        <v>6609</v>
      </c>
      <c r="D1190" s="550" t="s">
        <v>2805</v>
      </c>
      <c r="E1190" s="552">
        <v>0</v>
      </c>
    </row>
    <row r="1191" spans="1:5" ht="16.3" customHeight="1">
      <c r="A1191" s="552" t="s">
        <v>3694</v>
      </c>
      <c r="B1191" s="699" t="s">
        <v>3696</v>
      </c>
      <c r="C1191" s="539" t="s">
        <v>6610</v>
      </c>
      <c r="D1191" s="550" t="s">
        <v>2805</v>
      </c>
      <c r="E1191" s="552">
        <v>0</v>
      </c>
    </row>
    <row r="1192" spans="1:5" ht="16.3" customHeight="1">
      <c r="A1192" s="552" t="s">
        <v>3694</v>
      </c>
      <c r="B1192" s="699" t="s">
        <v>3696</v>
      </c>
      <c r="C1192" s="539" t="s">
        <v>6611</v>
      </c>
      <c r="D1192" s="550" t="s">
        <v>2805</v>
      </c>
      <c r="E1192" s="552">
        <v>0</v>
      </c>
    </row>
    <row r="1193" spans="1:5" ht="16.3" customHeight="1">
      <c r="A1193" s="552" t="s">
        <v>3694</v>
      </c>
      <c r="B1193" s="699" t="s">
        <v>3696</v>
      </c>
      <c r="C1193" s="539" t="s">
        <v>6612</v>
      </c>
      <c r="D1193" s="550" t="s">
        <v>2805</v>
      </c>
      <c r="E1193" s="552">
        <v>0</v>
      </c>
    </row>
    <row r="1194" spans="1:5" ht="16.3" customHeight="1">
      <c r="A1194" s="552" t="s">
        <v>3694</v>
      </c>
      <c r="B1194" s="699" t="s">
        <v>3696</v>
      </c>
      <c r="C1194" s="539" t="s">
        <v>6613</v>
      </c>
      <c r="D1194" s="550" t="s">
        <v>2805</v>
      </c>
      <c r="E1194" s="552">
        <v>0</v>
      </c>
    </row>
    <row r="1195" spans="1:5" ht="16.3" customHeight="1">
      <c r="A1195" s="552" t="s">
        <v>3694</v>
      </c>
      <c r="B1195" s="699" t="s">
        <v>3696</v>
      </c>
      <c r="C1195" s="539" t="s">
        <v>6614</v>
      </c>
      <c r="D1195" s="550" t="s">
        <v>2805</v>
      </c>
      <c r="E1195" s="552">
        <v>0</v>
      </c>
    </row>
    <row r="1196" spans="1:5" ht="16.3" customHeight="1">
      <c r="A1196" s="552" t="s">
        <v>3694</v>
      </c>
      <c r="B1196" s="699" t="s">
        <v>3696</v>
      </c>
      <c r="C1196" s="539" t="s">
        <v>2783</v>
      </c>
      <c r="D1196" s="550" t="s">
        <v>2805</v>
      </c>
      <c r="E1196" s="552">
        <v>0</v>
      </c>
    </row>
    <row r="1197" spans="1:5" ht="16.3" customHeight="1">
      <c r="A1197" s="552" t="s">
        <v>3694</v>
      </c>
      <c r="B1197" s="699" t="s">
        <v>3696</v>
      </c>
      <c r="C1197" s="539" t="s">
        <v>2783</v>
      </c>
      <c r="D1197" s="550" t="s">
        <v>2805</v>
      </c>
      <c r="E1197" s="552">
        <v>0</v>
      </c>
    </row>
    <row r="1198" spans="1:5" ht="16.3" customHeight="1">
      <c r="A1198" s="552" t="s">
        <v>3694</v>
      </c>
      <c r="B1198" s="699" t="s">
        <v>3696</v>
      </c>
      <c r="C1198" s="539" t="s">
        <v>2783</v>
      </c>
      <c r="D1198" s="550" t="s">
        <v>2805</v>
      </c>
      <c r="E1198" s="552">
        <v>0</v>
      </c>
    </row>
    <row r="1199" spans="1:5" ht="16.3" customHeight="1">
      <c r="A1199" s="552" t="s">
        <v>3694</v>
      </c>
      <c r="B1199" s="699" t="s">
        <v>3696</v>
      </c>
      <c r="C1199" s="539" t="s">
        <v>2783</v>
      </c>
      <c r="D1199" s="550" t="s">
        <v>2805</v>
      </c>
      <c r="E1199" s="552">
        <v>0</v>
      </c>
    </row>
    <row r="1200" spans="1:5" ht="16.3" customHeight="1">
      <c r="A1200" s="552" t="s">
        <v>3694</v>
      </c>
      <c r="B1200" s="696" t="s">
        <v>3697</v>
      </c>
      <c r="C1200" s="539" t="s">
        <v>6615</v>
      </c>
      <c r="D1200" s="550" t="s">
        <v>2875</v>
      </c>
      <c r="E1200" s="552">
        <v>0</v>
      </c>
    </row>
    <row r="1201" spans="1:5" ht="16.3" customHeight="1">
      <c r="A1201" s="552" t="s">
        <v>3694</v>
      </c>
      <c r="B1201" s="696" t="s">
        <v>3697</v>
      </c>
      <c r="C1201" s="539" t="s">
        <v>6616</v>
      </c>
      <c r="D1201" s="550" t="s">
        <v>2875</v>
      </c>
      <c r="E1201" s="552">
        <v>0</v>
      </c>
    </row>
    <row r="1202" spans="1:5" ht="16.3" customHeight="1">
      <c r="A1202" s="552" t="s">
        <v>3694</v>
      </c>
      <c r="B1202" s="696" t="s">
        <v>3697</v>
      </c>
      <c r="C1202" s="539" t="s">
        <v>6617</v>
      </c>
      <c r="D1202" s="550" t="s">
        <v>2875</v>
      </c>
      <c r="E1202" s="552">
        <v>0</v>
      </c>
    </row>
    <row r="1203" spans="1:5" ht="16.3" customHeight="1">
      <c r="A1203" s="552" t="s">
        <v>3694</v>
      </c>
      <c r="B1203" s="696" t="s">
        <v>3697</v>
      </c>
      <c r="C1203" s="539" t="s">
        <v>6618</v>
      </c>
      <c r="D1203" s="550" t="s">
        <v>2875</v>
      </c>
      <c r="E1203" s="552">
        <v>0</v>
      </c>
    </row>
    <row r="1204" spans="1:5" ht="16.3" customHeight="1">
      <c r="A1204" s="552" t="s">
        <v>3694</v>
      </c>
      <c r="B1204" s="696" t="s">
        <v>3697</v>
      </c>
      <c r="C1204" s="539" t="s">
        <v>6619</v>
      </c>
      <c r="D1204" s="550" t="s">
        <v>2875</v>
      </c>
      <c r="E1204" s="552">
        <v>0</v>
      </c>
    </row>
    <row r="1205" spans="1:5" ht="16.3" customHeight="1">
      <c r="A1205" s="552" t="s">
        <v>3694</v>
      </c>
      <c r="B1205" s="696" t="s">
        <v>3697</v>
      </c>
      <c r="C1205" s="539" t="s">
        <v>8360</v>
      </c>
      <c r="D1205" s="550" t="s">
        <v>2875</v>
      </c>
      <c r="E1205" s="552">
        <v>0</v>
      </c>
    </row>
    <row r="1206" spans="1:5" ht="16.3" customHeight="1">
      <c r="A1206" s="552" t="s">
        <v>3694</v>
      </c>
      <c r="B1206" s="696" t="s">
        <v>3697</v>
      </c>
      <c r="C1206" s="539" t="s">
        <v>6620</v>
      </c>
      <c r="D1206" s="550" t="s">
        <v>2875</v>
      </c>
      <c r="E1206" s="552">
        <v>0</v>
      </c>
    </row>
    <row r="1207" spans="1:5" ht="16.3" customHeight="1">
      <c r="A1207" s="552" t="s">
        <v>3694</v>
      </c>
      <c r="B1207" s="696" t="s">
        <v>3697</v>
      </c>
      <c r="C1207" s="539" t="s">
        <v>6621</v>
      </c>
      <c r="D1207" s="550" t="s">
        <v>2875</v>
      </c>
      <c r="E1207" s="552">
        <v>0</v>
      </c>
    </row>
    <row r="1208" spans="1:5" ht="16.3" customHeight="1">
      <c r="A1208" s="552" t="s">
        <v>3694</v>
      </c>
      <c r="B1208" s="696" t="s">
        <v>3697</v>
      </c>
      <c r="C1208" s="539" t="s">
        <v>6622</v>
      </c>
      <c r="D1208" s="550" t="s">
        <v>2875</v>
      </c>
      <c r="E1208" s="552">
        <v>0</v>
      </c>
    </row>
    <row r="1209" spans="1:5" ht="16.3" customHeight="1">
      <c r="A1209" s="552" t="s">
        <v>3694</v>
      </c>
      <c r="B1209" s="696" t="s">
        <v>3697</v>
      </c>
      <c r="C1209" s="539" t="s">
        <v>6623</v>
      </c>
      <c r="D1209" s="550" t="s">
        <v>2875</v>
      </c>
      <c r="E1209" s="552">
        <v>0</v>
      </c>
    </row>
    <row r="1210" spans="1:5" ht="16.3" customHeight="1">
      <c r="A1210" s="552" t="s">
        <v>3694</v>
      </c>
      <c r="B1210" s="695" t="s">
        <v>3698</v>
      </c>
      <c r="C1210" s="539" t="s">
        <v>6624</v>
      </c>
      <c r="D1210" s="550" t="s">
        <v>2998</v>
      </c>
      <c r="E1210" s="552">
        <v>0</v>
      </c>
    </row>
    <row r="1211" spans="1:5" ht="16.3" customHeight="1">
      <c r="A1211" s="552" t="s">
        <v>3694</v>
      </c>
      <c r="B1211" s="695" t="s">
        <v>3698</v>
      </c>
      <c r="C1211" s="539" t="s">
        <v>2783</v>
      </c>
      <c r="D1211" s="550" t="s">
        <v>2998</v>
      </c>
      <c r="E1211" s="552">
        <v>0</v>
      </c>
    </row>
    <row r="1212" spans="1:5" ht="16.3" customHeight="1">
      <c r="A1212" s="552" t="s">
        <v>3694</v>
      </c>
      <c r="B1212" s="695" t="s">
        <v>3698</v>
      </c>
      <c r="C1212" s="539" t="s">
        <v>2783</v>
      </c>
      <c r="D1212" s="550" t="s">
        <v>2998</v>
      </c>
      <c r="E1212" s="552">
        <v>0</v>
      </c>
    </row>
    <row r="1213" spans="1:5" ht="16.3" customHeight="1">
      <c r="A1213" s="552" t="s">
        <v>3694</v>
      </c>
      <c r="B1213" s="695" t="s">
        <v>3698</v>
      </c>
      <c r="C1213" s="539" t="s">
        <v>8372</v>
      </c>
      <c r="D1213" s="550" t="s">
        <v>2998</v>
      </c>
      <c r="E1213" s="552">
        <v>0</v>
      </c>
    </row>
    <row r="1214" spans="1:5" ht="16.3" customHeight="1">
      <c r="A1214" s="552" t="s">
        <v>3694</v>
      </c>
      <c r="B1214" s="695" t="s">
        <v>3698</v>
      </c>
      <c r="C1214" s="539" t="s">
        <v>8376</v>
      </c>
      <c r="D1214" s="550" t="s">
        <v>2998</v>
      </c>
      <c r="E1214" s="552">
        <v>0</v>
      </c>
    </row>
    <row r="1215" spans="1:5" ht="16.3" customHeight="1">
      <c r="A1215" s="552" t="s">
        <v>3694</v>
      </c>
      <c r="B1215" s="695" t="s">
        <v>3698</v>
      </c>
      <c r="C1215" s="539" t="s">
        <v>6625</v>
      </c>
      <c r="D1215" s="550" t="s">
        <v>2998</v>
      </c>
      <c r="E1215" s="552">
        <v>0</v>
      </c>
    </row>
    <row r="1216" spans="1:5" ht="16.3" customHeight="1">
      <c r="A1216" s="552" t="s">
        <v>3694</v>
      </c>
      <c r="B1216" s="695" t="s">
        <v>3698</v>
      </c>
      <c r="C1216" s="539" t="s">
        <v>6626</v>
      </c>
      <c r="D1216" s="550" t="s">
        <v>2998</v>
      </c>
      <c r="E1216" s="552">
        <v>0</v>
      </c>
    </row>
    <row r="1217" spans="1:5" ht="16.3" customHeight="1">
      <c r="A1217" s="552" t="s">
        <v>3694</v>
      </c>
      <c r="B1217" s="695" t="s">
        <v>3698</v>
      </c>
      <c r="C1217" s="539" t="s">
        <v>9057</v>
      </c>
      <c r="D1217" s="550" t="s">
        <v>2998</v>
      </c>
      <c r="E1217" s="552">
        <v>0</v>
      </c>
    </row>
    <row r="1218" spans="1:5" ht="16.3" customHeight="1">
      <c r="A1218" s="552" t="s">
        <v>3694</v>
      </c>
      <c r="B1218" s="695" t="s">
        <v>3698</v>
      </c>
      <c r="C1218" s="539" t="s">
        <v>8384</v>
      </c>
      <c r="D1218" s="550" t="s">
        <v>2998</v>
      </c>
      <c r="E1218" s="552">
        <v>0</v>
      </c>
    </row>
    <row r="1219" spans="1:5" ht="16.3" customHeight="1">
      <c r="A1219" s="552" t="s">
        <v>3694</v>
      </c>
      <c r="B1219" s="695" t="s">
        <v>3698</v>
      </c>
      <c r="C1219" s="539" t="s">
        <v>6628</v>
      </c>
      <c r="D1219" s="550" t="s">
        <v>2998</v>
      </c>
      <c r="E1219" s="552">
        <v>0</v>
      </c>
    </row>
    <row r="1220" spans="1:5" ht="16.3" customHeight="1">
      <c r="A1220" s="552" t="s">
        <v>3694</v>
      </c>
      <c r="B1220" s="697" t="s">
        <v>3699</v>
      </c>
      <c r="C1220" s="539" t="s">
        <v>6629</v>
      </c>
      <c r="D1220" s="550" t="s">
        <v>2809</v>
      </c>
      <c r="E1220" s="552">
        <v>0</v>
      </c>
    </row>
    <row r="1221" spans="1:5" ht="16.3" customHeight="1">
      <c r="A1221" s="552" t="s">
        <v>3694</v>
      </c>
      <c r="B1221" s="697" t="s">
        <v>3699</v>
      </c>
      <c r="C1221" s="539" t="s">
        <v>8390</v>
      </c>
      <c r="D1221" s="550" t="s">
        <v>2809</v>
      </c>
      <c r="E1221" s="552">
        <v>0</v>
      </c>
    </row>
    <row r="1222" spans="1:5" ht="16.3" customHeight="1">
      <c r="A1222" s="552" t="s">
        <v>3694</v>
      </c>
      <c r="B1222" s="697" t="s">
        <v>3699</v>
      </c>
      <c r="C1222" s="539" t="s">
        <v>6630</v>
      </c>
      <c r="D1222" s="550" t="s">
        <v>2809</v>
      </c>
      <c r="E1222" s="552">
        <v>0</v>
      </c>
    </row>
    <row r="1223" spans="1:5" ht="16.3" customHeight="1">
      <c r="A1223" s="552" t="s">
        <v>3694</v>
      </c>
      <c r="B1223" s="697" t="s">
        <v>3699</v>
      </c>
      <c r="C1223" s="539" t="s">
        <v>9058</v>
      </c>
      <c r="D1223" s="550" t="s">
        <v>2809</v>
      </c>
      <c r="E1223" s="552">
        <v>0</v>
      </c>
    </row>
    <row r="1224" spans="1:5" ht="16.3" customHeight="1">
      <c r="A1224" s="552" t="s">
        <v>3694</v>
      </c>
      <c r="B1224" s="697" t="s">
        <v>3699</v>
      </c>
      <c r="C1224" s="539" t="s">
        <v>9059</v>
      </c>
      <c r="D1224" s="550" t="s">
        <v>2809</v>
      </c>
      <c r="E1224" s="552">
        <v>0</v>
      </c>
    </row>
    <row r="1225" spans="1:5" ht="16.3" customHeight="1">
      <c r="A1225" s="552" t="s">
        <v>3694</v>
      </c>
      <c r="B1225" s="697" t="s">
        <v>3699</v>
      </c>
      <c r="C1225" s="539" t="s">
        <v>6633</v>
      </c>
      <c r="D1225" s="550" t="s">
        <v>2809</v>
      </c>
      <c r="E1225" s="552">
        <v>0</v>
      </c>
    </row>
    <row r="1226" spans="1:5" ht="16.3" customHeight="1">
      <c r="A1226" s="552" t="s">
        <v>3694</v>
      </c>
      <c r="B1226" s="697" t="s">
        <v>3699</v>
      </c>
      <c r="C1226" s="539" t="s">
        <v>6634</v>
      </c>
      <c r="D1226" s="550" t="s">
        <v>2809</v>
      </c>
      <c r="E1226" s="552">
        <v>0</v>
      </c>
    </row>
    <row r="1227" spans="1:5" ht="16.3" customHeight="1">
      <c r="A1227" s="552" t="s">
        <v>3694</v>
      </c>
      <c r="B1227" s="697" t="s">
        <v>3699</v>
      </c>
      <c r="C1227" s="539" t="s">
        <v>8404</v>
      </c>
      <c r="D1227" s="550" t="s">
        <v>2809</v>
      </c>
      <c r="E1227" s="552">
        <v>0</v>
      </c>
    </row>
    <row r="1228" spans="1:5" ht="16.3" customHeight="1">
      <c r="A1228" s="552" t="s">
        <v>3694</v>
      </c>
      <c r="B1228" s="697" t="s">
        <v>3699</v>
      </c>
      <c r="C1228" s="539" t="s">
        <v>6635</v>
      </c>
      <c r="D1228" s="550" t="s">
        <v>2809</v>
      </c>
      <c r="E1228" s="552">
        <v>0</v>
      </c>
    </row>
    <row r="1229" spans="1:5" ht="16.3" customHeight="1">
      <c r="A1229" s="552" t="s">
        <v>3694</v>
      </c>
      <c r="B1229" s="697" t="s">
        <v>3699</v>
      </c>
      <c r="C1229" s="539" t="s">
        <v>6636</v>
      </c>
      <c r="D1229" s="550" t="s">
        <v>2809</v>
      </c>
      <c r="E1229" s="552">
        <v>0</v>
      </c>
    </row>
    <row r="1230" spans="1:5" ht="16.3" customHeight="1">
      <c r="A1230" s="552" t="s">
        <v>3694</v>
      </c>
      <c r="B1230" s="694" t="s">
        <v>3700</v>
      </c>
      <c r="C1230" s="539" t="s">
        <v>9060</v>
      </c>
      <c r="D1230" s="550" t="s">
        <v>2971</v>
      </c>
      <c r="E1230" s="552">
        <v>0</v>
      </c>
    </row>
    <row r="1231" spans="1:5" ht="16.3" customHeight="1">
      <c r="A1231" s="552" t="s">
        <v>3694</v>
      </c>
      <c r="B1231" s="694" t="s">
        <v>3700</v>
      </c>
      <c r="C1231" s="539" t="s">
        <v>6638</v>
      </c>
      <c r="D1231" s="550" t="s">
        <v>2971</v>
      </c>
      <c r="E1231" s="552">
        <v>0</v>
      </c>
    </row>
    <row r="1232" spans="1:5" ht="16.3" customHeight="1">
      <c r="A1232" s="552" t="s">
        <v>3694</v>
      </c>
      <c r="B1232" s="694" t="s">
        <v>3700</v>
      </c>
      <c r="C1232" s="541" t="s">
        <v>8413</v>
      </c>
      <c r="D1232" s="550" t="s">
        <v>2971</v>
      </c>
      <c r="E1232" s="552">
        <v>0</v>
      </c>
    </row>
    <row r="1233" spans="1:5" ht="16.3" customHeight="1">
      <c r="A1233" s="552" t="s">
        <v>3694</v>
      </c>
      <c r="B1233" s="694" t="s">
        <v>3700</v>
      </c>
      <c r="C1233" s="541" t="s">
        <v>6639</v>
      </c>
      <c r="D1233" s="550" t="s">
        <v>2971</v>
      </c>
      <c r="E1233" s="552">
        <v>0</v>
      </c>
    </row>
    <row r="1234" spans="1:5" ht="16.3" customHeight="1">
      <c r="A1234" s="552" t="s">
        <v>3694</v>
      </c>
      <c r="B1234" s="694" t="s">
        <v>3700</v>
      </c>
      <c r="C1234" s="541" t="s">
        <v>9106</v>
      </c>
      <c r="D1234" s="550" t="s">
        <v>2971</v>
      </c>
      <c r="E1234" s="552">
        <v>0</v>
      </c>
    </row>
    <row r="1235" spans="1:5" ht="16.3" customHeight="1">
      <c r="A1235" s="552" t="s">
        <v>3694</v>
      </c>
      <c r="B1235" s="700" t="s">
        <v>6055</v>
      </c>
      <c r="C1235" s="539" t="s">
        <v>2783</v>
      </c>
      <c r="D1235" s="550" t="s">
        <v>6697</v>
      </c>
      <c r="E1235" s="552">
        <v>0</v>
      </c>
    </row>
    <row r="1236" spans="1:5" ht="16.3" customHeight="1">
      <c r="A1236" s="552" t="s">
        <v>3694</v>
      </c>
      <c r="B1236" s="698" t="s">
        <v>3695</v>
      </c>
      <c r="C1236" s="541" t="s">
        <v>8419</v>
      </c>
      <c r="D1236" s="550" t="s">
        <v>2802</v>
      </c>
      <c r="E1236" s="552">
        <v>0</v>
      </c>
    </row>
    <row r="1237" spans="1:5" ht="16.3" customHeight="1">
      <c r="A1237" s="552" t="s">
        <v>3694</v>
      </c>
      <c r="B1237" s="699" t="s">
        <v>3696</v>
      </c>
      <c r="C1237" s="541" t="s">
        <v>6640</v>
      </c>
      <c r="D1237" s="550" t="s">
        <v>2805</v>
      </c>
      <c r="E1237" s="552">
        <v>0</v>
      </c>
    </row>
    <row r="1238" spans="1:5" ht="16.3" customHeight="1">
      <c r="A1238" s="552" t="s">
        <v>3694</v>
      </c>
      <c r="B1238" s="699" t="s">
        <v>3696</v>
      </c>
      <c r="C1238" s="541" t="s">
        <v>6641</v>
      </c>
      <c r="D1238" s="550" t="s">
        <v>2805</v>
      </c>
      <c r="E1238" s="552">
        <v>0</v>
      </c>
    </row>
    <row r="1239" spans="1:5" ht="16.3" customHeight="1">
      <c r="A1239" s="552" t="s">
        <v>3694</v>
      </c>
      <c r="B1239" s="699" t="s">
        <v>3696</v>
      </c>
      <c r="C1239" s="541" t="s">
        <v>9061</v>
      </c>
      <c r="D1239" s="550" t="s">
        <v>2805</v>
      </c>
      <c r="E1239" s="552">
        <v>0</v>
      </c>
    </row>
    <row r="1240" spans="1:5" ht="16.3" customHeight="1">
      <c r="A1240" s="552" t="s">
        <v>3694</v>
      </c>
      <c r="B1240" s="699" t="s">
        <v>3696</v>
      </c>
      <c r="C1240" s="541" t="s">
        <v>9107</v>
      </c>
      <c r="D1240" s="550" t="s">
        <v>2805</v>
      </c>
      <c r="E1240" s="552">
        <v>0</v>
      </c>
    </row>
    <row r="1241" spans="1:5" ht="16.3" customHeight="1">
      <c r="A1241" s="552" t="s">
        <v>3694</v>
      </c>
      <c r="B1241" s="699" t="s">
        <v>3696</v>
      </c>
      <c r="C1241" s="539" t="s">
        <v>8431</v>
      </c>
      <c r="D1241" s="550" t="s">
        <v>2805</v>
      </c>
      <c r="E1241" s="552">
        <v>0</v>
      </c>
    </row>
    <row r="1242" spans="1:5" ht="16.3" customHeight="1">
      <c r="A1242" s="552" t="s">
        <v>3694</v>
      </c>
      <c r="B1242" s="699" t="s">
        <v>3696</v>
      </c>
      <c r="C1242" s="539" t="s">
        <v>2783</v>
      </c>
      <c r="D1242" s="550" t="s">
        <v>2805</v>
      </c>
      <c r="E1242" s="552">
        <v>0</v>
      </c>
    </row>
    <row r="1243" spans="1:5" ht="16.3" customHeight="1">
      <c r="A1243" s="552" t="s">
        <v>3694</v>
      </c>
      <c r="B1243" s="699" t="s">
        <v>3696</v>
      </c>
      <c r="C1243" s="539" t="s">
        <v>2783</v>
      </c>
      <c r="D1243" s="550" t="s">
        <v>2805</v>
      </c>
      <c r="E1243" s="552">
        <v>0</v>
      </c>
    </row>
    <row r="1244" spans="1:5" ht="16.3" customHeight="1">
      <c r="A1244" s="552" t="s">
        <v>3694</v>
      </c>
      <c r="B1244" s="699" t="s">
        <v>3696</v>
      </c>
      <c r="C1244" s="539" t="s">
        <v>2783</v>
      </c>
      <c r="D1244" s="550" t="s">
        <v>2805</v>
      </c>
      <c r="E1244" s="552">
        <v>0</v>
      </c>
    </row>
    <row r="1245" spans="1:5" ht="16.3" customHeight="1">
      <c r="A1245" s="552" t="s">
        <v>3694</v>
      </c>
      <c r="B1245" s="699" t="s">
        <v>3696</v>
      </c>
      <c r="C1245" s="539" t="s">
        <v>2783</v>
      </c>
      <c r="D1245" s="550" t="s">
        <v>2805</v>
      </c>
      <c r="E1245" s="552">
        <v>0</v>
      </c>
    </row>
    <row r="1246" spans="1:5" ht="16.3" customHeight="1">
      <c r="A1246" s="552" t="s">
        <v>3694</v>
      </c>
      <c r="B1246" s="699" t="s">
        <v>3696</v>
      </c>
      <c r="C1246" s="539" t="s">
        <v>2783</v>
      </c>
      <c r="D1246" s="550" t="s">
        <v>2805</v>
      </c>
      <c r="E1246" s="552">
        <v>0</v>
      </c>
    </row>
    <row r="1247" spans="1:5" ht="16.3" customHeight="1">
      <c r="A1247" s="552" t="s">
        <v>3694</v>
      </c>
      <c r="B1247" s="696" t="s">
        <v>3697</v>
      </c>
      <c r="C1247" s="539" t="s">
        <v>8434</v>
      </c>
      <c r="D1247" s="550" t="s">
        <v>2875</v>
      </c>
      <c r="E1247" s="552">
        <v>0</v>
      </c>
    </row>
    <row r="1248" spans="1:5" ht="16.3" customHeight="1">
      <c r="A1248" s="552" t="s">
        <v>3694</v>
      </c>
      <c r="B1248" s="696" t="s">
        <v>3697</v>
      </c>
      <c r="C1248" s="539" t="s">
        <v>8437</v>
      </c>
      <c r="D1248" s="550" t="s">
        <v>2875</v>
      </c>
      <c r="E1248" s="552">
        <v>0</v>
      </c>
    </row>
    <row r="1249" spans="1:5" ht="16.3" customHeight="1">
      <c r="A1249" s="552" t="s">
        <v>3694</v>
      </c>
      <c r="B1249" s="696" t="s">
        <v>3697</v>
      </c>
      <c r="C1249" s="541" t="s">
        <v>8439</v>
      </c>
      <c r="D1249" s="550" t="s">
        <v>2875</v>
      </c>
      <c r="E1249" s="552">
        <v>0</v>
      </c>
    </row>
    <row r="1250" spans="1:5" ht="16.3" customHeight="1">
      <c r="A1250" s="552" t="s">
        <v>3694</v>
      </c>
      <c r="B1250" s="696" t="s">
        <v>3697</v>
      </c>
      <c r="C1250" s="539" t="s">
        <v>8441</v>
      </c>
      <c r="D1250" s="550" t="s">
        <v>2875</v>
      </c>
      <c r="E1250" s="552">
        <v>0</v>
      </c>
    </row>
    <row r="1251" spans="1:5" ht="16.3" customHeight="1">
      <c r="A1251" s="552" t="s">
        <v>3694</v>
      </c>
      <c r="B1251" s="696" t="s">
        <v>3697</v>
      </c>
      <c r="C1251" s="539" t="s">
        <v>8444</v>
      </c>
      <c r="D1251" s="550" t="s">
        <v>2875</v>
      </c>
      <c r="E1251" s="552">
        <v>0</v>
      </c>
    </row>
    <row r="1252" spans="1:5" ht="16.3" customHeight="1">
      <c r="A1252" s="552" t="s">
        <v>3694</v>
      </c>
      <c r="B1252" s="696" t="s">
        <v>3697</v>
      </c>
      <c r="C1252" s="539" t="s">
        <v>6643</v>
      </c>
      <c r="D1252" s="550" t="s">
        <v>2875</v>
      </c>
      <c r="E1252" s="552">
        <v>0</v>
      </c>
    </row>
    <row r="1253" spans="1:5" ht="16.3" customHeight="1">
      <c r="A1253" s="552" t="s">
        <v>3694</v>
      </c>
      <c r="B1253" s="696" t="s">
        <v>3697</v>
      </c>
      <c r="C1253" s="539" t="s">
        <v>6644</v>
      </c>
      <c r="D1253" s="550" t="s">
        <v>2875</v>
      </c>
      <c r="E1253" s="552">
        <v>0</v>
      </c>
    </row>
    <row r="1254" spans="1:5" ht="16.3" customHeight="1">
      <c r="A1254" s="552" t="s">
        <v>3694</v>
      </c>
      <c r="B1254" s="696" t="s">
        <v>3697</v>
      </c>
      <c r="C1254" s="539" t="s">
        <v>6645</v>
      </c>
      <c r="D1254" s="550" t="s">
        <v>2875</v>
      </c>
      <c r="E1254" s="552">
        <v>0</v>
      </c>
    </row>
    <row r="1255" spans="1:5" ht="16.3" customHeight="1">
      <c r="A1255" s="552" t="s">
        <v>3694</v>
      </c>
      <c r="B1255" s="696" t="s">
        <v>3697</v>
      </c>
      <c r="C1255" s="539" t="s">
        <v>6646</v>
      </c>
      <c r="D1255" s="550" t="s">
        <v>2875</v>
      </c>
      <c r="E1255" s="552">
        <v>0</v>
      </c>
    </row>
    <row r="1256" spans="1:5" ht="16.3" customHeight="1">
      <c r="A1256" s="552" t="s">
        <v>3694</v>
      </c>
      <c r="B1256" s="696" t="s">
        <v>3697</v>
      </c>
      <c r="C1256" s="539" t="s">
        <v>6647</v>
      </c>
      <c r="D1256" s="550" t="s">
        <v>2875</v>
      </c>
      <c r="E1256" s="552">
        <v>0</v>
      </c>
    </row>
    <row r="1257" spans="1:5" ht="16.3" customHeight="1">
      <c r="A1257" s="552" t="s">
        <v>3694</v>
      </c>
      <c r="B1257" s="695" t="s">
        <v>3698</v>
      </c>
      <c r="C1257" s="539" t="s">
        <v>2783</v>
      </c>
      <c r="D1257" s="550" t="s">
        <v>2998</v>
      </c>
      <c r="E1257" s="552">
        <v>0</v>
      </c>
    </row>
    <row r="1258" spans="1:5" ht="16.3" customHeight="1">
      <c r="A1258" s="552" t="s">
        <v>3694</v>
      </c>
      <c r="B1258" s="695" t="s">
        <v>3698</v>
      </c>
      <c r="C1258" s="539" t="s">
        <v>2783</v>
      </c>
      <c r="D1258" s="550" t="s">
        <v>2998</v>
      </c>
      <c r="E1258" s="552">
        <v>0</v>
      </c>
    </row>
    <row r="1259" spans="1:5" ht="16.3" customHeight="1">
      <c r="A1259" s="552" t="s">
        <v>3694</v>
      </c>
      <c r="B1259" s="695" t="s">
        <v>3698</v>
      </c>
      <c r="C1259" s="539" t="s">
        <v>2783</v>
      </c>
      <c r="D1259" s="550" t="s">
        <v>2998</v>
      </c>
      <c r="E1259" s="552">
        <v>0</v>
      </c>
    </row>
    <row r="1260" spans="1:5" ht="16.3" customHeight="1">
      <c r="A1260" s="552" t="s">
        <v>3694</v>
      </c>
      <c r="B1260" s="695" t="s">
        <v>3698</v>
      </c>
      <c r="C1260" s="539" t="s">
        <v>2783</v>
      </c>
      <c r="D1260" s="550" t="s">
        <v>2998</v>
      </c>
      <c r="E1260" s="552">
        <v>0</v>
      </c>
    </row>
    <row r="1261" spans="1:5" ht="16.3" customHeight="1">
      <c r="A1261" s="552" t="s">
        <v>3694</v>
      </c>
      <c r="B1261" s="695" t="s">
        <v>3698</v>
      </c>
      <c r="C1261" s="539" t="s">
        <v>9062</v>
      </c>
      <c r="D1261" s="550" t="s">
        <v>2998</v>
      </c>
      <c r="E1261" s="552">
        <v>0</v>
      </c>
    </row>
    <row r="1262" spans="1:5" ht="16.3" customHeight="1">
      <c r="A1262" s="552" t="s">
        <v>3694</v>
      </c>
      <c r="B1262" s="695" t="s">
        <v>3698</v>
      </c>
      <c r="C1262" s="539" t="s">
        <v>6649</v>
      </c>
      <c r="D1262" s="550" t="s">
        <v>2998</v>
      </c>
      <c r="E1262" s="552">
        <v>0</v>
      </c>
    </row>
    <row r="1263" spans="1:5" ht="16.3" customHeight="1">
      <c r="A1263" s="552" t="s">
        <v>3694</v>
      </c>
      <c r="B1263" s="695" t="s">
        <v>3698</v>
      </c>
      <c r="C1263" s="539" t="s">
        <v>6650</v>
      </c>
      <c r="D1263" s="550" t="s">
        <v>2998</v>
      </c>
      <c r="E1263" s="552">
        <v>0</v>
      </c>
    </row>
    <row r="1264" spans="1:5" s="692" customFormat="1" ht="16.3" customHeight="1">
      <c r="A1264" s="552" t="s">
        <v>3694</v>
      </c>
      <c r="B1264" s="695" t="s">
        <v>3698</v>
      </c>
      <c r="C1264" s="539" t="s">
        <v>8459</v>
      </c>
      <c r="D1264" s="550" t="s">
        <v>2998</v>
      </c>
      <c r="E1264" s="552">
        <v>0</v>
      </c>
    </row>
    <row r="1265" spans="1:5" s="692" customFormat="1" ht="16.3" customHeight="1">
      <c r="A1265" s="552" t="s">
        <v>3694</v>
      </c>
      <c r="B1265" s="695" t="s">
        <v>3698</v>
      </c>
      <c r="C1265" s="539" t="s">
        <v>6651</v>
      </c>
      <c r="D1265" s="550" t="s">
        <v>2998</v>
      </c>
      <c r="E1265" s="552">
        <v>0</v>
      </c>
    </row>
    <row r="1266" spans="1:5" s="692" customFormat="1" ht="16.3" customHeight="1">
      <c r="A1266" s="552" t="s">
        <v>3694</v>
      </c>
      <c r="B1266" s="695" t="s">
        <v>3698</v>
      </c>
      <c r="C1266" s="539" t="s">
        <v>8464</v>
      </c>
      <c r="D1266" s="550" t="s">
        <v>2998</v>
      </c>
      <c r="E1266" s="552">
        <v>0</v>
      </c>
    </row>
    <row r="1267" spans="1:5" s="692" customFormat="1" ht="16.3" customHeight="1">
      <c r="A1267" s="552" t="s">
        <v>3694</v>
      </c>
      <c r="B1267" s="697" t="s">
        <v>3699</v>
      </c>
      <c r="C1267" s="539" t="s">
        <v>8467</v>
      </c>
      <c r="D1267" s="550" t="s">
        <v>2809</v>
      </c>
      <c r="E1267" s="552">
        <v>0</v>
      </c>
    </row>
    <row r="1268" spans="1:5" s="692" customFormat="1" ht="16.3" customHeight="1">
      <c r="A1268" s="552" t="s">
        <v>3694</v>
      </c>
      <c r="B1268" s="697" t="s">
        <v>3699</v>
      </c>
      <c r="C1268" s="539" t="s">
        <v>6652</v>
      </c>
      <c r="D1268" s="550" t="s">
        <v>2809</v>
      </c>
      <c r="E1268" s="552">
        <v>0</v>
      </c>
    </row>
    <row r="1269" spans="1:5" s="692" customFormat="1" ht="16.3" customHeight="1">
      <c r="A1269" s="552" t="s">
        <v>3694</v>
      </c>
      <c r="B1269" s="697" t="s">
        <v>3699</v>
      </c>
      <c r="C1269" s="539" t="s">
        <v>9063</v>
      </c>
      <c r="D1269" s="550" t="s">
        <v>2809</v>
      </c>
      <c r="E1269" s="552">
        <v>0</v>
      </c>
    </row>
    <row r="1270" spans="1:5" s="692" customFormat="1" ht="16.3" customHeight="1">
      <c r="A1270" s="552" t="s">
        <v>3694</v>
      </c>
      <c r="B1270" s="697" t="s">
        <v>3699</v>
      </c>
      <c r="C1270" s="539" t="s">
        <v>6654</v>
      </c>
      <c r="D1270" s="550" t="s">
        <v>2809</v>
      </c>
      <c r="E1270" s="552">
        <v>0</v>
      </c>
    </row>
    <row r="1271" spans="1:5" s="692" customFormat="1" ht="16.3" customHeight="1">
      <c r="A1271" s="552" t="s">
        <v>3694</v>
      </c>
      <c r="B1271" s="697" t="s">
        <v>3699</v>
      </c>
      <c r="C1271" s="539" t="s">
        <v>8476</v>
      </c>
      <c r="D1271" s="550" t="s">
        <v>2809</v>
      </c>
      <c r="E1271" s="552">
        <v>0</v>
      </c>
    </row>
    <row r="1272" spans="1:5" s="692" customFormat="1" ht="16.3" customHeight="1">
      <c r="A1272" s="552" t="s">
        <v>3694</v>
      </c>
      <c r="B1272" s="697" t="s">
        <v>3699</v>
      </c>
      <c r="C1272" s="539" t="s">
        <v>6655</v>
      </c>
      <c r="D1272" s="550" t="s">
        <v>2809</v>
      </c>
      <c r="E1272" s="552">
        <v>0</v>
      </c>
    </row>
    <row r="1273" spans="1:5" s="692" customFormat="1" ht="16.3" customHeight="1">
      <c r="A1273" s="552" t="s">
        <v>3694</v>
      </c>
      <c r="B1273" s="697" t="s">
        <v>3699</v>
      </c>
      <c r="C1273" s="539" t="s">
        <v>8481</v>
      </c>
      <c r="D1273" s="550" t="s">
        <v>2809</v>
      </c>
      <c r="E1273" s="552">
        <v>0</v>
      </c>
    </row>
    <row r="1274" spans="1:5" s="692" customFormat="1" ht="16.3" customHeight="1">
      <c r="A1274" s="552" t="s">
        <v>3694</v>
      </c>
      <c r="B1274" s="697" t="s">
        <v>3699</v>
      </c>
      <c r="C1274" s="539" t="s">
        <v>8485</v>
      </c>
      <c r="D1274" s="550" t="s">
        <v>2809</v>
      </c>
      <c r="E1274" s="552">
        <v>0</v>
      </c>
    </row>
    <row r="1275" spans="1:5" s="692" customFormat="1" ht="16.3" customHeight="1">
      <c r="A1275" s="552" t="s">
        <v>3694</v>
      </c>
      <c r="B1275" s="697" t="s">
        <v>3699</v>
      </c>
      <c r="C1275" s="846" t="s">
        <v>9121</v>
      </c>
      <c r="D1275" s="550" t="s">
        <v>2809</v>
      </c>
      <c r="E1275" s="552">
        <v>0</v>
      </c>
    </row>
    <row r="1276" spans="1:5" s="692" customFormat="1" ht="16.3" customHeight="1">
      <c r="A1276" s="552" t="s">
        <v>3694</v>
      </c>
      <c r="B1276" s="697" t="s">
        <v>3699</v>
      </c>
      <c r="C1276" s="539" t="s">
        <v>2783</v>
      </c>
      <c r="D1276" s="550" t="s">
        <v>2809</v>
      </c>
      <c r="E1276" s="552">
        <v>0</v>
      </c>
    </row>
    <row r="1277" spans="1:5" s="692" customFormat="1" ht="16.3" customHeight="1">
      <c r="A1277" s="552" t="s">
        <v>3694</v>
      </c>
      <c r="B1277" s="694" t="s">
        <v>3700</v>
      </c>
      <c r="C1277" s="539" t="s">
        <v>2783</v>
      </c>
      <c r="D1277" s="550" t="s">
        <v>2971</v>
      </c>
      <c r="E1277" s="552">
        <v>0</v>
      </c>
    </row>
    <row r="1278" spans="1:5" s="692" customFormat="1" ht="16.3" customHeight="1">
      <c r="A1278" s="552" t="s">
        <v>3694</v>
      </c>
      <c r="B1278" s="694" t="s">
        <v>3700</v>
      </c>
      <c r="C1278" s="539" t="s">
        <v>9064</v>
      </c>
      <c r="D1278" s="550" t="s">
        <v>2971</v>
      </c>
      <c r="E1278" s="552">
        <v>0</v>
      </c>
    </row>
    <row r="1279" spans="1:5" s="692" customFormat="1" ht="16.3" customHeight="1">
      <c r="A1279" s="552" t="s">
        <v>3694</v>
      </c>
      <c r="B1279" s="694" t="s">
        <v>3700</v>
      </c>
      <c r="C1279" s="539" t="s">
        <v>8492</v>
      </c>
      <c r="D1279" s="550" t="s">
        <v>2971</v>
      </c>
      <c r="E1279" s="552">
        <v>0</v>
      </c>
    </row>
    <row r="1280" spans="1:5" s="692" customFormat="1" ht="16.3" customHeight="1">
      <c r="A1280" s="552" t="s">
        <v>3694</v>
      </c>
      <c r="B1280" s="694" t="s">
        <v>3700</v>
      </c>
      <c r="C1280" s="539" t="s">
        <v>8495</v>
      </c>
      <c r="D1280" s="550" t="s">
        <v>2971</v>
      </c>
      <c r="E1280" s="552">
        <v>0</v>
      </c>
    </row>
    <row r="1281" spans="1:5" s="692" customFormat="1" ht="16.3" customHeight="1">
      <c r="A1281" s="552" t="s">
        <v>3694</v>
      </c>
      <c r="B1281" s="694" t="s">
        <v>3700</v>
      </c>
      <c r="C1281" s="539" t="s">
        <v>6657</v>
      </c>
      <c r="D1281" s="550" t="s">
        <v>2971</v>
      </c>
      <c r="E1281" s="552">
        <v>0</v>
      </c>
    </row>
    <row r="1282" spans="1:5" s="692" customFormat="1" ht="16.3" customHeight="1">
      <c r="A1282" s="552" t="s">
        <v>3694</v>
      </c>
      <c r="B1282" s="700" t="s">
        <v>6055</v>
      </c>
      <c r="C1282" s="539" t="s">
        <v>2783</v>
      </c>
      <c r="D1282" s="550" t="s">
        <v>6697</v>
      </c>
      <c r="E1282" s="552">
        <v>0</v>
      </c>
    </row>
    <row r="1283" spans="1:5" s="692" customFormat="1" ht="16.3" customHeight="1">
      <c r="A1283" s="552" t="s">
        <v>3694</v>
      </c>
      <c r="B1283" s="697" t="s">
        <v>3699</v>
      </c>
      <c r="C1283" s="539" t="s">
        <v>8502</v>
      </c>
      <c r="D1283" s="550" t="s">
        <v>3011</v>
      </c>
      <c r="E1283" s="552">
        <v>1</v>
      </c>
    </row>
    <row r="1284" spans="1:5" s="692" customFormat="1" ht="16.3" customHeight="1">
      <c r="A1284" s="552" t="s">
        <v>3694</v>
      </c>
      <c r="B1284" s="697" t="s">
        <v>3699</v>
      </c>
      <c r="C1284" s="539" t="s">
        <v>8505</v>
      </c>
      <c r="D1284" s="550" t="s">
        <v>3011</v>
      </c>
      <c r="E1284" s="552">
        <v>1</v>
      </c>
    </row>
    <row r="1285" spans="1:5" s="692" customFormat="1" ht="16.3" customHeight="1">
      <c r="A1285" s="552" t="s">
        <v>3694</v>
      </c>
      <c r="B1285" s="697" t="s">
        <v>3699</v>
      </c>
      <c r="C1285" s="539" t="s">
        <v>6658</v>
      </c>
      <c r="D1285" s="550" t="s">
        <v>3011</v>
      </c>
      <c r="E1285" s="552">
        <v>1</v>
      </c>
    </row>
    <row r="1286" spans="1:5" s="692" customFormat="1" ht="16.3" customHeight="1">
      <c r="A1286" s="552" t="s">
        <v>3694</v>
      </c>
      <c r="B1286" s="697" t="s">
        <v>3699</v>
      </c>
      <c r="C1286" s="539" t="s">
        <v>6659</v>
      </c>
      <c r="D1286" s="550" t="s">
        <v>3011</v>
      </c>
      <c r="E1286" s="552">
        <v>1</v>
      </c>
    </row>
    <row r="1287" spans="1:5" s="692" customFormat="1" ht="16.3" customHeight="1">
      <c r="A1287" s="552" t="s">
        <v>3694</v>
      </c>
      <c r="B1287" s="697" t="s">
        <v>3699</v>
      </c>
      <c r="C1287" s="539" t="s">
        <v>6660</v>
      </c>
      <c r="D1287" s="550" t="s">
        <v>3011</v>
      </c>
      <c r="E1287" s="552">
        <v>1</v>
      </c>
    </row>
    <row r="1288" spans="1:5" s="692" customFormat="1" ht="16.3" customHeight="1">
      <c r="A1288" s="552" t="s">
        <v>3694</v>
      </c>
      <c r="B1288" s="697" t="s">
        <v>3699</v>
      </c>
      <c r="C1288" s="539" t="s">
        <v>8514</v>
      </c>
      <c r="D1288" s="550" t="s">
        <v>3011</v>
      </c>
      <c r="E1288" s="552">
        <v>1</v>
      </c>
    </row>
    <row r="1289" spans="1:5" s="692" customFormat="1" ht="16.3" customHeight="1">
      <c r="A1289" s="552" t="s">
        <v>3694</v>
      </c>
      <c r="B1289" s="697" t="s">
        <v>3699</v>
      </c>
      <c r="C1289" s="539" t="s">
        <v>9065</v>
      </c>
      <c r="D1289" s="550" t="s">
        <v>3011</v>
      </c>
      <c r="E1289" s="552">
        <v>1</v>
      </c>
    </row>
    <row r="1290" spans="1:5" s="692" customFormat="1" ht="16.3" customHeight="1">
      <c r="A1290" s="552" t="s">
        <v>3694</v>
      </c>
      <c r="B1290" s="697" t="s">
        <v>3699</v>
      </c>
      <c r="C1290" s="539" t="s">
        <v>8519</v>
      </c>
      <c r="D1290" s="550" t="s">
        <v>3011</v>
      </c>
      <c r="E1290" s="552">
        <v>1</v>
      </c>
    </row>
    <row r="1291" spans="1:5" s="692" customFormat="1" ht="16.3" customHeight="1">
      <c r="A1291" s="552" t="s">
        <v>3694</v>
      </c>
      <c r="B1291" s="697" t="s">
        <v>3699</v>
      </c>
      <c r="C1291" s="539" t="s">
        <v>6662</v>
      </c>
      <c r="D1291" s="550" t="s">
        <v>3011</v>
      </c>
      <c r="E1291" s="552">
        <v>1</v>
      </c>
    </row>
    <row r="1292" spans="1:5" s="692" customFormat="1" ht="16.3" customHeight="1">
      <c r="A1292" s="552" t="s">
        <v>3694</v>
      </c>
      <c r="B1292" s="697" t="s">
        <v>3699</v>
      </c>
      <c r="C1292" s="539" t="s">
        <v>6663</v>
      </c>
      <c r="D1292" s="550" t="s">
        <v>3011</v>
      </c>
      <c r="E1292" s="552">
        <v>1</v>
      </c>
    </row>
    <row r="1293" spans="1:5" s="692" customFormat="1" ht="16.3" customHeight="1">
      <c r="A1293" s="552" t="s">
        <v>3694</v>
      </c>
      <c r="B1293" s="697" t="s">
        <v>3699</v>
      </c>
      <c r="C1293" s="539" t="s">
        <v>6664</v>
      </c>
      <c r="D1293" s="550" t="s">
        <v>3011</v>
      </c>
      <c r="E1293" s="552">
        <v>1</v>
      </c>
    </row>
    <row r="1294" spans="1:5" s="692" customFormat="1" ht="16.3" customHeight="1">
      <c r="A1294" s="552" t="s">
        <v>3694</v>
      </c>
      <c r="B1294" s="697" t="s">
        <v>3699</v>
      </c>
      <c r="C1294" s="539" t="s">
        <v>6665</v>
      </c>
      <c r="D1294" s="550" t="s">
        <v>3011</v>
      </c>
      <c r="E1294" s="552">
        <v>1</v>
      </c>
    </row>
    <row r="1295" spans="1:5" s="692" customFormat="1" ht="16.3" customHeight="1">
      <c r="A1295" s="552" t="s">
        <v>3694</v>
      </c>
      <c r="B1295" s="697" t="s">
        <v>3699</v>
      </c>
      <c r="C1295" s="539" t="s">
        <v>6666</v>
      </c>
      <c r="D1295" s="550" t="s">
        <v>3011</v>
      </c>
      <c r="E1295" s="552">
        <v>1</v>
      </c>
    </row>
    <row r="1296" spans="1:5" s="692" customFormat="1" ht="16.3" customHeight="1">
      <c r="A1296" s="552" t="s">
        <v>3694</v>
      </c>
      <c r="B1296" s="697" t="s">
        <v>3699</v>
      </c>
      <c r="C1296" s="539" t="s">
        <v>9066</v>
      </c>
      <c r="D1296" s="550" t="s">
        <v>3011</v>
      </c>
      <c r="E1296" s="552">
        <v>1</v>
      </c>
    </row>
    <row r="1297" spans="1:5" s="692" customFormat="1" ht="16.3" customHeight="1">
      <c r="A1297" s="552" t="s">
        <v>3694</v>
      </c>
      <c r="B1297" s="697" t="s">
        <v>3699</v>
      </c>
      <c r="C1297" s="539" t="s">
        <v>9067</v>
      </c>
      <c r="D1297" s="550" t="s">
        <v>3011</v>
      </c>
      <c r="E1297" s="552">
        <v>1</v>
      </c>
    </row>
    <row r="1298" spans="1:5" s="692" customFormat="1" ht="16.3" customHeight="1">
      <c r="A1298" s="552" t="s">
        <v>3694</v>
      </c>
      <c r="B1298" s="697" t="s">
        <v>3699</v>
      </c>
      <c r="C1298" s="539" t="s">
        <v>9068</v>
      </c>
      <c r="D1298" s="550" t="s">
        <v>3011</v>
      </c>
      <c r="E1298" s="552">
        <v>1</v>
      </c>
    </row>
    <row r="1299" spans="1:5" s="692" customFormat="1" ht="16.3" customHeight="1">
      <c r="A1299" s="552" t="s">
        <v>3694</v>
      </c>
      <c r="B1299" s="697" t="s">
        <v>3699</v>
      </c>
      <c r="C1299" s="539" t="s">
        <v>9069</v>
      </c>
      <c r="D1299" s="550" t="s">
        <v>3011</v>
      </c>
      <c r="E1299" s="552">
        <v>1</v>
      </c>
    </row>
    <row r="1300" spans="1:5" s="692" customFormat="1" ht="16.3" customHeight="1">
      <c r="A1300" s="552" t="s">
        <v>3694</v>
      </c>
      <c r="B1300" s="697" t="s">
        <v>3699</v>
      </c>
      <c r="C1300" s="539" t="s">
        <v>9070</v>
      </c>
      <c r="D1300" s="550" t="s">
        <v>3011</v>
      </c>
      <c r="E1300" s="552">
        <v>1</v>
      </c>
    </row>
    <row r="1301" spans="1:5" s="692" customFormat="1" ht="16.3" customHeight="1">
      <c r="A1301" s="552" t="s">
        <v>3694</v>
      </c>
      <c r="B1301" s="697" t="s">
        <v>3699</v>
      </c>
      <c r="C1301" s="539" t="s">
        <v>9071</v>
      </c>
      <c r="D1301" s="550" t="s">
        <v>3011</v>
      </c>
      <c r="E1301" s="552">
        <v>1</v>
      </c>
    </row>
    <row r="1302" spans="1:5" s="692" customFormat="1" ht="16.3" customHeight="1">
      <c r="A1302" s="552" t="s">
        <v>3694</v>
      </c>
      <c r="B1302" s="697" t="s">
        <v>3699</v>
      </c>
      <c r="C1302" s="539" t="s">
        <v>9072</v>
      </c>
      <c r="D1302" s="550" t="s">
        <v>3011</v>
      </c>
      <c r="E1302" s="552">
        <v>1</v>
      </c>
    </row>
    <row r="1303" spans="1:5" s="692" customFormat="1" ht="16.3" customHeight="1">
      <c r="A1303" s="552" t="s">
        <v>3694</v>
      </c>
      <c r="B1303" s="697" t="s">
        <v>3699</v>
      </c>
      <c r="C1303" s="539" t="s">
        <v>9073</v>
      </c>
      <c r="D1303" s="550" t="s">
        <v>3011</v>
      </c>
      <c r="E1303" s="552">
        <v>1</v>
      </c>
    </row>
    <row r="1304" spans="1:5" s="692" customFormat="1" ht="16.3" customHeight="1">
      <c r="A1304" s="552" t="s">
        <v>3694</v>
      </c>
      <c r="B1304" s="697" t="s">
        <v>3699</v>
      </c>
      <c r="C1304" s="539" t="s">
        <v>9074</v>
      </c>
      <c r="D1304" s="550" t="s">
        <v>3011</v>
      </c>
      <c r="E1304" s="552">
        <v>1</v>
      </c>
    </row>
    <row r="1305" spans="1:5" s="692" customFormat="1" ht="16.3" customHeight="1">
      <c r="A1305" s="552" t="s">
        <v>3694</v>
      </c>
      <c r="B1305" s="697" t="s">
        <v>3699</v>
      </c>
      <c r="C1305" s="539" t="s">
        <v>6676</v>
      </c>
      <c r="D1305" s="550" t="s">
        <v>3011</v>
      </c>
      <c r="E1305" s="552">
        <v>1</v>
      </c>
    </row>
    <row r="1306" spans="1:5" s="692" customFormat="1" ht="16.3" customHeight="1">
      <c r="A1306" s="552" t="s">
        <v>3694</v>
      </c>
      <c r="B1306" s="697" t="s">
        <v>3699</v>
      </c>
      <c r="C1306" s="539" t="s">
        <v>6677</v>
      </c>
      <c r="D1306" s="550" t="s">
        <v>3011</v>
      </c>
      <c r="E1306" s="552">
        <v>1</v>
      </c>
    </row>
    <row r="1307" spans="1:5" s="692" customFormat="1" ht="16.3" customHeight="1">
      <c r="A1307" s="552" t="s">
        <v>3694</v>
      </c>
      <c r="B1307" s="697" t="s">
        <v>3699</v>
      </c>
      <c r="C1307" s="539" t="s">
        <v>8547</v>
      </c>
      <c r="D1307" s="550" t="s">
        <v>3011</v>
      </c>
      <c r="E1307" s="552">
        <v>1</v>
      </c>
    </row>
    <row r="1308" spans="1:5" s="692" customFormat="1" ht="16.3" customHeight="1">
      <c r="A1308" s="552" t="s">
        <v>3694</v>
      </c>
      <c r="B1308" s="697" t="s">
        <v>3699</v>
      </c>
      <c r="C1308" s="539" t="s">
        <v>8551</v>
      </c>
      <c r="D1308" s="550" t="s">
        <v>3011</v>
      </c>
      <c r="E1308" s="552">
        <v>1</v>
      </c>
    </row>
    <row r="1309" spans="1:5" s="692" customFormat="1" ht="16.3" customHeight="1">
      <c r="A1309" s="552" t="s">
        <v>3694</v>
      </c>
      <c r="B1309" s="697" t="s">
        <v>3699</v>
      </c>
      <c r="C1309" s="539" t="s">
        <v>6678</v>
      </c>
      <c r="D1309" s="550" t="s">
        <v>3011</v>
      </c>
      <c r="E1309" s="552">
        <v>1</v>
      </c>
    </row>
    <row r="1310" spans="1:5" s="692" customFormat="1" ht="16.3" customHeight="1">
      <c r="A1310" s="552" t="s">
        <v>3694</v>
      </c>
      <c r="B1310" s="697" t="s">
        <v>3699</v>
      </c>
      <c r="C1310" s="539" t="s">
        <v>8556</v>
      </c>
      <c r="D1310" s="550" t="s">
        <v>3011</v>
      </c>
      <c r="E1310" s="552">
        <v>1</v>
      </c>
    </row>
    <row r="1311" spans="1:5" s="692" customFormat="1" ht="16.3" customHeight="1">
      <c r="A1311" s="552" t="s">
        <v>3694</v>
      </c>
      <c r="B1311" s="697" t="s">
        <v>3699</v>
      </c>
      <c r="C1311" s="539" t="s">
        <v>6679</v>
      </c>
      <c r="D1311" s="550" t="s">
        <v>3011</v>
      </c>
      <c r="E1311" s="552">
        <v>1</v>
      </c>
    </row>
    <row r="1312" spans="1:5" s="692" customFormat="1" ht="16.3" customHeight="1">
      <c r="A1312" s="552" t="s">
        <v>3694</v>
      </c>
      <c r="B1312" s="697" t="s">
        <v>3699</v>
      </c>
      <c r="C1312" s="539" t="s">
        <v>6680</v>
      </c>
      <c r="D1312" s="550" t="s">
        <v>3011</v>
      </c>
      <c r="E1312" s="552">
        <v>1</v>
      </c>
    </row>
    <row r="1313" spans="1:5" s="692" customFormat="1" ht="16.3" customHeight="1">
      <c r="A1313" s="552" t="s">
        <v>3694</v>
      </c>
      <c r="B1313" s="697" t="s">
        <v>3699</v>
      </c>
      <c r="C1313" s="539" t="s">
        <v>8563</v>
      </c>
      <c r="D1313" s="550" t="s">
        <v>3011</v>
      </c>
      <c r="E1313" s="552">
        <v>1</v>
      </c>
    </row>
    <row r="1314" spans="1:5" s="692" customFormat="1" ht="16.3" customHeight="1">
      <c r="A1314" s="552" t="s">
        <v>3694</v>
      </c>
      <c r="B1314" s="697" t="s">
        <v>3699</v>
      </c>
      <c r="C1314" s="539" t="s">
        <v>8566</v>
      </c>
      <c r="D1314" s="550" t="s">
        <v>3011</v>
      </c>
      <c r="E1314" s="552">
        <v>1</v>
      </c>
    </row>
    <row r="1315" spans="1:5" s="692" customFormat="1" ht="16.3" customHeight="1">
      <c r="A1315" s="552" t="s">
        <v>3694</v>
      </c>
      <c r="B1315" s="697" t="s">
        <v>3699</v>
      </c>
      <c r="C1315" s="539" t="s">
        <v>6681</v>
      </c>
      <c r="D1315" s="550" t="s">
        <v>3011</v>
      </c>
      <c r="E1315" s="552">
        <v>1</v>
      </c>
    </row>
    <row r="1316" spans="1:5" s="692" customFormat="1" ht="16.3" customHeight="1">
      <c r="A1316" s="552" t="s">
        <v>3694</v>
      </c>
      <c r="B1316" s="697" t="s">
        <v>3699</v>
      </c>
      <c r="C1316" s="539" t="s">
        <v>8571</v>
      </c>
      <c r="D1316" s="550" t="s">
        <v>3011</v>
      </c>
      <c r="E1316" s="552">
        <v>1</v>
      </c>
    </row>
    <row r="1317" spans="1:5" s="692" customFormat="1" ht="16.3" customHeight="1">
      <c r="A1317" s="552" t="s">
        <v>3694</v>
      </c>
      <c r="B1317" s="697" t="s">
        <v>3699</v>
      </c>
      <c r="C1317" s="539" t="s">
        <v>9075</v>
      </c>
      <c r="D1317" s="550" t="s">
        <v>3011</v>
      </c>
      <c r="E1317" s="552">
        <v>1</v>
      </c>
    </row>
    <row r="1318" spans="1:5" s="692" customFormat="1" ht="16.3" customHeight="1">
      <c r="A1318" s="552" t="s">
        <v>3694</v>
      </c>
      <c r="B1318" s="697" t="s">
        <v>3699</v>
      </c>
      <c r="C1318" s="539" t="s">
        <v>6683</v>
      </c>
      <c r="D1318" s="550" t="s">
        <v>3011</v>
      </c>
      <c r="E1318" s="552">
        <v>1</v>
      </c>
    </row>
    <row r="1319" spans="1:5" s="692" customFormat="1" ht="16.3" customHeight="1">
      <c r="A1319" s="552" t="s">
        <v>3694</v>
      </c>
      <c r="B1319" s="697" t="s">
        <v>3699</v>
      </c>
      <c r="C1319" s="539" t="s">
        <v>2783</v>
      </c>
      <c r="D1319" s="550" t="s">
        <v>3011</v>
      </c>
      <c r="E1319" s="552">
        <v>1</v>
      </c>
    </row>
    <row r="1320" spans="1:5" s="692" customFormat="1" ht="16.3" customHeight="1">
      <c r="A1320" s="552" t="s">
        <v>3694</v>
      </c>
      <c r="B1320" s="697" t="s">
        <v>3699</v>
      </c>
      <c r="C1320" s="539" t="s">
        <v>2783</v>
      </c>
      <c r="D1320" s="550" t="s">
        <v>3011</v>
      </c>
      <c r="E1320" s="552">
        <v>1</v>
      </c>
    </row>
    <row r="1321" spans="1:5" s="692" customFormat="1" ht="16.3" customHeight="1">
      <c r="A1321" s="552" t="s">
        <v>3694</v>
      </c>
      <c r="B1321" s="697" t="s">
        <v>3699</v>
      </c>
      <c r="C1321" s="539" t="s">
        <v>2783</v>
      </c>
      <c r="D1321" s="550" t="s">
        <v>3011</v>
      </c>
      <c r="E1321" s="552">
        <v>1</v>
      </c>
    </row>
    <row r="1322" spans="1:5" s="692" customFormat="1" ht="16.3" customHeight="1">
      <c r="A1322" s="552" t="s">
        <v>3694</v>
      </c>
      <c r="B1322" s="697" t="s">
        <v>3699</v>
      </c>
      <c r="C1322" s="539" t="s">
        <v>2783</v>
      </c>
      <c r="D1322" s="550" t="s">
        <v>3011</v>
      </c>
      <c r="E1322" s="552">
        <v>1</v>
      </c>
    </row>
    <row r="1323" spans="1:5" s="692" customFormat="1" ht="16.3" customHeight="1">
      <c r="A1323" s="552" t="s">
        <v>3694</v>
      </c>
      <c r="B1323" s="694" t="s">
        <v>3700</v>
      </c>
      <c r="C1323" s="539" t="s">
        <v>6684</v>
      </c>
      <c r="D1323" s="550" t="s">
        <v>2844</v>
      </c>
      <c r="E1323" s="552">
        <v>1</v>
      </c>
    </row>
    <row r="1324" spans="1:5" s="692" customFormat="1" ht="16.3" customHeight="1">
      <c r="A1324" s="552" t="s">
        <v>3694</v>
      </c>
      <c r="B1324" s="694" t="s">
        <v>3700</v>
      </c>
      <c r="C1324" s="539" t="s">
        <v>8580</v>
      </c>
      <c r="D1324" s="550" t="s">
        <v>2844</v>
      </c>
      <c r="E1324" s="552">
        <v>1</v>
      </c>
    </row>
    <row r="1325" spans="1:5" s="692" customFormat="1" ht="16.3" customHeight="1">
      <c r="A1325" s="552" t="s">
        <v>3694</v>
      </c>
      <c r="B1325" s="694" t="s">
        <v>3700</v>
      </c>
      <c r="C1325" s="539" t="s">
        <v>8583</v>
      </c>
      <c r="D1325" s="550" t="s">
        <v>2844</v>
      </c>
      <c r="E1325" s="552">
        <v>1</v>
      </c>
    </row>
    <row r="1326" spans="1:5" s="692" customFormat="1" ht="16.3" customHeight="1">
      <c r="A1326" s="552" t="s">
        <v>3694</v>
      </c>
      <c r="B1326" s="694" t="s">
        <v>3700</v>
      </c>
      <c r="C1326" s="539" t="s">
        <v>8586</v>
      </c>
      <c r="D1326" s="550" t="s">
        <v>2844</v>
      </c>
      <c r="E1326" s="552">
        <v>1</v>
      </c>
    </row>
    <row r="1327" spans="1:5" s="692" customFormat="1" ht="16.3" customHeight="1">
      <c r="A1327" s="552" t="s">
        <v>3694</v>
      </c>
      <c r="B1327" s="694" t="s">
        <v>3700</v>
      </c>
      <c r="C1327" s="539" t="s">
        <v>6685</v>
      </c>
      <c r="D1327" s="550" t="s">
        <v>2844</v>
      </c>
      <c r="E1327" s="552">
        <v>1</v>
      </c>
    </row>
    <row r="1328" spans="1:5" s="692" customFormat="1" ht="16.3" customHeight="1">
      <c r="A1328" s="552" t="s">
        <v>3694</v>
      </c>
      <c r="B1328" s="701" t="s">
        <v>6056</v>
      </c>
      <c r="C1328" s="539" t="s">
        <v>2783</v>
      </c>
      <c r="D1328" s="550" t="s">
        <v>2844</v>
      </c>
      <c r="E1328" s="552">
        <v>1</v>
      </c>
    </row>
    <row r="1329" spans="1:5" s="692" customFormat="1" ht="16.3" customHeight="1">
      <c r="A1329" s="552" t="s">
        <v>3694</v>
      </c>
      <c r="B1329" s="701" t="s">
        <v>6056</v>
      </c>
      <c r="C1329" s="539" t="s">
        <v>2783</v>
      </c>
      <c r="D1329" s="550" t="s">
        <v>2844</v>
      </c>
      <c r="E1329" s="552">
        <v>1</v>
      </c>
    </row>
    <row r="1330" spans="1:5" s="692" customFormat="1" ht="16.3" customHeight="1">
      <c r="A1330" s="552" t="s">
        <v>3694</v>
      </c>
      <c r="B1330" s="701" t="s">
        <v>6056</v>
      </c>
      <c r="C1330" s="539" t="s">
        <v>2783</v>
      </c>
      <c r="D1330" s="550" t="s">
        <v>2844</v>
      </c>
      <c r="E1330" s="552">
        <v>1</v>
      </c>
    </row>
    <row r="1331" spans="1:5" s="692" customFormat="1" ht="16.3" customHeight="1">
      <c r="A1331" s="552" t="s">
        <v>3694</v>
      </c>
      <c r="B1331" s="700" t="s">
        <v>6055</v>
      </c>
      <c r="C1331" s="539" t="s">
        <v>6686</v>
      </c>
      <c r="D1331" s="550" t="s">
        <v>6698</v>
      </c>
      <c r="E1331" s="552">
        <v>1</v>
      </c>
    </row>
    <row r="1332" spans="1:5" s="692" customFormat="1" ht="16.3" customHeight="1">
      <c r="A1332" s="552" t="s">
        <v>3694</v>
      </c>
      <c r="B1332" s="700" t="s">
        <v>6055</v>
      </c>
      <c r="C1332" s="539" t="s">
        <v>8596</v>
      </c>
      <c r="D1332" s="550" t="s">
        <v>6698</v>
      </c>
      <c r="E1332" s="552">
        <v>1</v>
      </c>
    </row>
    <row r="1333" spans="1:5" s="692" customFormat="1" ht="16.3" customHeight="1">
      <c r="A1333" s="552" t="s">
        <v>3694</v>
      </c>
      <c r="B1333" s="700" t="s">
        <v>6055</v>
      </c>
      <c r="C1333" s="539" t="s">
        <v>2783</v>
      </c>
      <c r="D1333" s="550" t="s">
        <v>6698</v>
      </c>
      <c r="E1333" s="552">
        <v>1</v>
      </c>
    </row>
    <row r="1334" spans="1:5" s="692" customFormat="1" ht="16.3" customHeight="1">
      <c r="A1334" s="552" t="s">
        <v>3694</v>
      </c>
      <c r="B1334" s="700" t="s">
        <v>6055</v>
      </c>
      <c r="C1334" s="539" t="s">
        <v>2783</v>
      </c>
      <c r="D1334" s="550" t="s">
        <v>6698</v>
      </c>
      <c r="E1334" s="552">
        <v>1</v>
      </c>
    </row>
    <row r="1335" spans="1:5" s="692" customFormat="1" ht="16.3" customHeight="1">
      <c r="A1335" s="552" t="s">
        <v>3694</v>
      </c>
      <c r="B1335" s="700" t="s">
        <v>6055</v>
      </c>
      <c r="C1335" s="539" t="s">
        <v>2783</v>
      </c>
      <c r="D1335" s="550" t="s">
        <v>6698</v>
      </c>
      <c r="E1335" s="552">
        <v>1</v>
      </c>
    </row>
    <row r="1336" spans="1:5" s="692" customFormat="1" ht="16.3" customHeight="1">
      <c r="A1336" s="552" t="s">
        <v>3694</v>
      </c>
      <c r="B1336" s="700" t="s">
        <v>6055</v>
      </c>
      <c r="C1336" s="539" t="s">
        <v>6687</v>
      </c>
      <c r="D1336" s="550" t="s">
        <v>6698</v>
      </c>
      <c r="E1336" s="552">
        <v>1</v>
      </c>
    </row>
    <row r="1337" spans="1:5" s="692" customFormat="1" ht="16.3" customHeight="1">
      <c r="A1337" s="552" t="s">
        <v>3694</v>
      </c>
      <c r="B1337" s="700" t="s">
        <v>6055</v>
      </c>
      <c r="C1337" s="539" t="s">
        <v>9076</v>
      </c>
      <c r="D1337" s="550" t="s">
        <v>6698</v>
      </c>
      <c r="E1337" s="552">
        <v>1</v>
      </c>
    </row>
    <row r="1338" spans="1:5" s="692" customFormat="1" ht="16.3" customHeight="1">
      <c r="A1338" s="552" t="s">
        <v>3694</v>
      </c>
      <c r="B1338" s="700" t="s">
        <v>6055</v>
      </c>
      <c r="C1338" s="539" t="s">
        <v>9077</v>
      </c>
      <c r="D1338" s="550" t="s">
        <v>6698</v>
      </c>
      <c r="E1338" s="552">
        <v>1</v>
      </c>
    </row>
    <row r="1339" spans="1:5" s="692" customFormat="1" ht="16.3" customHeight="1">
      <c r="A1339" s="552" t="s">
        <v>3694</v>
      </c>
      <c r="B1339" s="700" t="s">
        <v>6055</v>
      </c>
      <c r="C1339" s="539" t="s">
        <v>6690</v>
      </c>
      <c r="D1339" s="550" t="s">
        <v>6698</v>
      </c>
      <c r="E1339" s="552">
        <v>1</v>
      </c>
    </row>
    <row r="1340" spans="1:5" s="692" customFormat="1" ht="16.3" customHeight="1">
      <c r="A1340" s="552" t="s">
        <v>3694</v>
      </c>
      <c r="B1340" s="700" t="s">
        <v>6055</v>
      </c>
      <c r="C1340" s="539" t="s">
        <v>8610</v>
      </c>
      <c r="D1340" s="550" t="s">
        <v>6698</v>
      </c>
      <c r="E1340" s="552">
        <v>1</v>
      </c>
    </row>
    <row r="1341" spans="1:5" s="692" customFormat="1" ht="16.3" customHeight="1">
      <c r="A1341" s="552" t="s">
        <v>3694</v>
      </c>
      <c r="B1341" s="700" t="s">
        <v>6055</v>
      </c>
      <c r="C1341" s="539" t="s">
        <v>6691</v>
      </c>
      <c r="D1341" s="550" t="s">
        <v>6698</v>
      </c>
      <c r="E1341" s="552">
        <v>1</v>
      </c>
    </row>
    <row r="1342" spans="1:5" s="692" customFormat="1" ht="16.3" customHeight="1">
      <c r="A1342" s="552" t="s">
        <v>3694</v>
      </c>
      <c r="B1342" s="700" t="s">
        <v>6055</v>
      </c>
      <c r="C1342" s="539" t="s">
        <v>6692</v>
      </c>
      <c r="D1342" s="550" t="s">
        <v>6698</v>
      </c>
      <c r="E1342" s="552">
        <v>1</v>
      </c>
    </row>
    <row r="1343" spans="1:5" s="692" customFormat="1" ht="16.3" customHeight="1">
      <c r="A1343" s="552" t="s">
        <v>3694</v>
      </c>
      <c r="B1343" s="700" t="s">
        <v>6055</v>
      </c>
      <c r="C1343" s="539" t="s">
        <v>9078</v>
      </c>
      <c r="D1343" s="550" t="s">
        <v>6698</v>
      </c>
      <c r="E1343" s="552">
        <v>1</v>
      </c>
    </row>
    <row r="1344" spans="1:5" s="692" customFormat="1" ht="16.3" customHeight="1">
      <c r="A1344" s="552" t="s">
        <v>3694</v>
      </c>
      <c r="B1344" s="700" t="s">
        <v>6055</v>
      </c>
      <c r="C1344" s="539" t="s">
        <v>6694</v>
      </c>
      <c r="D1344" s="550" t="s">
        <v>6698</v>
      </c>
      <c r="E1344" s="552">
        <v>1</v>
      </c>
    </row>
    <row r="1345" spans="1:7" s="692" customFormat="1" ht="16.3" customHeight="1">
      <c r="A1345" s="552" t="s">
        <v>3694</v>
      </c>
      <c r="B1345" s="700" t="s">
        <v>6055</v>
      </c>
      <c r="C1345" s="539" t="s">
        <v>6695</v>
      </c>
      <c r="D1345" s="550" t="s">
        <v>6698</v>
      </c>
      <c r="E1345" s="552">
        <v>1</v>
      </c>
    </row>
    <row r="1346" spans="1:7" s="692" customFormat="1" ht="16.3" customHeight="1">
      <c r="A1346" s="552" t="s">
        <v>3694</v>
      </c>
      <c r="B1346" s="700" t="s">
        <v>6055</v>
      </c>
      <c r="C1346" s="539" t="s">
        <v>6696</v>
      </c>
      <c r="D1346" s="550" t="s">
        <v>6698</v>
      </c>
      <c r="E1346" s="552">
        <v>1</v>
      </c>
    </row>
    <row r="1347" spans="1:7" s="692" customFormat="1" ht="16.3" customHeight="1">
      <c r="A1347" s="552" t="s">
        <v>3694</v>
      </c>
      <c r="B1347" s="702" t="s">
        <v>6057</v>
      </c>
      <c r="C1347" s="539" t="s">
        <v>9079</v>
      </c>
      <c r="D1347" s="550" t="s">
        <v>6699</v>
      </c>
      <c r="E1347" s="552">
        <v>1</v>
      </c>
    </row>
    <row r="1348" spans="1:7" ht="16.3" customHeight="1">
      <c r="A1348" s="552" t="s">
        <v>3702</v>
      </c>
      <c r="B1348" s="540" t="s">
        <v>3695</v>
      </c>
      <c r="C1348" s="554" t="s">
        <v>2791</v>
      </c>
      <c r="D1348" s="550" t="s">
        <v>2792</v>
      </c>
      <c r="E1348" s="552">
        <v>0</v>
      </c>
      <c r="F1348" s="754" t="s">
        <v>8891</v>
      </c>
      <c r="G1348" s="754"/>
    </row>
    <row r="1349" spans="1:7" ht="16.3" customHeight="1">
      <c r="A1349" s="552" t="s">
        <v>3702</v>
      </c>
      <c r="B1349" s="555" t="s">
        <v>3696</v>
      </c>
      <c r="C1349" s="554" t="s">
        <v>2793</v>
      </c>
      <c r="D1349" s="550" t="s">
        <v>2794</v>
      </c>
      <c r="E1349" s="552">
        <v>0</v>
      </c>
      <c r="F1349" s="754" t="s">
        <v>8891</v>
      </c>
      <c r="G1349" s="754"/>
    </row>
    <row r="1350" spans="1:7" ht="16.3" customHeight="1">
      <c r="A1350" s="552" t="s">
        <v>3702</v>
      </c>
      <c r="B1350" s="555" t="s">
        <v>3696</v>
      </c>
      <c r="C1350" s="568" t="s">
        <v>2795</v>
      </c>
      <c r="D1350" s="550" t="s">
        <v>2794</v>
      </c>
      <c r="E1350" s="552">
        <v>0</v>
      </c>
      <c r="F1350" s="754" t="s">
        <v>8891</v>
      </c>
      <c r="G1350" s="754"/>
    </row>
    <row r="1351" spans="1:7" ht="16.3" customHeight="1">
      <c r="A1351" s="552" t="s">
        <v>3702</v>
      </c>
      <c r="B1351" s="556" t="s">
        <v>3697</v>
      </c>
      <c r="C1351" s="554" t="s">
        <v>2797</v>
      </c>
      <c r="D1351" s="550" t="s">
        <v>2798</v>
      </c>
      <c r="E1351" s="552">
        <v>0</v>
      </c>
      <c r="F1351" s="754" t="s">
        <v>8891</v>
      </c>
      <c r="G1351" s="754"/>
    </row>
    <row r="1352" spans="1:7" ht="16.3" customHeight="1">
      <c r="A1352" s="552" t="s">
        <v>3702</v>
      </c>
      <c r="B1352" s="556" t="s">
        <v>3697</v>
      </c>
      <c r="C1352" s="554" t="s">
        <v>2799</v>
      </c>
      <c r="D1352" s="550" t="s">
        <v>2798</v>
      </c>
      <c r="E1352" s="552">
        <v>0</v>
      </c>
      <c r="F1352" s="754" t="s">
        <v>8891</v>
      </c>
      <c r="G1352" s="754"/>
    </row>
    <row r="1353" spans="1:7" ht="16.3" customHeight="1">
      <c r="A1353" s="552" t="s">
        <v>3702</v>
      </c>
      <c r="B1353" s="557" t="s">
        <v>3698</v>
      </c>
      <c r="C1353" s="554" t="s">
        <v>2801</v>
      </c>
      <c r="D1353" s="550" t="s">
        <v>2802</v>
      </c>
      <c r="E1353" s="552">
        <v>0</v>
      </c>
      <c r="F1353" s="754" t="s">
        <v>8891</v>
      </c>
      <c r="G1353" s="754"/>
    </row>
    <row r="1354" spans="1:7" ht="16.3" customHeight="1">
      <c r="A1354" s="552" t="s">
        <v>3702</v>
      </c>
      <c r="B1354" s="557" t="s">
        <v>3698</v>
      </c>
      <c r="C1354" s="554" t="s">
        <v>2783</v>
      </c>
      <c r="D1354" s="550" t="s">
        <v>2802</v>
      </c>
      <c r="E1354" s="552">
        <v>0</v>
      </c>
      <c r="F1354" s="754" t="s">
        <v>8891</v>
      </c>
      <c r="G1354" s="754"/>
    </row>
    <row r="1355" spans="1:7" ht="16.3" customHeight="1">
      <c r="A1355" s="552" t="s">
        <v>3702</v>
      </c>
      <c r="B1355" s="557" t="s">
        <v>3698</v>
      </c>
      <c r="C1355" s="554" t="s">
        <v>2783</v>
      </c>
      <c r="D1355" s="550" t="s">
        <v>2802</v>
      </c>
      <c r="E1355" s="552">
        <v>0</v>
      </c>
      <c r="F1355" s="754" t="s">
        <v>8891</v>
      </c>
      <c r="G1355" s="754"/>
    </row>
    <row r="1356" spans="1:7" ht="16.3" customHeight="1">
      <c r="A1356" s="552" t="s">
        <v>3702</v>
      </c>
      <c r="B1356" s="564" t="s">
        <v>3699</v>
      </c>
      <c r="C1356" s="554" t="s">
        <v>2804</v>
      </c>
      <c r="D1356" s="550" t="s">
        <v>2805</v>
      </c>
      <c r="E1356" s="552">
        <v>0</v>
      </c>
      <c r="F1356" s="754" t="s">
        <v>8891</v>
      </c>
      <c r="G1356" s="754"/>
    </row>
    <row r="1357" spans="1:7" ht="16.3" customHeight="1">
      <c r="A1357" s="552" t="s">
        <v>3702</v>
      </c>
      <c r="B1357" s="564" t="s">
        <v>3699</v>
      </c>
      <c r="C1357" s="554" t="s">
        <v>2806</v>
      </c>
      <c r="D1357" s="550" t="s">
        <v>2805</v>
      </c>
      <c r="E1357" s="552">
        <v>0</v>
      </c>
      <c r="F1357" s="754" t="s">
        <v>8891</v>
      </c>
      <c r="G1357" s="754"/>
    </row>
    <row r="1358" spans="1:7" ht="16.3" customHeight="1">
      <c r="A1358" s="552" t="s">
        <v>3702</v>
      </c>
      <c r="B1358" s="564" t="s">
        <v>3699</v>
      </c>
      <c r="C1358" s="554" t="s">
        <v>2783</v>
      </c>
      <c r="D1358" s="550" t="s">
        <v>2805</v>
      </c>
      <c r="E1358" s="552">
        <v>0</v>
      </c>
      <c r="F1358" s="754" t="s">
        <v>8891</v>
      </c>
      <c r="G1358" s="754"/>
    </row>
    <row r="1359" spans="1:7" ht="16.3" customHeight="1">
      <c r="A1359" s="552" t="s">
        <v>3702</v>
      </c>
      <c r="B1359" s="559" t="s">
        <v>3700</v>
      </c>
      <c r="C1359" s="554" t="s">
        <v>2808</v>
      </c>
      <c r="D1359" s="550" t="s">
        <v>2809</v>
      </c>
      <c r="E1359" s="552">
        <v>0</v>
      </c>
      <c r="F1359" s="754" t="s">
        <v>8891</v>
      </c>
      <c r="G1359" s="754"/>
    </row>
    <row r="1360" spans="1:7" ht="16.3" customHeight="1">
      <c r="A1360" s="552" t="s">
        <v>3702</v>
      </c>
      <c r="B1360" s="540" t="s">
        <v>3695</v>
      </c>
      <c r="C1360" s="554" t="s">
        <v>2813</v>
      </c>
      <c r="D1360" s="550" t="s">
        <v>2792</v>
      </c>
      <c r="E1360" s="552">
        <v>0</v>
      </c>
      <c r="F1360" s="754" t="s">
        <v>8891</v>
      </c>
      <c r="G1360" s="754"/>
    </row>
    <row r="1361" spans="1:7" ht="16.3" customHeight="1">
      <c r="A1361" s="552" t="s">
        <v>3702</v>
      </c>
      <c r="B1361" s="555" t="s">
        <v>3696</v>
      </c>
      <c r="C1361" s="554" t="s">
        <v>2814</v>
      </c>
      <c r="D1361" s="550" t="s">
        <v>2794</v>
      </c>
      <c r="E1361" s="552">
        <v>0</v>
      </c>
      <c r="F1361" s="754" t="s">
        <v>8891</v>
      </c>
      <c r="G1361" s="754"/>
    </row>
    <row r="1362" spans="1:7" ht="16.3" customHeight="1">
      <c r="A1362" s="552" t="s">
        <v>3702</v>
      </c>
      <c r="B1362" s="555" t="s">
        <v>3696</v>
      </c>
      <c r="C1362" s="554" t="s">
        <v>2783</v>
      </c>
      <c r="D1362" s="550" t="s">
        <v>2794</v>
      </c>
      <c r="E1362" s="552">
        <v>0</v>
      </c>
      <c r="F1362" s="754" t="s">
        <v>8891</v>
      </c>
      <c r="G1362" s="754"/>
    </row>
    <row r="1363" spans="1:7" ht="16.3" customHeight="1">
      <c r="A1363" s="552" t="s">
        <v>3702</v>
      </c>
      <c r="B1363" s="556" t="s">
        <v>3697</v>
      </c>
      <c r="C1363" s="554" t="s">
        <v>2815</v>
      </c>
      <c r="D1363" s="550" t="s">
        <v>2798</v>
      </c>
      <c r="E1363" s="552">
        <v>0</v>
      </c>
      <c r="F1363" s="754" t="s">
        <v>8891</v>
      </c>
      <c r="G1363" s="754"/>
    </row>
    <row r="1364" spans="1:7" ht="16.3" customHeight="1">
      <c r="A1364" s="552" t="s">
        <v>3702</v>
      </c>
      <c r="B1364" s="556" t="s">
        <v>3697</v>
      </c>
      <c r="C1364" s="554" t="s">
        <v>2783</v>
      </c>
      <c r="D1364" s="550" t="s">
        <v>2798</v>
      </c>
      <c r="E1364" s="552">
        <v>0</v>
      </c>
      <c r="F1364" s="754" t="s">
        <v>8891</v>
      </c>
      <c r="G1364" s="754"/>
    </row>
    <row r="1365" spans="1:7" ht="16.3" customHeight="1">
      <c r="A1365" s="552" t="s">
        <v>3702</v>
      </c>
      <c r="B1365" s="557" t="s">
        <v>3698</v>
      </c>
      <c r="C1365" s="554" t="s">
        <v>2816</v>
      </c>
      <c r="D1365" s="550" t="s">
        <v>2802</v>
      </c>
      <c r="E1365" s="552">
        <v>0</v>
      </c>
      <c r="F1365" s="754" t="s">
        <v>8891</v>
      </c>
      <c r="G1365" s="754"/>
    </row>
    <row r="1366" spans="1:7" ht="16.3" customHeight="1">
      <c r="A1366" s="552" t="s">
        <v>3702</v>
      </c>
      <c r="B1366" s="557" t="s">
        <v>3698</v>
      </c>
      <c r="C1366" s="554" t="s">
        <v>2783</v>
      </c>
      <c r="D1366" s="550" t="s">
        <v>2802</v>
      </c>
      <c r="E1366" s="552">
        <v>0</v>
      </c>
      <c r="F1366" s="754" t="s">
        <v>8891</v>
      </c>
      <c r="G1366" s="754"/>
    </row>
    <row r="1367" spans="1:7" ht="16.3" customHeight="1">
      <c r="A1367" s="552" t="s">
        <v>3702</v>
      </c>
      <c r="B1367" s="557" t="s">
        <v>3698</v>
      </c>
      <c r="C1367" s="554" t="s">
        <v>2783</v>
      </c>
      <c r="D1367" s="550" t="s">
        <v>2802</v>
      </c>
      <c r="E1367" s="552">
        <v>0</v>
      </c>
      <c r="F1367" s="754" t="s">
        <v>8891</v>
      </c>
      <c r="G1367" s="754"/>
    </row>
    <row r="1368" spans="1:7" ht="16.3" customHeight="1">
      <c r="A1368" s="552" t="s">
        <v>3702</v>
      </c>
      <c r="B1368" s="564" t="s">
        <v>3699</v>
      </c>
      <c r="C1368" s="554" t="s">
        <v>2817</v>
      </c>
      <c r="D1368" s="550" t="s">
        <v>2805</v>
      </c>
      <c r="E1368" s="552">
        <v>0</v>
      </c>
      <c r="F1368" s="754" t="s">
        <v>8891</v>
      </c>
      <c r="G1368" s="754"/>
    </row>
    <row r="1369" spans="1:7" ht="16.3" customHeight="1">
      <c r="A1369" s="552" t="s">
        <v>3702</v>
      </c>
      <c r="B1369" s="564" t="s">
        <v>3699</v>
      </c>
      <c r="C1369" s="554" t="s">
        <v>2783</v>
      </c>
      <c r="D1369" s="550" t="s">
        <v>2805</v>
      </c>
      <c r="E1369" s="552">
        <v>0</v>
      </c>
      <c r="F1369" s="754" t="s">
        <v>8891</v>
      </c>
      <c r="G1369" s="754"/>
    </row>
    <row r="1370" spans="1:7" ht="16.3" customHeight="1">
      <c r="A1370" s="552" t="s">
        <v>3702</v>
      </c>
      <c r="B1370" s="564" t="s">
        <v>3699</v>
      </c>
      <c r="C1370" s="554" t="s">
        <v>2783</v>
      </c>
      <c r="D1370" s="550" t="s">
        <v>2805</v>
      </c>
      <c r="E1370" s="552">
        <v>0</v>
      </c>
      <c r="F1370" s="754" t="s">
        <v>8891</v>
      </c>
      <c r="G1370" s="754"/>
    </row>
    <row r="1371" spans="1:7" ht="16.3" customHeight="1">
      <c r="A1371" s="552" t="s">
        <v>3702</v>
      </c>
      <c r="B1371" s="559" t="s">
        <v>3700</v>
      </c>
      <c r="C1371" s="554" t="s">
        <v>2818</v>
      </c>
      <c r="D1371" s="550" t="s">
        <v>2809</v>
      </c>
      <c r="E1371" s="552">
        <v>0</v>
      </c>
      <c r="F1371" s="754" t="s">
        <v>8891</v>
      </c>
      <c r="G1371" s="754"/>
    </row>
    <row r="1372" spans="1:7" ht="16.3" customHeight="1">
      <c r="A1372" s="552" t="s">
        <v>3702</v>
      </c>
      <c r="B1372" s="540" t="s">
        <v>3695</v>
      </c>
      <c r="C1372" s="554" t="s">
        <v>2821</v>
      </c>
      <c r="D1372" s="550" t="s">
        <v>2792</v>
      </c>
      <c r="E1372" s="552">
        <v>0</v>
      </c>
      <c r="F1372" s="754" t="s">
        <v>8891</v>
      </c>
      <c r="G1372" s="754"/>
    </row>
    <row r="1373" spans="1:7" ht="16.3" customHeight="1">
      <c r="A1373" s="552" t="s">
        <v>3702</v>
      </c>
      <c r="B1373" s="555" t="s">
        <v>3696</v>
      </c>
      <c r="C1373" s="554" t="s">
        <v>2822</v>
      </c>
      <c r="D1373" s="550" t="s">
        <v>2794</v>
      </c>
      <c r="E1373" s="552">
        <v>0</v>
      </c>
      <c r="F1373" s="754" t="s">
        <v>8891</v>
      </c>
      <c r="G1373" s="754"/>
    </row>
    <row r="1374" spans="1:7" ht="16.3" customHeight="1">
      <c r="A1374" s="552" t="s">
        <v>3702</v>
      </c>
      <c r="B1374" s="555" t="s">
        <v>3696</v>
      </c>
      <c r="C1374" s="554" t="s">
        <v>2783</v>
      </c>
      <c r="D1374" s="550" t="s">
        <v>2794</v>
      </c>
      <c r="E1374" s="552">
        <v>0</v>
      </c>
      <c r="F1374" s="754" t="s">
        <v>8891</v>
      </c>
      <c r="G1374" s="754"/>
    </row>
    <row r="1375" spans="1:7" ht="16.3" customHeight="1">
      <c r="A1375" s="552" t="s">
        <v>3702</v>
      </c>
      <c r="B1375" s="556" t="s">
        <v>3697</v>
      </c>
      <c r="C1375" s="554" t="s">
        <v>2823</v>
      </c>
      <c r="D1375" s="550" t="s">
        <v>2798</v>
      </c>
      <c r="E1375" s="552">
        <v>0</v>
      </c>
      <c r="F1375" s="754" t="s">
        <v>8891</v>
      </c>
      <c r="G1375" s="754"/>
    </row>
    <row r="1376" spans="1:7" ht="16.3" customHeight="1">
      <c r="A1376" s="552" t="s">
        <v>3702</v>
      </c>
      <c r="B1376" s="556" t="s">
        <v>3697</v>
      </c>
      <c r="C1376" s="554" t="s">
        <v>2783</v>
      </c>
      <c r="D1376" s="550" t="s">
        <v>2798</v>
      </c>
      <c r="E1376" s="552">
        <v>0</v>
      </c>
      <c r="F1376" s="754" t="s">
        <v>8891</v>
      </c>
      <c r="G1376" s="754"/>
    </row>
    <row r="1377" spans="1:7" ht="16.3" customHeight="1">
      <c r="A1377" s="552" t="s">
        <v>3702</v>
      </c>
      <c r="B1377" s="557" t="s">
        <v>3698</v>
      </c>
      <c r="C1377" s="554" t="s">
        <v>2824</v>
      </c>
      <c r="D1377" s="550" t="s">
        <v>2802</v>
      </c>
      <c r="E1377" s="552">
        <v>0</v>
      </c>
      <c r="F1377" s="754" t="s">
        <v>8891</v>
      </c>
      <c r="G1377" s="754"/>
    </row>
    <row r="1378" spans="1:7" ht="16.3" customHeight="1">
      <c r="A1378" s="552" t="s">
        <v>3702</v>
      </c>
      <c r="B1378" s="557" t="s">
        <v>3698</v>
      </c>
      <c r="C1378" s="554" t="s">
        <v>2783</v>
      </c>
      <c r="D1378" s="550" t="s">
        <v>2802</v>
      </c>
      <c r="E1378" s="552">
        <v>0</v>
      </c>
      <c r="F1378" s="754" t="s">
        <v>8891</v>
      </c>
      <c r="G1378" s="754"/>
    </row>
    <row r="1379" spans="1:7" ht="16.3" customHeight="1">
      <c r="A1379" s="552" t="s">
        <v>3702</v>
      </c>
      <c r="B1379" s="557" t="s">
        <v>3698</v>
      </c>
      <c r="C1379" s="554" t="s">
        <v>2825</v>
      </c>
      <c r="D1379" s="550" t="s">
        <v>2802</v>
      </c>
      <c r="E1379" s="552">
        <v>0</v>
      </c>
      <c r="F1379" s="754" t="s">
        <v>8891</v>
      </c>
      <c r="G1379" s="754"/>
    </row>
    <row r="1380" spans="1:7" ht="16.3" customHeight="1">
      <c r="A1380" s="552" t="s">
        <v>3702</v>
      </c>
      <c r="B1380" s="564" t="s">
        <v>3699</v>
      </c>
      <c r="C1380" s="554" t="s">
        <v>2826</v>
      </c>
      <c r="D1380" s="550" t="s">
        <v>2805</v>
      </c>
      <c r="E1380" s="552">
        <v>0</v>
      </c>
      <c r="F1380" s="754" t="s">
        <v>8891</v>
      </c>
      <c r="G1380" s="754"/>
    </row>
    <row r="1381" spans="1:7" ht="16.3" customHeight="1">
      <c r="A1381" s="552" t="s">
        <v>3702</v>
      </c>
      <c r="B1381" s="564" t="s">
        <v>3699</v>
      </c>
      <c r="C1381" s="554" t="s">
        <v>2827</v>
      </c>
      <c r="D1381" s="550" t="s">
        <v>2805</v>
      </c>
      <c r="E1381" s="552">
        <v>0</v>
      </c>
      <c r="F1381" s="754" t="s">
        <v>8891</v>
      </c>
      <c r="G1381" s="754"/>
    </row>
    <row r="1382" spans="1:7" ht="16.3" customHeight="1">
      <c r="A1382" s="552" t="s">
        <v>3702</v>
      </c>
      <c r="B1382" s="564" t="s">
        <v>3699</v>
      </c>
      <c r="C1382" s="554" t="s">
        <v>2828</v>
      </c>
      <c r="D1382" s="550" t="s">
        <v>2805</v>
      </c>
      <c r="E1382" s="552">
        <v>0</v>
      </c>
      <c r="F1382" s="754" t="s">
        <v>8891</v>
      </c>
      <c r="G1382" s="754"/>
    </row>
    <row r="1383" spans="1:7" ht="16.3" customHeight="1">
      <c r="A1383" s="552" t="s">
        <v>3702</v>
      </c>
      <c r="B1383" s="559" t="s">
        <v>3700</v>
      </c>
      <c r="C1383" s="554" t="s">
        <v>2829</v>
      </c>
      <c r="D1383" s="550" t="s">
        <v>2809</v>
      </c>
      <c r="E1383" s="552">
        <v>0</v>
      </c>
      <c r="F1383" s="754" t="s">
        <v>8891</v>
      </c>
      <c r="G1383" s="754"/>
    </row>
    <row r="1384" spans="1:7" ht="16.3" customHeight="1">
      <c r="A1384" s="552" t="s">
        <v>3702</v>
      </c>
      <c r="B1384" s="540" t="s">
        <v>3695</v>
      </c>
      <c r="C1384" s="554" t="s">
        <v>2832</v>
      </c>
      <c r="D1384" s="550" t="s">
        <v>2792</v>
      </c>
      <c r="E1384" s="552">
        <v>0</v>
      </c>
      <c r="F1384" s="754" t="s">
        <v>8891</v>
      </c>
      <c r="G1384" s="754"/>
    </row>
    <row r="1385" spans="1:7" ht="16.3" customHeight="1">
      <c r="A1385" s="552" t="s">
        <v>3702</v>
      </c>
      <c r="B1385" s="555" t="s">
        <v>3696</v>
      </c>
      <c r="C1385" s="554" t="s">
        <v>2833</v>
      </c>
      <c r="D1385" s="550" t="s">
        <v>2794</v>
      </c>
      <c r="E1385" s="552">
        <v>0</v>
      </c>
      <c r="F1385" s="754" t="s">
        <v>8891</v>
      </c>
      <c r="G1385" s="754"/>
    </row>
    <row r="1386" spans="1:7" ht="16.3" customHeight="1">
      <c r="A1386" s="552" t="s">
        <v>3702</v>
      </c>
      <c r="B1386" s="555" t="s">
        <v>3696</v>
      </c>
      <c r="C1386" s="554" t="s">
        <v>2783</v>
      </c>
      <c r="D1386" s="550" t="s">
        <v>2794</v>
      </c>
      <c r="E1386" s="552">
        <v>0</v>
      </c>
      <c r="F1386" s="754" t="s">
        <v>8891</v>
      </c>
      <c r="G1386" s="754"/>
    </row>
    <row r="1387" spans="1:7" ht="16.3" customHeight="1">
      <c r="A1387" s="552" t="s">
        <v>3702</v>
      </c>
      <c r="B1387" s="556" t="s">
        <v>3697</v>
      </c>
      <c r="C1387" s="554" t="s">
        <v>2834</v>
      </c>
      <c r="D1387" s="550" t="s">
        <v>2798</v>
      </c>
      <c r="E1387" s="552">
        <v>0</v>
      </c>
      <c r="F1387" s="754" t="s">
        <v>8891</v>
      </c>
      <c r="G1387" s="754"/>
    </row>
    <row r="1388" spans="1:7" ht="16.3" customHeight="1">
      <c r="A1388" s="552" t="s">
        <v>3702</v>
      </c>
      <c r="B1388" s="556" t="s">
        <v>3697</v>
      </c>
      <c r="C1388" s="554" t="s">
        <v>2835</v>
      </c>
      <c r="D1388" s="550" t="s">
        <v>2798</v>
      </c>
      <c r="E1388" s="552">
        <v>0</v>
      </c>
      <c r="F1388" s="754" t="s">
        <v>8891</v>
      </c>
      <c r="G1388" s="754"/>
    </row>
    <row r="1389" spans="1:7" ht="16.3" customHeight="1">
      <c r="A1389" s="552" t="s">
        <v>3702</v>
      </c>
      <c r="B1389" s="557" t="s">
        <v>3698</v>
      </c>
      <c r="C1389" s="554" t="s">
        <v>2836</v>
      </c>
      <c r="D1389" s="550" t="s">
        <v>2802</v>
      </c>
      <c r="E1389" s="552">
        <v>0</v>
      </c>
      <c r="F1389" s="754" t="s">
        <v>8891</v>
      </c>
      <c r="G1389" s="754"/>
    </row>
    <row r="1390" spans="1:7" ht="16.3" customHeight="1">
      <c r="A1390" s="552" t="s">
        <v>3702</v>
      </c>
      <c r="B1390" s="557" t="s">
        <v>3698</v>
      </c>
      <c r="C1390" s="554" t="s">
        <v>2837</v>
      </c>
      <c r="D1390" s="550" t="s">
        <v>2802</v>
      </c>
      <c r="E1390" s="552">
        <v>0</v>
      </c>
      <c r="F1390" s="754" t="s">
        <v>8891</v>
      </c>
      <c r="G1390" s="754"/>
    </row>
    <row r="1391" spans="1:7" ht="16.3" customHeight="1">
      <c r="A1391" s="552" t="s">
        <v>3702</v>
      </c>
      <c r="B1391" s="557" t="s">
        <v>3698</v>
      </c>
      <c r="C1391" s="554" t="s">
        <v>2838</v>
      </c>
      <c r="D1391" s="550" t="s">
        <v>2802</v>
      </c>
      <c r="E1391" s="552">
        <v>0</v>
      </c>
      <c r="F1391" s="754" t="s">
        <v>8891</v>
      </c>
      <c r="G1391" s="754"/>
    </row>
    <row r="1392" spans="1:7" ht="16.3" customHeight="1">
      <c r="A1392" s="552" t="s">
        <v>3702</v>
      </c>
      <c r="B1392" s="564" t="s">
        <v>3699</v>
      </c>
      <c r="C1392" s="554" t="s">
        <v>2839</v>
      </c>
      <c r="D1392" s="550" t="s">
        <v>2805</v>
      </c>
      <c r="E1392" s="552">
        <v>0</v>
      </c>
      <c r="F1392" s="754" t="s">
        <v>8891</v>
      </c>
      <c r="G1392" s="754"/>
    </row>
    <row r="1393" spans="1:7" ht="16.3" customHeight="1">
      <c r="A1393" s="552" t="s">
        <v>3702</v>
      </c>
      <c r="B1393" s="564" t="s">
        <v>3699</v>
      </c>
      <c r="C1393" s="554" t="s">
        <v>2840</v>
      </c>
      <c r="D1393" s="550" t="s">
        <v>2805</v>
      </c>
      <c r="E1393" s="552">
        <v>0</v>
      </c>
      <c r="F1393" s="754" t="s">
        <v>8891</v>
      </c>
      <c r="G1393" s="754"/>
    </row>
    <row r="1394" spans="1:7" ht="16.3" customHeight="1">
      <c r="A1394" s="552" t="s">
        <v>3702</v>
      </c>
      <c r="B1394" s="564" t="s">
        <v>3699</v>
      </c>
      <c r="C1394" s="554" t="s">
        <v>2841</v>
      </c>
      <c r="D1394" s="550" t="s">
        <v>2805</v>
      </c>
      <c r="E1394" s="552">
        <v>0</v>
      </c>
      <c r="F1394" s="754" t="s">
        <v>8891</v>
      </c>
      <c r="G1394" s="754"/>
    </row>
    <row r="1395" spans="1:7" ht="16.3" customHeight="1">
      <c r="A1395" s="552" t="s">
        <v>3702</v>
      </c>
      <c r="B1395" s="559" t="s">
        <v>3700</v>
      </c>
      <c r="C1395" s="554" t="s">
        <v>2842</v>
      </c>
      <c r="D1395" s="550" t="s">
        <v>2809</v>
      </c>
      <c r="E1395" s="552">
        <v>0</v>
      </c>
      <c r="F1395" s="754" t="s">
        <v>8891</v>
      </c>
    </row>
    <row r="1396" spans="1:7" ht="16.3" customHeight="1">
      <c r="A1396" s="552" t="s">
        <v>3702</v>
      </c>
      <c r="B1396" s="540" t="s">
        <v>3695</v>
      </c>
      <c r="C1396" s="553" t="s">
        <v>2847</v>
      </c>
      <c r="D1396" s="550" t="s">
        <v>2802</v>
      </c>
      <c r="E1396" s="552">
        <v>0</v>
      </c>
      <c r="F1396" s="760" t="s">
        <v>8888</v>
      </c>
      <c r="G1396" s="760"/>
    </row>
    <row r="1397" spans="1:7" ht="16.3" customHeight="1">
      <c r="A1397" s="552" t="s">
        <v>3702</v>
      </c>
      <c r="B1397" s="540" t="s">
        <v>3695</v>
      </c>
      <c r="C1397" s="553" t="s">
        <v>2848</v>
      </c>
      <c r="D1397" s="550" t="s">
        <v>2802</v>
      </c>
      <c r="E1397" s="552">
        <v>0</v>
      </c>
      <c r="F1397" s="760" t="s">
        <v>8888</v>
      </c>
      <c r="G1397" s="760"/>
    </row>
    <row r="1398" spans="1:7" ht="16.3" customHeight="1">
      <c r="A1398" s="552" t="s">
        <v>3702</v>
      </c>
      <c r="B1398" s="540" t="s">
        <v>3695</v>
      </c>
      <c r="C1398" s="553" t="s">
        <v>2849</v>
      </c>
      <c r="D1398" s="550" t="s">
        <v>2802</v>
      </c>
      <c r="E1398" s="552">
        <v>0</v>
      </c>
      <c r="F1398" s="760" t="s">
        <v>8888</v>
      </c>
      <c r="G1398" s="760"/>
    </row>
    <row r="1399" spans="1:7" ht="16.3" customHeight="1">
      <c r="A1399" s="552" t="s">
        <v>3702</v>
      </c>
      <c r="B1399" s="540" t="s">
        <v>3695</v>
      </c>
      <c r="C1399" s="553" t="s">
        <v>2850</v>
      </c>
      <c r="D1399" s="550" t="s">
        <v>2802</v>
      </c>
      <c r="E1399" s="552">
        <v>0</v>
      </c>
      <c r="F1399" s="760" t="s">
        <v>8888</v>
      </c>
      <c r="G1399" s="760"/>
    </row>
    <row r="1400" spans="1:7" ht="16.3" customHeight="1">
      <c r="A1400" s="552" t="s">
        <v>3702</v>
      </c>
      <c r="B1400" s="540" t="s">
        <v>3695</v>
      </c>
      <c r="C1400" s="553" t="s">
        <v>2851</v>
      </c>
      <c r="D1400" s="550" t="s">
        <v>2802</v>
      </c>
      <c r="E1400" s="552">
        <v>0</v>
      </c>
      <c r="F1400" s="760" t="s">
        <v>8888</v>
      </c>
      <c r="G1400" s="760"/>
    </row>
    <row r="1401" spans="1:7" ht="16.3" customHeight="1">
      <c r="A1401" s="552" t="s">
        <v>3702</v>
      </c>
      <c r="B1401" s="540" t="s">
        <v>3695</v>
      </c>
      <c r="C1401" s="553" t="s">
        <v>2852</v>
      </c>
      <c r="D1401" s="550" t="s">
        <v>2802</v>
      </c>
      <c r="E1401" s="552">
        <v>0</v>
      </c>
      <c r="F1401" s="760" t="s">
        <v>8888</v>
      </c>
      <c r="G1401" s="760"/>
    </row>
    <row r="1402" spans="1:7" ht="16.3" customHeight="1">
      <c r="A1402" s="552" t="s">
        <v>3702</v>
      </c>
      <c r="B1402" s="540" t="s">
        <v>3695</v>
      </c>
      <c r="C1402" s="553" t="s">
        <v>2853</v>
      </c>
      <c r="D1402" s="550" t="s">
        <v>2802</v>
      </c>
      <c r="E1402" s="552">
        <v>0</v>
      </c>
      <c r="F1402" s="760" t="s">
        <v>8888</v>
      </c>
      <c r="G1402" s="760"/>
    </row>
    <row r="1403" spans="1:7" ht="16.3" customHeight="1">
      <c r="A1403" s="552" t="s">
        <v>3702</v>
      </c>
      <c r="B1403" s="540" t="s">
        <v>3695</v>
      </c>
      <c r="C1403" s="553" t="s">
        <v>2854</v>
      </c>
      <c r="D1403" s="550" t="s">
        <v>2802</v>
      </c>
      <c r="E1403" s="552">
        <v>0</v>
      </c>
      <c r="F1403" s="760" t="s">
        <v>8888</v>
      </c>
      <c r="G1403" s="760"/>
    </row>
    <row r="1404" spans="1:7" ht="16.3" customHeight="1">
      <c r="A1404" s="552" t="s">
        <v>3702</v>
      </c>
      <c r="B1404" s="540" t="s">
        <v>3695</v>
      </c>
      <c r="C1404" s="553" t="s">
        <v>2855</v>
      </c>
      <c r="D1404" s="550" t="s">
        <v>2802</v>
      </c>
      <c r="E1404" s="552">
        <v>0</v>
      </c>
      <c r="F1404" s="760" t="s">
        <v>8888</v>
      </c>
      <c r="G1404" s="760"/>
    </row>
    <row r="1405" spans="1:7" ht="16.3" customHeight="1">
      <c r="A1405" s="552" t="s">
        <v>3702</v>
      </c>
      <c r="B1405" s="540" t="s">
        <v>3695</v>
      </c>
      <c r="C1405" s="553" t="s">
        <v>2856</v>
      </c>
      <c r="D1405" s="550" t="s">
        <v>2802</v>
      </c>
      <c r="E1405" s="552">
        <v>0</v>
      </c>
      <c r="F1405" s="760" t="s">
        <v>8888</v>
      </c>
      <c r="G1405" s="760"/>
    </row>
    <row r="1406" spans="1:7" ht="16.3" customHeight="1">
      <c r="A1406" s="552" t="s">
        <v>3702</v>
      </c>
      <c r="B1406" s="540" t="s">
        <v>3695</v>
      </c>
      <c r="C1406" s="553" t="s">
        <v>2857</v>
      </c>
      <c r="D1406" s="550" t="s">
        <v>2802</v>
      </c>
      <c r="E1406" s="552">
        <v>0</v>
      </c>
      <c r="F1406" s="760" t="s">
        <v>8888</v>
      </c>
      <c r="G1406" s="760"/>
    </row>
    <row r="1407" spans="1:7" ht="16.3" customHeight="1">
      <c r="A1407" s="552" t="s">
        <v>3702</v>
      </c>
      <c r="B1407" s="540" t="s">
        <v>3695</v>
      </c>
      <c r="C1407" s="553" t="s">
        <v>2858</v>
      </c>
      <c r="D1407" s="550" t="s">
        <v>2802</v>
      </c>
      <c r="E1407" s="552">
        <v>0</v>
      </c>
      <c r="F1407" s="760" t="s">
        <v>8888</v>
      </c>
      <c r="G1407" s="760"/>
    </row>
    <row r="1408" spans="1:7" ht="16.3" customHeight="1">
      <c r="A1408" s="552" t="s">
        <v>3702</v>
      </c>
      <c r="B1408" s="555" t="s">
        <v>3696</v>
      </c>
      <c r="C1408" s="555" t="s">
        <v>2859</v>
      </c>
      <c r="D1408" s="550" t="s">
        <v>2805</v>
      </c>
      <c r="E1408" s="552">
        <v>0</v>
      </c>
      <c r="F1408" s="760" t="s">
        <v>8888</v>
      </c>
      <c r="G1408" s="760"/>
    </row>
    <row r="1409" spans="1:7" ht="16.3" customHeight="1">
      <c r="A1409" s="552" t="s">
        <v>3702</v>
      </c>
      <c r="B1409" s="555" t="s">
        <v>3696</v>
      </c>
      <c r="C1409" s="555" t="s">
        <v>2860</v>
      </c>
      <c r="D1409" s="550" t="s">
        <v>2805</v>
      </c>
      <c r="E1409" s="552">
        <v>0</v>
      </c>
      <c r="F1409" s="760" t="s">
        <v>8888</v>
      </c>
      <c r="G1409" s="760"/>
    </row>
    <row r="1410" spans="1:7" ht="16.3" customHeight="1">
      <c r="A1410" s="552" t="s">
        <v>3702</v>
      </c>
      <c r="B1410" s="555" t="s">
        <v>3696</v>
      </c>
      <c r="C1410" s="555" t="s">
        <v>2861</v>
      </c>
      <c r="D1410" s="550" t="s">
        <v>2805</v>
      </c>
      <c r="E1410" s="552">
        <v>0</v>
      </c>
      <c r="F1410" s="760" t="s">
        <v>8888</v>
      </c>
      <c r="G1410" s="760"/>
    </row>
    <row r="1411" spans="1:7" ht="16.3" customHeight="1">
      <c r="A1411" s="552" t="s">
        <v>3702</v>
      </c>
      <c r="B1411" s="555" t="s">
        <v>3696</v>
      </c>
      <c r="C1411" s="555" t="s">
        <v>2862</v>
      </c>
      <c r="D1411" s="550" t="s">
        <v>2805</v>
      </c>
      <c r="E1411" s="552">
        <v>0</v>
      </c>
      <c r="F1411" s="760" t="s">
        <v>8888</v>
      </c>
      <c r="G1411" s="760"/>
    </row>
    <row r="1412" spans="1:7" ht="16.3" customHeight="1">
      <c r="A1412" s="552" t="s">
        <v>3702</v>
      </c>
      <c r="B1412" s="555" t="s">
        <v>3696</v>
      </c>
      <c r="C1412" s="555" t="s">
        <v>2863</v>
      </c>
      <c r="D1412" s="550" t="s">
        <v>2805</v>
      </c>
      <c r="E1412" s="552">
        <v>0</v>
      </c>
      <c r="F1412" s="760" t="s">
        <v>8888</v>
      </c>
      <c r="G1412" s="760"/>
    </row>
    <row r="1413" spans="1:7" ht="16.3" customHeight="1">
      <c r="A1413" s="552" t="s">
        <v>3702</v>
      </c>
      <c r="B1413" s="555" t="s">
        <v>3696</v>
      </c>
      <c r="C1413" s="555" t="s">
        <v>2864</v>
      </c>
      <c r="D1413" s="550" t="s">
        <v>2805</v>
      </c>
      <c r="E1413" s="552">
        <v>0</v>
      </c>
      <c r="F1413" s="760" t="s">
        <v>8888</v>
      </c>
      <c r="G1413" s="760"/>
    </row>
    <row r="1414" spans="1:7" ht="16.3" customHeight="1">
      <c r="A1414" s="552" t="s">
        <v>3702</v>
      </c>
      <c r="B1414" s="555" t="s">
        <v>3696</v>
      </c>
      <c r="C1414" s="555" t="s">
        <v>2865</v>
      </c>
      <c r="D1414" s="550" t="s">
        <v>2805</v>
      </c>
      <c r="E1414" s="552">
        <v>0</v>
      </c>
      <c r="F1414" s="760" t="s">
        <v>8888</v>
      </c>
      <c r="G1414" s="760"/>
    </row>
    <row r="1415" spans="1:7" ht="16.3" customHeight="1">
      <c r="A1415" s="552" t="s">
        <v>3702</v>
      </c>
      <c r="B1415" s="555" t="s">
        <v>3696</v>
      </c>
      <c r="C1415" s="555" t="s">
        <v>2866</v>
      </c>
      <c r="D1415" s="550" t="s">
        <v>2805</v>
      </c>
      <c r="E1415" s="552">
        <v>0</v>
      </c>
      <c r="F1415" s="760" t="s">
        <v>8888</v>
      </c>
      <c r="G1415" s="760"/>
    </row>
    <row r="1416" spans="1:7" ht="16.3" customHeight="1">
      <c r="A1416" s="552" t="s">
        <v>3702</v>
      </c>
      <c r="B1416" s="555" t="s">
        <v>3696</v>
      </c>
      <c r="C1416" s="555" t="s">
        <v>2867</v>
      </c>
      <c r="D1416" s="550" t="s">
        <v>2805</v>
      </c>
      <c r="E1416" s="552">
        <v>0</v>
      </c>
      <c r="F1416" s="760" t="s">
        <v>8888</v>
      </c>
      <c r="G1416" s="760"/>
    </row>
    <row r="1417" spans="1:7" ht="16.3" customHeight="1">
      <c r="A1417" s="552" t="s">
        <v>3702</v>
      </c>
      <c r="B1417" s="555" t="s">
        <v>3696</v>
      </c>
      <c r="C1417" s="555" t="s">
        <v>2868</v>
      </c>
      <c r="D1417" s="550" t="s">
        <v>2805</v>
      </c>
      <c r="E1417" s="552">
        <v>0</v>
      </c>
      <c r="F1417" s="760" t="s">
        <v>8888</v>
      </c>
      <c r="G1417" s="760"/>
    </row>
    <row r="1418" spans="1:7" ht="16.3" customHeight="1">
      <c r="A1418" s="552" t="s">
        <v>3702</v>
      </c>
      <c r="B1418" s="555" t="s">
        <v>3696</v>
      </c>
      <c r="C1418" s="555" t="s">
        <v>2869</v>
      </c>
      <c r="D1418" s="550" t="s">
        <v>2805</v>
      </c>
      <c r="E1418" s="552">
        <v>0</v>
      </c>
      <c r="F1418" s="760" t="s">
        <v>8888</v>
      </c>
      <c r="G1418" s="760"/>
    </row>
    <row r="1419" spans="1:7" ht="16.3" customHeight="1">
      <c r="A1419" s="552" t="s">
        <v>3702</v>
      </c>
      <c r="B1419" s="555" t="s">
        <v>3696</v>
      </c>
      <c r="C1419" s="555" t="s">
        <v>2870</v>
      </c>
      <c r="D1419" s="550" t="s">
        <v>2805</v>
      </c>
      <c r="E1419" s="552">
        <v>0</v>
      </c>
      <c r="F1419" s="760" t="s">
        <v>8888</v>
      </c>
      <c r="G1419" s="760"/>
    </row>
    <row r="1420" spans="1:7" ht="16.3" customHeight="1">
      <c r="A1420" s="552" t="s">
        <v>3702</v>
      </c>
      <c r="B1420" s="555" t="s">
        <v>3696</v>
      </c>
      <c r="C1420" s="555" t="s">
        <v>2871</v>
      </c>
      <c r="D1420" s="550" t="s">
        <v>2805</v>
      </c>
      <c r="E1420" s="552">
        <v>0</v>
      </c>
      <c r="F1420" s="760" t="s">
        <v>8888</v>
      </c>
      <c r="G1420" s="760"/>
    </row>
    <row r="1421" spans="1:7" ht="16.3" customHeight="1">
      <c r="A1421" s="552" t="s">
        <v>3702</v>
      </c>
      <c r="B1421" s="555" t="s">
        <v>3696</v>
      </c>
      <c r="C1421" s="555" t="s">
        <v>2872</v>
      </c>
      <c r="D1421" s="550" t="s">
        <v>2805</v>
      </c>
      <c r="E1421" s="552">
        <v>0</v>
      </c>
      <c r="F1421" s="760" t="s">
        <v>8888</v>
      </c>
      <c r="G1421" s="760"/>
    </row>
    <row r="1422" spans="1:7" ht="16.3" customHeight="1">
      <c r="A1422" s="552" t="s">
        <v>3702</v>
      </c>
      <c r="B1422" s="555" t="s">
        <v>3696</v>
      </c>
      <c r="C1422" s="555" t="s">
        <v>2873</v>
      </c>
      <c r="D1422" s="550" t="s">
        <v>2805</v>
      </c>
      <c r="E1422" s="552">
        <v>0</v>
      </c>
      <c r="F1422" s="760" t="s">
        <v>8888</v>
      </c>
      <c r="G1422" s="760"/>
    </row>
    <row r="1423" spans="1:7" ht="16.3" customHeight="1">
      <c r="A1423" s="552" t="s">
        <v>3702</v>
      </c>
      <c r="B1423" s="556" t="s">
        <v>3697</v>
      </c>
      <c r="C1423" s="556" t="s">
        <v>2874</v>
      </c>
      <c r="D1423" s="550" t="s">
        <v>2875</v>
      </c>
      <c r="E1423" s="552">
        <v>0</v>
      </c>
      <c r="F1423" s="760" t="s">
        <v>8888</v>
      </c>
      <c r="G1423" s="760"/>
    </row>
    <row r="1424" spans="1:7" ht="16.3" customHeight="1">
      <c r="A1424" s="552" t="s">
        <v>3702</v>
      </c>
      <c r="B1424" s="556" t="s">
        <v>3697</v>
      </c>
      <c r="C1424" s="556" t="s">
        <v>2876</v>
      </c>
      <c r="D1424" s="550" t="s">
        <v>2875</v>
      </c>
      <c r="E1424" s="552">
        <v>0</v>
      </c>
      <c r="F1424" s="760" t="s">
        <v>8888</v>
      </c>
      <c r="G1424" s="760"/>
    </row>
    <row r="1425" spans="1:7" ht="16.3" customHeight="1">
      <c r="A1425" s="552" t="s">
        <v>3702</v>
      </c>
      <c r="B1425" s="556" t="s">
        <v>3697</v>
      </c>
      <c r="C1425" s="556" t="s">
        <v>2877</v>
      </c>
      <c r="D1425" s="550" t="s">
        <v>2875</v>
      </c>
      <c r="E1425" s="552">
        <v>0</v>
      </c>
      <c r="F1425" s="760" t="s">
        <v>8888</v>
      </c>
      <c r="G1425" s="760"/>
    </row>
    <row r="1426" spans="1:7" ht="16.3" customHeight="1">
      <c r="A1426" s="552" t="s">
        <v>3702</v>
      </c>
      <c r="B1426" s="556" t="s">
        <v>3697</v>
      </c>
      <c r="C1426" s="556" t="s">
        <v>2878</v>
      </c>
      <c r="D1426" s="550" t="s">
        <v>2875</v>
      </c>
      <c r="E1426" s="552">
        <v>0</v>
      </c>
      <c r="F1426" s="760" t="s">
        <v>8888</v>
      </c>
      <c r="G1426" s="760"/>
    </row>
    <row r="1427" spans="1:7" ht="16.3" customHeight="1">
      <c r="A1427" s="552" t="s">
        <v>3702</v>
      </c>
      <c r="B1427" s="556" t="s">
        <v>3697</v>
      </c>
      <c r="C1427" s="556" t="s">
        <v>2879</v>
      </c>
      <c r="D1427" s="550" t="s">
        <v>2875</v>
      </c>
      <c r="E1427" s="552">
        <v>0</v>
      </c>
      <c r="F1427" s="760" t="s">
        <v>8888</v>
      </c>
      <c r="G1427" s="760"/>
    </row>
    <row r="1428" spans="1:7" ht="16.3" customHeight="1">
      <c r="A1428" s="552" t="s">
        <v>3702</v>
      </c>
      <c r="B1428" s="556" t="s">
        <v>3697</v>
      </c>
      <c r="C1428" s="556" t="s">
        <v>2880</v>
      </c>
      <c r="D1428" s="550" t="s">
        <v>2875</v>
      </c>
      <c r="E1428" s="552">
        <v>0</v>
      </c>
      <c r="F1428" s="760" t="s">
        <v>8888</v>
      </c>
      <c r="G1428" s="760"/>
    </row>
    <row r="1429" spans="1:7" ht="16.3" customHeight="1">
      <c r="A1429" s="552" t="s">
        <v>3702</v>
      </c>
      <c r="B1429" s="556" t="s">
        <v>3697</v>
      </c>
      <c r="C1429" s="556" t="s">
        <v>2881</v>
      </c>
      <c r="D1429" s="550" t="s">
        <v>2875</v>
      </c>
      <c r="E1429" s="552">
        <v>0</v>
      </c>
      <c r="F1429" s="760" t="s">
        <v>8888</v>
      </c>
      <c r="G1429" s="760"/>
    </row>
    <row r="1430" spans="1:7" ht="16.3" customHeight="1">
      <c r="A1430" s="552" t="s">
        <v>3702</v>
      </c>
      <c r="B1430" s="556" t="s">
        <v>3697</v>
      </c>
      <c r="C1430" s="556" t="s">
        <v>2882</v>
      </c>
      <c r="D1430" s="550" t="s">
        <v>2875</v>
      </c>
      <c r="E1430" s="552">
        <v>0</v>
      </c>
      <c r="F1430" s="760" t="s">
        <v>8888</v>
      </c>
      <c r="G1430" s="760"/>
    </row>
    <row r="1431" spans="1:7" ht="16.3" customHeight="1">
      <c r="A1431" s="552" t="s">
        <v>3702</v>
      </c>
      <c r="B1431" s="556" t="s">
        <v>3697</v>
      </c>
      <c r="C1431" s="556" t="s">
        <v>2883</v>
      </c>
      <c r="D1431" s="550" t="s">
        <v>2875</v>
      </c>
      <c r="E1431" s="552">
        <v>0</v>
      </c>
      <c r="F1431" s="760" t="s">
        <v>8888</v>
      </c>
      <c r="G1431" s="760"/>
    </row>
    <row r="1432" spans="1:7" ht="16.3" customHeight="1">
      <c r="A1432" s="552" t="s">
        <v>3702</v>
      </c>
      <c r="B1432" s="564" t="s">
        <v>3699</v>
      </c>
      <c r="C1432" s="554" t="s">
        <v>2886</v>
      </c>
      <c r="D1432" s="550" t="s">
        <v>2809</v>
      </c>
      <c r="E1432" s="552">
        <v>0</v>
      </c>
      <c r="F1432" s="760" t="s">
        <v>8888</v>
      </c>
      <c r="G1432" s="760"/>
    </row>
    <row r="1433" spans="1:7" ht="16.3" customHeight="1">
      <c r="A1433" s="552" t="s">
        <v>3702</v>
      </c>
      <c r="B1433" s="564" t="s">
        <v>3699</v>
      </c>
      <c r="C1433" s="560" t="s">
        <v>2887</v>
      </c>
      <c r="D1433" s="550" t="s">
        <v>2809</v>
      </c>
      <c r="E1433" s="552">
        <v>0</v>
      </c>
      <c r="F1433" s="760" t="s">
        <v>8888</v>
      </c>
      <c r="G1433" s="760"/>
    </row>
    <row r="1434" spans="1:7" ht="16.3" customHeight="1">
      <c r="A1434" s="552" t="s">
        <v>3702</v>
      </c>
      <c r="B1434" s="564" t="s">
        <v>3699</v>
      </c>
      <c r="C1434" s="554" t="s">
        <v>2888</v>
      </c>
      <c r="D1434" s="550" t="s">
        <v>2809</v>
      </c>
      <c r="E1434" s="552">
        <v>0</v>
      </c>
      <c r="F1434" s="760" t="s">
        <v>8888</v>
      </c>
      <c r="G1434" s="760"/>
    </row>
    <row r="1435" spans="1:7" ht="16.3" customHeight="1">
      <c r="A1435" s="552" t="s">
        <v>3702</v>
      </c>
      <c r="B1435" s="564" t="s">
        <v>3699</v>
      </c>
      <c r="C1435" s="554" t="s">
        <v>2889</v>
      </c>
      <c r="D1435" s="550" t="s">
        <v>2809</v>
      </c>
      <c r="E1435" s="552">
        <v>0</v>
      </c>
      <c r="F1435" s="760" t="s">
        <v>8888</v>
      </c>
      <c r="G1435" s="760"/>
    </row>
    <row r="1436" spans="1:7" ht="16.3" customHeight="1">
      <c r="A1436" s="552" t="s">
        <v>3702</v>
      </c>
      <c r="B1436" s="564" t="s">
        <v>3699</v>
      </c>
      <c r="C1436" s="554" t="s">
        <v>2890</v>
      </c>
      <c r="D1436" s="550" t="s">
        <v>2809</v>
      </c>
      <c r="E1436" s="552">
        <v>0</v>
      </c>
      <c r="F1436" s="760" t="s">
        <v>8888</v>
      </c>
      <c r="G1436" s="760"/>
    </row>
    <row r="1437" spans="1:7" ht="16.3" customHeight="1">
      <c r="A1437" s="552" t="s">
        <v>3702</v>
      </c>
      <c r="B1437" s="564" t="s">
        <v>3699</v>
      </c>
      <c r="C1437" s="554" t="s">
        <v>2891</v>
      </c>
      <c r="D1437" s="550" t="s">
        <v>2809</v>
      </c>
      <c r="E1437" s="552">
        <v>0</v>
      </c>
      <c r="F1437" s="760" t="s">
        <v>8888</v>
      </c>
      <c r="G1437" s="760"/>
    </row>
    <row r="1438" spans="1:7" ht="16.3" customHeight="1">
      <c r="A1438" s="552" t="s">
        <v>3702</v>
      </c>
      <c r="B1438" s="564" t="s">
        <v>3699</v>
      </c>
      <c r="C1438" s="554" t="s">
        <v>2892</v>
      </c>
      <c r="D1438" s="550" t="s">
        <v>2809</v>
      </c>
      <c r="E1438" s="552">
        <v>0</v>
      </c>
      <c r="F1438" s="760" t="s">
        <v>8888</v>
      </c>
      <c r="G1438" s="760"/>
    </row>
    <row r="1439" spans="1:7" ht="16.3" customHeight="1">
      <c r="A1439" s="552" t="s">
        <v>3702</v>
      </c>
      <c r="B1439" s="564" t="s">
        <v>3699</v>
      </c>
      <c r="C1439" s="554" t="s">
        <v>2893</v>
      </c>
      <c r="D1439" s="550" t="s">
        <v>2809</v>
      </c>
      <c r="E1439" s="552">
        <v>0</v>
      </c>
      <c r="F1439" s="760" t="s">
        <v>8888</v>
      </c>
      <c r="G1439" s="760"/>
    </row>
    <row r="1440" spans="1:7" ht="16.3" customHeight="1">
      <c r="A1440" s="552" t="s">
        <v>3702</v>
      </c>
      <c r="B1440" s="540" t="s">
        <v>3695</v>
      </c>
      <c r="C1440" s="554" t="s">
        <v>2895</v>
      </c>
      <c r="D1440" s="550" t="s">
        <v>2794</v>
      </c>
      <c r="E1440" s="552">
        <v>0</v>
      </c>
      <c r="F1440" s="760" t="s">
        <v>3848</v>
      </c>
      <c r="G1440" s="760"/>
    </row>
    <row r="1441" spans="1:7" ht="16.3" customHeight="1">
      <c r="A1441" s="552" t="s">
        <v>3702</v>
      </c>
      <c r="B1441" s="540" t="s">
        <v>3695</v>
      </c>
      <c r="C1441" s="554" t="s">
        <v>2896</v>
      </c>
      <c r="D1441" s="550" t="s">
        <v>2794</v>
      </c>
      <c r="E1441" s="552">
        <v>0</v>
      </c>
      <c r="F1441" s="759" t="s">
        <v>3848</v>
      </c>
      <c r="G1441" s="760"/>
    </row>
    <row r="1442" spans="1:7" ht="16.3" customHeight="1">
      <c r="A1442" s="552" t="s">
        <v>3702</v>
      </c>
      <c r="B1442" s="540" t="s">
        <v>3695</v>
      </c>
      <c r="C1442" s="554" t="s">
        <v>9080</v>
      </c>
      <c r="D1442" s="550" t="s">
        <v>2794</v>
      </c>
      <c r="E1442" s="552">
        <v>0</v>
      </c>
      <c r="F1442" s="759" t="s">
        <v>3848</v>
      </c>
      <c r="G1442" s="760"/>
    </row>
    <row r="1443" spans="1:7" ht="16.3" customHeight="1">
      <c r="A1443" s="552" t="s">
        <v>3702</v>
      </c>
      <c r="B1443" s="540" t="s">
        <v>3695</v>
      </c>
      <c r="C1443" s="554" t="s">
        <v>2898</v>
      </c>
      <c r="D1443" s="550" t="s">
        <v>2794</v>
      </c>
      <c r="E1443" s="552">
        <v>0</v>
      </c>
      <c r="F1443" s="759" t="s">
        <v>3848</v>
      </c>
      <c r="G1443" s="760"/>
    </row>
    <row r="1444" spans="1:7" ht="16.3" customHeight="1">
      <c r="A1444" s="552" t="s">
        <v>3702</v>
      </c>
      <c r="B1444" s="540" t="s">
        <v>3695</v>
      </c>
      <c r="C1444" s="554" t="s">
        <v>2899</v>
      </c>
      <c r="D1444" s="550" t="s">
        <v>2794</v>
      </c>
      <c r="E1444" s="552">
        <v>0</v>
      </c>
      <c r="F1444" s="759" t="s">
        <v>3848</v>
      </c>
      <c r="G1444" s="760"/>
    </row>
    <row r="1445" spans="1:7" ht="16.3" customHeight="1">
      <c r="A1445" s="552" t="s">
        <v>3702</v>
      </c>
      <c r="B1445" s="540" t="s">
        <v>3695</v>
      </c>
      <c r="C1445" s="554" t="s">
        <v>2900</v>
      </c>
      <c r="D1445" s="550" t="s">
        <v>2794</v>
      </c>
      <c r="E1445" s="552">
        <v>0</v>
      </c>
      <c r="F1445" s="759" t="s">
        <v>3848</v>
      </c>
      <c r="G1445" s="760"/>
    </row>
    <row r="1446" spans="1:7" ht="16.3" customHeight="1">
      <c r="A1446" s="552" t="s">
        <v>3702</v>
      </c>
      <c r="B1446" s="540" t="s">
        <v>3695</v>
      </c>
      <c r="C1446" s="554" t="s">
        <v>2901</v>
      </c>
      <c r="D1446" s="550" t="s">
        <v>2794</v>
      </c>
      <c r="E1446" s="552">
        <v>0</v>
      </c>
      <c r="F1446" s="759" t="s">
        <v>3848</v>
      </c>
      <c r="G1446" s="760"/>
    </row>
    <row r="1447" spans="1:7" ht="16.3" customHeight="1">
      <c r="A1447" s="552" t="s">
        <v>3702</v>
      </c>
      <c r="B1447" s="540" t="s">
        <v>3695</v>
      </c>
      <c r="C1447" s="554" t="s">
        <v>2902</v>
      </c>
      <c r="D1447" s="550" t="s">
        <v>2794</v>
      </c>
      <c r="E1447" s="552">
        <v>0</v>
      </c>
      <c r="F1447" s="759" t="s">
        <v>3848</v>
      </c>
      <c r="G1447" s="760"/>
    </row>
    <row r="1448" spans="1:7" ht="16.3" customHeight="1">
      <c r="A1448" s="552" t="s">
        <v>3702</v>
      </c>
      <c r="B1448" s="540" t="s">
        <v>3695</v>
      </c>
      <c r="C1448" s="554" t="s">
        <v>2903</v>
      </c>
      <c r="D1448" s="550" t="s">
        <v>2794</v>
      </c>
      <c r="E1448" s="552">
        <v>0</v>
      </c>
      <c r="F1448" s="759" t="s">
        <v>3848</v>
      </c>
      <c r="G1448" s="760"/>
    </row>
    <row r="1449" spans="1:7" ht="16.3" customHeight="1">
      <c r="A1449" s="552" t="s">
        <v>3702</v>
      </c>
      <c r="B1449" s="540" t="s">
        <v>3695</v>
      </c>
      <c r="C1449" s="554" t="s">
        <v>2904</v>
      </c>
      <c r="D1449" s="550" t="s">
        <v>2794</v>
      </c>
      <c r="E1449" s="552">
        <v>0</v>
      </c>
      <c r="F1449" s="759" t="s">
        <v>3848</v>
      </c>
      <c r="G1449" s="760"/>
    </row>
    <row r="1450" spans="1:7" ht="16.3" customHeight="1">
      <c r="A1450" s="552" t="s">
        <v>3702</v>
      </c>
      <c r="B1450" s="540" t="s">
        <v>3695</v>
      </c>
      <c r="C1450" s="554" t="s">
        <v>2905</v>
      </c>
      <c r="D1450" s="550" t="s">
        <v>2794</v>
      </c>
      <c r="E1450" s="552">
        <v>0</v>
      </c>
      <c r="F1450" s="759" t="s">
        <v>3848</v>
      </c>
      <c r="G1450" s="760"/>
    </row>
    <row r="1451" spans="1:7" ht="16.3" customHeight="1">
      <c r="A1451" s="552" t="s">
        <v>3702</v>
      </c>
      <c r="B1451" s="540" t="s">
        <v>3695</v>
      </c>
      <c r="C1451" s="554" t="s">
        <v>2906</v>
      </c>
      <c r="D1451" s="550" t="s">
        <v>2794</v>
      </c>
      <c r="E1451" s="552">
        <v>0</v>
      </c>
      <c r="F1451" s="759" t="s">
        <v>3848</v>
      </c>
      <c r="G1451" s="760"/>
    </row>
    <row r="1452" spans="1:7" ht="16.3" customHeight="1">
      <c r="A1452" s="552" t="s">
        <v>3702</v>
      </c>
      <c r="B1452" s="540" t="s">
        <v>3695</v>
      </c>
      <c r="C1452" s="554" t="s">
        <v>2783</v>
      </c>
      <c r="D1452" s="550" t="s">
        <v>2794</v>
      </c>
      <c r="E1452" s="552">
        <v>0</v>
      </c>
      <c r="F1452" s="759" t="s">
        <v>3848</v>
      </c>
      <c r="G1452" s="760"/>
    </row>
    <row r="1453" spans="1:7" ht="16.3" customHeight="1">
      <c r="A1453" s="552" t="s">
        <v>3702</v>
      </c>
      <c r="B1453" s="540" t="s">
        <v>3695</v>
      </c>
      <c r="C1453" s="554" t="s">
        <v>2783</v>
      </c>
      <c r="D1453" s="550" t="s">
        <v>2794</v>
      </c>
      <c r="E1453" s="552">
        <v>0</v>
      </c>
      <c r="F1453" s="759"/>
      <c r="G1453" s="759"/>
    </row>
    <row r="1454" spans="1:7" ht="16.3" customHeight="1">
      <c r="A1454" s="552" t="s">
        <v>3702</v>
      </c>
      <c r="B1454" s="540" t="s">
        <v>3695</v>
      </c>
      <c r="C1454" s="554" t="s">
        <v>2783</v>
      </c>
      <c r="D1454" s="550" t="s">
        <v>2794</v>
      </c>
      <c r="E1454" s="552">
        <v>0</v>
      </c>
      <c r="F1454" s="759"/>
      <c r="G1454" s="759"/>
    </row>
    <row r="1455" spans="1:7" ht="16.3" customHeight="1">
      <c r="A1455" s="552" t="s">
        <v>3702</v>
      </c>
      <c r="B1455" s="540" t="s">
        <v>3695</v>
      </c>
      <c r="C1455" s="554" t="s">
        <v>2783</v>
      </c>
      <c r="D1455" s="550" t="s">
        <v>2794</v>
      </c>
      <c r="E1455" s="552">
        <v>0</v>
      </c>
      <c r="F1455" s="759"/>
      <c r="G1455" s="759"/>
    </row>
    <row r="1456" spans="1:7" ht="16.3" customHeight="1">
      <c r="A1456" s="552" t="s">
        <v>3702</v>
      </c>
      <c r="B1456" s="540" t="s">
        <v>3695</v>
      </c>
      <c r="C1456" s="554" t="s">
        <v>2783</v>
      </c>
      <c r="D1456" s="550" t="s">
        <v>2794</v>
      </c>
      <c r="E1456" s="552">
        <v>0</v>
      </c>
      <c r="F1456" s="759"/>
      <c r="G1456" s="759"/>
    </row>
    <row r="1457" spans="1:7" ht="16.3" customHeight="1">
      <c r="A1457" s="552" t="s">
        <v>3702</v>
      </c>
      <c r="B1457" s="540" t="s">
        <v>3695</v>
      </c>
      <c r="C1457" s="554" t="s">
        <v>2783</v>
      </c>
      <c r="D1457" s="550" t="s">
        <v>2794</v>
      </c>
      <c r="E1457" s="552">
        <v>0</v>
      </c>
      <c r="F1457" s="759"/>
      <c r="G1457" s="759"/>
    </row>
    <row r="1458" spans="1:7" ht="16.3" customHeight="1">
      <c r="A1458" s="552" t="s">
        <v>3702</v>
      </c>
      <c r="B1458" s="540" t="s">
        <v>3695</v>
      </c>
      <c r="C1458" s="554" t="s">
        <v>2907</v>
      </c>
      <c r="D1458" s="550" t="s">
        <v>2794</v>
      </c>
      <c r="E1458" s="552">
        <v>0</v>
      </c>
      <c r="F1458" s="759" t="s">
        <v>3848</v>
      </c>
      <c r="G1458" s="760"/>
    </row>
    <row r="1459" spans="1:7" ht="16.3" customHeight="1">
      <c r="A1459" s="552" t="s">
        <v>3702</v>
      </c>
      <c r="B1459" s="540" t="s">
        <v>3695</v>
      </c>
      <c r="C1459" s="554" t="s">
        <v>2908</v>
      </c>
      <c r="D1459" s="550" t="s">
        <v>2794</v>
      </c>
      <c r="E1459" s="552">
        <v>0</v>
      </c>
      <c r="F1459" s="759" t="s">
        <v>3848</v>
      </c>
      <c r="G1459" s="760"/>
    </row>
    <row r="1460" spans="1:7" ht="16.3" customHeight="1">
      <c r="A1460" s="552" t="s">
        <v>3702</v>
      </c>
      <c r="B1460" s="555" t="s">
        <v>3696</v>
      </c>
      <c r="C1460" s="554" t="s">
        <v>2909</v>
      </c>
      <c r="D1460" s="550" t="s">
        <v>2802</v>
      </c>
      <c r="E1460" s="552">
        <v>0</v>
      </c>
      <c r="F1460" s="759" t="s">
        <v>3848</v>
      </c>
      <c r="G1460" s="760"/>
    </row>
    <row r="1461" spans="1:7" ht="16.3" customHeight="1">
      <c r="A1461" s="552" t="s">
        <v>3702</v>
      </c>
      <c r="B1461" s="555" t="s">
        <v>3696</v>
      </c>
      <c r="C1461" s="554" t="s">
        <v>2910</v>
      </c>
      <c r="D1461" s="550" t="s">
        <v>2802</v>
      </c>
      <c r="E1461" s="552">
        <v>0</v>
      </c>
      <c r="F1461" s="759" t="s">
        <v>3848</v>
      </c>
      <c r="G1461" s="760"/>
    </row>
    <row r="1462" spans="1:7" ht="16.3" customHeight="1">
      <c r="A1462" s="552" t="s">
        <v>3702</v>
      </c>
      <c r="B1462" s="555" t="s">
        <v>3696</v>
      </c>
      <c r="C1462" s="554" t="s">
        <v>2911</v>
      </c>
      <c r="D1462" s="550" t="s">
        <v>2802</v>
      </c>
      <c r="E1462" s="552">
        <v>0</v>
      </c>
      <c r="F1462" s="759" t="s">
        <v>3848</v>
      </c>
      <c r="G1462" s="760"/>
    </row>
    <row r="1463" spans="1:7" ht="16.3" customHeight="1">
      <c r="A1463" s="552" t="s">
        <v>3702</v>
      </c>
      <c r="B1463" s="555" t="s">
        <v>3696</v>
      </c>
      <c r="C1463" s="554" t="s">
        <v>2912</v>
      </c>
      <c r="D1463" s="550" t="s">
        <v>2802</v>
      </c>
      <c r="E1463" s="552">
        <v>0</v>
      </c>
      <c r="F1463" s="759" t="s">
        <v>3848</v>
      </c>
      <c r="G1463" s="760"/>
    </row>
    <row r="1464" spans="1:7" ht="16.3" customHeight="1">
      <c r="A1464" s="552" t="s">
        <v>3702</v>
      </c>
      <c r="B1464" s="555" t="s">
        <v>3696</v>
      </c>
      <c r="C1464" s="554" t="s">
        <v>2913</v>
      </c>
      <c r="D1464" s="550" t="s">
        <v>2802</v>
      </c>
      <c r="E1464" s="552">
        <v>0</v>
      </c>
      <c r="F1464" s="759" t="s">
        <v>3848</v>
      </c>
      <c r="G1464" s="760"/>
    </row>
    <row r="1465" spans="1:7" ht="16.3" customHeight="1">
      <c r="A1465" s="552" t="s">
        <v>3702</v>
      </c>
      <c r="B1465" s="555" t="s">
        <v>3696</v>
      </c>
      <c r="C1465" s="554" t="s">
        <v>2914</v>
      </c>
      <c r="D1465" s="550" t="s">
        <v>2802</v>
      </c>
      <c r="E1465" s="552">
        <v>0</v>
      </c>
      <c r="F1465" s="759" t="s">
        <v>3848</v>
      </c>
      <c r="G1465" s="760"/>
    </row>
    <row r="1466" spans="1:7" ht="16.3" customHeight="1">
      <c r="A1466" s="552" t="s">
        <v>3702</v>
      </c>
      <c r="B1466" s="555" t="s">
        <v>3696</v>
      </c>
      <c r="C1466" s="554" t="s">
        <v>2915</v>
      </c>
      <c r="D1466" s="550" t="s">
        <v>2802</v>
      </c>
      <c r="E1466" s="552">
        <v>0</v>
      </c>
      <c r="F1466" s="759" t="s">
        <v>3848</v>
      </c>
      <c r="G1466" s="760"/>
    </row>
    <row r="1467" spans="1:7" ht="16.3" customHeight="1">
      <c r="A1467" s="552" t="s">
        <v>3702</v>
      </c>
      <c r="B1467" s="555" t="s">
        <v>3696</v>
      </c>
      <c r="C1467" s="554" t="s">
        <v>2916</v>
      </c>
      <c r="D1467" s="550" t="s">
        <v>2802</v>
      </c>
      <c r="E1467" s="552">
        <v>0</v>
      </c>
      <c r="F1467" s="759" t="s">
        <v>3848</v>
      </c>
      <c r="G1467" s="760"/>
    </row>
    <row r="1468" spans="1:7" ht="16.3" customHeight="1">
      <c r="A1468" s="552" t="s">
        <v>3702</v>
      </c>
      <c r="B1468" s="555" t="s">
        <v>3696</v>
      </c>
      <c r="C1468" s="554" t="s">
        <v>2783</v>
      </c>
      <c r="D1468" s="550" t="s">
        <v>2802</v>
      </c>
      <c r="E1468" s="552">
        <v>0</v>
      </c>
      <c r="F1468" s="759" t="s">
        <v>3848</v>
      </c>
      <c r="G1468" s="760"/>
    </row>
    <row r="1469" spans="1:7" ht="16.3" customHeight="1">
      <c r="A1469" s="552" t="s">
        <v>3702</v>
      </c>
      <c r="B1469" s="555" t="s">
        <v>3696</v>
      </c>
      <c r="C1469" s="554" t="s">
        <v>2783</v>
      </c>
      <c r="D1469" s="550" t="s">
        <v>2802</v>
      </c>
      <c r="E1469" s="552">
        <v>0</v>
      </c>
      <c r="F1469" s="759"/>
      <c r="G1469" s="759"/>
    </row>
    <row r="1470" spans="1:7" ht="16.3" customHeight="1">
      <c r="A1470" s="552" t="s">
        <v>3702</v>
      </c>
      <c r="B1470" s="555" t="s">
        <v>3696</v>
      </c>
      <c r="C1470" s="554" t="s">
        <v>2783</v>
      </c>
      <c r="D1470" s="550" t="s">
        <v>2802</v>
      </c>
      <c r="E1470" s="552">
        <v>0</v>
      </c>
      <c r="F1470" s="759"/>
      <c r="G1470" s="759"/>
    </row>
    <row r="1471" spans="1:7" ht="16.3" customHeight="1">
      <c r="A1471" s="552" t="s">
        <v>3702</v>
      </c>
      <c r="B1471" s="555" t="s">
        <v>3696</v>
      </c>
      <c r="C1471" s="554" t="s">
        <v>2783</v>
      </c>
      <c r="D1471" s="550" t="s">
        <v>2802</v>
      </c>
      <c r="E1471" s="552">
        <v>0</v>
      </c>
      <c r="F1471" s="759"/>
      <c r="G1471" s="759"/>
    </row>
    <row r="1472" spans="1:7" ht="16.3" customHeight="1">
      <c r="A1472" s="552" t="s">
        <v>3702</v>
      </c>
      <c r="B1472" s="555" t="s">
        <v>3696</v>
      </c>
      <c r="C1472" s="554" t="s">
        <v>2783</v>
      </c>
      <c r="D1472" s="550" t="s">
        <v>2802</v>
      </c>
      <c r="E1472" s="552">
        <v>0</v>
      </c>
      <c r="F1472" s="759"/>
      <c r="G1472" s="759"/>
    </row>
    <row r="1473" spans="1:7" ht="16.3" customHeight="1">
      <c r="A1473" s="552" t="s">
        <v>3702</v>
      </c>
      <c r="B1473" s="555" t="s">
        <v>3696</v>
      </c>
      <c r="C1473" s="554" t="s">
        <v>2783</v>
      </c>
      <c r="D1473" s="550" t="s">
        <v>2802</v>
      </c>
      <c r="E1473" s="552">
        <v>0</v>
      </c>
      <c r="F1473" s="759"/>
      <c r="G1473" s="759"/>
    </row>
    <row r="1474" spans="1:7" ht="16.3" customHeight="1">
      <c r="A1474" s="552" t="s">
        <v>3702</v>
      </c>
      <c r="B1474" s="555" t="s">
        <v>3696</v>
      </c>
      <c r="C1474" s="554" t="s">
        <v>2783</v>
      </c>
      <c r="D1474" s="550" t="s">
        <v>2802</v>
      </c>
      <c r="E1474" s="552">
        <v>0</v>
      </c>
      <c r="F1474" s="759"/>
      <c r="G1474" s="759"/>
    </row>
    <row r="1475" spans="1:7" ht="16.3" customHeight="1">
      <c r="A1475" s="552" t="s">
        <v>3702</v>
      </c>
      <c r="B1475" s="555" t="s">
        <v>3696</v>
      </c>
      <c r="C1475" s="554" t="s">
        <v>2783</v>
      </c>
      <c r="D1475" s="550" t="s">
        <v>2802</v>
      </c>
      <c r="E1475" s="552">
        <v>0</v>
      </c>
      <c r="F1475" s="759"/>
      <c r="G1475" s="759"/>
    </row>
    <row r="1476" spans="1:7" ht="16.3" customHeight="1">
      <c r="A1476" s="552" t="s">
        <v>3702</v>
      </c>
      <c r="B1476" s="555" t="s">
        <v>3696</v>
      </c>
      <c r="C1476" s="554" t="s">
        <v>2783</v>
      </c>
      <c r="D1476" s="550" t="s">
        <v>2802</v>
      </c>
      <c r="E1476" s="552">
        <v>0</v>
      </c>
      <c r="F1476" s="759"/>
      <c r="G1476" s="759"/>
    </row>
    <row r="1477" spans="1:7" ht="16.3" customHeight="1">
      <c r="A1477" s="552" t="s">
        <v>3702</v>
      </c>
      <c r="B1477" s="555" t="s">
        <v>3696</v>
      </c>
      <c r="C1477" s="554" t="s">
        <v>2783</v>
      </c>
      <c r="D1477" s="550" t="s">
        <v>2802</v>
      </c>
      <c r="E1477" s="552">
        <v>0</v>
      </c>
      <c r="F1477" s="759"/>
      <c r="G1477" s="759"/>
    </row>
    <row r="1478" spans="1:7" ht="16.3" customHeight="1">
      <c r="A1478" s="552" t="s">
        <v>3702</v>
      </c>
      <c r="B1478" s="555" t="s">
        <v>3696</v>
      </c>
      <c r="C1478" s="554" t="s">
        <v>2783</v>
      </c>
      <c r="D1478" s="550" t="s">
        <v>2802</v>
      </c>
      <c r="E1478" s="552">
        <v>0</v>
      </c>
      <c r="F1478" s="759"/>
      <c r="G1478" s="759"/>
    </row>
    <row r="1479" spans="1:7" ht="16.3" customHeight="1">
      <c r="A1479" s="552" t="s">
        <v>3702</v>
      </c>
      <c r="B1479" s="555" t="s">
        <v>3696</v>
      </c>
      <c r="C1479" s="554" t="s">
        <v>2783</v>
      </c>
      <c r="D1479" s="550" t="s">
        <v>2802</v>
      </c>
      <c r="E1479" s="552">
        <v>0</v>
      </c>
      <c r="F1479" s="759"/>
      <c r="G1479" s="759"/>
    </row>
    <row r="1480" spans="1:7" ht="16.3" customHeight="1">
      <c r="A1480" s="552" t="s">
        <v>3702</v>
      </c>
      <c r="B1480" s="555" t="s">
        <v>3696</v>
      </c>
      <c r="C1480" s="554" t="s">
        <v>2783</v>
      </c>
      <c r="D1480" s="550" t="s">
        <v>2802</v>
      </c>
      <c r="E1480" s="552">
        <v>0</v>
      </c>
      <c r="F1480" s="759"/>
      <c r="G1480" s="759"/>
    </row>
    <row r="1481" spans="1:7" ht="16.3" customHeight="1">
      <c r="A1481" s="552" t="s">
        <v>3702</v>
      </c>
      <c r="B1481" s="555" t="s">
        <v>3696</v>
      </c>
      <c r="C1481" s="554" t="s">
        <v>2783</v>
      </c>
      <c r="D1481" s="550" t="s">
        <v>2802</v>
      </c>
      <c r="E1481" s="552">
        <v>0</v>
      </c>
      <c r="F1481" s="759"/>
      <c r="G1481" s="759"/>
    </row>
    <row r="1482" spans="1:7" ht="16.3" customHeight="1">
      <c r="A1482" s="552" t="s">
        <v>3702</v>
      </c>
      <c r="B1482" s="555" t="s">
        <v>3696</v>
      </c>
      <c r="C1482" s="554" t="s">
        <v>2783</v>
      </c>
      <c r="D1482" s="550" t="s">
        <v>2802</v>
      </c>
      <c r="E1482" s="552">
        <v>0</v>
      </c>
      <c r="F1482" s="759"/>
      <c r="G1482" s="759"/>
    </row>
    <row r="1483" spans="1:7" ht="16.3" customHeight="1">
      <c r="A1483" s="552" t="s">
        <v>3702</v>
      </c>
      <c r="B1483" s="556" t="s">
        <v>3697</v>
      </c>
      <c r="C1483" s="554" t="s">
        <v>2917</v>
      </c>
      <c r="D1483" s="550" t="s">
        <v>2918</v>
      </c>
      <c r="E1483" s="552">
        <v>0</v>
      </c>
      <c r="F1483" s="759" t="s">
        <v>3848</v>
      </c>
      <c r="G1483" s="760"/>
    </row>
    <row r="1484" spans="1:7" ht="16.3" customHeight="1">
      <c r="A1484" s="552" t="s">
        <v>3702</v>
      </c>
      <c r="B1484" s="556" t="s">
        <v>3697</v>
      </c>
      <c r="C1484" s="554" t="s">
        <v>2919</v>
      </c>
      <c r="D1484" s="550" t="s">
        <v>2918</v>
      </c>
      <c r="E1484" s="552">
        <v>0</v>
      </c>
      <c r="F1484" s="759" t="s">
        <v>3848</v>
      </c>
      <c r="G1484" s="760"/>
    </row>
    <row r="1485" spans="1:7" ht="16.3" customHeight="1">
      <c r="A1485" s="552" t="s">
        <v>3702</v>
      </c>
      <c r="B1485" s="556" t="s">
        <v>3697</v>
      </c>
      <c r="C1485" s="554" t="s">
        <v>2920</v>
      </c>
      <c r="D1485" s="550" t="s">
        <v>2918</v>
      </c>
      <c r="E1485" s="552">
        <v>0</v>
      </c>
      <c r="F1485" s="759" t="s">
        <v>3848</v>
      </c>
      <c r="G1485" s="760"/>
    </row>
    <row r="1486" spans="1:7" ht="16.3" customHeight="1">
      <c r="A1486" s="552" t="s">
        <v>3702</v>
      </c>
      <c r="B1486" s="556" t="s">
        <v>3697</v>
      </c>
      <c r="C1486" s="554" t="s">
        <v>2921</v>
      </c>
      <c r="D1486" s="550" t="s">
        <v>2918</v>
      </c>
      <c r="E1486" s="552">
        <v>0</v>
      </c>
      <c r="F1486" s="759" t="s">
        <v>3848</v>
      </c>
      <c r="G1486" s="760"/>
    </row>
    <row r="1487" spans="1:7" ht="16.3" customHeight="1">
      <c r="A1487" s="552" t="s">
        <v>3702</v>
      </c>
      <c r="B1487" s="556" t="s">
        <v>3697</v>
      </c>
      <c r="C1487" s="561" t="s">
        <v>2922</v>
      </c>
      <c r="D1487" s="550" t="s">
        <v>2918</v>
      </c>
      <c r="E1487" s="552">
        <v>0</v>
      </c>
      <c r="F1487" s="759" t="s">
        <v>3848</v>
      </c>
      <c r="G1487" s="760"/>
    </row>
    <row r="1488" spans="1:7" ht="16.3" customHeight="1">
      <c r="A1488" s="552" t="s">
        <v>3702</v>
      </c>
      <c r="B1488" s="556" t="s">
        <v>3697</v>
      </c>
      <c r="C1488" s="554" t="s">
        <v>2923</v>
      </c>
      <c r="D1488" s="550" t="s">
        <v>2918</v>
      </c>
      <c r="E1488" s="552">
        <v>0</v>
      </c>
      <c r="F1488" s="759" t="s">
        <v>3848</v>
      </c>
      <c r="G1488" s="760"/>
    </row>
    <row r="1489" spans="1:7" ht="16.3" customHeight="1">
      <c r="A1489" s="552" t="s">
        <v>3702</v>
      </c>
      <c r="B1489" s="556" t="s">
        <v>3697</v>
      </c>
      <c r="C1489" s="554" t="s">
        <v>2924</v>
      </c>
      <c r="D1489" s="550" t="s">
        <v>2918</v>
      </c>
      <c r="E1489" s="552">
        <v>0</v>
      </c>
      <c r="F1489" s="759" t="s">
        <v>3848</v>
      </c>
      <c r="G1489" s="760"/>
    </row>
    <row r="1490" spans="1:7" ht="16.3" customHeight="1">
      <c r="A1490" s="552" t="s">
        <v>3702</v>
      </c>
      <c r="B1490" s="556" t="s">
        <v>3697</v>
      </c>
      <c r="C1490" s="554" t="s">
        <v>2925</v>
      </c>
      <c r="D1490" s="550" t="s">
        <v>2918</v>
      </c>
      <c r="E1490" s="552">
        <v>0</v>
      </c>
      <c r="F1490" s="759" t="s">
        <v>3848</v>
      </c>
      <c r="G1490" s="760"/>
    </row>
    <row r="1491" spans="1:7" ht="16.3" customHeight="1">
      <c r="A1491" s="552" t="s">
        <v>3702</v>
      </c>
      <c r="B1491" s="556" t="s">
        <v>3697</v>
      </c>
      <c r="C1491" s="554" t="s">
        <v>2926</v>
      </c>
      <c r="D1491" s="550" t="s">
        <v>2918</v>
      </c>
      <c r="E1491" s="552">
        <v>0</v>
      </c>
      <c r="F1491" s="759" t="s">
        <v>3848</v>
      </c>
      <c r="G1491" s="760"/>
    </row>
    <row r="1492" spans="1:7" ht="16.3" customHeight="1">
      <c r="A1492" s="552" t="s">
        <v>3702</v>
      </c>
      <c r="B1492" s="556" t="s">
        <v>3697</v>
      </c>
      <c r="C1492" s="554" t="s">
        <v>2927</v>
      </c>
      <c r="D1492" s="550" t="s">
        <v>2918</v>
      </c>
      <c r="E1492" s="552">
        <v>0</v>
      </c>
      <c r="F1492" s="759" t="s">
        <v>3848</v>
      </c>
      <c r="G1492" s="760"/>
    </row>
    <row r="1493" spans="1:7" ht="16.3" customHeight="1">
      <c r="A1493" s="552" t="s">
        <v>3702</v>
      </c>
      <c r="B1493" s="556" t="s">
        <v>3697</v>
      </c>
      <c r="C1493" s="554" t="s">
        <v>2928</v>
      </c>
      <c r="D1493" s="550" t="s">
        <v>2918</v>
      </c>
      <c r="E1493" s="552">
        <v>0</v>
      </c>
      <c r="F1493" s="759" t="s">
        <v>3848</v>
      </c>
      <c r="G1493" s="760"/>
    </row>
    <row r="1494" spans="1:7" ht="16.3" customHeight="1">
      <c r="A1494" s="552" t="s">
        <v>3702</v>
      </c>
      <c r="B1494" s="556" t="s">
        <v>3697</v>
      </c>
      <c r="C1494" s="554" t="s">
        <v>2929</v>
      </c>
      <c r="D1494" s="550" t="s">
        <v>2918</v>
      </c>
      <c r="E1494" s="552">
        <v>0</v>
      </c>
      <c r="F1494" s="759" t="s">
        <v>3848</v>
      </c>
      <c r="G1494" s="760"/>
    </row>
    <row r="1495" spans="1:7" ht="16.3" customHeight="1">
      <c r="A1495" s="552" t="s">
        <v>3702</v>
      </c>
      <c r="B1495" s="556" t="s">
        <v>3697</v>
      </c>
      <c r="C1495" s="554" t="s">
        <v>2930</v>
      </c>
      <c r="D1495" s="550" t="s">
        <v>2918</v>
      </c>
      <c r="E1495" s="552">
        <v>0</v>
      </c>
      <c r="F1495" s="759" t="s">
        <v>3848</v>
      </c>
      <c r="G1495" s="760"/>
    </row>
    <row r="1496" spans="1:7" ht="16.3" customHeight="1">
      <c r="A1496" s="552" t="s">
        <v>3702</v>
      </c>
      <c r="B1496" s="556" t="s">
        <v>3697</v>
      </c>
      <c r="C1496" s="554" t="s">
        <v>2931</v>
      </c>
      <c r="D1496" s="550" t="s">
        <v>2918</v>
      </c>
      <c r="E1496" s="552">
        <v>0</v>
      </c>
      <c r="F1496" s="759" t="s">
        <v>3848</v>
      </c>
      <c r="G1496" s="760"/>
    </row>
    <row r="1497" spans="1:7" ht="16.3" customHeight="1">
      <c r="A1497" s="552" t="s">
        <v>3702</v>
      </c>
      <c r="B1497" s="556" t="s">
        <v>3697</v>
      </c>
      <c r="C1497" s="554" t="s">
        <v>2932</v>
      </c>
      <c r="D1497" s="550" t="s">
        <v>2918</v>
      </c>
      <c r="E1497" s="552">
        <v>0</v>
      </c>
      <c r="F1497" s="759" t="s">
        <v>3848</v>
      </c>
      <c r="G1497" s="760"/>
    </row>
    <row r="1498" spans="1:7" ht="16.3" customHeight="1">
      <c r="A1498" s="552" t="s">
        <v>3702</v>
      </c>
      <c r="B1498" s="556" t="s">
        <v>3697</v>
      </c>
      <c r="C1498" s="554" t="s">
        <v>2933</v>
      </c>
      <c r="D1498" s="550" t="s">
        <v>2918</v>
      </c>
      <c r="E1498" s="552">
        <v>0</v>
      </c>
      <c r="F1498" s="759" t="s">
        <v>3848</v>
      </c>
      <c r="G1498" s="760"/>
    </row>
    <row r="1499" spans="1:7" ht="16.3" customHeight="1">
      <c r="A1499" s="552" t="s">
        <v>3702</v>
      </c>
      <c r="B1499" s="556" t="s">
        <v>3697</v>
      </c>
      <c r="C1499" s="554" t="s">
        <v>2934</v>
      </c>
      <c r="D1499" s="550" t="s">
        <v>2918</v>
      </c>
      <c r="E1499" s="552">
        <v>0</v>
      </c>
      <c r="F1499" s="759" t="s">
        <v>3848</v>
      </c>
      <c r="G1499" s="760"/>
    </row>
    <row r="1500" spans="1:7" ht="16.3" customHeight="1">
      <c r="A1500" s="552" t="s">
        <v>3702</v>
      </c>
      <c r="B1500" s="557" t="s">
        <v>3698</v>
      </c>
      <c r="C1500" s="554" t="s">
        <v>2935</v>
      </c>
      <c r="D1500" s="550" t="s">
        <v>2805</v>
      </c>
      <c r="E1500" s="552">
        <v>0</v>
      </c>
      <c r="F1500" s="759" t="s">
        <v>3848</v>
      </c>
      <c r="G1500" s="760"/>
    </row>
    <row r="1501" spans="1:7" ht="16.3" customHeight="1">
      <c r="A1501" s="552" t="s">
        <v>3702</v>
      </c>
      <c r="B1501" s="557" t="s">
        <v>3698</v>
      </c>
      <c r="C1501" s="554" t="s">
        <v>2936</v>
      </c>
      <c r="D1501" s="550" t="s">
        <v>2805</v>
      </c>
      <c r="E1501" s="552">
        <v>0</v>
      </c>
      <c r="F1501" s="759" t="s">
        <v>3848</v>
      </c>
      <c r="G1501" s="760"/>
    </row>
    <row r="1502" spans="1:7" ht="16.3" customHeight="1">
      <c r="A1502" s="552" t="s">
        <v>3702</v>
      </c>
      <c r="B1502" s="557" t="s">
        <v>3698</v>
      </c>
      <c r="C1502" s="554" t="s">
        <v>2937</v>
      </c>
      <c r="D1502" s="550" t="s">
        <v>2805</v>
      </c>
      <c r="E1502" s="552">
        <v>0</v>
      </c>
      <c r="F1502" s="759" t="s">
        <v>3848</v>
      </c>
      <c r="G1502" s="760"/>
    </row>
    <row r="1503" spans="1:7" ht="16.3" customHeight="1">
      <c r="A1503" s="552" t="s">
        <v>3702</v>
      </c>
      <c r="B1503" s="557" t="s">
        <v>3698</v>
      </c>
      <c r="C1503" s="554" t="s">
        <v>2938</v>
      </c>
      <c r="D1503" s="550" t="s">
        <v>2805</v>
      </c>
      <c r="E1503" s="552">
        <v>0</v>
      </c>
      <c r="F1503" s="759" t="s">
        <v>3848</v>
      </c>
      <c r="G1503" s="760"/>
    </row>
    <row r="1504" spans="1:7" ht="16.3" customHeight="1">
      <c r="A1504" s="552" t="s">
        <v>3702</v>
      </c>
      <c r="B1504" s="557" t="s">
        <v>3698</v>
      </c>
      <c r="C1504" s="554" t="s">
        <v>2939</v>
      </c>
      <c r="D1504" s="550" t="s">
        <v>2805</v>
      </c>
      <c r="E1504" s="552">
        <v>0</v>
      </c>
      <c r="F1504" s="759" t="s">
        <v>3848</v>
      </c>
      <c r="G1504" s="760"/>
    </row>
    <row r="1505" spans="1:7" ht="16.3" customHeight="1">
      <c r="A1505" s="552" t="s">
        <v>3702</v>
      </c>
      <c r="B1505" s="557" t="s">
        <v>3698</v>
      </c>
      <c r="C1505" s="554" t="s">
        <v>2940</v>
      </c>
      <c r="D1505" s="550" t="s">
        <v>2805</v>
      </c>
      <c r="E1505" s="552">
        <v>0</v>
      </c>
      <c r="F1505" s="759" t="s">
        <v>3848</v>
      </c>
      <c r="G1505" s="760"/>
    </row>
    <row r="1506" spans="1:7" ht="16.3" customHeight="1">
      <c r="A1506" s="552" t="s">
        <v>3702</v>
      </c>
      <c r="B1506" s="557" t="s">
        <v>3698</v>
      </c>
      <c r="C1506" s="554" t="s">
        <v>2941</v>
      </c>
      <c r="D1506" s="550" t="s">
        <v>2805</v>
      </c>
      <c r="E1506" s="552">
        <v>0</v>
      </c>
      <c r="F1506" s="759" t="s">
        <v>3848</v>
      </c>
      <c r="G1506" s="760"/>
    </row>
    <row r="1507" spans="1:7" ht="16.3" customHeight="1">
      <c r="A1507" s="552" t="s">
        <v>3702</v>
      </c>
      <c r="B1507" s="557" t="s">
        <v>3698</v>
      </c>
      <c r="C1507" s="554" t="s">
        <v>2942</v>
      </c>
      <c r="D1507" s="550" t="s">
        <v>2805</v>
      </c>
      <c r="E1507" s="552">
        <v>0</v>
      </c>
      <c r="F1507" s="759" t="s">
        <v>3848</v>
      </c>
      <c r="G1507" s="760"/>
    </row>
    <row r="1508" spans="1:7" ht="16.3" customHeight="1">
      <c r="A1508" s="552" t="s">
        <v>3702</v>
      </c>
      <c r="B1508" s="557" t="s">
        <v>3698</v>
      </c>
      <c r="C1508" s="554" t="s">
        <v>2943</v>
      </c>
      <c r="D1508" s="550" t="s">
        <v>2805</v>
      </c>
      <c r="E1508" s="552">
        <v>0</v>
      </c>
      <c r="F1508" s="759" t="s">
        <v>3848</v>
      </c>
      <c r="G1508" s="760"/>
    </row>
    <row r="1509" spans="1:7" ht="16.3" customHeight="1">
      <c r="A1509" s="552" t="s">
        <v>3702</v>
      </c>
      <c r="B1509" s="557" t="s">
        <v>3698</v>
      </c>
      <c r="C1509" s="554" t="s">
        <v>2944</v>
      </c>
      <c r="D1509" s="550" t="s">
        <v>2805</v>
      </c>
      <c r="E1509" s="552">
        <v>0</v>
      </c>
      <c r="F1509" s="759" t="s">
        <v>3848</v>
      </c>
      <c r="G1509" s="760"/>
    </row>
    <row r="1510" spans="1:7" ht="16.3" customHeight="1">
      <c r="A1510" s="552" t="s">
        <v>3702</v>
      </c>
      <c r="B1510" s="557" t="s">
        <v>3698</v>
      </c>
      <c r="C1510" s="554" t="s">
        <v>2945</v>
      </c>
      <c r="D1510" s="550" t="s">
        <v>2805</v>
      </c>
      <c r="E1510" s="552">
        <v>0</v>
      </c>
      <c r="F1510" s="759" t="s">
        <v>3848</v>
      </c>
      <c r="G1510" s="760"/>
    </row>
    <row r="1511" spans="1:7" ht="16.3" customHeight="1">
      <c r="A1511" s="552" t="s">
        <v>3702</v>
      </c>
      <c r="B1511" s="557" t="s">
        <v>3698</v>
      </c>
      <c r="C1511" s="554" t="s">
        <v>2946</v>
      </c>
      <c r="D1511" s="550" t="s">
        <v>2805</v>
      </c>
      <c r="E1511" s="552">
        <v>0</v>
      </c>
      <c r="F1511" s="759" t="s">
        <v>3848</v>
      </c>
      <c r="G1511" s="760"/>
    </row>
    <row r="1512" spans="1:7" ht="16.3" customHeight="1">
      <c r="A1512" s="552" t="s">
        <v>3702</v>
      </c>
      <c r="B1512" s="557" t="s">
        <v>3698</v>
      </c>
      <c r="C1512" s="554" t="s">
        <v>2947</v>
      </c>
      <c r="D1512" s="550" t="s">
        <v>2805</v>
      </c>
      <c r="E1512" s="552">
        <v>0</v>
      </c>
      <c r="F1512" s="759" t="s">
        <v>3848</v>
      </c>
      <c r="G1512" s="760"/>
    </row>
    <row r="1513" spans="1:7" ht="16.3" customHeight="1">
      <c r="A1513" s="552" t="s">
        <v>3702</v>
      </c>
      <c r="B1513" s="557" t="s">
        <v>3698</v>
      </c>
      <c r="C1513" s="554" t="s">
        <v>2948</v>
      </c>
      <c r="D1513" s="550" t="s">
        <v>2805</v>
      </c>
      <c r="E1513" s="552">
        <v>0</v>
      </c>
      <c r="F1513" s="759" t="s">
        <v>3848</v>
      </c>
      <c r="G1513" s="760"/>
    </row>
    <row r="1514" spans="1:7" ht="16.3" customHeight="1">
      <c r="A1514" s="552" t="s">
        <v>3702</v>
      </c>
      <c r="B1514" s="557" t="s">
        <v>3698</v>
      </c>
      <c r="C1514" s="554" t="s">
        <v>2949</v>
      </c>
      <c r="D1514" s="550" t="s">
        <v>2805</v>
      </c>
      <c r="E1514" s="552">
        <v>0</v>
      </c>
      <c r="F1514" s="759" t="s">
        <v>3848</v>
      </c>
      <c r="G1514" s="760"/>
    </row>
    <row r="1515" spans="1:7" ht="16.3" customHeight="1">
      <c r="A1515" s="552" t="s">
        <v>3702</v>
      </c>
      <c r="B1515" s="557" t="s">
        <v>3698</v>
      </c>
      <c r="C1515" s="554" t="s">
        <v>2950</v>
      </c>
      <c r="D1515" s="550" t="s">
        <v>2805</v>
      </c>
      <c r="E1515" s="552">
        <v>0</v>
      </c>
      <c r="F1515" s="759" t="s">
        <v>3848</v>
      </c>
      <c r="G1515" s="760"/>
    </row>
    <row r="1516" spans="1:7" ht="16.3" customHeight="1">
      <c r="A1516" s="552" t="s">
        <v>3702</v>
      </c>
      <c r="B1516" s="557" t="s">
        <v>3698</v>
      </c>
      <c r="C1516" s="554" t="s">
        <v>2951</v>
      </c>
      <c r="D1516" s="550" t="s">
        <v>2805</v>
      </c>
      <c r="E1516" s="552">
        <v>0</v>
      </c>
      <c r="F1516" s="759" t="s">
        <v>3848</v>
      </c>
      <c r="G1516" s="760"/>
    </row>
    <row r="1517" spans="1:7" ht="16.3" customHeight="1">
      <c r="A1517" s="552" t="s">
        <v>3702</v>
      </c>
      <c r="B1517" s="557" t="s">
        <v>3698</v>
      </c>
      <c r="C1517" s="554" t="s">
        <v>2783</v>
      </c>
      <c r="D1517" s="550" t="s">
        <v>2805</v>
      </c>
      <c r="E1517" s="552">
        <v>0</v>
      </c>
      <c r="F1517" s="759"/>
      <c r="G1517" s="759"/>
    </row>
    <row r="1518" spans="1:7" ht="16.3" customHeight="1">
      <c r="A1518" s="552" t="s">
        <v>3702</v>
      </c>
      <c r="B1518" s="557" t="s">
        <v>3698</v>
      </c>
      <c r="C1518" s="554" t="s">
        <v>2783</v>
      </c>
      <c r="D1518" s="550" t="s">
        <v>2805</v>
      </c>
      <c r="E1518" s="552">
        <v>0</v>
      </c>
      <c r="F1518" s="759" t="s">
        <v>3848</v>
      </c>
      <c r="G1518" s="760"/>
    </row>
    <row r="1519" spans="1:7" ht="16.3" customHeight="1">
      <c r="A1519" s="552" t="s">
        <v>3702</v>
      </c>
      <c r="B1519" s="557" t="s">
        <v>3698</v>
      </c>
      <c r="C1519" s="562" t="s">
        <v>2783</v>
      </c>
      <c r="D1519" s="550" t="s">
        <v>2805</v>
      </c>
      <c r="E1519" s="552">
        <v>0</v>
      </c>
      <c r="F1519" s="759" t="s">
        <v>3848</v>
      </c>
      <c r="G1519" s="760"/>
    </row>
    <row r="1520" spans="1:7" ht="16.3" customHeight="1">
      <c r="A1520" s="552" t="s">
        <v>3702</v>
      </c>
      <c r="B1520" s="564" t="s">
        <v>3699</v>
      </c>
      <c r="C1520" s="554" t="s">
        <v>2952</v>
      </c>
      <c r="D1520" s="550" t="s">
        <v>2809</v>
      </c>
      <c r="E1520" s="552">
        <v>0</v>
      </c>
      <c r="F1520" s="759" t="s">
        <v>3848</v>
      </c>
      <c r="G1520" s="760"/>
    </row>
    <row r="1521" spans="1:7" ht="16.3" customHeight="1">
      <c r="A1521" s="552" t="s">
        <v>3702</v>
      </c>
      <c r="B1521" s="564" t="s">
        <v>3699</v>
      </c>
      <c r="C1521" s="554" t="s">
        <v>2953</v>
      </c>
      <c r="D1521" s="550" t="s">
        <v>2809</v>
      </c>
      <c r="E1521" s="552">
        <v>0</v>
      </c>
      <c r="F1521" s="759" t="s">
        <v>3848</v>
      </c>
      <c r="G1521" s="760"/>
    </row>
    <row r="1522" spans="1:7" ht="16.3" customHeight="1">
      <c r="A1522" s="552" t="s">
        <v>3702</v>
      </c>
      <c r="B1522" s="564" t="s">
        <v>3699</v>
      </c>
      <c r="C1522" s="554" t="s">
        <v>2954</v>
      </c>
      <c r="D1522" s="550" t="s">
        <v>2809</v>
      </c>
      <c r="E1522" s="552">
        <v>0</v>
      </c>
      <c r="F1522" s="759" t="s">
        <v>3848</v>
      </c>
      <c r="G1522" s="760"/>
    </row>
    <row r="1523" spans="1:7" ht="16.3" customHeight="1">
      <c r="A1523" s="552" t="s">
        <v>3702</v>
      </c>
      <c r="B1523" s="564" t="s">
        <v>3699</v>
      </c>
      <c r="C1523" s="554" t="s">
        <v>2955</v>
      </c>
      <c r="D1523" s="550" t="s">
        <v>2809</v>
      </c>
      <c r="E1523" s="552">
        <v>0</v>
      </c>
      <c r="F1523" s="759" t="s">
        <v>3848</v>
      </c>
      <c r="G1523" s="760"/>
    </row>
    <row r="1524" spans="1:7" ht="16.3" customHeight="1">
      <c r="A1524" s="552" t="s">
        <v>3702</v>
      </c>
      <c r="B1524" s="564" t="s">
        <v>3699</v>
      </c>
      <c r="C1524" s="554" t="s">
        <v>2956</v>
      </c>
      <c r="D1524" s="550" t="s">
        <v>2809</v>
      </c>
      <c r="E1524" s="552">
        <v>0</v>
      </c>
      <c r="F1524" s="759" t="s">
        <v>3848</v>
      </c>
      <c r="G1524" s="760"/>
    </row>
    <row r="1525" spans="1:7" ht="16.3" customHeight="1">
      <c r="A1525" s="552" t="s">
        <v>3702</v>
      </c>
      <c r="B1525" s="564" t="s">
        <v>3699</v>
      </c>
      <c r="C1525" s="554" t="s">
        <v>2957</v>
      </c>
      <c r="D1525" s="550" t="s">
        <v>2809</v>
      </c>
      <c r="E1525" s="552">
        <v>0</v>
      </c>
      <c r="F1525" s="759" t="s">
        <v>3848</v>
      </c>
      <c r="G1525" s="760"/>
    </row>
    <row r="1526" spans="1:7" ht="16.3" customHeight="1">
      <c r="A1526" s="552" t="s">
        <v>3702</v>
      </c>
      <c r="B1526" s="564" t="s">
        <v>3699</v>
      </c>
      <c r="C1526" s="554" t="s">
        <v>2958</v>
      </c>
      <c r="D1526" s="550" t="s">
        <v>2809</v>
      </c>
      <c r="E1526" s="552">
        <v>0</v>
      </c>
      <c r="F1526" s="759" t="s">
        <v>3848</v>
      </c>
      <c r="G1526" s="760"/>
    </row>
    <row r="1527" spans="1:7" ht="16.3" customHeight="1">
      <c r="A1527" s="552" t="s">
        <v>3702</v>
      </c>
      <c r="B1527" s="564" t="s">
        <v>3699</v>
      </c>
      <c r="C1527" s="554" t="s">
        <v>2959</v>
      </c>
      <c r="D1527" s="550" t="s">
        <v>2809</v>
      </c>
      <c r="E1527" s="552">
        <v>0</v>
      </c>
      <c r="F1527" s="759" t="s">
        <v>3848</v>
      </c>
      <c r="G1527" s="760"/>
    </row>
    <row r="1528" spans="1:7" ht="16.3" customHeight="1">
      <c r="A1528" s="552" t="s">
        <v>3702</v>
      </c>
      <c r="B1528" s="564" t="s">
        <v>3699</v>
      </c>
      <c r="C1528" s="554" t="s">
        <v>2960</v>
      </c>
      <c r="D1528" s="550" t="s">
        <v>2809</v>
      </c>
      <c r="E1528" s="552">
        <v>0</v>
      </c>
      <c r="F1528" s="759" t="s">
        <v>3848</v>
      </c>
      <c r="G1528" s="760"/>
    </row>
    <row r="1529" spans="1:7" ht="16.3" customHeight="1">
      <c r="A1529" s="552" t="s">
        <v>3702</v>
      </c>
      <c r="B1529" s="564" t="s">
        <v>3699</v>
      </c>
      <c r="C1529" s="554" t="s">
        <v>2961</v>
      </c>
      <c r="D1529" s="550" t="s">
        <v>2809</v>
      </c>
      <c r="E1529" s="552">
        <v>0</v>
      </c>
      <c r="F1529" s="759" t="s">
        <v>3848</v>
      </c>
      <c r="G1529" s="760"/>
    </row>
    <row r="1530" spans="1:7" ht="16.3" customHeight="1">
      <c r="A1530" s="552" t="s">
        <v>3702</v>
      </c>
      <c r="B1530" s="564" t="s">
        <v>3699</v>
      </c>
      <c r="C1530" s="554" t="s">
        <v>2962</v>
      </c>
      <c r="D1530" s="550" t="s">
        <v>2809</v>
      </c>
      <c r="E1530" s="552">
        <v>0</v>
      </c>
      <c r="F1530" s="759" t="s">
        <v>3848</v>
      </c>
      <c r="G1530" s="760"/>
    </row>
    <row r="1531" spans="1:7" ht="16.3" customHeight="1">
      <c r="A1531" s="552" t="s">
        <v>3702</v>
      </c>
      <c r="B1531" s="564" t="s">
        <v>3699</v>
      </c>
      <c r="C1531" s="554" t="s">
        <v>2963</v>
      </c>
      <c r="D1531" s="550" t="s">
        <v>2809</v>
      </c>
      <c r="E1531" s="552">
        <v>0</v>
      </c>
      <c r="F1531" s="759" t="s">
        <v>3848</v>
      </c>
      <c r="G1531" s="760"/>
    </row>
    <row r="1532" spans="1:7" ht="16.3" customHeight="1">
      <c r="A1532" s="552" t="s">
        <v>3702</v>
      </c>
      <c r="B1532" s="564" t="s">
        <v>3699</v>
      </c>
      <c r="C1532" s="554" t="s">
        <v>2964</v>
      </c>
      <c r="D1532" s="550" t="s">
        <v>2809</v>
      </c>
      <c r="E1532" s="552">
        <v>0</v>
      </c>
      <c r="F1532" s="759" t="s">
        <v>3848</v>
      </c>
      <c r="G1532" s="760"/>
    </row>
    <row r="1533" spans="1:7" ht="16.3" customHeight="1">
      <c r="A1533" s="552" t="s">
        <v>3702</v>
      </c>
      <c r="B1533" s="564" t="s">
        <v>3699</v>
      </c>
      <c r="C1533" s="554" t="s">
        <v>2965</v>
      </c>
      <c r="D1533" s="550" t="s">
        <v>2809</v>
      </c>
      <c r="E1533" s="552">
        <v>0</v>
      </c>
      <c r="F1533" s="759" t="s">
        <v>3848</v>
      </c>
      <c r="G1533" s="760"/>
    </row>
    <row r="1534" spans="1:7" ht="16.3" customHeight="1">
      <c r="A1534" s="552" t="s">
        <v>3702</v>
      </c>
      <c r="B1534" s="564" t="s">
        <v>3699</v>
      </c>
      <c r="C1534" s="554" t="s">
        <v>2966</v>
      </c>
      <c r="D1534" s="550" t="s">
        <v>2809</v>
      </c>
      <c r="E1534" s="552">
        <v>0</v>
      </c>
      <c r="F1534" s="759" t="s">
        <v>3848</v>
      </c>
      <c r="G1534" s="760"/>
    </row>
    <row r="1535" spans="1:7" ht="16.3" customHeight="1">
      <c r="A1535" s="552" t="s">
        <v>3702</v>
      </c>
      <c r="B1535" s="564" t="s">
        <v>3699</v>
      </c>
      <c r="C1535" s="554" t="s">
        <v>2967</v>
      </c>
      <c r="D1535" s="550" t="s">
        <v>2809</v>
      </c>
      <c r="E1535" s="552">
        <v>0</v>
      </c>
      <c r="F1535" s="759" t="s">
        <v>3848</v>
      </c>
      <c r="G1535" s="760"/>
    </row>
    <row r="1536" spans="1:7" ht="16.3" customHeight="1">
      <c r="A1536" s="552" t="s">
        <v>3702</v>
      </c>
      <c r="B1536" s="564" t="s">
        <v>3699</v>
      </c>
      <c r="C1536" s="563" t="s">
        <v>2968</v>
      </c>
      <c r="D1536" s="550" t="s">
        <v>2809</v>
      </c>
      <c r="E1536" s="552">
        <v>0</v>
      </c>
      <c r="F1536" s="759" t="s">
        <v>3848</v>
      </c>
      <c r="G1536" s="760"/>
    </row>
    <row r="1537" spans="1:7" ht="16.3" customHeight="1">
      <c r="A1537" s="552" t="s">
        <v>3702</v>
      </c>
      <c r="B1537" s="564" t="s">
        <v>3699</v>
      </c>
      <c r="C1537" s="554" t="s">
        <v>2783</v>
      </c>
      <c r="D1537" s="550" t="s">
        <v>2809</v>
      </c>
      <c r="E1537" s="552">
        <v>0</v>
      </c>
      <c r="F1537" s="759"/>
      <c r="G1537" s="759"/>
    </row>
    <row r="1538" spans="1:7" ht="16.3" customHeight="1">
      <c r="A1538" s="552" t="s">
        <v>3702</v>
      </c>
      <c r="B1538" s="564" t="s">
        <v>3699</v>
      </c>
      <c r="C1538" s="554" t="s">
        <v>2783</v>
      </c>
      <c r="D1538" s="550" t="s">
        <v>2809</v>
      </c>
      <c r="E1538" s="552">
        <v>0</v>
      </c>
      <c r="F1538" s="759"/>
      <c r="G1538" s="759"/>
    </row>
    <row r="1539" spans="1:7" ht="16.3" customHeight="1">
      <c r="A1539" s="552" t="s">
        <v>3702</v>
      </c>
      <c r="B1539" s="564" t="s">
        <v>3699</v>
      </c>
      <c r="C1539" s="554" t="s">
        <v>2969</v>
      </c>
      <c r="D1539" s="550" t="s">
        <v>2809</v>
      </c>
      <c r="E1539" s="552">
        <v>0</v>
      </c>
      <c r="F1539" s="759" t="s">
        <v>3848</v>
      </c>
      <c r="G1539" s="760"/>
    </row>
    <row r="1540" spans="1:7" ht="16.3" customHeight="1">
      <c r="A1540" s="552" t="s">
        <v>3702</v>
      </c>
      <c r="B1540" s="559" t="s">
        <v>3700</v>
      </c>
      <c r="C1540" s="554" t="s">
        <v>2970</v>
      </c>
      <c r="D1540" s="550" t="s">
        <v>2971</v>
      </c>
      <c r="E1540" s="552">
        <v>0</v>
      </c>
      <c r="F1540" s="759" t="s">
        <v>3848</v>
      </c>
      <c r="G1540" s="760"/>
    </row>
    <row r="1541" spans="1:7" ht="16.3" customHeight="1">
      <c r="A1541" s="552" t="s">
        <v>3702</v>
      </c>
      <c r="B1541" s="559" t="s">
        <v>3700</v>
      </c>
      <c r="C1541" s="554" t="s">
        <v>2972</v>
      </c>
      <c r="D1541" s="550" t="s">
        <v>2971</v>
      </c>
      <c r="E1541" s="552">
        <v>0</v>
      </c>
      <c r="F1541" s="759" t="s">
        <v>3848</v>
      </c>
      <c r="G1541" s="760"/>
    </row>
    <row r="1542" spans="1:7" ht="16.3" customHeight="1">
      <c r="A1542" s="552" t="s">
        <v>3702</v>
      </c>
      <c r="B1542" s="559" t="s">
        <v>3700</v>
      </c>
      <c r="C1542" s="554" t="s">
        <v>2973</v>
      </c>
      <c r="D1542" s="550" t="s">
        <v>2971</v>
      </c>
      <c r="E1542" s="552">
        <v>0</v>
      </c>
      <c r="F1542" s="759" t="s">
        <v>3848</v>
      </c>
      <c r="G1542" s="760"/>
    </row>
    <row r="1543" spans="1:7" ht="16.3" customHeight="1">
      <c r="A1543" s="552" t="s">
        <v>3702</v>
      </c>
      <c r="B1543" s="559" t="s">
        <v>3700</v>
      </c>
      <c r="C1543" s="554" t="s">
        <v>2974</v>
      </c>
      <c r="D1543" s="550" t="s">
        <v>2971</v>
      </c>
      <c r="E1543" s="552">
        <v>0</v>
      </c>
      <c r="F1543" s="759" t="s">
        <v>3848</v>
      </c>
      <c r="G1543" s="760"/>
    </row>
    <row r="1544" spans="1:7" ht="16.3" customHeight="1">
      <c r="A1544" s="552" t="s">
        <v>3702</v>
      </c>
      <c r="B1544" s="559" t="s">
        <v>3700</v>
      </c>
      <c r="C1544" s="554" t="s">
        <v>2783</v>
      </c>
      <c r="D1544" s="550" t="s">
        <v>2971</v>
      </c>
      <c r="E1544" s="552">
        <v>0</v>
      </c>
      <c r="F1544" s="759"/>
      <c r="G1544" s="759"/>
    </row>
    <row r="1545" spans="1:7" ht="16.3" customHeight="1">
      <c r="A1545" s="552" t="s">
        <v>3702</v>
      </c>
      <c r="B1545" s="540" t="s">
        <v>3695</v>
      </c>
      <c r="C1545" s="554" t="s">
        <v>2976</v>
      </c>
      <c r="D1545" s="550" t="s">
        <v>2802</v>
      </c>
      <c r="E1545" s="552">
        <v>0</v>
      </c>
      <c r="F1545" s="759" t="s">
        <v>3847</v>
      </c>
      <c r="G1545" s="760"/>
    </row>
    <row r="1546" spans="1:7" ht="16.3" customHeight="1">
      <c r="A1546" s="552" t="s">
        <v>3702</v>
      </c>
      <c r="B1546" s="540" t="s">
        <v>3695</v>
      </c>
      <c r="C1546" s="554" t="s">
        <v>2977</v>
      </c>
      <c r="D1546" s="550" t="s">
        <v>2802</v>
      </c>
      <c r="E1546" s="552">
        <v>0</v>
      </c>
      <c r="F1546" s="759" t="s">
        <v>3847</v>
      </c>
      <c r="G1546" s="760"/>
    </row>
    <row r="1547" spans="1:7" ht="16.3" customHeight="1">
      <c r="A1547" s="552" t="s">
        <v>3702</v>
      </c>
      <c r="B1547" s="540" t="s">
        <v>3695</v>
      </c>
      <c r="C1547" s="554" t="s">
        <v>2978</v>
      </c>
      <c r="D1547" s="550" t="s">
        <v>2802</v>
      </c>
      <c r="E1547" s="552">
        <v>0</v>
      </c>
      <c r="F1547" s="759" t="s">
        <v>3847</v>
      </c>
      <c r="G1547" s="760"/>
    </row>
    <row r="1548" spans="1:7" ht="16.3" customHeight="1">
      <c r="A1548" s="552" t="s">
        <v>3702</v>
      </c>
      <c r="B1548" s="540" t="s">
        <v>3695</v>
      </c>
      <c r="C1548" s="554" t="s">
        <v>2979</v>
      </c>
      <c r="D1548" s="550" t="s">
        <v>2802</v>
      </c>
      <c r="E1548" s="552">
        <v>0</v>
      </c>
      <c r="F1548" s="759" t="s">
        <v>3847</v>
      </c>
      <c r="G1548" s="760"/>
    </row>
    <row r="1549" spans="1:7" ht="16.3" customHeight="1">
      <c r="A1549" s="552" t="s">
        <v>3702</v>
      </c>
      <c r="B1549" s="540" t="s">
        <v>3695</v>
      </c>
      <c r="C1549" s="554" t="s">
        <v>2980</v>
      </c>
      <c r="D1549" s="550" t="s">
        <v>2802</v>
      </c>
      <c r="E1549" s="552">
        <v>0</v>
      </c>
      <c r="F1549" s="759" t="s">
        <v>3847</v>
      </c>
      <c r="G1549" s="760"/>
    </row>
    <row r="1550" spans="1:7" ht="16.3" customHeight="1">
      <c r="A1550" s="552" t="s">
        <v>3702</v>
      </c>
      <c r="B1550" s="555" t="s">
        <v>3696</v>
      </c>
      <c r="C1550" s="554" t="s">
        <v>2981</v>
      </c>
      <c r="D1550" s="550" t="s">
        <v>2805</v>
      </c>
      <c r="E1550" s="552">
        <v>0</v>
      </c>
      <c r="F1550" s="759" t="s">
        <v>3847</v>
      </c>
      <c r="G1550" s="760"/>
    </row>
    <row r="1551" spans="1:7" ht="16.3" customHeight="1">
      <c r="A1551" s="552" t="s">
        <v>3702</v>
      </c>
      <c r="B1551" s="555" t="s">
        <v>3696</v>
      </c>
      <c r="C1551" s="554" t="s">
        <v>2982</v>
      </c>
      <c r="D1551" s="550" t="s">
        <v>2805</v>
      </c>
      <c r="E1551" s="552">
        <v>0</v>
      </c>
      <c r="F1551" s="759" t="s">
        <v>3847</v>
      </c>
      <c r="G1551" s="760"/>
    </row>
    <row r="1552" spans="1:7" ht="16.3" customHeight="1">
      <c r="A1552" s="552" t="s">
        <v>3702</v>
      </c>
      <c r="B1552" s="555" t="s">
        <v>3696</v>
      </c>
      <c r="C1552" s="554" t="s">
        <v>2983</v>
      </c>
      <c r="D1552" s="550" t="s">
        <v>2805</v>
      </c>
      <c r="E1552" s="552">
        <v>0</v>
      </c>
      <c r="F1552" s="759" t="s">
        <v>3847</v>
      </c>
      <c r="G1552" s="760"/>
    </row>
    <row r="1553" spans="1:7" ht="16.3" customHeight="1">
      <c r="A1553" s="552" t="s">
        <v>3702</v>
      </c>
      <c r="B1553" s="555" t="s">
        <v>3696</v>
      </c>
      <c r="C1553" s="554" t="s">
        <v>2984</v>
      </c>
      <c r="D1553" s="550" t="s">
        <v>2805</v>
      </c>
      <c r="E1553" s="552">
        <v>0</v>
      </c>
      <c r="F1553" s="759" t="s">
        <v>3847</v>
      </c>
      <c r="G1553" s="760"/>
    </row>
    <row r="1554" spans="1:7" ht="16.3" customHeight="1">
      <c r="A1554" s="552" t="s">
        <v>3702</v>
      </c>
      <c r="B1554" s="555" t="s">
        <v>3696</v>
      </c>
      <c r="C1554" s="554" t="s">
        <v>2985</v>
      </c>
      <c r="D1554" s="550" t="s">
        <v>2805</v>
      </c>
      <c r="E1554" s="552">
        <v>0</v>
      </c>
      <c r="F1554" s="759" t="s">
        <v>3847</v>
      </c>
      <c r="G1554" s="760"/>
    </row>
    <row r="1555" spans="1:7" ht="16.3" customHeight="1">
      <c r="A1555" s="552" t="s">
        <v>3702</v>
      </c>
      <c r="B1555" s="555" t="s">
        <v>3696</v>
      </c>
      <c r="C1555" s="554" t="s">
        <v>2986</v>
      </c>
      <c r="D1555" s="550" t="s">
        <v>2805</v>
      </c>
      <c r="E1555" s="552">
        <v>0</v>
      </c>
      <c r="F1555" s="759" t="s">
        <v>3847</v>
      </c>
      <c r="G1555" s="760"/>
    </row>
    <row r="1556" spans="1:7" ht="16.3" customHeight="1">
      <c r="A1556" s="552" t="s">
        <v>3702</v>
      </c>
      <c r="B1556" s="555" t="s">
        <v>3696</v>
      </c>
      <c r="C1556" s="554" t="s">
        <v>2987</v>
      </c>
      <c r="D1556" s="550" t="s">
        <v>2805</v>
      </c>
      <c r="E1556" s="552">
        <v>0</v>
      </c>
      <c r="F1556" s="759" t="s">
        <v>3847</v>
      </c>
      <c r="G1556" s="760"/>
    </row>
    <row r="1557" spans="1:7" ht="16.3" customHeight="1">
      <c r="A1557" s="552" t="s">
        <v>3702</v>
      </c>
      <c r="B1557" s="555" t="s">
        <v>3696</v>
      </c>
      <c r="C1557" s="554" t="s">
        <v>2988</v>
      </c>
      <c r="D1557" s="550" t="s">
        <v>2805</v>
      </c>
      <c r="E1557" s="552">
        <v>0</v>
      </c>
      <c r="F1557" s="759" t="s">
        <v>3847</v>
      </c>
      <c r="G1557" s="760"/>
    </row>
    <row r="1558" spans="1:7" ht="16.3" customHeight="1">
      <c r="A1558" s="552" t="s">
        <v>3702</v>
      </c>
      <c r="B1558" s="555" t="s">
        <v>3696</v>
      </c>
      <c r="C1558" s="554" t="s">
        <v>2989</v>
      </c>
      <c r="D1558" s="550" t="s">
        <v>2805</v>
      </c>
      <c r="E1558" s="552">
        <v>0</v>
      </c>
      <c r="F1558" s="759" t="s">
        <v>3847</v>
      </c>
      <c r="G1558" s="760"/>
    </row>
    <row r="1559" spans="1:7" ht="16.3" customHeight="1">
      <c r="A1559" s="552" t="s">
        <v>3702</v>
      </c>
      <c r="B1559" s="556" t="s">
        <v>3697</v>
      </c>
      <c r="C1559" s="554" t="s">
        <v>2990</v>
      </c>
      <c r="D1559" s="550" t="s">
        <v>2875</v>
      </c>
      <c r="E1559" s="552">
        <v>0</v>
      </c>
      <c r="F1559" s="759" t="s">
        <v>3847</v>
      </c>
      <c r="G1559" s="760"/>
    </row>
    <row r="1560" spans="1:7" ht="16.3" customHeight="1">
      <c r="A1560" s="552" t="s">
        <v>3702</v>
      </c>
      <c r="B1560" s="556" t="s">
        <v>3697</v>
      </c>
      <c r="C1560" s="554" t="s">
        <v>2991</v>
      </c>
      <c r="D1560" s="550" t="s">
        <v>2875</v>
      </c>
      <c r="E1560" s="552">
        <v>0</v>
      </c>
      <c r="F1560" s="759" t="s">
        <v>3847</v>
      </c>
      <c r="G1560" s="760"/>
    </row>
    <row r="1561" spans="1:7" ht="16.3" customHeight="1">
      <c r="A1561" s="552" t="s">
        <v>3702</v>
      </c>
      <c r="B1561" s="556" t="s">
        <v>3697</v>
      </c>
      <c r="C1561" s="554" t="s">
        <v>2992</v>
      </c>
      <c r="D1561" s="550" t="s">
        <v>2875</v>
      </c>
      <c r="E1561" s="552">
        <v>0</v>
      </c>
      <c r="F1561" s="759" t="s">
        <v>3847</v>
      </c>
      <c r="G1561" s="760"/>
    </row>
    <row r="1562" spans="1:7" ht="16.3" customHeight="1">
      <c r="A1562" s="552" t="s">
        <v>3702</v>
      </c>
      <c r="B1562" s="556" t="s">
        <v>3697</v>
      </c>
      <c r="C1562" s="554" t="s">
        <v>2993</v>
      </c>
      <c r="D1562" s="550" t="s">
        <v>2875</v>
      </c>
      <c r="E1562" s="552">
        <v>0</v>
      </c>
      <c r="F1562" s="759" t="s">
        <v>3847</v>
      </c>
      <c r="G1562" s="760"/>
    </row>
    <row r="1563" spans="1:7" ht="16.3" customHeight="1">
      <c r="A1563" s="552" t="s">
        <v>3702</v>
      </c>
      <c r="B1563" s="556" t="s">
        <v>3697</v>
      </c>
      <c r="C1563" s="554" t="s">
        <v>2994</v>
      </c>
      <c r="D1563" s="550" t="s">
        <v>2875</v>
      </c>
      <c r="E1563" s="552">
        <v>0</v>
      </c>
      <c r="F1563" s="759" t="s">
        <v>3847</v>
      </c>
      <c r="G1563" s="760"/>
    </row>
    <row r="1564" spans="1:7" ht="16.3" customHeight="1">
      <c r="A1564" s="552" t="s">
        <v>3702</v>
      </c>
      <c r="B1564" s="556" t="s">
        <v>3697</v>
      </c>
      <c r="C1564" s="554" t="s">
        <v>2995</v>
      </c>
      <c r="D1564" s="550" t="s">
        <v>2875</v>
      </c>
      <c r="E1564" s="552">
        <v>0</v>
      </c>
      <c r="F1564" s="759" t="s">
        <v>3847</v>
      </c>
      <c r="G1564" s="760"/>
    </row>
    <row r="1565" spans="1:7" ht="15.9" customHeight="1">
      <c r="A1565" s="552" t="s">
        <v>3702</v>
      </c>
      <c r="B1565" s="556" t="s">
        <v>3697</v>
      </c>
      <c r="C1565" s="554" t="s">
        <v>2996</v>
      </c>
      <c r="D1565" s="550" t="s">
        <v>2875</v>
      </c>
      <c r="E1565" s="552">
        <v>0</v>
      </c>
      <c r="F1565" s="759" t="s">
        <v>3847</v>
      </c>
      <c r="G1565" s="760"/>
    </row>
    <row r="1566" spans="1:7" ht="15.9" customHeight="1">
      <c r="A1566" s="552" t="s">
        <v>3702</v>
      </c>
      <c r="B1566" s="556" t="s">
        <v>3697</v>
      </c>
      <c r="C1566" s="554" t="s">
        <v>2783</v>
      </c>
      <c r="D1566" s="550" t="s">
        <v>2875</v>
      </c>
      <c r="E1566" s="552">
        <v>0</v>
      </c>
      <c r="F1566" s="759"/>
      <c r="G1566" s="759"/>
    </row>
    <row r="1567" spans="1:7" ht="15.9" customHeight="1">
      <c r="A1567" s="552" t="s">
        <v>3702</v>
      </c>
      <c r="B1567" s="556" t="s">
        <v>3697</v>
      </c>
      <c r="C1567" s="554" t="s">
        <v>2783</v>
      </c>
      <c r="D1567" s="550" t="s">
        <v>2875</v>
      </c>
      <c r="E1567" s="552">
        <v>0</v>
      </c>
      <c r="F1567" s="759"/>
      <c r="G1567" s="759"/>
    </row>
    <row r="1568" spans="1:7" ht="15.9" customHeight="1">
      <c r="A1568" s="552" t="s">
        <v>3702</v>
      </c>
      <c r="B1568" s="557" t="s">
        <v>3698</v>
      </c>
      <c r="C1568" s="554" t="s">
        <v>9081</v>
      </c>
      <c r="D1568" s="550" t="s">
        <v>2998</v>
      </c>
      <c r="E1568" s="552">
        <v>0</v>
      </c>
      <c r="F1568" s="759" t="s">
        <v>3847</v>
      </c>
      <c r="G1568" s="760"/>
    </row>
    <row r="1569" spans="1:7" ht="15.9" customHeight="1">
      <c r="A1569" s="552" t="s">
        <v>3702</v>
      </c>
      <c r="B1569" s="557" t="s">
        <v>3698</v>
      </c>
      <c r="C1569" s="554" t="s">
        <v>2783</v>
      </c>
      <c r="D1569" s="550" t="s">
        <v>2998</v>
      </c>
      <c r="E1569" s="552">
        <v>0</v>
      </c>
      <c r="F1569" s="759"/>
      <c r="G1569" s="759"/>
    </row>
    <row r="1570" spans="1:7" ht="15.9" customHeight="1">
      <c r="A1570" s="552" t="s">
        <v>3702</v>
      </c>
      <c r="B1570" s="557" t="s">
        <v>3698</v>
      </c>
      <c r="C1570" s="554" t="s">
        <v>9108</v>
      </c>
      <c r="D1570" s="550" t="s">
        <v>2998</v>
      </c>
      <c r="E1570" s="552">
        <v>0</v>
      </c>
      <c r="F1570" s="759" t="s">
        <v>3847</v>
      </c>
      <c r="G1570" s="760"/>
    </row>
    <row r="1571" spans="1:7" ht="15.9" customHeight="1">
      <c r="A1571" s="552" t="s">
        <v>3702</v>
      </c>
      <c r="B1571" s="557" t="s">
        <v>3698</v>
      </c>
      <c r="C1571" s="554" t="s">
        <v>3000</v>
      </c>
      <c r="D1571" s="550" t="s">
        <v>2998</v>
      </c>
      <c r="E1571" s="552">
        <v>0</v>
      </c>
      <c r="F1571" s="759" t="s">
        <v>3847</v>
      </c>
      <c r="G1571" s="760"/>
    </row>
    <row r="1572" spans="1:7" ht="15.9" customHeight="1">
      <c r="A1572" s="552" t="s">
        <v>3702</v>
      </c>
      <c r="B1572" s="557" t="s">
        <v>3698</v>
      </c>
      <c r="C1572" s="554" t="s">
        <v>3001</v>
      </c>
      <c r="D1572" s="550" t="s">
        <v>2998</v>
      </c>
      <c r="E1572" s="552">
        <v>0</v>
      </c>
      <c r="F1572" s="759" t="s">
        <v>3847</v>
      </c>
      <c r="G1572" s="760"/>
    </row>
    <row r="1573" spans="1:7" ht="15.9" customHeight="1">
      <c r="A1573" s="552" t="s">
        <v>3702</v>
      </c>
      <c r="B1573" s="557" t="s">
        <v>3698</v>
      </c>
      <c r="C1573" s="554" t="s">
        <v>3002</v>
      </c>
      <c r="D1573" s="550" t="s">
        <v>2998</v>
      </c>
      <c r="E1573" s="552">
        <v>0</v>
      </c>
      <c r="F1573" s="759" t="s">
        <v>3847</v>
      </c>
      <c r="G1573" s="760"/>
    </row>
    <row r="1574" spans="1:7" ht="15.9" customHeight="1">
      <c r="A1574" s="552" t="s">
        <v>3702</v>
      </c>
      <c r="B1574" s="557" t="s">
        <v>3698</v>
      </c>
      <c r="C1574" s="554" t="s">
        <v>3003</v>
      </c>
      <c r="D1574" s="550" t="s">
        <v>2998</v>
      </c>
      <c r="E1574" s="552">
        <v>0</v>
      </c>
      <c r="F1574" s="759" t="s">
        <v>3847</v>
      </c>
      <c r="G1574" s="760"/>
    </row>
    <row r="1575" spans="1:7" ht="15.9" customHeight="1">
      <c r="A1575" s="552" t="s">
        <v>3702</v>
      </c>
      <c r="B1575" s="557" t="s">
        <v>3698</v>
      </c>
      <c r="C1575" s="554" t="s">
        <v>3004</v>
      </c>
      <c r="D1575" s="550" t="s">
        <v>2998</v>
      </c>
      <c r="E1575" s="552">
        <v>0</v>
      </c>
      <c r="F1575" s="759" t="s">
        <v>3847</v>
      </c>
      <c r="G1575" s="760"/>
    </row>
    <row r="1576" spans="1:7" ht="15.9" customHeight="1">
      <c r="A1576" s="552" t="s">
        <v>3702</v>
      </c>
      <c r="B1576" s="564" t="s">
        <v>3699</v>
      </c>
      <c r="C1576" s="554" t="s">
        <v>3005</v>
      </c>
      <c r="D1576" s="550" t="s">
        <v>2809</v>
      </c>
      <c r="E1576" s="552">
        <v>0</v>
      </c>
      <c r="F1576" s="759" t="s">
        <v>3847</v>
      </c>
      <c r="G1576" s="760"/>
    </row>
    <row r="1577" spans="1:7" ht="15.9" customHeight="1">
      <c r="A1577" s="552" t="s">
        <v>3702</v>
      </c>
      <c r="B1577" s="564" t="s">
        <v>3699</v>
      </c>
      <c r="C1577" s="554" t="s">
        <v>3006</v>
      </c>
      <c r="D1577" s="550" t="s">
        <v>2809</v>
      </c>
      <c r="E1577" s="552">
        <v>0</v>
      </c>
      <c r="F1577" s="759" t="s">
        <v>3847</v>
      </c>
      <c r="G1577" s="760"/>
    </row>
    <row r="1578" spans="1:7" ht="15.9" customHeight="1">
      <c r="A1578" s="552" t="s">
        <v>3702</v>
      </c>
      <c r="B1578" s="564" t="s">
        <v>3699</v>
      </c>
      <c r="C1578" s="554" t="s">
        <v>3007</v>
      </c>
      <c r="D1578" s="550" t="s">
        <v>2809</v>
      </c>
      <c r="E1578" s="552">
        <v>0</v>
      </c>
      <c r="F1578" s="759" t="s">
        <v>3847</v>
      </c>
      <c r="G1578" s="760"/>
    </row>
    <row r="1579" spans="1:7" ht="15.9" customHeight="1">
      <c r="A1579" s="552" t="s">
        <v>3702</v>
      </c>
      <c r="B1579" s="564" t="s">
        <v>3699</v>
      </c>
      <c r="C1579" s="539" t="s">
        <v>2783</v>
      </c>
      <c r="D1579" s="550" t="s">
        <v>2809</v>
      </c>
      <c r="E1579" s="552">
        <v>0</v>
      </c>
      <c r="F1579" s="759"/>
      <c r="G1579" s="759"/>
    </row>
    <row r="1580" spans="1:7" ht="15.9" customHeight="1">
      <c r="A1580" s="552" t="s">
        <v>3702</v>
      </c>
      <c r="B1580" s="564" t="s">
        <v>3699</v>
      </c>
      <c r="C1580" s="554" t="s">
        <v>2783</v>
      </c>
      <c r="D1580" s="550" t="s">
        <v>2809</v>
      </c>
      <c r="E1580" s="552">
        <v>0</v>
      </c>
      <c r="F1580" s="759"/>
      <c r="G1580" s="759"/>
    </row>
    <row r="1581" spans="1:7" ht="15.9" customHeight="1">
      <c r="A1581" s="552" t="s">
        <v>3702</v>
      </c>
      <c r="B1581" s="564" t="s">
        <v>3699</v>
      </c>
      <c r="C1581" s="554" t="s">
        <v>2783</v>
      </c>
      <c r="D1581" s="550" t="s">
        <v>2809</v>
      </c>
      <c r="E1581" s="552">
        <v>0</v>
      </c>
      <c r="F1581" s="759"/>
      <c r="G1581" s="759"/>
    </row>
    <row r="1582" spans="1:7" ht="15.9" customHeight="1">
      <c r="A1582" s="552" t="s">
        <v>3702</v>
      </c>
      <c r="B1582" s="564" t="s">
        <v>3699</v>
      </c>
      <c r="C1582" s="554" t="s">
        <v>3008</v>
      </c>
      <c r="D1582" s="550" t="s">
        <v>2809</v>
      </c>
      <c r="E1582" s="552">
        <v>0</v>
      </c>
      <c r="F1582" s="759" t="s">
        <v>3847</v>
      </c>
      <c r="G1582" s="760"/>
    </row>
    <row r="1583" spans="1:7" ht="15.9" customHeight="1">
      <c r="A1583" s="552" t="s">
        <v>3702</v>
      </c>
      <c r="B1583" s="564" t="s">
        <v>3699</v>
      </c>
      <c r="C1583" s="554" t="s">
        <v>3009</v>
      </c>
      <c r="D1583" s="550" t="s">
        <v>2809</v>
      </c>
      <c r="E1583" s="552">
        <v>0</v>
      </c>
      <c r="F1583" s="759" t="s">
        <v>3847</v>
      </c>
      <c r="G1583" s="760"/>
    </row>
    <row r="1584" spans="1:7" ht="15.9" customHeight="1">
      <c r="A1584" s="552" t="s">
        <v>3702</v>
      </c>
      <c r="B1584" s="559" t="s">
        <v>3700</v>
      </c>
      <c r="C1584" s="554" t="s">
        <v>3010</v>
      </c>
      <c r="D1584" s="550" t="s">
        <v>3011</v>
      </c>
      <c r="E1584" s="552">
        <v>0</v>
      </c>
      <c r="F1584" s="759" t="s">
        <v>3847</v>
      </c>
      <c r="G1584" s="760"/>
    </row>
    <row r="1585" spans="1:7" ht="15.9" customHeight="1">
      <c r="A1585" s="552" t="s">
        <v>3702</v>
      </c>
      <c r="B1585" s="540" t="s">
        <v>3695</v>
      </c>
      <c r="C1585" s="554" t="s">
        <v>3013</v>
      </c>
      <c r="D1585" s="550" t="s">
        <v>3014</v>
      </c>
      <c r="E1585" s="552">
        <v>0</v>
      </c>
      <c r="F1585" s="759" t="s">
        <v>8889</v>
      </c>
      <c r="G1585" s="760"/>
    </row>
    <row r="1586" spans="1:7" ht="15.9" customHeight="1">
      <c r="A1586" s="552" t="s">
        <v>3702</v>
      </c>
      <c r="B1586" s="540" t="s">
        <v>3695</v>
      </c>
      <c r="C1586" s="554" t="s">
        <v>3015</v>
      </c>
      <c r="D1586" s="550" t="s">
        <v>3014</v>
      </c>
      <c r="E1586" s="552">
        <v>0</v>
      </c>
      <c r="F1586" s="759" t="s">
        <v>8889</v>
      </c>
      <c r="G1586" s="760"/>
    </row>
    <row r="1587" spans="1:7" ht="15.9" customHeight="1">
      <c r="A1587" s="552" t="s">
        <v>3702</v>
      </c>
      <c r="B1587" s="555" t="s">
        <v>3696</v>
      </c>
      <c r="C1587" s="554" t="s">
        <v>3016</v>
      </c>
      <c r="D1587" s="550" t="s">
        <v>3017</v>
      </c>
      <c r="E1587" s="552">
        <v>0</v>
      </c>
      <c r="F1587" s="759" t="s">
        <v>8889</v>
      </c>
      <c r="G1587" s="760"/>
    </row>
    <row r="1588" spans="1:7" ht="15.9" customHeight="1">
      <c r="A1588" s="552" t="s">
        <v>3702</v>
      </c>
      <c r="B1588" s="555" t="s">
        <v>3696</v>
      </c>
      <c r="C1588" s="554" t="s">
        <v>3018</v>
      </c>
      <c r="D1588" s="550" t="s">
        <v>3017</v>
      </c>
      <c r="E1588" s="552">
        <v>0</v>
      </c>
      <c r="F1588" s="759" t="s">
        <v>8889</v>
      </c>
      <c r="G1588" s="760"/>
    </row>
    <row r="1589" spans="1:7" ht="15.9" customHeight="1">
      <c r="A1589" s="552" t="s">
        <v>3702</v>
      </c>
      <c r="B1589" s="556" t="s">
        <v>3697</v>
      </c>
      <c r="C1589" s="554" t="s">
        <v>3019</v>
      </c>
      <c r="D1589" s="550" t="s">
        <v>3020</v>
      </c>
      <c r="E1589" s="552">
        <v>0</v>
      </c>
      <c r="F1589" s="759" t="s">
        <v>8889</v>
      </c>
      <c r="G1589" s="760"/>
    </row>
    <row r="1590" spans="1:7" ht="15.9" customHeight="1">
      <c r="A1590" s="552" t="s">
        <v>3702</v>
      </c>
      <c r="B1590" s="556" t="s">
        <v>3697</v>
      </c>
      <c r="C1590" s="554" t="s">
        <v>3021</v>
      </c>
      <c r="D1590" s="550" t="s">
        <v>3020</v>
      </c>
      <c r="E1590" s="552">
        <v>0</v>
      </c>
      <c r="F1590" s="759" t="s">
        <v>8889</v>
      </c>
      <c r="G1590" s="760"/>
    </row>
    <row r="1591" spans="1:7" ht="15.9" customHeight="1">
      <c r="A1591" s="552" t="s">
        <v>3702</v>
      </c>
      <c r="B1591" s="557" t="s">
        <v>3698</v>
      </c>
      <c r="C1591" s="554" t="s">
        <v>3022</v>
      </c>
      <c r="D1591" s="550" t="s">
        <v>2809</v>
      </c>
      <c r="E1591" s="552">
        <v>0</v>
      </c>
      <c r="F1591" s="759" t="s">
        <v>8889</v>
      </c>
      <c r="G1591" s="760"/>
    </row>
    <row r="1592" spans="1:7" ht="15.9" customHeight="1">
      <c r="A1592" s="552" t="s">
        <v>3702</v>
      </c>
      <c r="B1592" s="557" t="s">
        <v>3698</v>
      </c>
      <c r="C1592" s="554" t="s">
        <v>3023</v>
      </c>
      <c r="D1592" s="550" t="s">
        <v>2809</v>
      </c>
      <c r="E1592" s="552">
        <v>0</v>
      </c>
      <c r="F1592" s="759" t="s">
        <v>8889</v>
      </c>
      <c r="G1592" s="760"/>
    </row>
    <row r="1593" spans="1:7" ht="15.9" customHeight="1">
      <c r="A1593" s="552" t="s">
        <v>3702</v>
      </c>
      <c r="B1593" s="564" t="s">
        <v>3699</v>
      </c>
      <c r="C1593" s="554" t="s">
        <v>3024</v>
      </c>
      <c r="D1593" s="550" t="s">
        <v>3011</v>
      </c>
      <c r="E1593" s="552">
        <v>0</v>
      </c>
      <c r="F1593" s="759" t="s">
        <v>8889</v>
      </c>
      <c r="G1593" s="760"/>
    </row>
    <row r="1594" spans="1:7" ht="15.9" customHeight="1">
      <c r="A1594" s="552" t="s">
        <v>3702</v>
      </c>
      <c r="B1594" s="564" t="s">
        <v>3699</v>
      </c>
      <c r="C1594" s="554" t="s">
        <v>3025</v>
      </c>
      <c r="D1594" s="550" t="s">
        <v>3011</v>
      </c>
      <c r="E1594" s="552">
        <v>0</v>
      </c>
      <c r="F1594" s="759" t="s">
        <v>8889</v>
      </c>
      <c r="G1594" s="760"/>
    </row>
    <row r="1595" spans="1:7" ht="15.9" customHeight="1">
      <c r="A1595" s="552" t="s">
        <v>3702</v>
      </c>
      <c r="B1595" s="559" t="s">
        <v>3700</v>
      </c>
      <c r="C1595" s="554" t="s">
        <v>3026</v>
      </c>
      <c r="D1595" s="550" t="s">
        <v>3027</v>
      </c>
      <c r="E1595" s="552">
        <v>0</v>
      </c>
      <c r="F1595" s="759" t="s">
        <v>8889</v>
      </c>
      <c r="G1595" s="760"/>
    </row>
    <row r="1596" spans="1:7" ht="15.9" customHeight="1">
      <c r="A1596" s="552" t="s">
        <v>3702</v>
      </c>
      <c r="B1596" s="559" t="s">
        <v>3700</v>
      </c>
      <c r="C1596" s="554" t="s">
        <v>3028</v>
      </c>
      <c r="D1596" s="550" t="s">
        <v>3027</v>
      </c>
      <c r="E1596" s="552">
        <v>0</v>
      </c>
      <c r="F1596" s="759" t="s">
        <v>8889</v>
      </c>
      <c r="G1596" s="760"/>
    </row>
    <row r="1597" spans="1:7" ht="15.9" customHeight="1">
      <c r="A1597" s="552" t="s">
        <v>3702</v>
      </c>
      <c r="B1597" s="553" t="s">
        <v>2781</v>
      </c>
      <c r="C1597" s="645" t="s">
        <v>3031</v>
      </c>
      <c r="D1597" s="550" t="s">
        <v>2802</v>
      </c>
      <c r="E1597" s="552">
        <v>0</v>
      </c>
      <c r="F1597" s="759" t="s">
        <v>8890</v>
      </c>
      <c r="G1597" s="760"/>
    </row>
    <row r="1598" spans="1:7" ht="15.9" customHeight="1">
      <c r="A1598" s="552" t="s">
        <v>3702</v>
      </c>
      <c r="B1598" s="553" t="s">
        <v>2781</v>
      </c>
      <c r="C1598" s="646" t="s">
        <v>3032</v>
      </c>
      <c r="D1598" s="550" t="s">
        <v>2802</v>
      </c>
      <c r="E1598" s="552">
        <v>0</v>
      </c>
      <c r="F1598" s="759" t="s">
        <v>8890</v>
      </c>
      <c r="G1598" s="760"/>
    </row>
    <row r="1599" spans="1:7" ht="15.9" customHeight="1">
      <c r="A1599" s="552" t="s">
        <v>3702</v>
      </c>
      <c r="B1599" s="553" t="s">
        <v>2781</v>
      </c>
      <c r="C1599" s="646" t="s">
        <v>3033</v>
      </c>
      <c r="D1599" s="550" t="s">
        <v>2802</v>
      </c>
      <c r="E1599" s="552">
        <v>0</v>
      </c>
      <c r="F1599" s="759" t="s">
        <v>8890</v>
      </c>
      <c r="G1599" s="760"/>
    </row>
    <row r="1600" spans="1:7" ht="15.9" customHeight="1">
      <c r="A1600" s="552" t="s">
        <v>3702</v>
      </c>
      <c r="B1600" s="553" t="s">
        <v>2781</v>
      </c>
      <c r="C1600" s="646" t="s">
        <v>3034</v>
      </c>
      <c r="D1600" s="550" t="s">
        <v>2802</v>
      </c>
      <c r="E1600" s="552">
        <v>0</v>
      </c>
      <c r="F1600" s="759" t="s">
        <v>8890</v>
      </c>
      <c r="G1600" s="760"/>
    </row>
    <row r="1601" spans="1:7" ht="15.9" customHeight="1">
      <c r="A1601" s="552" t="s">
        <v>3702</v>
      </c>
      <c r="B1601" s="553" t="s">
        <v>2781</v>
      </c>
      <c r="C1601" s="646" t="s">
        <v>3035</v>
      </c>
      <c r="D1601" s="550" t="s">
        <v>2802</v>
      </c>
      <c r="E1601" s="552">
        <v>0</v>
      </c>
      <c r="F1601" s="759" t="s">
        <v>8890</v>
      </c>
      <c r="G1601" s="761"/>
    </row>
    <row r="1602" spans="1:7" ht="15.9" customHeight="1">
      <c r="A1602" s="552" t="s">
        <v>3702</v>
      </c>
      <c r="B1602" s="553" t="s">
        <v>2781</v>
      </c>
      <c r="C1602" s="646" t="s">
        <v>3036</v>
      </c>
      <c r="D1602" s="550" t="s">
        <v>2802</v>
      </c>
      <c r="E1602" s="552">
        <v>0</v>
      </c>
      <c r="F1602" s="759" t="s">
        <v>8890</v>
      </c>
      <c r="G1602" s="761"/>
    </row>
    <row r="1603" spans="1:7" ht="15.9" customHeight="1">
      <c r="A1603" s="552" t="s">
        <v>3702</v>
      </c>
      <c r="B1603" s="553" t="s">
        <v>2781</v>
      </c>
      <c r="C1603" s="646" t="s">
        <v>3037</v>
      </c>
      <c r="D1603" s="550" t="s">
        <v>2802</v>
      </c>
      <c r="E1603" s="552">
        <v>0</v>
      </c>
      <c r="F1603" s="759" t="s">
        <v>8890</v>
      </c>
      <c r="G1603" s="760"/>
    </row>
    <row r="1604" spans="1:7" ht="15.9" customHeight="1">
      <c r="A1604" s="552" t="s">
        <v>3702</v>
      </c>
      <c r="B1604" s="553" t="s">
        <v>2781</v>
      </c>
      <c r="C1604" s="646" t="s">
        <v>3038</v>
      </c>
      <c r="D1604" s="550" t="s">
        <v>2802</v>
      </c>
      <c r="E1604" s="552">
        <v>0</v>
      </c>
      <c r="F1604" s="759" t="s">
        <v>8890</v>
      </c>
      <c r="G1604" s="760"/>
    </row>
    <row r="1605" spans="1:7" ht="15.9" customHeight="1">
      <c r="A1605" s="552" t="s">
        <v>3702</v>
      </c>
      <c r="B1605" s="553" t="s">
        <v>2781</v>
      </c>
      <c r="C1605" s="646" t="s">
        <v>3039</v>
      </c>
      <c r="D1605" s="550" t="s">
        <v>2802</v>
      </c>
      <c r="E1605" s="552">
        <v>0</v>
      </c>
      <c r="F1605" s="759" t="s">
        <v>8890</v>
      </c>
      <c r="G1605" s="760"/>
    </row>
    <row r="1606" spans="1:7" ht="15.9" customHeight="1">
      <c r="A1606" s="552" t="s">
        <v>3702</v>
      </c>
      <c r="B1606" s="553" t="s">
        <v>2781</v>
      </c>
      <c r="C1606" s="646" t="s">
        <v>3040</v>
      </c>
      <c r="D1606" s="550" t="s">
        <v>2802</v>
      </c>
      <c r="E1606" s="552">
        <v>0</v>
      </c>
      <c r="F1606" s="759" t="s">
        <v>8890</v>
      </c>
      <c r="G1606" s="760"/>
    </row>
    <row r="1607" spans="1:7" ht="15.9" customHeight="1">
      <c r="A1607" s="552" t="s">
        <v>3702</v>
      </c>
      <c r="B1607" s="553" t="s">
        <v>2781</v>
      </c>
      <c r="C1607" s="646" t="s">
        <v>3041</v>
      </c>
      <c r="D1607" s="550" t="s">
        <v>2802</v>
      </c>
      <c r="E1607" s="552">
        <v>0</v>
      </c>
      <c r="F1607" s="759" t="s">
        <v>8890</v>
      </c>
      <c r="G1607" s="761"/>
    </row>
    <row r="1608" spans="1:7" ht="15.9" customHeight="1">
      <c r="A1608" s="552" t="s">
        <v>3702</v>
      </c>
      <c r="B1608" s="553" t="s">
        <v>2781</v>
      </c>
      <c r="C1608" s="646" t="s">
        <v>3042</v>
      </c>
      <c r="D1608" s="550" t="s">
        <v>2802</v>
      </c>
      <c r="E1608" s="552">
        <v>0</v>
      </c>
      <c r="F1608" s="759" t="s">
        <v>8890</v>
      </c>
      <c r="G1608" s="760"/>
    </row>
    <row r="1609" spans="1:7" ht="15.9" customHeight="1">
      <c r="A1609" s="552" t="s">
        <v>3702</v>
      </c>
      <c r="B1609" s="555" t="s">
        <v>2782</v>
      </c>
      <c r="C1609" s="555" t="s">
        <v>9109</v>
      </c>
      <c r="D1609" s="550" t="s">
        <v>2805</v>
      </c>
      <c r="E1609" s="552">
        <v>0</v>
      </c>
      <c r="F1609" s="759" t="s">
        <v>8890</v>
      </c>
      <c r="G1609" s="760"/>
    </row>
    <row r="1610" spans="1:7" ht="15.9" customHeight="1">
      <c r="A1610" s="552" t="s">
        <v>3702</v>
      </c>
      <c r="B1610" s="555" t="s">
        <v>2782</v>
      </c>
      <c r="C1610" s="555" t="s">
        <v>3634</v>
      </c>
      <c r="D1610" s="550" t="s">
        <v>2805</v>
      </c>
      <c r="E1610" s="552">
        <v>0</v>
      </c>
      <c r="F1610" s="759" t="s">
        <v>8890</v>
      </c>
      <c r="G1610" s="760"/>
    </row>
    <row r="1611" spans="1:7" ht="15.9" customHeight="1">
      <c r="A1611" s="552" t="s">
        <v>3702</v>
      </c>
      <c r="B1611" s="555" t="s">
        <v>2782</v>
      </c>
      <c r="C1611" s="555" t="s">
        <v>3635</v>
      </c>
      <c r="D1611" s="550" t="s">
        <v>2805</v>
      </c>
      <c r="E1611" s="552">
        <v>0</v>
      </c>
      <c r="F1611" s="759" t="s">
        <v>8890</v>
      </c>
      <c r="G1611" s="760"/>
    </row>
    <row r="1612" spans="1:7" ht="15.9" customHeight="1">
      <c r="A1612" s="552" t="s">
        <v>3702</v>
      </c>
      <c r="B1612" s="555" t="s">
        <v>2782</v>
      </c>
      <c r="C1612" s="555" t="s">
        <v>3636</v>
      </c>
      <c r="D1612" s="550" t="s">
        <v>2805</v>
      </c>
      <c r="E1612" s="552">
        <v>0</v>
      </c>
      <c r="F1612" s="759" t="s">
        <v>8890</v>
      </c>
      <c r="G1612" s="760"/>
    </row>
    <row r="1613" spans="1:7" ht="15.9" customHeight="1">
      <c r="A1613" s="552" t="s">
        <v>3702</v>
      </c>
      <c r="B1613" s="555" t="s">
        <v>2782</v>
      </c>
      <c r="C1613" s="555" t="s">
        <v>3637</v>
      </c>
      <c r="D1613" s="550" t="s">
        <v>2805</v>
      </c>
      <c r="E1613" s="552">
        <v>0</v>
      </c>
      <c r="F1613" s="759" t="s">
        <v>8890</v>
      </c>
      <c r="G1613" s="760"/>
    </row>
    <row r="1614" spans="1:7" ht="15.9" customHeight="1">
      <c r="A1614" s="552" t="s">
        <v>3702</v>
      </c>
      <c r="B1614" s="555" t="s">
        <v>2782</v>
      </c>
      <c r="C1614" s="555" t="s">
        <v>3638</v>
      </c>
      <c r="D1614" s="550" t="s">
        <v>2805</v>
      </c>
      <c r="E1614" s="552">
        <v>0</v>
      </c>
      <c r="F1614" s="759" t="s">
        <v>8890</v>
      </c>
      <c r="G1614" s="760"/>
    </row>
    <row r="1615" spans="1:7" ht="15.9" customHeight="1">
      <c r="A1615" s="552" t="s">
        <v>3702</v>
      </c>
      <c r="B1615" s="555" t="s">
        <v>2782</v>
      </c>
      <c r="C1615" s="555" t="s">
        <v>3639</v>
      </c>
      <c r="D1615" s="550" t="s">
        <v>2805</v>
      </c>
      <c r="E1615" s="552">
        <v>0</v>
      </c>
      <c r="F1615" s="759" t="s">
        <v>8890</v>
      </c>
      <c r="G1615" s="760"/>
    </row>
    <row r="1616" spans="1:7" ht="15.9" customHeight="1">
      <c r="A1616" s="552" t="s">
        <v>3702</v>
      </c>
      <c r="B1616" s="555" t="s">
        <v>2782</v>
      </c>
      <c r="C1616" s="555" t="s">
        <v>3640</v>
      </c>
      <c r="D1616" s="550" t="s">
        <v>2805</v>
      </c>
      <c r="E1616" s="552">
        <v>0</v>
      </c>
      <c r="F1616" s="759" t="s">
        <v>8890</v>
      </c>
      <c r="G1616" s="761"/>
    </row>
    <row r="1617" spans="1:7" ht="15.9" customHeight="1">
      <c r="A1617" s="552" t="s">
        <v>3702</v>
      </c>
      <c r="B1617" s="555" t="s">
        <v>2782</v>
      </c>
      <c r="C1617" s="555" t="s">
        <v>3642</v>
      </c>
      <c r="D1617" s="550" t="s">
        <v>2805</v>
      </c>
      <c r="E1617" s="552">
        <v>0</v>
      </c>
      <c r="F1617" s="759" t="s">
        <v>8890</v>
      </c>
      <c r="G1617" s="760"/>
    </row>
    <row r="1618" spans="1:7" ht="15.9" customHeight="1">
      <c r="A1618" s="552" t="s">
        <v>3702</v>
      </c>
      <c r="B1618" s="555" t="s">
        <v>2782</v>
      </c>
      <c r="C1618" s="555" t="s">
        <v>3643</v>
      </c>
      <c r="D1618" s="550" t="s">
        <v>2805</v>
      </c>
      <c r="E1618" s="552">
        <v>0</v>
      </c>
      <c r="F1618" s="759" t="s">
        <v>8890</v>
      </c>
      <c r="G1618" s="760"/>
    </row>
    <row r="1619" spans="1:7" ht="15.9" customHeight="1">
      <c r="A1619" s="552" t="s">
        <v>3702</v>
      </c>
      <c r="B1619" s="555" t="s">
        <v>2782</v>
      </c>
      <c r="C1619" s="555" t="s">
        <v>3644</v>
      </c>
      <c r="D1619" s="550" t="s">
        <v>2805</v>
      </c>
      <c r="E1619" s="552">
        <v>0</v>
      </c>
      <c r="F1619" s="759" t="s">
        <v>8890</v>
      </c>
      <c r="G1619" s="760"/>
    </row>
    <row r="1620" spans="1:7" ht="15.9" customHeight="1">
      <c r="A1620" s="552" t="s">
        <v>3702</v>
      </c>
      <c r="B1620" s="555" t="s">
        <v>2782</v>
      </c>
      <c r="C1620" s="555" t="s">
        <v>3645</v>
      </c>
      <c r="D1620" s="550" t="s">
        <v>2805</v>
      </c>
      <c r="E1620" s="552">
        <v>0</v>
      </c>
      <c r="F1620" s="759" t="s">
        <v>8890</v>
      </c>
      <c r="G1620" s="760"/>
    </row>
    <row r="1621" spans="1:7" ht="15.9" customHeight="1">
      <c r="A1621" s="552" t="s">
        <v>3702</v>
      </c>
      <c r="B1621" s="555" t="s">
        <v>2782</v>
      </c>
      <c r="C1621" s="555" t="s">
        <v>3646</v>
      </c>
      <c r="D1621" s="550" t="s">
        <v>2805</v>
      </c>
      <c r="E1621" s="552">
        <v>0</v>
      </c>
      <c r="F1621" s="759" t="s">
        <v>8890</v>
      </c>
      <c r="G1621" s="760"/>
    </row>
    <row r="1622" spans="1:7" ht="15.9" customHeight="1">
      <c r="A1622" s="552" t="s">
        <v>3702</v>
      </c>
      <c r="B1622" s="555" t="s">
        <v>2782</v>
      </c>
      <c r="C1622" s="555" t="s">
        <v>3647</v>
      </c>
      <c r="D1622" s="550" t="s">
        <v>2805</v>
      </c>
      <c r="E1622" s="552">
        <v>0</v>
      </c>
      <c r="F1622" s="759" t="s">
        <v>8890</v>
      </c>
      <c r="G1622" s="760"/>
    </row>
    <row r="1623" spans="1:7" ht="15.9" customHeight="1">
      <c r="A1623" s="552" t="s">
        <v>3702</v>
      </c>
      <c r="B1623" s="555" t="s">
        <v>2782</v>
      </c>
      <c r="C1623" s="555" t="s">
        <v>9082</v>
      </c>
      <c r="D1623" s="550" t="s">
        <v>2805</v>
      </c>
      <c r="E1623" s="552">
        <v>0</v>
      </c>
      <c r="F1623" s="759" t="s">
        <v>8890</v>
      </c>
      <c r="G1623" s="760"/>
    </row>
    <row r="1624" spans="1:7" ht="15.9" customHeight="1">
      <c r="A1624" s="552" t="s">
        <v>3702</v>
      </c>
      <c r="B1624" s="555" t="s">
        <v>2782</v>
      </c>
      <c r="C1624" s="555" t="s">
        <v>3649</v>
      </c>
      <c r="D1624" s="550" t="s">
        <v>2805</v>
      </c>
      <c r="E1624" s="552">
        <v>0</v>
      </c>
      <c r="F1624" s="759" t="s">
        <v>8890</v>
      </c>
      <c r="G1624" s="760"/>
    </row>
    <row r="1625" spans="1:7" ht="15.9" customHeight="1">
      <c r="A1625" s="552" t="s">
        <v>3702</v>
      </c>
      <c r="B1625" s="555" t="s">
        <v>2782</v>
      </c>
      <c r="C1625" s="555" t="s">
        <v>3650</v>
      </c>
      <c r="D1625" s="550" t="s">
        <v>2805</v>
      </c>
      <c r="E1625" s="552">
        <v>0</v>
      </c>
      <c r="F1625" s="759" t="s">
        <v>8890</v>
      </c>
      <c r="G1625" s="760"/>
    </row>
    <row r="1626" spans="1:7" ht="15.9" customHeight="1">
      <c r="A1626" s="552" t="s">
        <v>3702</v>
      </c>
      <c r="B1626" s="555" t="s">
        <v>2782</v>
      </c>
      <c r="C1626" s="555" t="s">
        <v>3651</v>
      </c>
      <c r="D1626" s="550" t="s">
        <v>2805</v>
      </c>
      <c r="E1626" s="552">
        <v>0</v>
      </c>
      <c r="F1626" s="759" t="s">
        <v>8890</v>
      </c>
      <c r="G1626" s="761"/>
    </row>
    <row r="1627" spans="1:7" ht="15.9" customHeight="1">
      <c r="A1627" s="552" t="s">
        <v>3702</v>
      </c>
      <c r="B1627" s="555" t="s">
        <v>2782</v>
      </c>
      <c r="C1627" s="555" t="s">
        <v>3652</v>
      </c>
      <c r="D1627" s="550" t="s">
        <v>2805</v>
      </c>
      <c r="E1627" s="552">
        <v>0</v>
      </c>
      <c r="F1627" s="759" t="s">
        <v>8890</v>
      </c>
      <c r="G1627" s="760"/>
    </row>
    <row r="1628" spans="1:7" ht="15.9" customHeight="1">
      <c r="A1628" s="552" t="s">
        <v>3702</v>
      </c>
      <c r="B1628" s="555" t="s">
        <v>2782</v>
      </c>
      <c r="C1628" s="555" t="s">
        <v>3653</v>
      </c>
      <c r="D1628" s="550" t="s">
        <v>2805</v>
      </c>
      <c r="E1628" s="552">
        <v>0</v>
      </c>
      <c r="F1628" s="759" t="s">
        <v>8890</v>
      </c>
      <c r="G1628" s="761"/>
    </row>
    <row r="1629" spans="1:7" ht="15.9" customHeight="1">
      <c r="A1629" s="552" t="s">
        <v>3702</v>
      </c>
      <c r="B1629" s="555" t="s">
        <v>2782</v>
      </c>
      <c r="C1629" s="555" t="s">
        <v>3654</v>
      </c>
      <c r="D1629" s="550" t="s">
        <v>2805</v>
      </c>
      <c r="E1629" s="552">
        <v>0</v>
      </c>
      <c r="F1629" s="759" t="s">
        <v>8890</v>
      </c>
      <c r="G1629" s="760"/>
    </row>
    <row r="1630" spans="1:7" ht="15.9" customHeight="1">
      <c r="A1630" s="552" t="s">
        <v>3702</v>
      </c>
      <c r="B1630" s="555" t="s">
        <v>2782</v>
      </c>
      <c r="C1630" s="555" t="s">
        <v>3655</v>
      </c>
      <c r="D1630" s="550" t="s">
        <v>2805</v>
      </c>
      <c r="E1630" s="552">
        <v>0</v>
      </c>
      <c r="F1630" s="759" t="s">
        <v>8890</v>
      </c>
      <c r="G1630" s="760"/>
    </row>
    <row r="1631" spans="1:7" ht="15.9" customHeight="1">
      <c r="A1631" s="552" t="s">
        <v>3702</v>
      </c>
      <c r="B1631" s="555" t="s">
        <v>2782</v>
      </c>
      <c r="C1631" s="555" t="s">
        <v>3656</v>
      </c>
      <c r="D1631" s="550" t="s">
        <v>2805</v>
      </c>
      <c r="E1631" s="552">
        <v>0</v>
      </c>
      <c r="F1631" s="759" t="s">
        <v>8890</v>
      </c>
      <c r="G1631" s="760"/>
    </row>
    <row r="1632" spans="1:7" ht="15.9" customHeight="1">
      <c r="A1632" s="552" t="s">
        <v>3702</v>
      </c>
      <c r="B1632" s="555" t="s">
        <v>2782</v>
      </c>
      <c r="C1632" s="555" t="s">
        <v>3657</v>
      </c>
      <c r="D1632" s="550" t="s">
        <v>2805</v>
      </c>
      <c r="E1632" s="552">
        <v>0</v>
      </c>
      <c r="F1632" s="759" t="s">
        <v>8890</v>
      </c>
      <c r="G1632" s="760"/>
    </row>
    <row r="1633" spans="1:7" ht="15.9" customHeight="1">
      <c r="A1633" s="552" t="s">
        <v>3702</v>
      </c>
      <c r="B1633" s="555" t="s">
        <v>2782</v>
      </c>
      <c r="C1633" s="555" t="s">
        <v>3658</v>
      </c>
      <c r="D1633" s="550" t="s">
        <v>2805</v>
      </c>
      <c r="E1633" s="552">
        <v>0</v>
      </c>
      <c r="F1633" s="759" t="s">
        <v>8890</v>
      </c>
      <c r="G1633" s="760"/>
    </row>
    <row r="1634" spans="1:7" ht="15.9" customHeight="1">
      <c r="A1634" s="552" t="s">
        <v>3702</v>
      </c>
      <c r="B1634" s="555" t="s">
        <v>2782</v>
      </c>
      <c r="C1634" s="555" t="s">
        <v>3659</v>
      </c>
      <c r="D1634" s="550" t="s">
        <v>2805</v>
      </c>
      <c r="E1634" s="552">
        <v>0</v>
      </c>
      <c r="F1634" s="759" t="s">
        <v>8890</v>
      </c>
      <c r="G1634" s="761"/>
    </row>
    <row r="1635" spans="1:7" ht="15.9" customHeight="1">
      <c r="A1635" s="552" t="s">
        <v>3702</v>
      </c>
      <c r="B1635" s="555" t="s">
        <v>2782</v>
      </c>
      <c r="C1635" s="555" t="s">
        <v>3660</v>
      </c>
      <c r="D1635" s="550" t="s">
        <v>2805</v>
      </c>
      <c r="E1635" s="552">
        <v>0</v>
      </c>
      <c r="F1635" s="759" t="s">
        <v>8890</v>
      </c>
      <c r="G1635" s="761"/>
    </row>
    <row r="1636" spans="1:7" ht="15.9" customHeight="1">
      <c r="A1636" s="552" t="s">
        <v>3702</v>
      </c>
      <c r="B1636" s="555" t="s">
        <v>2782</v>
      </c>
      <c r="C1636" s="555" t="s">
        <v>3661</v>
      </c>
      <c r="D1636" s="550" t="s">
        <v>2805</v>
      </c>
      <c r="E1636" s="552">
        <v>0</v>
      </c>
      <c r="F1636" s="759" t="s">
        <v>8890</v>
      </c>
      <c r="G1636" s="761"/>
    </row>
    <row r="1637" spans="1:7" ht="15.9" customHeight="1">
      <c r="A1637" s="552" t="s">
        <v>3702</v>
      </c>
      <c r="B1637" s="555" t="s">
        <v>2782</v>
      </c>
      <c r="C1637" s="555" t="s">
        <v>3662</v>
      </c>
      <c r="D1637" s="550" t="s">
        <v>2805</v>
      </c>
      <c r="E1637" s="552">
        <v>0</v>
      </c>
      <c r="F1637" s="759" t="s">
        <v>8890</v>
      </c>
      <c r="G1637" s="761"/>
    </row>
    <row r="1638" spans="1:7" ht="15.9" customHeight="1">
      <c r="A1638" s="552" t="s">
        <v>3702</v>
      </c>
      <c r="B1638" s="555" t="s">
        <v>2782</v>
      </c>
      <c r="C1638" s="555" t="s">
        <v>3663</v>
      </c>
      <c r="D1638" s="550" t="s">
        <v>2805</v>
      </c>
      <c r="E1638" s="552">
        <v>0</v>
      </c>
      <c r="F1638" s="759" t="s">
        <v>8890</v>
      </c>
      <c r="G1638" s="760"/>
    </row>
    <row r="1639" spans="1:7" ht="15.9" customHeight="1">
      <c r="A1639" s="552" t="s">
        <v>3702</v>
      </c>
      <c r="B1639" s="555" t="s">
        <v>2782</v>
      </c>
      <c r="C1639" s="555" t="s">
        <v>3664</v>
      </c>
      <c r="D1639" s="550" t="s">
        <v>2805</v>
      </c>
      <c r="E1639" s="552">
        <v>0</v>
      </c>
      <c r="F1639" s="759" t="s">
        <v>8890</v>
      </c>
      <c r="G1639" s="760"/>
    </row>
    <row r="1640" spans="1:7" ht="15.9" customHeight="1">
      <c r="A1640" s="552" t="s">
        <v>3702</v>
      </c>
      <c r="B1640" s="555" t="s">
        <v>2782</v>
      </c>
      <c r="C1640" s="555" t="s">
        <v>3665</v>
      </c>
      <c r="D1640" s="550" t="s">
        <v>2805</v>
      </c>
      <c r="E1640" s="552">
        <v>0</v>
      </c>
      <c r="F1640" s="759" t="s">
        <v>8890</v>
      </c>
      <c r="G1640" s="761"/>
    </row>
    <row r="1641" spans="1:7" ht="15.9" customHeight="1">
      <c r="A1641" s="552" t="s">
        <v>3702</v>
      </c>
      <c r="B1641" s="555" t="s">
        <v>2782</v>
      </c>
      <c r="C1641" s="555" t="s">
        <v>3666</v>
      </c>
      <c r="D1641" s="550" t="s">
        <v>2805</v>
      </c>
      <c r="E1641" s="552">
        <v>0</v>
      </c>
      <c r="F1641" s="759" t="s">
        <v>8890</v>
      </c>
      <c r="G1641" s="760"/>
    </row>
    <row r="1642" spans="1:7" ht="15.9" customHeight="1">
      <c r="A1642" s="552" t="s">
        <v>3702</v>
      </c>
      <c r="B1642" s="555" t="s">
        <v>2782</v>
      </c>
      <c r="C1642" s="555" t="s">
        <v>3667</v>
      </c>
      <c r="D1642" s="550" t="s">
        <v>2805</v>
      </c>
      <c r="E1642" s="552">
        <v>0</v>
      </c>
      <c r="F1642" s="759" t="s">
        <v>8890</v>
      </c>
      <c r="G1642" s="760"/>
    </row>
    <row r="1643" spans="1:7" ht="15.9" customHeight="1">
      <c r="A1643" s="552" t="s">
        <v>3702</v>
      </c>
      <c r="B1643" s="555" t="s">
        <v>2782</v>
      </c>
      <c r="C1643" s="555" t="s">
        <v>3668</v>
      </c>
      <c r="D1643" s="550" t="s">
        <v>2805</v>
      </c>
      <c r="E1643" s="552">
        <v>0</v>
      </c>
      <c r="F1643" s="759" t="s">
        <v>8890</v>
      </c>
      <c r="G1643" s="760"/>
    </row>
    <row r="1644" spans="1:7" ht="15.9" customHeight="1">
      <c r="A1644" s="552" t="s">
        <v>3702</v>
      </c>
      <c r="B1644" s="555" t="s">
        <v>2782</v>
      </c>
      <c r="C1644" s="555" t="s">
        <v>3669</v>
      </c>
      <c r="D1644" s="550" t="s">
        <v>2805</v>
      </c>
      <c r="E1644" s="552">
        <v>0</v>
      </c>
      <c r="F1644" s="759" t="s">
        <v>8890</v>
      </c>
      <c r="G1644" s="760"/>
    </row>
    <row r="1645" spans="1:7" ht="15.9" customHeight="1">
      <c r="A1645" s="552" t="s">
        <v>3702</v>
      </c>
      <c r="B1645" s="555" t="s">
        <v>2782</v>
      </c>
      <c r="C1645" s="555" t="s">
        <v>3670</v>
      </c>
      <c r="D1645" s="550" t="s">
        <v>2805</v>
      </c>
      <c r="E1645" s="552">
        <v>0</v>
      </c>
      <c r="F1645" s="759" t="s">
        <v>8890</v>
      </c>
      <c r="G1645" s="761"/>
    </row>
    <row r="1646" spans="1:7" ht="15.9" customHeight="1">
      <c r="A1646" s="552" t="s">
        <v>3702</v>
      </c>
      <c r="B1646" s="555" t="s">
        <v>2782</v>
      </c>
      <c r="C1646" s="555" t="s">
        <v>3671</v>
      </c>
      <c r="D1646" s="550" t="s">
        <v>2805</v>
      </c>
      <c r="E1646" s="552">
        <v>0</v>
      </c>
      <c r="F1646" s="759" t="s">
        <v>8890</v>
      </c>
      <c r="G1646" s="760"/>
    </row>
    <row r="1647" spans="1:7" ht="15.9" customHeight="1">
      <c r="A1647" s="552" t="s">
        <v>3702</v>
      </c>
      <c r="B1647" s="555" t="s">
        <v>2782</v>
      </c>
      <c r="C1647" s="555" t="s">
        <v>3672</v>
      </c>
      <c r="D1647" s="550" t="s">
        <v>2805</v>
      </c>
      <c r="E1647" s="552">
        <v>0</v>
      </c>
      <c r="F1647" s="759" t="s">
        <v>8890</v>
      </c>
      <c r="G1647" s="760"/>
    </row>
    <row r="1648" spans="1:7" ht="15.9" customHeight="1">
      <c r="A1648" s="552" t="s">
        <v>3702</v>
      </c>
      <c r="B1648" s="555" t="s">
        <v>2782</v>
      </c>
      <c r="C1648" s="555" t="s">
        <v>5785</v>
      </c>
      <c r="D1648" s="550" t="s">
        <v>2805</v>
      </c>
      <c r="E1648" s="552">
        <v>0</v>
      </c>
      <c r="F1648" s="759" t="s">
        <v>8890</v>
      </c>
      <c r="G1648" s="760"/>
    </row>
    <row r="1649" spans="1:7" ht="15.9" customHeight="1">
      <c r="A1649" s="552" t="s">
        <v>3702</v>
      </c>
      <c r="B1649" s="555" t="s">
        <v>2782</v>
      </c>
      <c r="C1649" s="555" t="s">
        <v>3673</v>
      </c>
      <c r="D1649" s="550" t="s">
        <v>2805</v>
      </c>
      <c r="E1649" s="552">
        <v>0</v>
      </c>
      <c r="F1649" s="759" t="s">
        <v>8890</v>
      </c>
      <c r="G1649" s="760"/>
    </row>
    <row r="1650" spans="1:7" ht="15.9" customHeight="1">
      <c r="A1650" s="552" t="s">
        <v>3702</v>
      </c>
      <c r="B1650" s="555" t="s">
        <v>2782</v>
      </c>
      <c r="C1650" s="555" t="s">
        <v>3674</v>
      </c>
      <c r="D1650" s="550" t="s">
        <v>2805</v>
      </c>
      <c r="E1650" s="552">
        <v>0</v>
      </c>
      <c r="F1650" s="759" t="s">
        <v>8890</v>
      </c>
      <c r="G1650" s="761"/>
    </row>
    <row r="1651" spans="1:7" ht="15.9" customHeight="1">
      <c r="A1651" s="552" t="s">
        <v>3702</v>
      </c>
      <c r="B1651" s="555" t="s">
        <v>2782</v>
      </c>
      <c r="C1651" s="555" t="s">
        <v>3675</v>
      </c>
      <c r="D1651" s="550" t="s">
        <v>2805</v>
      </c>
      <c r="E1651" s="552">
        <v>0</v>
      </c>
      <c r="F1651" s="759" t="s">
        <v>8890</v>
      </c>
      <c r="G1651" s="761"/>
    </row>
    <row r="1652" spans="1:7" ht="15.9" customHeight="1">
      <c r="A1652" s="552" t="s">
        <v>3702</v>
      </c>
      <c r="B1652" s="556" t="s">
        <v>2796</v>
      </c>
      <c r="C1652" s="647" t="s">
        <v>3123</v>
      </c>
      <c r="D1652" s="550" t="s">
        <v>2875</v>
      </c>
      <c r="E1652" s="552">
        <v>0</v>
      </c>
      <c r="F1652" s="759" t="s">
        <v>8890</v>
      </c>
      <c r="G1652" s="760"/>
    </row>
    <row r="1653" spans="1:7" ht="15.9" customHeight="1">
      <c r="A1653" s="552" t="s">
        <v>3702</v>
      </c>
      <c r="B1653" s="556" t="s">
        <v>2796</v>
      </c>
      <c r="C1653" s="647" t="s">
        <v>3641</v>
      </c>
      <c r="D1653" s="550" t="s">
        <v>2875</v>
      </c>
      <c r="E1653" s="552">
        <v>0</v>
      </c>
      <c r="F1653" s="759" t="s">
        <v>8890</v>
      </c>
      <c r="G1653" s="760"/>
    </row>
    <row r="1654" spans="1:7" ht="15.9" customHeight="1">
      <c r="A1654" s="552" t="s">
        <v>3702</v>
      </c>
      <c r="B1654" s="556" t="s">
        <v>2796</v>
      </c>
      <c r="C1654" s="647" t="s">
        <v>3124</v>
      </c>
      <c r="D1654" s="550" t="s">
        <v>2875</v>
      </c>
      <c r="E1654" s="552">
        <v>0</v>
      </c>
      <c r="F1654" s="759" t="s">
        <v>8890</v>
      </c>
      <c r="G1654" s="760"/>
    </row>
    <row r="1655" spans="1:7" ht="15.9" customHeight="1">
      <c r="A1655" s="552" t="s">
        <v>3702</v>
      </c>
      <c r="B1655" s="556" t="s">
        <v>2796</v>
      </c>
      <c r="C1655" s="647" t="s">
        <v>3125</v>
      </c>
      <c r="D1655" s="550" t="s">
        <v>2875</v>
      </c>
      <c r="E1655" s="552">
        <v>0</v>
      </c>
      <c r="F1655" s="759" t="s">
        <v>8890</v>
      </c>
      <c r="G1655" s="760"/>
    </row>
    <row r="1656" spans="1:7" ht="15.9" customHeight="1">
      <c r="A1656" s="552" t="s">
        <v>3702</v>
      </c>
      <c r="B1656" s="556" t="s">
        <v>2796</v>
      </c>
      <c r="C1656" s="647" t="s">
        <v>3278</v>
      </c>
      <c r="D1656" s="550" t="s">
        <v>2875</v>
      </c>
      <c r="E1656" s="552">
        <v>0</v>
      </c>
      <c r="F1656" s="759" t="s">
        <v>8890</v>
      </c>
      <c r="G1656" s="760"/>
    </row>
    <row r="1657" spans="1:7" ht="15.9" customHeight="1">
      <c r="A1657" s="552" t="s">
        <v>3702</v>
      </c>
      <c r="B1657" s="556" t="s">
        <v>2796</v>
      </c>
      <c r="C1657" s="647" t="s">
        <v>3126</v>
      </c>
      <c r="D1657" s="550" t="s">
        <v>2875</v>
      </c>
      <c r="E1657" s="552">
        <v>0</v>
      </c>
      <c r="F1657" s="759" t="s">
        <v>8890</v>
      </c>
      <c r="G1657" s="760"/>
    </row>
    <row r="1658" spans="1:7" ht="15.9" customHeight="1">
      <c r="A1658" s="552" t="s">
        <v>3702</v>
      </c>
      <c r="B1658" s="556" t="s">
        <v>2796</v>
      </c>
      <c r="C1658" s="647" t="s">
        <v>3127</v>
      </c>
      <c r="D1658" s="550" t="s">
        <v>2875</v>
      </c>
      <c r="E1658" s="552">
        <v>0</v>
      </c>
      <c r="F1658" s="759" t="s">
        <v>8890</v>
      </c>
      <c r="G1658" s="760"/>
    </row>
    <row r="1659" spans="1:7" ht="15.9" customHeight="1">
      <c r="A1659" s="552" t="s">
        <v>3702</v>
      </c>
      <c r="B1659" s="556" t="s">
        <v>2796</v>
      </c>
      <c r="C1659" s="647" t="s">
        <v>3128</v>
      </c>
      <c r="D1659" s="550" t="s">
        <v>2875</v>
      </c>
      <c r="E1659" s="552">
        <v>0</v>
      </c>
      <c r="F1659" s="759" t="s">
        <v>8890</v>
      </c>
      <c r="G1659" s="760"/>
    </row>
    <row r="1660" spans="1:7" ht="15.9" customHeight="1">
      <c r="A1660" s="552" t="s">
        <v>3702</v>
      </c>
      <c r="B1660" s="556" t="s">
        <v>2796</v>
      </c>
      <c r="C1660" s="647" t="s">
        <v>3129</v>
      </c>
      <c r="D1660" s="550" t="s">
        <v>2875</v>
      </c>
      <c r="E1660" s="552">
        <v>0</v>
      </c>
      <c r="F1660" s="759" t="s">
        <v>8890</v>
      </c>
      <c r="G1660" s="760"/>
    </row>
    <row r="1661" spans="1:7" ht="15.9" customHeight="1">
      <c r="A1661" s="552" t="s">
        <v>3702</v>
      </c>
      <c r="B1661" s="556" t="s">
        <v>2796</v>
      </c>
      <c r="C1661" s="647" t="s">
        <v>3130</v>
      </c>
      <c r="D1661" s="550" t="s">
        <v>2875</v>
      </c>
      <c r="E1661" s="552">
        <v>0</v>
      </c>
      <c r="F1661" s="759" t="s">
        <v>8890</v>
      </c>
      <c r="G1661" s="760"/>
    </row>
    <row r="1662" spans="1:7" ht="15.9" customHeight="1">
      <c r="A1662" s="552" t="s">
        <v>3702</v>
      </c>
      <c r="B1662" s="556" t="s">
        <v>2796</v>
      </c>
      <c r="C1662" s="647" t="s">
        <v>3131</v>
      </c>
      <c r="D1662" s="550" t="s">
        <v>2875</v>
      </c>
      <c r="E1662" s="552">
        <v>0</v>
      </c>
      <c r="F1662" s="759" t="s">
        <v>8890</v>
      </c>
      <c r="G1662" s="760"/>
    </row>
    <row r="1663" spans="1:7" ht="15.9" customHeight="1">
      <c r="A1663" s="552" t="s">
        <v>3702</v>
      </c>
      <c r="B1663" s="556" t="s">
        <v>2796</v>
      </c>
      <c r="C1663" s="647" t="s">
        <v>3132</v>
      </c>
      <c r="D1663" s="550" t="s">
        <v>2875</v>
      </c>
      <c r="E1663" s="552">
        <v>0</v>
      </c>
      <c r="F1663" s="759" t="s">
        <v>8890</v>
      </c>
      <c r="G1663" s="760"/>
    </row>
    <row r="1664" spans="1:7" ht="15.9" customHeight="1">
      <c r="A1664" s="552" t="s">
        <v>3702</v>
      </c>
      <c r="B1664" s="556" t="s">
        <v>2796</v>
      </c>
      <c r="C1664" s="647" t="s">
        <v>3133</v>
      </c>
      <c r="D1664" s="550" t="s">
        <v>2875</v>
      </c>
      <c r="E1664" s="552">
        <v>0</v>
      </c>
      <c r="F1664" s="759" t="s">
        <v>8890</v>
      </c>
      <c r="G1664" s="760"/>
    </row>
    <row r="1665" spans="1:7" ht="15.9" customHeight="1">
      <c r="A1665" s="552" t="s">
        <v>3702</v>
      </c>
      <c r="B1665" s="556" t="s">
        <v>2796</v>
      </c>
      <c r="C1665" s="647" t="s">
        <v>3134</v>
      </c>
      <c r="D1665" s="550" t="s">
        <v>2875</v>
      </c>
      <c r="E1665" s="552">
        <v>0</v>
      </c>
      <c r="F1665" s="759" t="s">
        <v>8890</v>
      </c>
      <c r="G1665" s="760"/>
    </row>
    <row r="1666" spans="1:7" ht="15.9" customHeight="1">
      <c r="A1666" s="552" t="s">
        <v>3702</v>
      </c>
      <c r="B1666" s="556" t="s">
        <v>2796</v>
      </c>
      <c r="C1666" s="647" t="s">
        <v>3135</v>
      </c>
      <c r="D1666" s="550" t="s">
        <v>2875</v>
      </c>
      <c r="E1666" s="552">
        <v>0</v>
      </c>
      <c r="F1666" s="759" t="s">
        <v>8890</v>
      </c>
      <c r="G1666" s="760"/>
    </row>
    <row r="1667" spans="1:7" ht="15.9" customHeight="1">
      <c r="A1667" s="552" t="s">
        <v>3702</v>
      </c>
      <c r="B1667" s="556" t="s">
        <v>2796</v>
      </c>
      <c r="C1667" s="647" t="s">
        <v>3136</v>
      </c>
      <c r="D1667" s="550" t="s">
        <v>2875</v>
      </c>
      <c r="E1667" s="552">
        <v>0</v>
      </c>
      <c r="F1667" s="759" t="s">
        <v>8890</v>
      </c>
      <c r="G1667" s="760"/>
    </row>
    <row r="1668" spans="1:7" ht="15.9" customHeight="1">
      <c r="A1668" s="552" t="s">
        <v>3702</v>
      </c>
      <c r="B1668" s="556" t="s">
        <v>2796</v>
      </c>
      <c r="C1668" s="647" t="s">
        <v>3137</v>
      </c>
      <c r="D1668" s="550" t="s">
        <v>2875</v>
      </c>
      <c r="E1668" s="552">
        <v>0</v>
      </c>
      <c r="F1668" s="759" t="s">
        <v>8890</v>
      </c>
      <c r="G1668" s="760"/>
    </row>
    <row r="1669" spans="1:7" ht="15.9" customHeight="1">
      <c r="A1669" s="552" t="s">
        <v>3702</v>
      </c>
      <c r="B1669" s="556" t="s">
        <v>2796</v>
      </c>
      <c r="C1669" s="647" t="s">
        <v>3138</v>
      </c>
      <c r="D1669" s="550" t="s">
        <v>2875</v>
      </c>
      <c r="E1669" s="552">
        <v>0</v>
      </c>
      <c r="F1669" s="759" t="s">
        <v>8890</v>
      </c>
      <c r="G1669" s="760"/>
    </row>
    <row r="1670" spans="1:7" ht="15.9" customHeight="1">
      <c r="A1670" s="552" t="s">
        <v>3702</v>
      </c>
      <c r="B1670" s="556" t="s">
        <v>2796</v>
      </c>
      <c r="C1670" s="647" t="s">
        <v>3139</v>
      </c>
      <c r="D1670" s="550" t="s">
        <v>2875</v>
      </c>
      <c r="E1670" s="552">
        <v>0</v>
      </c>
      <c r="F1670" s="759" t="s">
        <v>8890</v>
      </c>
      <c r="G1670" s="760"/>
    </row>
    <row r="1671" spans="1:7" ht="15.9" customHeight="1">
      <c r="A1671" s="552" t="s">
        <v>3702</v>
      </c>
      <c r="B1671" s="556" t="s">
        <v>2796</v>
      </c>
      <c r="C1671" s="647" t="s">
        <v>3140</v>
      </c>
      <c r="D1671" s="550" t="s">
        <v>2875</v>
      </c>
      <c r="E1671" s="552">
        <v>0</v>
      </c>
      <c r="F1671" s="759" t="s">
        <v>8890</v>
      </c>
      <c r="G1671" s="760"/>
    </row>
    <row r="1672" spans="1:7" ht="15.9" customHeight="1">
      <c r="A1672" s="552" t="s">
        <v>3702</v>
      </c>
      <c r="B1672" s="556" t="s">
        <v>2796</v>
      </c>
      <c r="C1672" s="647" t="s">
        <v>3141</v>
      </c>
      <c r="D1672" s="550" t="s">
        <v>2875</v>
      </c>
      <c r="E1672" s="552">
        <v>0</v>
      </c>
      <c r="F1672" s="759" t="s">
        <v>8890</v>
      </c>
      <c r="G1672" s="760"/>
    </row>
    <row r="1673" spans="1:7" ht="15.9" customHeight="1">
      <c r="A1673" s="552" t="s">
        <v>3702</v>
      </c>
      <c r="B1673" s="556" t="s">
        <v>2796</v>
      </c>
      <c r="C1673" s="647" t="s">
        <v>3142</v>
      </c>
      <c r="D1673" s="550" t="s">
        <v>2875</v>
      </c>
      <c r="E1673" s="552">
        <v>0</v>
      </c>
      <c r="F1673" s="759" t="s">
        <v>8890</v>
      </c>
      <c r="G1673" s="760"/>
    </row>
    <row r="1674" spans="1:7" ht="15.9" customHeight="1">
      <c r="A1674" s="552" t="s">
        <v>3702</v>
      </c>
      <c r="B1674" s="556" t="s">
        <v>2796</v>
      </c>
      <c r="C1674" s="647" t="s">
        <v>3143</v>
      </c>
      <c r="D1674" s="550" t="s">
        <v>2875</v>
      </c>
      <c r="E1674" s="552">
        <v>0</v>
      </c>
      <c r="F1674" s="759" t="s">
        <v>8890</v>
      </c>
      <c r="G1674" s="760"/>
    </row>
    <row r="1675" spans="1:7" ht="15.9" customHeight="1">
      <c r="A1675" s="552" t="s">
        <v>3702</v>
      </c>
      <c r="B1675" s="556" t="s">
        <v>2796</v>
      </c>
      <c r="C1675" s="647" t="s">
        <v>3144</v>
      </c>
      <c r="D1675" s="550" t="s">
        <v>2875</v>
      </c>
      <c r="E1675" s="552">
        <v>0</v>
      </c>
      <c r="F1675" s="759" t="s">
        <v>8890</v>
      </c>
      <c r="G1675" s="760"/>
    </row>
    <row r="1676" spans="1:7" ht="15.9" customHeight="1">
      <c r="A1676" s="552" t="s">
        <v>3702</v>
      </c>
      <c r="B1676" s="556" t="s">
        <v>2796</v>
      </c>
      <c r="C1676" s="647" t="s">
        <v>3145</v>
      </c>
      <c r="D1676" s="550" t="s">
        <v>2875</v>
      </c>
      <c r="E1676" s="552">
        <v>0</v>
      </c>
      <c r="F1676" s="759" t="s">
        <v>8890</v>
      </c>
      <c r="G1676" s="760"/>
    </row>
    <row r="1677" spans="1:7" ht="15.9" customHeight="1">
      <c r="A1677" s="552" t="s">
        <v>3702</v>
      </c>
      <c r="B1677" s="556" t="s">
        <v>2796</v>
      </c>
      <c r="C1677" s="647" t="s">
        <v>3146</v>
      </c>
      <c r="D1677" s="550" t="s">
        <v>2875</v>
      </c>
      <c r="E1677" s="552">
        <v>0</v>
      </c>
      <c r="F1677" s="759" t="s">
        <v>8890</v>
      </c>
      <c r="G1677" s="760"/>
    </row>
    <row r="1678" spans="1:7" ht="15.9" customHeight="1">
      <c r="A1678" s="552" t="s">
        <v>3702</v>
      </c>
      <c r="B1678" s="556" t="s">
        <v>2796</v>
      </c>
      <c r="C1678" s="647" t="s">
        <v>3147</v>
      </c>
      <c r="D1678" s="550" t="s">
        <v>2875</v>
      </c>
      <c r="E1678" s="552">
        <v>0</v>
      </c>
      <c r="F1678" s="759" t="s">
        <v>8890</v>
      </c>
      <c r="G1678" s="760"/>
    </row>
    <row r="1679" spans="1:7" ht="15.9" customHeight="1">
      <c r="A1679" s="552" t="s">
        <v>3702</v>
      </c>
      <c r="B1679" s="556" t="s">
        <v>2796</v>
      </c>
      <c r="C1679" s="647" t="s">
        <v>3148</v>
      </c>
      <c r="D1679" s="550" t="s">
        <v>2875</v>
      </c>
      <c r="E1679" s="552">
        <v>0</v>
      </c>
      <c r="F1679" s="759" t="s">
        <v>8890</v>
      </c>
      <c r="G1679" s="760"/>
    </row>
    <row r="1680" spans="1:7" ht="15.9" customHeight="1">
      <c r="A1680" s="552" t="s">
        <v>3702</v>
      </c>
      <c r="B1680" s="556" t="s">
        <v>2796</v>
      </c>
      <c r="C1680" s="647" t="s">
        <v>3149</v>
      </c>
      <c r="D1680" s="550" t="s">
        <v>2875</v>
      </c>
      <c r="E1680" s="552">
        <v>0</v>
      </c>
      <c r="F1680" s="759" t="s">
        <v>8890</v>
      </c>
      <c r="G1680" s="760"/>
    </row>
    <row r="1681" spans="1:7" ht="15.9" customHeight="1">
      <c r="A1681" s="552" t="s">
        <v>3702</v>
      </c>
      <c r="B1681" s="556" t="s">
        <v>2796</v>
      </c>
      <c r="C1681" s="647" t="s">
        <v>3150</v>
      </c>
      <c r="D1681" s="550" t="s">
        <v>2875</v>
      </c>
      <c r="E1681" s="552">
        <v>0</v>
      </c>
      <c r="F1681" s="759" t="s">
        <v>8890</v>
      </c>
      <c r="G1681" s="760"/>
    </row>
    <row r="1682" spans="1:7" ht="15.9" customHeight="1">
      <c r="A1682" s="552" t="s">
        <v>3702</v>
      </c>
      <c r="B1682" s="556" t="s">
        <v>2796</v>
      </c>
      <c r="C1682" s="647" t="s">
        <v>3151</v>
      </c>
      <c r="D1682" s="550" t="s">
        <v>2875</v>
      </c>
      <c r="E1682" s="552">
        <v>0</v>
      </c>
      <c r="F1682" s="759" t="s">
        <v>8890</v>
      </c>
      <c r="G1682" s="760"/>
    </row>
    <row r="1683" spans="1:7" ht="15.9" customHeight="1">
      <c r="A1683" s="552" t="s">
        <v>3702</v>
      </c>
      <c r="B1683" s="556" t="s">
        <v>2796</v>
      </c>
      <c r="C1683" s="647" t="s">
        <v>3152</v>
      </c>
      <c r="D1683" s="550" t="s">
        <v>2875</v>
      </c>
      <c r="E1683" s="552">
        <v>0</v>
      </c>
      <c r="F1683" s="759" t="s">
        <v>8890</v>
      </c>
      <c r="G1683" s="760"/>
    </row>
    <row r="1684" spans="1:7" ht="15.9" customHeight="1">
      <c r="A1684" s="552" t="s">
        <v>3702</v>
      </c>
      <c r="B1684" s="556" t="s">
        <v>2796</v>
      </c>
      <c r="C1684" s="647" t="s">
        <v>3153</v>
      </c>
      <c r="D1684" s="550" t="s">
        <v>2875</v>
      </c>
      <c r="E1684" s="552">
        <v>0</v>
      </c>
      <c r="F1684" s="759" t="s">
        <v>8890</v>
      </c>
      <c r="G1684" s="760"/>
    </row>
    <row r="1685" spans="1:7" ht="15.9" customHeight="1">
      <c r="A1685" s="552" t="s">
        <v>3702</v>
      </c>
      <c r="B1685" s="556" t="s">
        <v>2796</v>
      </c>
      <c r="C1685" s="647" t="s">
        <v>3154</v>
      </c>
      <c r="D1685" s="550" t="s">
        <v>2875</v>
      </c>
      <c r="E1685" s="552">
        <v>0</v>
      </c>
      <c r="F1685" s="759" t="s">
        <v>8890</v>
      </c>
      <c r="G1685" s="760"/>
    </row>
    <row r="1686" spans="1:7" ht="15.9" customHeight="1">
      <c r="A1686" s="552" t="s">
        <v>3702</v>
      </c>
      <c r="B1686" s="556" t="s">
        <v>2796</v>
      </c>
      <c r="C1686" s="647" t="s">
        <v>3155</v>
      </c>
      <c r="D1686" s="550" t="s">
        <v>2875</v>
      </c>
      <c r="E1686" s="552">
        <v>0</v>
      </c>
      <c r="F1686" s="759" t="s">
        <v>8890</v>
      </c>
      <c r="G1686" s="760"/>
    </row>
    <row r="1687" spans="1:7" ht="15.9" customHeight="1">
      <c r="A1687" s="552" t="s">
        <v>3702</v>
      </c>
      <c r="B1687" s="556" t="s">
        <v>2796</v>
      </c>
      <c r="C1687" s="647" t="s">
        <v>3156</v>
      </c>
      <c r="D1687" s="550" t="s">
        <v>2875</v>
      </c>
      <c r="E1687" s="552">
        <v>0</v>
      </c>
      <c r="F1687" s="759" t="s">
        <v>8890</v>
      </c>
      <c r="G1687" s="760"/>
    </row>
    <row r="1688" spans="1:7" ht="15.9" customHeight="1">
      <c r="A1688" s="552" t="s">
        <v>3702</v>
      </c>
      <c r="B1688" s="556" t="s">
        <v>2796</v>
      </c>
      <c r="C1688" s="647" t="s">
        <v>3157</v>
      </c>
      <c r="D1688" s="550" t="s">
        <v>2875</v>
      </c>
      <c r="E1688" s="552">
        <v>0</v>
      </c>
      <c r="F1688" s="759" t="s">
        <v>8890</v>
      </c>
      <c r="G1688" s="760"/>
    </row>
    <row r="1689" spans="1:7" ht="15.9" customHeight="1">
      <c r="A1689" s="552" t="s">
        <v>3702</v>
      </c>
      <c r="B1689" s="556" t="s">
        <v>2796</v>
      </c>
      <c r="C1689" s="647" t="s">
        <v>3158</v>
      </c>
      <c r="D1689" s="550" t="s">
        <v>2875</v>
      </c>
      <c r="E1689" s="552">
        <v>0</v>
      </c>
      <c r="F1689" s="759" t="s">
        <v>8890</v>
      </c>
      <c r="G1689" s="760"/>
    </row>
    <row r="1690" spans="1:7" ht="15.9" customHeight="1">
      <c r="A1690" s="552" t="s">
        <v>3702</v>
      </c>
      <c r="B1690" s="556" t="s">
        <v>2796</v>
      </c>
      <c r="C1690" s="647" t="s">
        <v>3159</v>
      </c>
      <c r="D1690" s="550" t="s">
        <v>2875</v>
      </c>
      <c r="E1690" s="552">
        <v>0</v>
      </c>
      <c r="F1690" s="759" t="s">
        <v>8890</v>
      </c>
      <c r="G1690" s="760"/>
    </row>
    <row r="1691" spans="1:7" ht="15.9" customHeight="1">
      <c r="A1691" s="552" t="s">
        <v>3702</v>
      </c>
      <c r="B1691" s="556" t="s">
        <v>2796</v>
      </c>
      <c r="C1691" s="647" t="s">
        <v>3160</v>
      </c>
      <c r="D1691" s="550" t="s">
        <v>2875</v>
      </c>
      <c r="E1691" s="552">
        <v>0</v>
      </c>
      <c r="F1691" s="759" t="s">
        <v>8890</v>
      </c>
      <c r="G1691" s="760"/>
    </row>
    <row r="1692" spans="1:7" ht="15.9" customHeight="1">
      <c r="A1692" s="552" t="s">
        <v>3702</v>
      </c>
      <c r="B1692" s="556" t="s">
        <v>2796</v>
      </c>
      <c r="C1692" s="647" t="s">
        <v>3161</v>
      </c>
      <c r="D1692" s="550" t="s">
        <v>2875</v>
      </c>
      <c r="E1692" s="552">
        <v>0</v>
      </c>
      <c r="F1692" s="759" t="s">
        <v>8890</v>
      </c>
      <c r="G1692" s="760"/>
    </row>
    <row r="1693" spans="1:7" ht="15.9" customHeight="1">
      <c r="A1693" s="552" t="s">
        <v>3702</v>
      </c>
      <c r="B1693" s="556" t="s">
        <v>2796</v>
      </c>
      <c r="C1693" s="647" t="s">
        <v>3162</v>
      </c>
      <c r="D1693" s="550" t="s">
        <v>2875</v>
      </c>
      <c r="E1693" s="552">
        <v>0</v>
      </c>
      <c r="F1693" s="759" t="s">
        <v>8890</v>
      </c>
      <c r="G1693" s="760"/>
    </row>
    <row r="1694" spans="1:7" ht="15.9" customHeight="1">
      <c r="A1694" s="552" t="s">
        <v>3702</v>
      </c>
      <c r="B1694" s="556" t="s">
        <v>2796</v>
      </c>
      <c r="C1694" s="647" t="s">
        <v>3163</v>
      </c>
      <c r="D1694" s="550" t="s">
        <v>2875</v>
      </c>
      <c r="E1694" s="552">
        <v>0</v>
      </c>
      <c r="F1694" s="759" t="s">
        <v>8890</v>
      </c>
      <c r="G1694" s="760"/>
    </row>
    <row r="1695" spans="1:7" ht="15.9" customHeight="1">
      <c r="A1695" s="552" t="s">
        <v>3702</v>
      </c>
      <c r="B1695" s="556" t="s">
        <v>2796</v>
      </c>
      <c r="C1695" s="647" t="s">
        <v>3164</v>
      </c>
      <c r="D1695" s="550" t="s">
        <v>2875</v>
      </c>
      <c r="E1695" s="552">
        <v>0</v>
      </c>
      <c r="F1695" s="759" t="s">
        <v>8890</v>
      </c>
      <c r="G1695" s="760"/>
    </row>
    <row r="1696" spans="1:7" ht="15.9" customHeight="1">
      <c r="A1696" s="552" t="s">
        <v>3702</v>
      </c>
      <c r="B1696" s="556" t="s">
        <v>2796</v>
      </c>
      <c r="C1696" s="647" t="s">
        <v>3165</v>
      </c>
      <c r="D1696" s="550" t="s">
        <v>2875</v>
      </c>
      <c r="E1696" s="552">
        <v>0</v>
      </c>
      <c r="F1696" s="759" t="s">
        <v>8890</v>
      </c>
      <c r="G1696" s="760"/>
    </row>
    <row r="1697" spans="1:7" ht="15.9" customHeight="1">
      <c r="A1697" s="552" t="s">
        <v>3702</v>
      </c>
      <c r="B1697" s="556" t="s">
        <v>2796</v>
      </c>
      <c r="C1697" s="647" t="s">
        <v>3166</v>
      </c>
      <c r="D1697" s="550" t="s">
        <v>2875</v>
      </c>
      <c r="E1697" s="552">
        <v>0</v>
      </c>
      <c r="F1697" s="759" t="s">
        <v>8890</v>
      </c>
      <c r="G1697" s="760"/>
    </row>
    <row r="1698" spans="1:7" ht="15.9" customHeight="1">
      <c r="A1698" s="552" t="s">
        <v>3702</v>
      </c>
      <c r="B1698" s="556" t="s">
        <v>2796</v>
      </c>
      <c r="C1698" s="647" t="s">
        <v>3167</v>
      </c>
      <c r="D1698" s="550" t="s">
        <v>2875</v>
      </c>
      <c r="E1698" s="552">
        <v>0</v>
      </c>
      <c r="F1698" s="759" t="s">
        <v>8890</v>
      </c>
      <c r="G1698" s="760"/>
    </row>
    <row r="1699" spans="1:7" ht="15.9" customHeight="1">
      <c r="A1699" s="552" t="s">
        <v>3702</v>
      </c>
      <c r="B1699" s="556" t="s">
        <v>2796</v>
      </c>
      <c r="C1699" s="647" t="s">
        <v>3168</v>
      </c>
      <c r="D1699" s="550" t="s">
        <v>2875</v>
      </c>
      <c r="E1699" s="552">
        <v>0</v>
      </c>
      <c r="F1699" s="759" t="s">
        <v>8890</v>
      </c>
      <c r="G1699" s="760"/>
    </row>
    <row r="1700" spans="1:7" ht="15.9" customHeight="1">
      <c r="A1700" s="552" t="s">
        <v>3702</v>
      </c>
      <c r="B1700" s="556" t="s">
        <v>2796</v>
      </c>
      <c r="C1700" s="647" t="s">
        <v>3169</v>
      </c>
      <c r="D1700" s="550" t="s">
        <v>2875</v>
      </c>
      <c r="E1700" s="552">
        <v>0</v>
      </c>
      <c r="F1700" s="759" t="s">
        <v>8890</v>
      </c>
      <c r="G1700" s="760"/>
    </row>
    <row r="1701" spans="1:7" ht="15.9" customHeight="1">
      <c r="A1701" s="552" t="s">
        <v>3702</v>
      </c>
      <c r="B1701" s="556" t="s">
        <v>2796</v>
      </c>
      <c r="C1701" s="647" t="s">
        <v>3170</v>
      </c>
      <c r="D1701" s="550" t="s">
        <v>2875</v>
      </c>
      <c r="E1701" s="552">
        <v>0</v>
      </c>
      <c r="F1701" s="759" t="s">
        <v>8890</v>
      </c>
      <c r="G1701" s="760"/>
    </row>
    <row r="1702" spans="1:7" ht="15.9" customHeight="1">
      <c r="A1702" s="552" t="s">
        <v>3702</v>
      </c>
      <c r="B1702" s="556" t="s">
        <v>2796</v>
      </c>
      <c r="C1702" s="647" t="s">
        <v>3171</v>
      </c>
      <c r="D1702" s="550" t="s">
        <v>2875</v>
      </c>
      <c r="E1702" s="552">
        <v>0</v>
      </c>
      <c r="F1702" s="759" t="s">
        <v>8890</v>
      </c>
      <c r="G1702" s="760"/>
    </row>
    <row r="1703" spans="1:7" ht="15.9" customHeight="1">
      <c r="A1703" s="552" t="s">
        <v>3702</v>
      </c>
      <c r="B1703" s="556" t="s">
        <v>2796</v>
      </c>
      <c r="C1703" s="647" t="s">
        <v>3172</v>
      </c>
      <c r="D1703" s="550" t="s">
        <v>2875</v>
      </c>
      <c r="E1703" s="552">
        <v>0</v>
      </c>
      <c r="F1703" s="759" t="s">
        <v>8890</v>
      </c>
      <c r="G1703" s="760"/>
    </row>
    <row r="1704" spans="1:7" ht="15.9" customHeight="1">
      <c r="A1704" s="552" t="s">
        <v>3702</v>
      </c>
      <c r="B1704" s="556" t="s">
        <v>2796</v>
      </c>
      <c r="C1704" s="649" t="s">
        <v>9110</v>
      </c>
      <c r="D1704" s="550" t="s">
        <v>2875</v>
      </c>
      <c r="E1704" s="552">
        <v>0</v>
      </c>
      <c r="F1704" s="759" t="s">
        <v>8890</v>
      </c>
      <c r="G1704" s="760"/>
    </row>
    <row r="1705" spans="1:7" ht="15.9" customHeight="1">
      <c r="A1705" s="552" t="s">
        <v>3702</v>
      </c>
      <c r="B1705" s="556" t="s">
        <v>2796</v>
      </c>
      <c r="C1705" s="647" t="s">
        <v>3173</v>
      </c>
      <c r="D1705" s="550" t="s">
        <v>2875</v>
      </c>
      <c r="E1705" s="552">
        <v>0</v>
      </c>
      <c r="F1705" s="759" t="s">
        <v>8890</v>
      </c>
      <c r="G1705" s="760"/>
    </row>
    <row r="1706" spans="1:7" ht="15.9" customHeight="1">
      <c r="A1706" s="552" t="s">
        <v>3702</v>
      </c>
      <c r="B1706" s="556" t="s">
        <v>2796</v>
      </c>
      <c r="C1706" s="649" t="s">
        <v>3174</v>
      </c>
      <c r="D1706" s="550" t="s">
        <v>2875</v>
      </c>
      <c r="E1706" s="552">
        <v>0</v>
      </c>
      <c r="F1706" s="759" t="s">
        <v>8890</v>
      </c>
      <c r="G1706" s="760"/>
    </row>
    <row r="1707" spans="1:7" ht="15.9" customHeight="1">
      <c r="A1707" s="552" t="s">
        <v>3702</v>
      </c>
      <c r="B1707" s="556" t="s">
        <v>2796</v>
      </c>
      <c r="C1707" s="649" t="s">
        <v>3175</v>
      </c>
      <c r="D1707" s="550" t="s">
        <v>2875</v>
      </c>
      <c r="E1707" s="552">
        <v>0</v>
      </c>
      <c r="F1707" s="759" t="s">
        <v>8890</v>
      </c>
      <c r="G1707" s="760"/>
    </row>
    <row r="1708" spans="1:7" ht="15.9" customHeight="1">
      <c r="A1708" s="552" t="s">
        <v>3702</v>
      </c>
      <c r="B1708" s="556" t="s">
        <v>2796</v>
      </c>
      <c r="C1708" s="649" t="s">
        <v>3176</v>
      </c>
      <c r="D1708" s="550" t="s">
        <v>2875</v>
      </c>
      <c r="E1708" s="552">
        <v>0</v>
      </c>
      <c r="F1708" s="759" t="s">
        <v>8890</v>
      </c>
      <c r="G1708" s="760"/>
    </row>
    <row r="1709" spans="1:7" ht="15.9" customHeight="1">
      <c r="A1709" s="552" t="s">
        <v>3702</v>
      </c>
      <c r="B1709" s="556" t="s">
        <v>2796</v>
      </c>
      <c r="C1709" s="649" t="s">
        <v>3177</v>
      </c>
      <c r="D1709" s="550" t="s">
        <v>2875</v>
      </c>
      <c r="E1709" s="552">
        <v>0</v>
      </c>
      <c r="F1709" s="759" t="s">
        <v>8890</v>
      </c>
      <c r="G1709" s="760"/>
    </row>
    <row r="1710" spans="1:7" ht="15.9" customHeight="1">
      <c r="A1710" s="552" t="s">
        <v>3702</v>
      </c>
      <c r="B1710" s="556" t="s">
        <v>2796</v>
      </c>
      <c r="C1710" s="649" t="s">
        <v>3178</v>
      </c>
      <c r="D1710" s="550" t="s">
        <v>2875</v>
      </c>
      <c r="E1710" s="552">
        <v>0</v>
      </c>
      <c r="F1710" s="759" t="s">
        <v>8890</v>
      </c>
      <c r="G1710" s="760"/>
    </row>
    <row r="1711" spans="1:7" ht="15.9" customHeight="1">
      <c r="A1711" s="552" t="s">
        <v>3702</v>
      </c>
      <c r="B1711" s="556" t="s">
        <v>2796</v>
      </c>
      <c r="C1711" s="649" t="s">
        <v>3179</v>
      </c>
      <c r="D1711" s="550" t="s">
        <v>2875</v>
      </c>
      <c r="E1711" s="552">
        <v>0</v>
      </c>
      <c r="F1711" s="759" t="s">
        <v>8890</v>
      </c>
      <c r="G1711" s="760"/>
    </row>
    <row r="1712" spans="1:7" ht="15.9" customHeight="1">
      <c r="A1712" s="552" t="s">
        <v>3702</v>
      </c>
      <c r="B1712" s="556" t="s">
        <v>2796</v>
      </c>
      <c r="C1712" s="649" t="s">
        <v>3180</v>
      </c>
      <c r="D1712" s="550" t="s">
        <v>2875</v>
      </c>
      <c r="E1712" s="552">
        <v>0</v>
      </c>
      <c r="F1712" s="759" t="s">
        <v>8890</v>
      </c>
      <c r="G1712" s="760"/>
    </row>
    <row r="1713" spans="1:7" ht="15.9" customHeight="1">
      <c r="A1713" s="552" t="s">
        <v>3702</v>
      </c>
      <c r="B1713" s="556" t="s">
        <v>2796</v>
      </c>
      <c r="C1713" s="649" t="s">
        <v>3181</v>
      </c>
      <c r="D1713" s="550" t="s">
        <v>2875</v>
      </c>
      <c r="E1713" s="552">
        <v>0</v>
      </c>
      <c r="F1713" s="759" t="s">
        <v>8890</v>
      </c>
      <c r="G1713" s="760"/>
    </row>
    <row r="1714" spans="1:7" ht="15.9" customHeight="1">
      <c r="A1714" s="552" t="s">
        <v>3702</v>
      </c>
      <c r="B1714" s="556" t="s">
        <v>2796</v>
      </c>
      <c r="C1714" s="649" t="s">
        <v>3182</v>
      </c>
      <c r="D1714" s="550" t="s">
        <v>2875</v>
      </c>
      <c r="E1714" s="552">
        <v>0</v>
      </c>
      <c r="F1714" s="759" t="s">
        <v>8890</v>
      </c>
      <c r="G1714" s="760"/>
    </row>
    <row r="1715" spans="1:7" ht="15.9" customHeight="1">
      <c r="A1715" s="552" t="s">
        <v>3702</v>
      </c>
      <c r="B1715" s="556" t="s">
        <v>2796</v>
      </c>
      <c r="C1715" s="647" t="s">
        <v>3183</v>
      </c>
      <c r="D1715" s="550" t="s">
        <v>2875</v>
      </c>
      <c r="E1715" s="552">
        <v>0</v>
      </c>
      <c r="F1715" s="759" t="s">
        <v>8890</v>
      </c>
      <c r="G1715" s="760"/>
    </row>
    <row r="1716" spans="1:7" ht="15.9" customHeight="1">
      <c r="A1716" s="552" t="s">
        <v>3702</v>
      </c>
      <c r="B1716" s="556" t="s">
        <v>2796</v>
      </c>
      <c r="C1716" s="647" t="s">
        <v>3184</v>
      </c>
      <c r="D1716" s="550" t="s">
        <v>2875</v>
      </c>
      <c r="E1716" s="552">
        <v>0</v>
      </c>
      <c r="F1716" s="759" t="s">
        <v>8890</v>
      </c>
      <c r="G1716" s="760"/>
    </row>
    <row r="1717" spans="1:7" ht="15.9" customHeight="1">
      <c r="A1717" s="552" t="s">
        <v>3702</v>
      </c>
      <c r="B1717" s="556" t="s">
        <v>2796</v>
      </c>
      <c r="C1717" s="647" t="s">
        <v>3185</v>
      </c>
      <c r="D1717" s="550" t="s">
        <v>2875</v>
      </c>
      <c r="E1717" s="552">
        <v>0</v>
      </c>
      <c r="F1717" s="759" t="s">
        <v>8890</v>
      </c>
      <c r="G1717" s="760"/>
    </row>
    <row r="1718" spans="1:7" ht="15.9" customHeight="1">
      <c r="A1718" s="552" t="s">
        <v>3702</v>
      </c>
      <c r="B1718" s="556" t="s">
        <v>2796</v>
      </c>
      <c r="C1718" s="647" t="s">
        <v>3186</v>
      </c>
      <c r="D1718" s="550" t="s">
        <v>2875</v>
      </c>
      <c r="E1718" s="552">
        <v>0</v>
      </c>
      <c r="F1718" s="759" t="s">
        <v>8890</v>
      </c>
      <c r="G1718" s="760"/>
    </row>
    <row r="1719" spans="1:7" ht="15.9" customHeight="1">
      <c r="A1719" s="552" t="s">
        <v>3702</v>
      </c>
      <c r="B1719" s="556" t="s">
        <v>2796</v>
      </c>
      <c r="C1719" s="647" t="s">
        <v>3187</v>
      </c>
      <c r="D1719" s="550" t="s">
        <v>2875</v>
      </c>
      <c r="E1719" s="552">
        <v>0</v>
      </c>
      <c r="F1719" s="759" t="s">
        <v>8890</v>
      </c>
      <c r="G1719" s="760"/>
    </row>
    <row r="1720" spans="1:7" ht="15.9" customHeight="1">
      <c r="A1720" s="552" t="s">
        <v>3702</v>
      </c>
      <c r="B1720" s="556" t="s">
        <v>2796</v>
      </c>
      <c r="C1720" s="647" t="s">
        <v>3188</v>
      </c>
      <c r="D1720" s="550" t="s">
        <v>2875</v>
      </c>
      <c r="E1720" s="552">
        <v>0</v>
      </c>
      <c r="F1720" s="759" t="s">
        <v>8890</v>
      </c>
      <c r="G1720" s="761"/>
    </row>
    <row r="1721" spans="1:7" ht="15.9" customHeight="1">
      <c r="A1721" s="552" t="s">
        <v>3702</v>
      </c>
      <c r="B1721" s="556" t="s">
        <v>2796</v>
      </c>
      <c r="C1721" s="647" t="s">
        <v>3189</v>
      </c>
      <c r="D1721" s="550" t="s">
        <v>2875</v>
      </c>
      <c r="E1721" s="552">
        <v>0</v>
      </c>
      <c r="F1721" s="759" t="s">
        <v>8890</v>
      </c>
      <c r="G1721" s="761"/>
    </row>
    <row r="1722" spans="1:7" ht="15.9" customHeight="1">
      <c r="A1722" s="552" t="s">
        <v>3702</v>
      </c>
      <c r="B1722" s="556" t="s">
        <v>2796</v>
      </c>
      <c r="C1722" s="647" t="s">
        <v>3190</v>
      </c>
      <c r="D1722" s="550" t="s">
        <v>2875</v>
      </c>
      <c r="E1722" s="552">
        <v>0</v>
      </c>
      <c r="F1722" s="759" t="s">
        <v>8890</v>
      </c>
      <c r="G1722" s="761"/>
    </row>
    <row r="1723" spans="1:7" ht="15.9" customHeight="1">
      <c r="A1723" s="552" t="s">
        <v>3702</v>
      </c>
      <c r="B1723" s="556" t="s">
        <v>2796</v>
      </c>
      <c r="C1723" s="647" t="s">
        <v>3191</v>
      </c>
      <c r="D1723" s="550" t="s">
        <v>2875</v>
      </c>
      <c r="E1723" s="552">
        <v>0</v>
      </c>
      <c r="F1723" s="759" t="s">
        <v>8890</v>
      </c>
      <c r="G1723" s="761"/>
    </row>
    <row r="1724" spans="1:7" ht="15.9" customHeight="1">
      <c r="A1724" s="552" t="s">
        <v>3702</v>
      </c>
      <c r="B1724" s="556" t="s">
        <v>2796</v>
      </c>
      <c r="C1724" s="647" t="s">
        <v>3192</v>
      </c>
      <c r="D1724" s="550" t="s">
        <v>2875</v>
      </c>
      <c r="E1724" s="552">
        <v>0</v>
      </c>
      <c r="F1724" s="759" t="s">
        <v>8890</v>
      </c>
      <c r="G1724" s="761"/>
    </row>
    <row r="1725" spans="1:7" ht="15.9" customHeight="1">
      <c r="A1725" s="552" t="s">
        <v>3702</v>
      </c>
      <c r="B1725" s="556" t="s">
        <v>2796</v>
      </c>
      <c r="C1725" s="647" t="s">
        <v>3193</v>
      </c>
      <c r="D1725" s="550" t="s">
        <v>2875</v>
      </c>
      <c r="E1725" s="552">
        <v>0</v>
      </c>
      <c r="F1725" s="759" t="s">
        <v>8890</v>
      </c>
      <c r="G1725" s="761"/>
    </row>
    <row r="1726" spans="1:7" ht="15.9" customHeight="1">
      <c r="A1726" s="552" t="s">
        <v>3702</v>
      </c>
      <c r="B1726" s="556" t="s">
        <v>2796</v>
      </c>
      <c r="C1726" s="647" t="s">
        <v>3194</v>
      </c>
      <c r="D1726" s="550" t="s">
        <v>2875</v>
      </c>
      <c r="E1726" s="552">
        <v>0</v>
      </c>
      <c r="F1726" s="759" t="s">
        <v>8890</v>
      </c>
      <c r="G1726" s="761"/>
    </row>
    <row r="1727" spans="1:7" ht="15.9" customHeight="1">
      <c r="A1727" s="552" t="s">
        <v>3702</v>
      </c>
      <c r="B1727" s="556" t="s">
        <v>2796</v>
      </c>
      <c r="C1727" s="647" t="s">
        <v>3195</v>
      </c>
      <c r="D1727" s="550" t="s">
        <v>2875</v>
      </c>
      <c r="E1727" s="552">
        <v>0</v>
      </c>
      <c r="F1727" s="759" t="s">
        <v>8890</v>
      </c>
      <c r="G1727" s="761"/>
    </row>
    <row r="1728" spans="1:7" ht="15.9" customHeight="1">
      <c r="A1728" s="552" t="s">
        <v>3702</v>
      </c>
      <c r="B1728" s="556" t="s">
        <v>2796</v>
      </c>
      <c r="C1728" s="647" t="s">
        <v>3196</v>
      </c>
      <c r="D1728" s="550" t="s">
        <v>2875</v>
      </c>
      <c r="E1728" s="552">
        <v>0</v>
      </c>
      <c r="F1728" s="759" t="s">
        <v>8890</v>
      </c>
      <c r="G1728" s="761"/>
    </row>
    <row r="1729" spans="1:7" ht="15.9" customHeight="1">
      <c r="A1729" s="552" t="s">
        <v>3702</v>
      </c>
      <c r="B1729" s="556" t="s">
        <v>2796</v>
      </c>
      <c r="C1729" s="647" t="s">
        <v>3197</v>
      </c>
      <c r="D1729" s="550" t="s">
        <v>2875</v>
      </c>
      <c r="E1729" s="552">
        <v>0</v>
      </c>
      <c r="F1729" s="759" t="s">
        <v>8890</v>
      </c>
      <c r="G1729" s="761"/>
    </row>
    <row r="1730" spans="1:7" ht="15.9" customHeight="1">
      <c r="A1730" s="552" t="s">
        <v>3702</v>
      </c>
      <c r="B1730" s="556" t="s">
        <v>2796</v>
      </c>
      <c r="C1730" s="647" t="s">
        <v>3198</v>
      </c>
      <c r="D1730" s="550" t="s">
        <v>2875</v>
      </c>
      <c r="E1730" s="552">
        <v>0</v>
      </c>
      <c r="F1730" s="759" t="s">
        <v>8890</v>
      </c>
      <c r="G1730" s="760"/>
    </row>
    <row r="1731" spans="1:7" ht="15.9" customHeight="1">
      <c r="A1731" s="552" t="s">
        <v>3702</v>
      </c>
      <c r="B1731" s="556" t="s">
        <v>2796</v>
      </c>
      <c r="C1731" s="647" t="s">
        <v>3199</v>
      </c>
      <c r="D1731" s="550" t="s">
        <v>2875</v>
      </c>
      <c r="E1731" s="552">
        <v>0</v>
      </c>
      <c r="F1731" s="759" t="s">
        <v>8890</v>
      </c>
      <c r="G1731" s="761"/>
    </row>
    <row r="1732" spans="1:7" ht="15.9" customHeight="1">
      <c r="A1732" s="552" t="s">
        <v>3702</v>
      </c>
      <c r="B1732" s="556" t="s">
        <v>2796</v>
      </c>
      <c r="C1732" s="647" t="s">
        <v>3200</v>
      </c>
      <c r="D1732" s="550" t="s">
        <v>2875</v>
      </c>
      <c r="E1732" s="552">
        <v>0</v>
      </c>
      <c r="F1732" s="759" t="s">
        <v>8890</v>
      </c>
      <c r="G1732" s="760"/>
    </row>
    <row r="1733" spans="1:7" ht="15.9" customHeight="1">
      <c r="A1733" s="552" t="s">
        <v>3702</v>
      </c>
      <c r="B1733" s="556" t="s">
        <v>2796</v>
      </c>
      <c r="C1733" s="647" t="s">
        <v>3201</v>
      </c>
      <c r="D1733" s="550" t="s">
        <v>2875</v>
      </c>
      <c r="E1733" s="552">
        <v>0</v>
      </c>
      <c r="F1733" s="759" t="s">
        <v>8890</v>
      </c>
      <c r="G1733" s="760"/>
    </row>
    <row r="1734" spans="1:7" ht="15.9" customHeight="1">
      <c r="A1734" s="552" t="s">
        <v>3702</v>
      </c>
      <c r="B1734" s="556" t="s">
        <v>2796</v>
      </c>
      <c r="C1734" s="647" t="s">
        <v>3202</v>
      </c>
      <c r="D1734" s="550" t="s">
        <v>2875</v>
      </c>
      <c r="E1734" s="552">
        <v>0</v>
      </c>
      <c r="F1734" s="759" t="s">
        <v>8890</v>
      </c>
      <c r="G1734" s="760"/>
    </row>
    <row r="1735" spans="1:7" ht="15.9" customHeight="1">
      <c r="A1735" s="552" t="s">
        <v>3702</v>
      </c>
      <c r="B1735" s="556" t="s">
        <v>2796</v>
      </c>
      <c r="C1735" s="647" t="s">
        <v>5786</v>
      </c>
      <c r="D1735" s="550" t="s">
        <v>2875</v>
      </c>
      <c r="E1735" s="552">
        <v>0</v>
      </c>
      <c r="F1735" s="759" t="s">
        <v>8890</v>
      </c>
      <c r="G1735" s="761"/>
    </row>
    <row r="1736" spans="1:7" ht="15.9" customHeight="1">
      <c r="A1736" s="552" t="s">
        <v>3702</v>
      </c>
      <c r="B1736" s="556" t="s">
        <v>2796</v>
      </c>
      <c r="C1736" s="647" t="s">
        <v>3203</v>
      </c>
      <c r="D1736" s="550" t="s">
        <v>2875</v>
      </c>
      <c r="E1736" s="552">
        <v>0</v>
      </c>
      <c r="F1736" s="759" t="s">
        <v>8890</v>
      </c>
      <c r="G1736" s="761"/>
    </row>
    <row r="1737" spans="1:7" ht="15.9" customHeight="1">
      <c r="A1737" s="552" t="s">
        <v>3702</v>
      </c>
      <c r="B1737" s="556" t="s">
        <v>2796</v>
      </c>
      <c r="C1737" s="647" t="s">
        <v>3204</v>
      </c>
      <c r="D1737" s="550" t="s">
        <v>2875</v>
      </c>
      <c r="E1737" s="552">
        <v>0</v>
      </c>
      <c r="F1737" s="759" t="s">
        <v>8890</v>
      </c>
      <c r="G1737" s="761"/>
    </row>
    <row r="1738" spans="1:7" ht="15.9" customHeight="1">
      <c r="A1738" s="552" t="s">
        <v>3702</v>
      </c>
      <c r="B1738" s="556" t="s">
        <v>2796</v>
      </c>
      <c r="C1738" s="647" t="s">
        <v>3205</v>
      </c>
      <c r="D1738" s="550" t="s">
        <v>2875</v>
      </c>
      <c r="E1738" s="552">
        <v>0</v>
      </c>
      <c r="F1738" s="759" t="s">
        <v>8890</v>
      </c>
      <c r="G1738" s="761"/>
    </row>
    <row r="1739" spans="1:7" ht="15.9" customHeight="1">
      <c r="A1739" s="552" t="s">
        <v>3702</v>
      </c>
      <c r="B1739" s="556" t="s">
        <v>2796</v>
      </c>
      <c r="C1739" s="647" t="s">
        <v>3206</v>
      </c>
      <c r="D1739" s="550" t="s">
        <v>2875</v>
      </c>
      <c r="E1739" s="552">
        <v>0</v>
      </c>
      <c r="F1739" s="759" t="s">
        <v>8890</v>
      </c>
      <c r="G1739" s="761"/>
    </row>
    <row r="1740" spans="1:7" ht="15.9" customHeight="1">
      <c r="A1740" s="552" t="s">
        <v>3702</v>
      </c>
      <c r="B1740" s="556" t="s">
        <v>2796</v>
      </c>
      <c r="C1740" s="647" t="s">
        <v>3207</v>
      </c>
      <c r="D1740" s="550" t="s">
        <v>2875</v>
      </c>
      <c r="E1740" s="552">
        <v>0</v>
      </c>
      <c r="F1740" s="759" t="s">
        <v>8890</v>
      </c>
      <c r="G1740" s="761"/>
    </row>
    <row r="1741" spans="1:7" ht="15.9" customHeight="1">
      <c r="A1741" s="552" t="s">
        <v>3702</v>
      </c>
      <c r="B1741" s="556" t="s">
        <v>2796</v>
      </c>
      <c r="C1741" s="647" t="s">
        <v>3208</v>
      </c>
      <c r="D1741" s="550" t="s">
        <v>2875</v>
      </c>
      <c r="E1741" s="552">
        <v>0</v>
      </c>
      <c r="F1741" s="759" t="s">
        <v>8890</v>
      </c>
      <c r="G1741" s="761"/>
    </row>
    <row r="1742" spans="1:7" ht="15.9" customHeight="1">
      <c r="A1742" s="552" t="s">
        <v>3702</v>
      </c>
      <c r="B1742" s="556" t="s">
        <v>2796</v>
      </c>
      <c r="C1742" s="647" t="s">
        <v>3209</v>
      </c>
      <c r="D1742" s="550" t="s">
        <v>2875</v>
      </c>
      <c r="E1742" s="552">
        <v>0</v>
      </c>
      <c r="F1742" s="759" t="s">
        <v>8890</v>
      </c>
      <c r="G1742" s="761"/>
    </row>
    <row r="1743" spans="1:7" ht="15.9" customHeight="1">
      <c r="A1743" s="552" t="s">
        <v>3702</v>
      </c>
      <c r="B1743" s="556" t="s">
        <v>2796</v>
      </c>
      <c r="C1743" s="647" t="s">
        <v>3210</v>
      </c>
      <c r="D1743" s="550" t="s">
        <v>2875</v>
      </c>
      <c r="E1743" s="552">
        <v>0</v>
      </c>
      <c r="F1743" s="759" t="s">
        <v>8890</v>
      </c>
      <c r="G1743" s="761"/>
    </row>
    <row r="1744" spans="1:7" ht="15.9" customHeight="1">
      <c r="A1744" s="552" t="s">
        <v>3702</v>
      </c>
      <c r="B1744" s="556" t="s">
        <v>2796</v>
      </c>
      <c r="C1744" s="647" t="s">
        <v>6053</v>
      </c>
      <c r="D1744" s="550" t="s">
        <v>2875</v>
      </c>
      <c r="E1744" s="552">
        <v>0</v>
      </c>
      <c r="F1744" s="759" t="s">
        <v>8890</v>
      </c>
      <c r="G1744" s="761"/>
    </row>
    <row r="1745" spans="1:7" ht="15.9" customHeight="1">
      <c r="A1745" s="552" t="s">
        <v>3702</v>
      </c>
      <c r="B1745" s="556" t="s">
        <v>2796</v>
      </c>
      <c r="C1745" s="647" t="s">
        <v>3211</v>
      </c>
      <c r="D1745" s="550" t="s">
        <v>2875</v>
      </c>
      <c r="E1745" s="552">
        <v>0</v>
      </c>
      <c r="F1745" s="759" t="s">
        <v>8890</v>
      </c>
      <c r="G1745" s="760"/>
    </row>
    <row r="1746" spans="1:7" ht="15.9" customHeight="1">
      <c r="A1746" s="552" t="s">
        <v>3702</v>
      </c>
      <c r="B1746" s="556" t="s">
        <v>2796</v>
      </c>
      <c r="C1746" s="647" t="s">
        <v>3212</v>
      </c>
      <c r="D1746" s="550" t="s">
        <v>2875</v>
      </c>
      <c r="E1746" s="552">
        <v>0</v>
      </c>
      <c r="F1746" s="759" t="s">
        <v>8890</v>
      </c>
      <c r="G1746" s="760"/>
    </row>
    <row r="1747" spans="1:7" ht="15.9" customHeight="1">
      <c r="A1747" s="552" t="s">
        <v>3702</v>
      </c>
      <c r="B1747" s="556" t="s">
        <v>2796</v>
      </c>
      <c r="C1747" s="647" t="s">
        <v>3213</v>
      </c>
      <c r="D1747" s="550" t="s">
        <v>2875</v>
      </c>
      <c r="E1747" s="552">
        <v>0</v>
      </c>
      <c r="F1747" s="759" t="s">
        <v>8890</v>
      </c>
      <c r="G1747" s="760"/>
    </row>
    <row r="1748" spans="1:7" ht="15.9" customHeight="1">
      <c r="A1748" s="552" t="s">
        <v>3702</v>
      </c>
      <c r="B1748" s="556" t="s">
        <v>2796</v>
      </c>
      <c r="C1748" s="647" t="s">
        <v>3214</v>
      </c>
      <c r="D1748" s="550" t="s">
        <v>2875</v>
      </c>
      <c r="E1748" s="552">
        <v>0</v>
      </c>
      <c r="F1748" s="759" t="s">
        <v>8890</v>
      </c>
      <c r="G1748" s="760"/>
    </row>
    <row r="1749" spans="1:7" ht="15.9" customHeight="1">
      <c r="A1749" s="552" t="s">
        <v>3702</v>
      </c>
      <c r="B1749" s="556" t="s">
        <v>2796</v>
      </c>
      <c r="C1749" s="647" t="s">
        <v>3215</v>
      </c>
      <c r="D1749" s="550" t="s">
        <v>2875</v>
      </c>
      <c r="E1749" s="552">
        <v>0</v>
      </c>
      <c r="F1749" s="759" t="s">
        <v>8890</v>
      </c>
      <c r="G1749" s="760"/>
    </row>
    <row r="1750" spans="1:7" ht="15.9" customHeight="1">
      <c r="A1750" s="552" t="s">
        <v>3702</v>
      </c>
      <c r="B1750" s="556" t="s">
        <v>2796</v>
      </c>
      <c r="C1750" s="647" t="s">
        <v>3216</v>
      </c>
      <c r="D1750" s="550" t="s">
        <v>2875</v>
      </c>
      <c r="E1750" s="552">
        <v>0</v>
      </c>
      <c r="F1750" s="759" t="s">
        <v>8890</v>
      </c>
      <c r="G1750" s="761"/>
    </row>
    <row r="1751" spans="1:7" ht="15.9" customHeight="1">
      <c r="A1751" s="552" t="s">
        <v>3702</v>
      </c>
      <c r="B1751" s="556" t="s">
        <v>2796</v>
      </c>
      <c r="C1751" s="647" t="s">
        <v>3217</v>
      </c>
      <c r="D1751" s="550" t="s">
        <v>2875</v>
      </c>
      <c r="E1751" s="552">
        <v>0</v>
      </c>
      <c r="F1751" s="759" t="s">
        <v>8890</v>
      </c>
      <c r="G1751" s="760"/>
    </row>
    <row r="1752" spans="1:7" ht="15.9" customHeight="1">
      <c r="A1752" s="552" t="s">
        <v>3702</v>
      </c>
      <c r="B1752" s="556" t="s">
        <v>2796</v>
      </c>
      <c r="C1752" s="647" t="s">
        <v>3218</v>
      </c>
      <c r="D1752" s="550" t="s">
        <v>2875</v>
      </c>
      <c r="E1752" s="552">
        <v>0</v>
      </c>
      <c r="F1752" s="759" t="s">
        <v>8890</v>
      </c>
      <c r="G1752" s="760"/>
    </row>
    <row r="1753" spans="1:7" ht="15.9" customHeight="1">
      <c r="A1753" s="552" t="s">
        <v>3702</v>
      </c>
      <c r="B1753" s="556" t="s">
        <v>2796</v>
      </c>
      <c r="C1753" s="647" t="s">
        <v>3219</v>
      </c>
      <c r="D1753" s="550" t="s">
        <v>2875</v>
      </c>
      <c r="E1753" s="552">
        <v>0</v>
      </c>
      <c r="F1753" s="759" t="s">
        <v>8890</v>
      </c>
      <c r="G1753" s="760"/>
    </row>
    <row r="1754" spans="1:7" ht="15.9" customHeight="1">
      <c r="A1754" s="552" t="s">
        <v>3702</v>
      </c>
      <c r="B1754" s="556" t="s">
        <v>2796</v>
      </c>
      <c r="C1754" s="647" t="s">
        <v>3220</v>
      </c>
      <c r="D1754" s="550" t="s">
        <v>2875</v>
      </c>
      <c r="E1754" s="552">
        <v>0</v>
      </c>
      <c r="F1754" s="759" t="s">
        <v>8890</v>
      </c>
      <c r="G1754" s="760"/>
    </row>
    <row r="1755" spans="1:7" ht="15.9" customHeight="1">
      <c r="A1755" s="552" t="s">
        <v>3702</v>
      </c>
      <c r="B1755" s="556" t="s">
        <v>2796</v>
      </c>
      <c r="C1755" s="647" t="s">
        <v>3221</v>
      </c>
      <c r="D1755" s="550" t="s">
        <v>2875</v>
      </c>
      <c r="E1755" s="552">
        <v>0</v>
      </c>
      <c r="F1755" s="759" t="s">
        <v>8890</v>
      </c>
      <c r="G1755" s="760"/>
    </row>
    <row r="1756" spans="1:7" ht="15.9" customHeight="1">
      <c r="A1756" s="552" t="s">
        <v>3702</v>
      </c>
      <c r="B1756" s="556" t="s">
        <v>2796</v>
      </c>
      <c r="C1756" s="647" t="s">
        <v>3222</v>
      </c>
      <c r="D1756" s="550" t="s">
        <v>2875</v>
      </c>
      <c r="E1756" s="552">
        <v>0</v>
      </c>
      <c r="F1756" s="759" t="s">
        <v>8890</v>
      </c>
      <c r="G1756" s="760"/>
    </row>
    <row r="1757" spans="1:7" ht="15.9" customHeight="1">
      <c r="A1757" s="552" t="s">
        <v>3702</v>
      </c>
      <c r="B1757" s="556" t="s">
        <v>2796</v>
      </c>
      <c r="C1757" s="647" t="s">
        <v>3223</v>
      </c>
      <c r="D1757" s="550" t="s">
        <v>2875</v>
      </c>
      <c r="E1757" s="552">
        <v>0</v>
      </c>
      <c r="F1757" s="759" t="s">
        <v>8890</v>
      </c>
      <c r="G1757" s="760"/>
    </row>
    <row r="1758" spans="1:7" ht="15.9" customHeight="1">
      <c r="A1758" s="552" t="s">
        <v>3702</v>
      </c>
      <c r="B1758" s="556" t="s">
        <v>2796</v>
      </c>
      <c r="C1758" s="647" t="s">
        <v>3224</v>
      </c>
      <c r="D1758" s="550" t="s">
        <v>2875</v>
      </c>
      <c r="E1758" s="552">
        <v>0</v>
      </c>
      <c r="F1758" s="759" t="s">
        <v>8890</v>
      </c>
      <c r="G1758" s="760"/>
    </row>
    <row r="1759" spans="1:7" ht="15.9" customHeight="1">
      <c r="A1759" s="552" t="s">
        <v>3702</v>
      </c>
      <c r="B1759" s="556" t="s">
        <v>2796</v>
      </c>
      <c r="C1759" s="647" t="s">
        <v>3225</v>
      </c>
      <c r="D1759" s="550" t="s">
        <v>2875</v>
      </c>
      <c r="E1759" s="552">
        <v>0</v>
      </c>
      <c r="F1759" s="759" t="s">
        <v>8890</v>
      </c>
      <c r="G1759" s="760"/>
    </row>
    <row r="1760" spans="1:7" ht="15.9" customHeight="1">
      <c r="A1760" s="552" t="s">
        <v>3702</v>
      </c>
      <c r="B1760" s="556" t="s">
        <v>2796</v>
      </c>
      <c r="C1760" s="647" t="s">
        <v>3226</v>
      </c>
      <c r="D1760" s="550" t="s">
        <v>2875</v>
      </c>
      <c r="E1760" s="552">
        <v>0</v>
      </c>
      <c r="F1760" s="759" t="s">
        <v>8890</v>
      </c>
      <c r="G1760" s="760"/>
    </row>
    <row r="1761" spans="1:7" ht="15.9" customHeight="1">
      <c r="A1761" s="552" t="s">
        <v>3702</v>
      </c>
      <c r="B1761" s="556" t="s">
        <v>2796</v>
      </c>
      <c r="C1761" s="647" t="s">
        <v>3227</v>
      </c>
      <c r="D1761" s="550" t="s">
        <v>2875</v>
      </c>
      <c r="E1761" s="552">
        <v>0</v>
      </c>
      <c r="F1761" s="759" t="s">
        <v>8890</v>
      </c>
      <c r="G1761" s="760"/>
    </row>
    <row r="1762" spans="1:7" ht="15.9" customHeight="1">
      <c r="A1762" s="552" t="s">
        <v>3702</v>
      </c>
      <c r="B1762" s="556" t="s">
        <v>2796</v>
      </c>
      <c r="C1762" s="647" t="s">
        <v>3228</v>
      </c>
      <c r="D1762" s="550" t="s">
        <v>2875</v>
      </c>
      <c r="E1762" s="552">
        <v>0</v>
      </c>
      <c r="F1762" s="759" t="s">
        <v>8890</v>
      </c>
      <c r="G1762" s="760"/>
    </row>
    <row r="1763" spans="1:7" ht="15.9" customHeight="1">
      <c r="A1763" s="552" t="s">
        <v>3702</v>
      </c>
      <c r="B1763" s="556" t="s">
        <v>2796</v>
      </c>
      <c r="C1763" s="647" t="s">
        <v>3229</v>
      </c>
      <c r="D1763" s="550" t="s">
        <v>2875</v>
      </c>
      <c r="E1763" s="552">
        <v>0</v>
      </c>
      <c r="F1763" s="759" t="s">
        <v>8890</v>
      </c>
      <c r="G1763" s="760"/>
    </row>
    <row r="1764" spans="1:7" ht="15.9" customHeight="1">
      <c r="A1764" s="552" t="s">
        <v>3702</v>
      </c>
      <c r="B1764" s="556" t="s">
        <v>2796</v>
      </c>
      <c r="C1764" s="647" t="s">
        <v>3230</v>
      </c>
      <c r="D1764" s="550" t="s">
        <v>2875</v>
      </c>
      <c r="E1764" s="552">
        <v>0</v>
      </c>
      <c r="F1764" s="759" t="s">
        <v>8890</v>
      </c>
      <c r="G1764" s="760"/>
    </row>
    <row r="1765" spans="1:7" ht="15.9" customHeight="1">
      <c r="A1765" s="552" t="s">
        <v>3702</v>
      </c>
      <c r="B1765" s="556" t="s">
        <v>2796</v>
      </c>
      <c r="C1765" s="647" t="s">
        <v>3231</v>
      </c>
      <c r="D1765" s="550" t="s">
        <v>2875</v>
      </c>
      <c r="E1765" s="552">
        <v>0</v>
      </c>
      <c r="F1765" s="759" t="s">
        <v>8890</v>
      </c>
      <c r="G1765" s="760"/>
    </row>
    <row r="1766" spans="1:7" ht="15.9" customHeight="1">
      <c r="A1766" s="552" t="s">
        <v>3702</v>
      </c>
      <c r="B1766" s="556" t="s">
        <v>2796</v>
      </c>
      <c r="C1766" s="647" t="s">
        <v>3232</v>
      </c>
      <c r="D1766" s="550" t="s">
        <v>2875</v>
      </c>
      <c r="E1766" s="552">
        <v>0</v>
      </c>
      <c r="F1766" s="759" t="s">
        <v>8890</v>
      </c>
      <c r="G1766" s="760"/>
    </row>
    <row r="1767" spans="1:7" ht="15.9" customHeight="1">
      <c r="A1767" s="552" t="s">
        <v>3702</v>
      </c>
      <c r="B1767" s="556" t="s">
        <v>2796</v>
      </c>
      <c r="C1767" s="647" t="s">
        <v>3233</v>
      </c>
      <c r="D1767" s="550" t="s">
        <v>2875</v>
      </c>
      <c r="E1767" s="552">
        <v>0</v>
      </c>
      <c r="F1767" s="759" t="s">
        <v>8890</v>
      </c>
      <c r="G1767" s="760"/>
    </row>
    <row r="1768" spans="1:7" ht="15.9" customHeight="1">
      <c r="A1768" s="552" t="s">
        <v>3702</v>
      </c>
      <c r="B1768" s="556" t="s">
        <v>2796</v>
      </c>
      <c r="C1768" s="647" t="s">
        <v>3234</v>
      </c>
      <c r="D1768" s="550" t="s">
        <v>2875</v>
      </c>
      <c r="E1768" s="552">
        <v>0</v>
      </c>
      <c r="F1768" s="759" t="s">
        <v>8890</v>
      </c>
      <c r="G1768" s="760"/>
    </row>
    <row r="1769" spans="1:7" ht="15.9" customHeight="1">
      <c r="A1769" s="552" t="s">
        <v>3702</v>
      </c>
      <c r="B1769" s="556" t="s">
        <v>2796</v>
      </c>
      <c r="C1769" s="647" t="s">
        <v>3235</v>
      </c>
      <c r="D1769" s="550" t="s">
        <v>2875</v>
      </c>
      <c r="E1769" s="552">
        <v>0</v>
      </c>
      <c r="F1769" s="759" t="s">
        <v>8890</v>
      </c>
      <c r="G1769" s="760"/>
    </row>
    <row r="1770" spans="1:7" ht="15.9" customHeight="1">
      <c r="A1770" s="552" t="s">
        <v>3702</v>
      </c>
      <c r="B1770" s="556" t="s">
        <v>2796</v>
      </c>
      <c r="C1770" s="647" t="s">
        <v>3236</v>
      </c>
      <c r="D1770" s="550" t="s">
        <v>2875</v>
      </c>
      <c r="E1770" s="552">
        <v>0</v>
      </c>
      <c r="F1770" s="759" t="s">
        <v>8890</v>
      </c>
      <c r="G1770" s="760"/>
    </row>
    <row r="1771" spans="1:7" ht="15.9" customHeight="1">
      <c r="A1771" s="552" t="s">
        <v>3702</v>
      </c>
      <c r="B1771" s="556" t="s">
        <v>2796</v>
      </c>
      <c r="C1771" s="647" t="s">
        <v>3237</v>
      </c>
      <c r="D1771" s="550" t="s">
        <v>2875</v>
      </c>
      <c r="E1771" s="552">
        <v>0</v>
      </c>
      <c r="F1771" s="759" t="s">
        <v>8890</v>
      </c>
      <c r="G1771" s="760"/>
    </row>
    <row r="1772" spans="1:7" ht="15.9" customHeight="1">
      <c r="A1772" s="552" t="s">
        <v>3702</v>
      </c>
      <c r="B1772" s="556" t="s">
        <v>2796</v>
      </c>
      <c r="C1772" s="647" t="s">
        <v>3238</v>
      </c>
      <c r="D1772" s="550" t="s">
        <v>2875</v>
      </c>
      <c r="E1772" s="552">
        <v>0</v>
      </c>
      <c r="F1772" s="759" t="s">
        <v>8890</v>
      </c>
      <c r="G1772" s="760"/>
    </row>
    <row r="1773" spans="1:7" ht="15.9" customHeight="1">
      <c r="A1773" s="552" t="s">
        <v>3702</v>
      </c>
      <c r="B1773" s="556" t="s">
        <v>2796</v>
      </c>
      <c r="C1773" s="647" t="s">
        <v>3239</v>
      </c>
      <c r="D1773" s="550" t="s">
        <v>2875</v>
      </c>
      <c r="E1773" s="552">
        <v>0</v>
      </c>
      <c r="F1773" s="759" t="s">
        <v>8890</v>
      </c>
      <c r="G1773" s="760"/>
    </row>
    <row r="1774" spans="1:7" ht="15.9" customHeight="1">
      <c r="A1774" s="552" t="s">
        <v>3702</v>
      </c>
      <c r="B1774" s="556" t="s">
        <v>2796</v>
      </c>
      <c r="C1774" s="647" t="s">
        <v>3240</v>
      </c>
      <c r="D1774" s="550" t="s">
        <v>2875</v>
      </c>
      <c r="E1774" s="552">
        <v>0</v>
      </c>
      <c r="F1774" s="759" t="s">
        <v>8890</v>
      </c>
      <c r="G1774" s="760"/>
    </row>
    <row r="1775" spans="1:7" ht="15.9" customHeight="1">
      <c r="A1775" s="552" t="s">
        <v>3702</v>
      </c>
      <c r="B1775" s="556" t="s">
        <v>2796</v>
      </c>
      <c r="C1775" s="647" t="s">
        <v>3241</v>
      </c>
      <c r="D1775" s="550" t="s">
        <v>2875</v>
      </c>
      <c r="E1775" s="552">
        <v>0</v>
      </c>
      <c r="F1775" s="759" t="s">
        <v>8890</v>
      </c>
      <c r="G1775" s="760"/>
    </row>
    <row r="1776" spans="1:7" ht="15.9" customHeight="1">
      <c r="A1776" s="552" t="s">
        <v>3702</v>
      </c>
      <c r="B1776" s="556" t="s">
        <v>2796</v>
      </c>
      <c r="C1776" s="647" t="s">
        <v>3242</v>
      </c>
      <c r="D1776" s="550" t="s">
        <v>2875</v>
      </c>
      <c r="E1776" s="552">
        <v>0</v>
      </c>
      <c r="F1776" s="759" t="s">
        <v>8890</v>
      </c>
      <c r="G1776" s="760"/>
    </row>
    <row r="1777" spans="1:7" ht="15.9" customHeight="1">
      <c r="A1777" s="552" t="s">
        <v>3702</v>
      </c>
      <c r="B1777" s="556" t="s">
        <v>2796</v>
      </c>
      <c r="C1777" s="647" t="s">
        <v>3243</v>
      </c>
      <c r="D1777" s="550" t="s">
        <v>2875</v>
      </c>
      <c r="E1777" s="552">
        <v>0</v>
      </c>
      <c r="F1777" s="759" t="s">
        <v>8890</v>
      </c>
      <c r="G1777" s="760"/>
    </row>
    <row r="1778" spans="1:7" ht="15.9" customHeight="1">
      <c r="A1778" s="552" t="s">
        <v>3702</v>
      </c>
      <c r="B1778" s="556" t="s">
        <v>2796</v>
      </c>
      <c r="C1778" s="647" t="s">
        <v>3244</v>
      </c>
      <c r="D1778" s="550" t="s">
        <v>2875</v>
      </c>
      <c r="E1778" s="552">
        <v>0</v>
      </c>
      <c r="F1778" s="759" t="s">
        <v>8890</v>
      </c>
      <c r="G1778" s="760"/>
    </row>
    <row r="1779" spans="1:7" ht="15.9" customHeight="1">
      <c r="A1779" s="552" t="s">
        <v>3702</v>
      </c>
      <c r="B1779" s="556" t="s">
        <v>2796</v>
      </c>
      <c r="C1779" s="647" t="s">
        <v>3245</v>
      </c>
      <c r="D1779" s="550" t="s">
        <v>2875</v>
      </c>
      <c r="E1779" s="552">
        <v>0</v>
      </c>
      <c r="F1779" s="759" t="s">
        <v>8890</v>
      </c>
      <c r="G1779" s="760"/>
    </row>
    <row r="1780" spans="1:7" ht="15.9" customHeight="1">
      <c r="A1780" s="552" t="s">
        <v>3702</v>
      </c>
      <c r="B1780" s="556" t="s">
        <v>2796</v>
      </c>
      <c r="C1780" s="647" t="s">
        <v>3246</v>
      </c>
      <c r="D1780" s="550" t="s">
        <v>2875</v>
      </c>
      <c r="E1780" s="552">
        <v>0</v>
      </c>
      <c r="F1780" s="759" t="s">
        <v>8890</v>
      </c>
      <c r="G1780" s="760"/>
    </row>
    <row r="1781" spans="1:7" ht="15.9" customHeight="1">
      <c r="A1781" s="552" t="s">
        <v>3702</v>
      </c>
      <c r="B1781" s="556" t="s">
        <v>2796</v>
      </c>
      <c r="C1781" s="647" t="s">
        <v>3247</v>
      </c>
      <c r="D1781" s="550" t="s">
        <v>2875</v>
      </c>
      <c r="E1781" s="552">
        <v>0</v>
      </c>
      <c r="F1781" s="759" t="s">
        <v>8890</v>
      </c>
      <c r="G1781" s="760"/>
    </row>
    <row r="1782" spans="1:7" ht="15.9" customHeight="1">
      <c r="A1782" s="552" t="s">
        <v>3702</v>
      </c>
      <c r="B1782" s="556" t="s">
        <v>2796</v>
      </c>
      <c r="C1782" s="647" t="s">
        <v>3248</v>
      </c>
      <c r="D1782" s="550" t="s">
        <v>2875</v>
      </c>
      <c r="E1782" s="552">
        <v>0</v>
      </c>
      <c r="F1782" s="759" t="s">
        <v>8890</v>
      </c>
      <c r="G1782" s="760"/>
    </row>
    <row r="1783" spans="1:7" ht="15.9" customHeight="1">
      <c r="A1783" s="552" t="s">
        <v>3702</v>
      </c>
      <c r="B1783" s="556" t="s">
        <v>2796</v>
      </c>
      <c r="C1783" s="647" t="s">
        <v>3249</v>
      </c>
      <c r="D1783" s="550" t="s">
        <v>2875</v>
      </c>
      <c r="E1783" s="552">
        <v>0</v>
      </c>
      <c r="F1783" s="759" t="s">
        <v>8890</v>
      </c>
      <c r="G1783" s="760"/>
    </row>
    <row r="1784" spans="1:7" ht="15.9" customHeight="1">
      <c r="A1784" s="552" t="s">
        <v>3702</v>
      </c>
      <c r="B1784" s="556" t="s">
        <v>2796</v>
      </c>
      <c r="C1784" s="647" t="s">
        <v>3250</v>
      </c>
      <c r="D1784" s="550" t="s">
        <v>2875</v>
      </c>
      <c r="E1784" s="552">
        <v>0</v>
      </c>
      <c r="F1784" s="759" t="s">
        <v>8890</v>
      </c>
      <c r="G1784" s="760"/>
    </row>
    <row r="1785" spans="1:7" ht="15.9" customHeight="1">
      <c r="A1785" s="552" t="s">
        <v>3702</v>
      </c>
      <c r="B1785" s="556" t="s">
        <v>2796</v>
      </c>
      <c r="C1785" s="647" t="s">
        <v>3251</v>
      </c>
      <c r="D1785" s="550" t="s">
        <v>2875</v>
      </c>
      <c r="E1785" s="552">
        <v>0</v>
      </c>
      <c r="F1785" s="759" t="s">
        <v>8890</v>
      </c>
      <c r="G1785" s="760"/>
    </row>
    <row r="1786" spans="1:7" ht="15.9" customHeight="1">
      <c r="A1786" s="552" t="s">
        <v>3702</v>
      </c>
      <c r="B1786" s="556" t="s">
        <v>2796</v>
      </c>
      <c r="C1786" s="647" t="s">
        <v>3252</v>
      </c>
      <c r="D1786" s="550" t="s">
        <v>2875</v>
      </c>
      <c r="E1786" s="552">
        <v>0</v>
      </c>
      <c r="F1786" s="759" t="s">
        <v>8890</v>
      </c>
      <c r="G1786" s="760"/>
    </row>
    <row r="1787" spans="1:7" ht="15.9" customHeight="1">
      <c r="A1787" s="552" t="s">
        <v>3702</v>
      </c>
      <c r="B1787" s="556" t="s">
        <v>2796</v>
      </c>
      <c r="C1787" s="647" t="s">
        <v>3253</v>
      </c>
      <c r="D1787" s="550" t="s">
        <v>2875</v>
      </c>
      <c r="E1787" s="552">
        <v>0</v>
      </c>
      <c r="F1787" s="759" t="s">
        <v>8890</v>
      </c>
      <c r="G1787" s="760"/>
    </row>
    <row r="1788" spans="1:7" ht="15.9" customHeight="1">
      <c r="A1788" s="552" t="s">
        <v>3702</v>
      </c>
      <c r="B1788" s="556" t="s">
        <v>2796</v>
      </c>
      <c r="C1788" s="647" t="s">
        <v>3254</v>
      </c>
      <c r="D1788" s="550" t="s">
        <v>2875</v>
      </c>
      <c r="E1788" s="552">
        <v>0</v>
      </c>
      <c r="F1788" s="759" t="s">
        <v>8890</v>
      </c>
      <c r="G1788" s="760"/>
    </row>
    <row r="1789" spans="1:7" ht="15.9" customHeight="1">
      <c r="A1789" s="552" t="s">
        <v>3702</v>
      </c>
      <c r="B1789" s="556" t="s">
        <v>2796</v>
      </c>
      <c r="C1789" s="647" t="s">
        <v>3255</v>
      </c>
      <c r="D1789" s="550" t="s">
        <v>2875</v>
      </c>
      <c r="E1789" s="552">
        <v>0</v>
      </c>
      <c r="F1789" s="759" t="s">
        <v>8890</v>
      </c>
      <c r="G1789" s="760"/>
    </row>
    <row r="1790" spans="1:7" ht="15.9" customHeight="1">
      <c r="A1790" s="552" t="s">
        <v>3702</v>
      </c>
      <c r="B1790" s="556" t="s">
        <v>2796</v>
      </c>
      <c r="C1790" s="647" t="s">
        <v>3256</v>
      </c>
      <c r="D1790" s="550" t="s">
        <v>2875</v>
      </c>
      <c r="E1790" s="552">
        <v>0</v>
      </c>
      <c r="F1790" s="759" t="s">
        <v>8890</v>
      </c>
      <c r="G1790" s="760"/>
    </row>
    <row r="1791" spans="1:7" ht="15.9" customHeight="1">
      <c r="A1791" s="552" t="s">
        <v>3702</v>
      </c>
      <c r="B1791" s="556" t="s">
        <v>2796</v>
      </c>
      <c r="C1791" s="647" t="s">
        <v>3257</v>
      </c>
      <c r="D1791" s="550" t="s">
        <v>2875</v>
      </c>
      <c r="E1791" s="552">
        <v>0</v>
      </c>
      <c r="F1791" s="759" t="s">
        <v>8890</v>
      </c>
      <c r="G1791" s="760"/>
    </row>
    <row r="1792" spans="1:7" ht="15.9" customHeight="1">
      <c r="A1792" s="552" t="s">
        <v>3702</v>
      </c>
      <c r="B1792" s="556" t="s">
        <v>2796</v>
      </c>
      <c r="C1792" s="647" t="s">
        <v>3492</v>
      </c>
      <c r="D1792" s="550" t="s">
        <v>2875</v>
      </c>
      <c r="E1792" s="552">
        <v>0</v>
      </c>
      <c r="F1792" s="759" t="s">
        <v>8890</v>
      </c>
      <c r="G1792" s="760"/>
    </row>
    <row r="1793" spans="1:7" ht="15.9" customHeight="1">
      <c r="A1793" s="552" t="s">
        <v>3702</v>
      </c>
      <c r="B1793" s="556" t="s">
        <v>2796</v>
      </c>
      <c r="C1793" s="647" t="s">
        <v>3393</v>
      </c>
      <c r="D1793" s="550" t="s">
        <v>2875</v>
      </c>
      <c r="E1793" s="552">
        <v>0</v>
      </c>
      <c r="F1793" s="759" t="s">
        <v>8890</v>
      </c>
      <c r="G1793" s="760"/>
    </row>
    <row r="1794" spans="1:7" ht="15.9" customHeight="1">
      <c r="A1794" s="552" t="s">
        <v>3702</v>
      </c>
      <c r="B1794" s="556" t="s">
        <v>2796</v>
      </c>
      <c r="C1794" s="647" t="s">
        <v>3406</v>
      </c>
      <c r="D1794" s="550" t="s">
        <v>2875</v>
      </c>
      <c r="E1794" s="552">
        <v>0</v>
      </c>
      <c r="F1794" s="759" t="s">
        <v>8890</v>
      </c>
      <c r="G1794" s="760"/>
    </row>
    <row r="1795" spans="1:7" ht="15.9" customHeight="1">
      <c r="A1795" s="552" t="s">
        <v>3702</v>
      </c>
      <c r="B1795" s="556" t="s">
        <v>2796</v>
      </c>
      <c r="C1795" s="647" t="s">
        <v>3416</v>
      </c>
      <c r="D1795" s="550" t="s">
        <v>2875</v>
      </c>
      <c r="E1795" s="552">
        <v>0</v>
      </c>
      <c r="F1795" s="759" t="s">
        <v>8890</v>
      </c>
      <c r="G1795" s="760"/>
    </row>
    <row r="1796" spans="1:7" ht="15.9" customHeight="1">
      <c r="A1796" s="552" t="s">
        <v>3702</v>
      </c>
      <c r="B1796" s="556" t="s">
        <v>2796</v>
      </c>
      <c r="C1796" s="647" t="s">
        <v>3429</v>
      </c>
      <c r="D1796" s="550" t="s">
        <v>2875</v>
      </c>
      <c r="E1796" s="552">
        <v>0</v>
      </c>
      <c r="F1796" s="759" t="s">
        <v>8890</v>
      </c>
      <c r="G1796" s="760"/>
    </row>
    <row r="1797" spans="1:7" ht="15.9" customHeight="1">
      <c r="A1797" s="552" t="s">
        <v>3702</v>
      </c>
      <c r="B1797" s="556" t="s">
        <v>2796</v>
      </c>
      <c r="C1797" s="647" t="s">
        <v>3441</v>
      </c>
      <c r="D1797" s="550" t="s">
        <v>2875</v>
      </c>
      <c r="E1797" s="552">
        <v>0</v>
      </c>
      <c r="F1797" s="759" t="s">
        <v>8890</v>
      </c>
      <c r="G1797" s="760"/>
    </row>
    <row r="1798" spans="1:7" ht="15.9" customHeight="1">
      <c r="A1798" s="552" t="s">
        <v>3702</v>
      </c>
      <c r="B1798" s="556" t="s">
        <v>2796</v>
      </c>
      <c r="C1798" s="647" t="s">
        <v>3451</v>
      </c>
      <c r="D1798" s="550" t="s">
        <v>2875</v>
      </c>
      <c r="E1798" s="552">
        <v>0</v>
      </c>
      <c r="F1798" s="759" t="s">
        <v>8890</v>
      </c>
      <c r="G1798" s="760"/>
    </row>
    <row r="1799" spans="1:7" ht="15.9" customHeight="1">
      <c r="A1799" s="552" t="s">
        <v>3702</v>
      </c>
      <c r="B1799" s="556" t="s">
        <v>2796</v>
      </c>
      <c r="C1799" s="647" t="s">
        <v>3462</v>
      </c>
      <c r="D1799" s="550" t="s">
        <v>2875</v>
      </c>
      <c r="E1799" s="552">
        <v>0</v>
      </c>
      <c r="F1799" s="759" t="s">
        <v>8890</v>
      </c>
      <c r="G1799" s="760"/>
    </row>
    <row r="1800" spans="1:7" ht="15.9" customHeight="1">
      <c r="A1800" s="552" t="s">
        <v>3702</v>
      </c>
      <c r="B1800" s="556" t="s">
        <v>2796</v>
      </c>
      <c r="C1800" s="647" t="s">
        <v>3471</v>
      </c>
      <c r="D1800" s="550" t="s">
        <v>2875</v>
      </c>
      <c r="E1800" s="552">
        <v>0</v>
      </c>
      <c r="F1800" s="759" t="s">
        <v>8890</v>
      </c>
      <c r="G1800" s="760"/>
    </row>
    <row r="1801" spans="1:7" ht="15.9" customHeight="1">
      <c r="A1801" s="552" t="s">
        <v>3702</v>
      </c>
      <c r="B1801" s="556" t="s">
        <v>2796</v>
      </c>
      <c r="C1801" s="647" t="s">
        <v>3478</v>
      </c>
      <c r="D1801" s="550" t="s">
        <v>2875</v>
      </c>
      <c r="E1801" s="552">
        <v>0</v>
      </c>
      <c r="F1801" s="759" t="s">
        <v>8890</v>
      </c>
      <c r="G1801" s="760"/>
    </row>
    <row r="1802" spans="1:7" ht="15.9" customHeight="1">
      <c r="A1802" s="552" t="s">
        <v>3702</v>
      </c>
      <c r="B1802" s="556" t="s">
        <v>2796</v>
      </c>
      <c r="C1802" s="647" t="s">
        <v>3258</v>
      </c>
      <c r="D1802" s="550" t="s">
        <v>2875</v>
      </c>
      <c r="E1802" s="552">
        <v>0</v>
      </c>
      <c r="F1802" s="759" t="s">
        <v>8890</v>
      </c>
      <c r="G1802" s="760"/>
    </row>
    <row r="1803" spans="1:7" ht="15.9" customHeight="1">
      <c r="A1803" s="552" t="s">
        <v>3702</v>
      </c>
      <c r="B1803" s="556" t="s">
        <v>2796</v>
      </c>
      <c r="C1803" s="647" t="s">
        <v>3494</v>
      </c>
      <c r="D1803" s="550" t="s">
        <v>2875</v>
      </c>
      <c r="E1803" s="552">
        <v>0</v>
      </c>
      <c r="F1803" s="759" t="s">
        <v>8890</v>
      </c>
      <c r="G1803" s="760"/>
    </row>
    <row r="1804" spans="1:7" ht="15.9" customHeight="1">
      <c r="A1804" s="552" t="s">
        <v>3702</v>
      </c>
      <c r="B1804" s="556" t="s">
        <v>2796</v>
      </c>
      <c r="C1804" s="647" t="s">
        <v>3259</v>
      </c>
      <c r="D1804" s="550" t="s">
        <v>2875</v>
      </c>
      <c r="E1804" s="552">
        <v>0</v>
      </c>
      <c r="F1804" s="759" t="s">
        <v>8890</v>
      </c>
      <c r="G1804" s="760"/>
    </row>
    <row r="1805" spans="1:7" ht="15.9" customHeight="1">
      <c r="A1805" s="552" t="s">
        <v>3702</v>
      </c>
      <c r="B1805" s="556" t="s">
        <v>2796</v>
      </c>
      <c r="C1805" s="647" t="s">
        <v>3260</v>
      </c>
      <c r="D1805" s="550" t="s">
        <v>2875</v>
      </c>
      <c r="E1805" s="552">
        <v>0</v>
      </c>
      <c r="F1805" s="759" t="s">
        <v>8890</v>
      </c>
      <c r="G1805" s="760"/>
    </row>
    <row r="1806" spans="1:7" ht="15.9" customHeight="1">
      <c r="A1806" s="552" t="s">
        <v>3702</v>
      </c>
      <c r="B1806" s="556" t="s">
        <v>2796</v>
      </c>
      <c r="C1806" s="647" t="s">
        <v>3261</v>
      </c>
      <c r="D1806" s="550" t="s">
        <v>2875</v>
      </c>
      <c r="E1806" s="552">
        <v>0</v>
      </c>
      <c r="F1806" s="759" t="s">
        <v>8890</v>
      </c>
      <c r="G1806" s="760"/>
    </row>
    <row r="1807" spans="1:7" ht="15.9" customHeight="1">
      <c r="A1807" s="552" t="s">
        <v>3702</v>
      </c>
      <c r="B1807" s="556" t="s">
        <v>2796</v>
      </c>
      <c r="C1807" s="647" t="s">
        <v>3262</v>
      </c>
      <c r="D1807" s="550" t="s">
        <v>2875</v>
      </c>
      <c r="E1807" s="552">
        <v>0</v>
      </c>
      <c r="F1807" s="759" t="s">
        <v>8890</v>
      </c>
      <c r="G1807" s="760"/>
    </row>
    <row r="1808" spans="1:7" ht="15.9" customHeight="1">
      <c r="A1808" s="552" t="s">
        <v>3702</v>
      </c>
      <c r="B1808" s="556" t="s">
        <v>2796</v>
      </c>
      <c r="C1808" s="647" t="s">
        <v>3264</v>
      </c>
      <c r="D1808" s="550" t="s">
        <v>2875</v>
      </c>
      <c r="E1808" s="552">
        <v>0</v>
      </c>
      <c r="F1808" s="759" t="s">
        <v>8890</v>
      </c>
      <c r="G1808" s="760"/>
    </row>
    <row r="1809" spans="1:7" ht="15.9" customHeight="1">
      <c r="A1809" s="552" t="s">
        <v>3702</v>
      </c>
      <c r="B1809" s="556" t="s">
        <v>2796</v>
      </c>
      <c r="C1809" s="647" t="s">
        <v>3265</v>
      </c>
      <c r="D1809" s="550" t="s">
        <v>2875</v>
      </c>
      <c r="E1809" s="552">
        <v>0</v>
      </c>
      <c r="F1809" s="759" t="s">
        <v>8890</v>
      </c>
      <c r="G1809" s="760"/>
    </row>
    <row r="1810" spans="1:7" ht="15.9" customHeight="1">
      <c r="A1810" s="552" t="s">
        <v>3702</v>
      </c>
      <c r="B1810" s="556" t="s">
        <v>2796</v>
      </c>
      <c r="C1810" s="647" t="s">
        <v>3266</v>
      </c>
      <c r="D1810" s="550" t="s">
        <v>2875</v>
      </c>
      <c r="E1810" s="552">
        <v>0</v>
      </c>
      <c r="F1810" s="759" t="s">
        <v>8890</v>
      </c>
      <c r="G1810" s="760"/>
    </row>
    <row r="1811" spans="1:7" ht="15.9" customHeight="1">
      <c r="A1811" s="552" t="s">
        <v>3702</v>
      </c>
      <c r="B1811" s="556" t="s">
        <v>2796</v>
      </c>
      <c r="C1811" s="647" t="s">
        <v>3267</v>
      </c>
      <c r="D1811" s="550" t="s">
        <v>2875</v>
      </c>
      <c r="E1811" s="552">
        <v>0</v>
      </c>
      <c r="F1811" s="759" t="s">
        <v>8890</v>
      </c>
      <c r="G1811" s="760"/>
    </row>
    <row r="1812" spans="1:7" ht="15.9" customHeight="1">
      <c r="A1812" s="552" t="s">
        <v>3702</v>
      </c>
      <c r="B1812" s="556" t="s">
        <v>2796</v>
      </c>
      <c r="C1812" s="647" t="s">
        <v>3268</v>
      </c>
      <c r="D1812" s="550" t="s">
        <v>2875</v>
      </c>
      <c r="E1812" s="552">
        <v>0</v>
      </c>
      <c r="F1812" s="759" t="s">
        <v>8890</v>
      </c>
      <c r="G1812" s="760"/>
    </row>
    <row r="1813" spans="1:7" ht="15.9" customHeight="1">
      <c r="A1813" s="552" t="s">
        <v>3702</v>
      </c>
      <c r="B1813" s="556" t="s">
        <v>2796</v>
      </c>
      <c r="C1813" s="647" t="s">
        <v>3269</v>
      </c>
      <c r="D1813" s="550" t="s">
        <v>2875</v>
      </c>
      <c r="E1813" s="552">
        <v>0</v>
      </c>
      <c r="F1813" s="759" t="s">
        <v>8890</v>
      </c>
      <c r="G1813" s="760"/>
    </row>
    <row r="1814" spans="1:7" ht="15.9" customHeight="1">
      <c r="A1814" s="552" t="s">
        <v>3702</v>
      </c>
      <c r="B1814" s="556" t="s">
        <v>2796</v>
      </c>
      <c r="C1814" s="647" t="s">
        <v>3270</v>
      </c>
      <c r="D1814" s="550" t="s">
        <v>2875</v>
      </c>
      <c r="E1814" s="552">
        <v>0</v>
      </c>
      <c r="F1814" s="759" t="s">
        <v>8890</v>
      </c>
      <c r="G1814" s="760"/>
    </row>
    <row r="1815" spans="1:7" ht="15.9" customHeight="1">
      <c r="A1815" s="552" t="s">
        <v>3702</v>
      </c>
      <c r="B1815" s="556" t="s">
        <v>2796</v>
      </c>
      <c r="C1815" s="647" t="s">
        <v>3271</v>
      </c>
      <c r="D1815" s="550" t="s">
        <v>2875</v>
      </c>
      <c r="E1815" s="552">
        <v>0</v>
      </c>
      <c r="F1815" s="759" t="s">
        <v>8890</v>
      </c>
      <c r="G1815" s="760"/>
    </row>
    <row r="1816" spans="1:7" ht="15.9" customHeight="1">
      <c r="A1816" s="552" t="s">
        <v>3702</v>
      </c>
      <c r="B1816" s="556" t="s">
        <v>2796</v>
      </c>
      <c r="C1816" s="647" t="s">
        <v>3272</v>
      </c>
      <c r="D1816" s="550" t="s">
        <v>2875</v>
      </c>
      <c r="E1816" s="552">
        <v>0</v>
      </c>
      <c r="F1816" s="759" t="s">
        <v>8890</v>
      </c>
      <c r="G1816" s="760"/>
    </row>
    <row r="1817" spans="1:7" ht="15.9" customHeight="1">
      <c r="A1817" s="552" t="s">
        <v>3702</v>
      </c>
      <c r="B1817" s="556" t="s">
        <v>2796</v>
      </c>
      <c r="C1817" s="647" t="s">
        <v>3273</v>
      </c>
      <c r="D1817" s="550" t="s">
        <v>2875</v>
      </c>
      <c r="E1817" s="552">
        <v>0</v>
      </c>
      <c r="F1817" s="759" t="s">
        <v>8890</v>
      </c>
      <c r="G1817" s="760"/>
    </row>
    <row r="1818" spans="1:7" ht="15.9" customHeight="1">
      <c r="A1818" s="552" t="s">
        <v>3702</v>
      </c>
      <c r="B1818" s="556" t="s">
        <v>2796</v>
      </c>
      <c r="C1818" s="647" t="s">
        <v>3274</v>
      </c>
      <c r="D1818" s="550" t="s">
        <v>2875</v>
      </c>
      <c r="E1818" s="552">
        <v>0</v>
      </c>
      <c r="F1818" s="759" t="s">
        <v>8890</v>
      </c>
      <c r="G1818" s="760"/>
    </row>
    <row r="1819" spans="1:7" ht="15.9" customHeight="1">
      <c r="A1819" s="552" t="s">
        <v>3702</v>
      </c>
      <c r="B1819" s="556" t="s">
        <v>2796</v>
      </c>
      <c r="C1819" s="647" t="s">
        <v>3276</v>
      </c>
      <c r="D1819" s="550" t="s">
        <v>2875</v>
      </c>
      <c r="E1819" s="552">
        <v>0</v>
      </c>
      <c r="F1819" s="759" t="s">
        <v>8890</v>
      </c>
      <c r="G1819" s="760"/>
    </row>
    <row r="1820" spans="1:7" ht="15.9" customHeight="1">
      <c r="A1820" s="552" t="s">
        <v>3702</v>
      </c>
      <c r="B1820" s="556" t="s">
        <v>2796</v>
      </c>
      <c r="C1820" s="647" t="s">
        <v>3277</v>
      </c>
      <c r="D1820" s="550" t="s">
        <v>2875</v>
      </c>
      <c r="E1820" s="552">
        <v>0</v>
      </c>
      <c r="F1820" s="759" t="s">
        <v>8890</v>
      </c>
      <c r="G1820" s="760"/>
    </row>
    <row r="1821" spans="1:7" ht="15.9" customHeight="1">
      <c r="A1821" s="552" t="s">
        <v>3702</v>
      </c>
      <c r="B1821" s="557" t="s">
        <v>2800</v>
      </c>
      <c r="C1821" s="652" t="s">
        <v>3279</v>
      </c>
      <c r="D1821" s="550" t="s">
        <v>2998</v>
      </c>
      <c r="E1821" s="552">
        <v>0</v>
      </c>
      <c r="F1821" s="759" t="s">
        <v>8890</v>
      </c>
      <c r="G1821" s="760"/>
    </row>
    <row r="1822" spans="1:7" ht="15.9" customHeight="1">
      <c r="A1822" s="552" t="s">
        <v>3702</v>
      </c>
      <c r="B1822" s="557" t="s">
        <v>2800</v>
      </c>
      <c r="C1822" s="648" t="s">
        <v>3280</v>
      </c>
      <c r="D1822" s="550" t="s">
        <v>2998</v>
      </c>
      <c r="E1822" s="552">
        <v>0</v>
      </c>
      <c r="F1822" s="759" t="s">
        <v>8890</v>
      </c>
      <c r="G1822" s="760"/>
    </row>
    <row r="1823" spans="1:7" ht="15.9" customHeight="1">
      <c r="A1823" s="552" t="s">
        <v>3702</v>
      </c>
      <c r="B1823" s="557" t="s">
        <v>2800</v>
      </c>
      <c r="C1823" s="648" t="s">
        <v>3281</v>
      </c>
      <c r="D1823" s="550" t="s">
        <v>2998</v>
      </c>
      <c r="E1823" s="552">
        <v>0</v>
      </c>
      <c r="F1823" s="759" t="s">
        <v>8890</v>
      </c>
      <c r="G1823" s="760"/>
    </row>
    <row r="1824" spans="1:7" ht="15.9" customHeight="1">
      <c r="A1824" s="552" t="s">
        <v>3702</v>
      </c>
      <c r="B1824" s="557" t="s">
        <v>2800</v>
      </c>
      <c r="C1824" s="648" t="s">
        <v>3282</v>
      </c>
      <c r="D1824" s="550" t="s">
        <v>2998</v>
      </c>
      <c r="E1824" s="552">
        <v>0</v>
      </c>
      <c r="F1824" s="759" t="s">
        <v>8890</v>
      </c>
      <c r="G1824" s="760"/>
    </row>
    <row r="1825" spans="1:7" ht="15.9" customHeight="1">
      <c r="A1825" s="552" t="s">
        <v>3702</v>
      </c>
      <c r="B1825" s="557" t="s">
        <v>2800</v>
      </c>
      <c r="C1825" s="648" t="s">
        <v>3283</v>
      </c>
      <c r="D1825" s="550" t="s">
        <v>2998</v>
      </c>
      <c r="E1825" s="552">
        <v>0</v>
      </c>
      <c r="F1825" s="759" t="s">
        <v>8890</v>
      </c>
      <c r="G1825" s="760"/>
    </row>
    <row r="1826" spans="1:7" ht="15.9" customHeight="1">
      <c r="A1826" s="552" t="s">
        <v>3702</v>
      </c>
      <c r="B1826" s="557" t="s">
        <v>2800</v>
      </c>
      <c r="C1826" s="648" t="s">
        <v>3284</v>
      </c>
      <c r="D1826" s="550" t="s">
        <v>2998</v>
      </c>
      <c r="E1826" s="552">
        <v>0</v>
      </c>
      <c r="F1826" s="759" t="s">
        <v>8890</v>
      </c>
      <c r="G1826" s="760"/>
    </row>
    <row r="1827" spans="1:7" ht="15.9" customHeight="1">
      <c r="A1827" s="552" t="s">
        <v>3702</v>
      </c>
      <c r="B1827" s="557" t="s">
        <v>2800</v>
      </c>
      <c r="C1827" s="648" t="s">
        <v>3285</v>
      </c>
      <c r="D1827" s="550" t="s">
        <v>2998</v>
      </c>
      <c r="E1827" s="552">
        <v>0</v>
      </c>
      <c r="F1827" s="759" t="s">
        <v>8890</v>
      </c>
      <c r="G1827" s="760"/>
    </row>
    <row r="1828" spans="1:7" ht="15.9" customHeight="1">
      <c r="A1828" s="552" t="s">
        <v>3702</v>
      </c>
      <c r="B1828" s="557" t="s">
        <v>2800</v>
      </c>
      <c r="C1828" s="648" t="s">
        <v>3286</v>
      </c>
      <c r="D1828" s="550" t="s">
        <v>2998</v>
      </c>
      <c r="E1828" s="552">
        <v>0</v>
      </c>
      <c r="F1828" s="759" t="s">
        <v>8890</v>
      </c>
      <c r="G1828" s="760"/>
    </row>
    <row r="1829" spans="1:7" ht="15.9" customHeight="1">
      <c r="A1829" s="552" t="s">
        <v>3702</v>
      </c>
      <c r="B1829" s="557" t="s">
        <v>2800</v>
      </c>
      <c r="C1829" s="648" t="s">
        <v>3287</v>
      </c>
      <c r="D1829" s="550" t="s">
        <v>2998</v>
      </c>
      <c r="E1829" s="552">
        <v>0</v>
      </c>
      <c r="F1829" s="759" t="s">
        <v>8890</v>
      </c>
      <c r="G1829" s="760"/>
    </row>
    <row r="1830" spans="1:7" ht="15.9" customHeight="1">
      <c r="A1830" s="552" t="s">
        <v>3702</v>
      </c>
      <c r="B1830" s="557" t="s">
        <v>2800</v>
      </c>
      <c r="C1830" s="648" t="s">
        <v>3288</v>
      </c>
      <c r="D1830" s="550" t="s">
        <v>2998</v>
      </c>
      <c r="E1830" s="552">
        <v>0</v>
      </c>
      <c r="F1830" s="759" t="s">
        <v>8890</v>
      </c>
      <c r="G1830" s="760"/>
    </row>
    <row r="1831" spans="1:7" ht="15.9" customHeight="1">
      <c r="A1831" s="552" t="s">
        <v>3702</v>
      </c>
      <c r="B1831" s="557" t="s">
        <v>2800</v>
      </c>
      <c r="C1831" s="648" t="s">
        <v>3289</v>
      </c>
      <c r="D1831" s="550" t="s">
        <v>2998</v>
      </c>
      <c r="E1831" s="552">
        <v>0</v>
      </c>
      <c r="F1831" s="759" t="s">
        <v>8890</v>
      </c>
      <c r="G1831" s="760"/>
    </row>
    <row r="1832" spans="1:7" ht="15.9" customHeight="1">
      <c r="A1832" s="552" t="s">
        <v>3702</v>
      </c>
      <c r="B1832" s="557" t="s">
        <v>2800</v>
      </c>
      <c r="C1832" s="648" t="s">
        <v>3290</v>
      </c>
      <c r="D1832" s="550" t="s">
        <v>2998</v>
      </c>
      <c r="E1832" s="552">
        <v>0</v>
      </c>
      <c r="F1832" s="759" t="s">
        <v>8890</v>
      </c>
      <c r="G1832" s="760"/>
    </row>
    <row r="1833" spans="1:7" ht="15.9" customHeight="1">
      <c r="A1833" s="552" t="s">
        <v>3702</v>
      </c>
      <c r="B1833" s="557" t="s">
        <v>2800</v>
      </c>
      <c r="C1833" s="648" t="s">
        <v>3291</v>
      </c>
      <c r="D1833" s="550" t="s">
        <v>2998</v>
      </c>
      <c r="E1833" s="552">
        <v>0</v>
      </c>
      <c r="F1833" s="759" t="s">
        <v>8890</v>
      </c>
      <c r="G1833" s="760"/>
    </row>
    <row r="1834" spans="1:7" ht="15.9" customHeight="1">
      <c r="A1834" s="552" t="s">
        <v>3702</v>
      </c>
      <c r="B1834" s="557" t="s">
        <v>2800</v>
      </c>
      <c r="C1834" s="648" t="s">
        <v>3292</v>
      </c>
      <c r="D1834" s="550" t="s">
        <v>2998</v>
      </c>
      <c r="E1834" s="552">
        <v>0</v>
      </c>
      <c r="F1834" s="759" t="s">
        <v>8890</v>
      </c>
      <c r="G1834" s="760"/>
    </row>
    <row r="1835" spans="1:7" ht="15.9" customHeight="1">
      <c r="A1835" s="552" t="s">
        <v>3702</v>
      </c>
      <c r="B1835" s="557" t="s">
        <v>2800</v>
      </c>
      <c r="C1835" s="648" t="s">
        <v>3293</v>
      </c>
      <c r="D1835" s="550" t="s">
        <v>2998</v>
      </c>
      <c r="E1835" s="552">
        <v>0</v>
      </c>
      <c r="F1835" s="759" t="s">
        <v>8890</v>
      </c>
      <c r="G1835" s="760"/>
    </row>
    <row r="1836" spans="1:7" ht="15.9" customHeight="1">
      <c r="A1836" s="552" t="s">
        <v>3702</v>
      </c>
      <c r="B1836" s="557" t="s">
        <v>2800</v>
      </c>
      <c r="C1836" s="648" t="s">
        <v>3294</v>
      </c>
      <c r="D1836" s="550" t="s">
        <v>2998</v>
      </c>
      <c r="E1836" s="552">
        <v>0</v>
      </c>
      <c r="F1836" s="759" t="s">
        <v>8890</v>
      </c>
      <c r="G1836" s="760"/>
    </row>
    <row r="1837" spans="1:7" ht="15.9" customHeight="1">
      <c r="A1837" s="552" t="s">
        <v>3702</v>
      </c>
      <c r="B1837" s="557" t="s">
        <v>2800</v>
      </c>
      <c r="C1837" s="648" t="s">
        <v>3295</v>
      </c>
      <c r="D1837" s="550" t="s">
        <v>2998</v>
      </c>
      <c r="E1837" s="552">
        <v>0</v>
      </c>
      <c r="F1837" s="759" t="s">
        <v>8890</v>
      </c>
      <c r="G1837" s="760"/>
    </row>
    <row r="1838" spans="1:7" ht="15.9" customHeight="1">
      <c r="A1838" s="552" t="s">
        <v>3702</v>
      </c>
      <c r="B1838" s="557" t="s">
        <v>2800</v>
      </c>
      <c r="C1838" s="648" t="s">
        <v>3296</v>
      </c>
      <c r="D1838" s="550" t="s">
        <v>2998</v>
      </c>
      <c r="E1838" s="552">
        <v>0</v>
      </c>
      <c r="F1838" s="759" t="s">
        <v>8890</v>
      </c>
      <c r="G1838" s="760"/>
    </row>
    <row r="1839" spans="1:7" ht="15.9" customHeight="1">
      <c r="A1839" s="552" t="s">
        <v>3702</v>
      </c>
      <c r="B1839" s="557" t="s">
        <v>2800</v>
      </c>
      <c r="C1839" s="648" t="s">
        <v>3297</v>
      </c>
      <c r="D1839" s="550" t="s">
        <v>2998</v>
      </c>
      <c r="E1839" s="552">
        <v>0</v>
      </c>
      <c r="F1839" s="759" t="s">
        <v>8890</v>
      </c>
      <c r="G1839" s="760"/>
    </row>
    <row r="1840" spans="1:7" ht="15.9" customHeight="1">
      <c r="A1840" s="552" t="s">
        <v>3702</v>
      </c>
      <c r="B1840" s="557" t="s">
        <v>2800</v>
      </c>
      <c r="C1840" s="648" t="s">
        <v>3298</v>
      </c>
      <c r="D1840" s="550" t="s">
        <v>2998</v>
      </c>
      <c r="E1840" s="552">
        <v>0</v>
      </c>
      <c r="F1840" s="759" t="s">
        <v>8890</v>
      </c>
      <c r="G1840" s="760"/>
    </row>
    <row r="1841" spans="1:7" ht="15.9" customHeight="1">
      <c r="A1841" s="552" t="s">
        <v>3702</v>
      </c>
      <c r="B1841" s="557" t="s">
        <v>2800</v>
      </c>
      <c r="C1841" s="648" t="s">
        <v>3299</v>
      </c>
      <c r="D1841" s="550" t="s">
        <v>2998</v>
      </c>
      <c r="E1841" s="552">
        <v>0</v>
      </c>
      <c r="F1841" s="759" t="s">
        <v>8890</v>
      </c>
      <c r="G1841" s="760"/>
    </row>
    <row r="1842" spans="1:7" ht="15.9" customHeight="1">
      <c r="A1842" s="552" t="s">
        <v>3702</v>
      </c>
      <c r="B1842" s="557" t="s">
        <v>2800</v>
      </c>
      <c r="C1842" s="648" t="s">
        <v>3300</v>
      </c>
      <c r="D1842" s="550" t="s">
        <v>2998</v>
      </c>
      <c r="E1842" s="552">
        <v>0</v>
      </c>
      <c r="F1842" s="759" t="s">
        <v>8890</v>
      </c>
      <c r="G1842" s="760"/>
    </row>
    <row r="1843" spans="1:7" ht="15.9" customHeight="1">
      <c r="A1843" s="552" t="s">
        <v>3702</v>
      </c>
      <c r="B1843" s="557" t="s">
        <v>2800</v>
      </c>
      <c r="C1843" s="648" t="s">
        <v>3301</v>
      </c>
      <c r="D1843" s="550" t="s">
        <v>2998</v>
      </c>
      <c r="E1843" s="552">
        <v>0</v>
      </c>
      <c r="F1843" s="759" t="s">
        <v>8890</v>
      </c>
      <c r="G1843" s="760"/>
    </row>
    <row r="1844" spans="1:7" ht="15.9" customHeight="1">
      <c r="A1844" s="552" t="s">
        <v>3702</v>
      </c>
      <c r="B1844" s="557" t="s">
        <v>2800</v>
      </c>
      <c r="C1844" s="648" t="s">
        <v>3302</v>
      </c>
      <c r="D1844" s="550" t="s">
        <v>2998</v>
      </c>
      <c r="E1844" s="552">
        <v>0</v>
      </c>
      <c r="F1844" s="759" t="s">
        <v>8890</v>
      </c>
      <c r="G1844" s="760"/>
    </row>
    <row r="1845" spans="1:7" ht="15.9" customHeight="1">
      <c r="A1845" s="552" t="s">
        <v>3702</v>
      </c>
      <c r="B1845" s="557" t="s">
        <v>2800</v>
      </c>
      <c r="C1845" s="648" t="s">
        <v>3303</v>
      </c>
      <c r="D1845" s="550" t="s">
        <v>2998</v>
      </c>
      <c r="E1845" s="552">
        <v>0</v>
      </c>
      <c r="F1845" s="759" t="s">
        <v>8890</v>
      </c>
      <c r="G1845" s="760"/>
    </row>
    <row r="1846" spans="1:7" ht="15.9" customHeight="1">
      <c r="A1846" s="552" t="s">
        <v>3702</v>
      </c>
      <c r="B1846" s="557" t="s">
        <v>2800</v>
      </c>
      <c r="C1846" s="648" t="s">
        <v>3304</v>
      </c>
      <c r="D1846" s="550" t="s">
        <v>2998</v>
      </c>
      <c r="E1846" s="552">
        <v>0</v>
      </c>
      <c r="F1846" s="759" t="s">
        <v>8890</v>
      </c>
      <c r="G1846" s="760"/>
    </row>
    <row r="1847" spans="1:7" ht="15.9" customHeight="1">
      <c r="A1847" s="552" t="s">
        <v>3702</v>
      </c>
      <c r="B1847" s="557" t="s">
        <v>2800</v>
      </c>
      <c r="C1847" s="648" t="s">
        <v>3305</v>
      </c>
      <c r="D1847" s="550" t="s">
        <v>2998</v>
      </c>
      <c r="E1847" s="552">
        <v>0</v>
      </c>
      <c r="F1847" s="759" t="s">
        <v>8890</v>
      </c>
      <c r="G1847" s="760"/>
    </row>
    <row r="1848" spans="1:7" ht="15.9" customHeight="1">
      <c r="A1848" s="552" t="s">
        <v>3702</v>
      </c>
      <c r="B1848" s="557" t="s">
        <v>2800</v>
      </c>
      <c r="C1848" s="648" t="s">
        <v>3306</v>
      </c>
      <c r="D1848" s="550" t="s">
        <v>2998</v>
      </c>
      <c r="E1848" s="552">
        <v>0</v>
      </c>
      <c r="F1848" s="759" t="s">
        <v>8890</v>
      </c>
      <c r="G1848" s="760"/>
    </row>
    <row r="1849" spans="1:7" ht="15.9" customHeight="1">
      <c r="A1849" s="552" t="s">
        <v>3702</v>
      </c>
      <c r="B1849" s="557" t="s">
        <v>2800</v>
      </c>
      <c r="C1849" s="648" t="s">
        <v>3307</v>
      </c>
      <c r="D1849" s="550" t="s">
        <v>2998</v>
      </c>
      <c r="E1849" s="552">
        <v>0</v>
      </c>
      <c r="F1849" s="759" t="s">
        <v>8890</v>
      </c>
      <c r="G1849" s="760"/>
    </row>
    <row r="1850" spans="1:7" ht="15.9" customHeight="1">
      <c r="A1850" s="552" t="s">
        <v>3702</v>
      </c>
      <c r="B1850" s="557" t="s">
        <v>2800</v>
      </c>
      <c r="C1850" s="648" t="s">
        <v>3308</v>
      </c>
      <c r="D1850" s="550" t="s">
        <v>2998</v>
      </c>
      <c r="E1850" s="552">
        <v>0</v>
      </c>
      <c r="F1850" s="759" t="s">
        <v>8890</v>
      </c>
      <c r="G1850" s="760"/>
    </row>
    <row r="1851" spans="1:7" ht="15.9" customHeight="1">
      <c r="A1851" s="552" t="s">
        <v>3702</v>
      </c>
      <c r="B1851" s="557" t="s">
        <v>2800</v>
      </c>
      <c r="C1851" s="648" t="s">
        <v>3309</v>
      </c>
      <c r="D1851" s="550" t="s">
        <v>2998</v>
      </c>
      <c r="E1851" s="552">
        <v>0</v>
      </c>
      <c r="F1851" s="759" t="s">
        <v>8890</v>
      </c>
      <c r="G1851" s="760"/>
    </row>
    <row r="1852" spans="1:7" ht="15.9" customHeight="1">
      <c r="A1852" s="552" t="s">
        <v>3702</v>
      </c>
      <c r="B1852" s="557" t="s">
        <v>2800</v>
      </c>
      <c r="C1852" s="648" t="s">
        <v>3310</v>
      </c>
      <c r="D1852" s="550" t="s">
        <v>2998</v>
      </c>
      <c r="E1852" s="552">
        <v>0</v>
      </c>
      <c r="F1852" s="759" t="s">
        <v>8890</v>
      </c>
      <c r="G1852" s="760"/>
    </row>
    <row r="1853" spans="1:7" ht="15.9" customHeight="1">
      <c r="A1853" s="552" t="s">
        <v>3702</v>
      </c>
      <c r="B1853" s="557" t="s">
        <v>2800</v>
      </c>
      <c r="C1853" s="648" t="s">
        <v>3311</v>
      </c>
      <c r="D1853" s="550" t="s">
        <v>2998</v>
      </c>
      <c r="E1853" s="552">
        <v>0</v>
      </c>
      <c r="F1853" s="759" t="s">
        <v>8890</v>
      </c>
      <c r="G1853" s="760"/>
    </row>
    <row r="1854" spans="1:7" ht="15.9" customHeight="1">
      <c r="A1854" s="552" t="s">
        <v>3702</v>
      </c>
      <c r="B1854" s="557" t="s">
        <v>2800</v>
      </c>
      <c r="C1854" s="648" t="s">
        <v>3312</v>
      </c>
      <c r="D1854" s="550" t="s">
        <v>2998</v>
      </c>
      <c r="E1854" s="552">
        <v>0</v>
      </c>
      <c r="F1854" s="759" t="s">
        <v>8890</v>
      </c>
      <c r="G1854" s="760"/>
    </row>
    <row r="1855" spans="1:7" ht="15.9" customHeight="1">
      <c r="A1855" s="552" t="s">
        <v>3702</v>
      </c>
      <c r="B1855" s="557" t="s">
        <v>2800</v>
      </c>
      <c r="C1855" s="648" t="s">
        <v>3313</v>
      </c>
      <c r="D1855" s="550" t="s">
        <v>2998</v>
      </c>
      <c r="E1855" s="552">
        <v>0</v>
      </c>
      <c r="F1855" s="759" t="s">
        <v>8890</v>
      </c>
      <c r="G1855" s="760"/>
    </row>
    <row r="1856" spans="1:7" ht="15.9" customHeight="1">
      <c r="A1856" s="552" t="s">
        <v>3702</v>
      </c>
      <c r="B1856" s="557" t="s">
        <v>2800</v>
      </c>
      <c r="C1856" s="648" t="s">
        <v>3314</v>
      </c>
      <c r="D1856" s="550" t="s">
        <v>2998</v>
      </c>
      <c r="E1856" s="552">
        <v>0</v>
      </c>
      <c r="F1856" s="759" t="s">
        <v>8890</v>
      </c>
      <c r="G1856" s="761"/>
    </row>
    <row r="1857" spans="1:7" ht="15.9" customHeight="1">
      <c r="A1857" s="552" t="s">
        <v>3702</v>
      </c>
      <c r="B1857" s="557" t="s">
        <v>2800</v>
      </c>
      <c r="C1857" s="648" t="s">
        <v>3315</v>
      </c>
      <c r="D1857" s="550" t="s">
        <v>2998</v>
      </c>
      <c r="E1857" s="552">
        <v>0</v>
      </c>
      <c r="F1857" s="759" t="s">
        <v>8890</v>
      </c>
      <c r="G1857" s="761"/>
    </row>
    <row r="1858" spans="1:7" ht="15.9" customHeight="1">
      <c r="A1858" s="552" t="s">
        <v>3702</v>
      </c>
      <c r="B1858" s="557" t="s">
        <v>2800</v>
      </c>
      <c r="C1858" s="648" t="s">
        <v>3316</v>
      </c>
      <c r="D1858" s="550" t="s">
        <v>2998</v>
      </c>
      <c r="E1858" s="552">
        <v>0</v>
      </c>
      <c r="F1858" s="759" t="s">
        <v>8890</v>
      </c>
      <c r="G1858" s="760"/>
    </row>
    <row r="1859" spans="1:7" ht="15.9" customHeight="1">
      <c r="A1859" s="552" t="s">
        <v>3702</v>
      </c>
      <c r="B1859" s="557" t="s">
        <v>2800</v>
      </c>
      <c r="C1859" s="648" t="s">
        <v>3317</v>
      </c>
      <c r="D1859" s="550" t="s">
        <v>2998</v>
      </c>
      <c r="E1859" s="552">
        <v>0</v>
      </c>
      <c r="F1859" s="759" t="s">
        <v>8890</v>
      </c>
      <c r="G1859" s="760"/>
    </row>
    <row r="1860" spans="1:7" ht="15.9" customHeight="1">
      <c r="A1860" s="552" t="s">
        <v>3702</v>
      </c>
      <c r="B1860" s="557" t="s">
        <v>2800</v>
      </c>
      <c r="C1860" s="648" t="s">
        <v>3318</v>
      </c>
      <c r="D1860" s="550" t="s">
        <v>2998</v>
      </c>
      <c r="E1860" s="552">
        <v>0</v>
      </c>
      <c r="F1860" s="759" t="s">
        <v>8890</v>
      </c>
      <c r="G1860" s="761"/>
    </row>
    <row r="1861" spans="1:7" ht="15.9" customHeight="1">
      <c r="A1861" s="552" t="s">
        <v>3702</v>
      </c>
      <c r="B1861" s="557" t="s">
        <v>2800</v>
      </c>
      <c r="C1861" s="648" t="s">
        <v>3319</v>
      </c>
      <c r="D1861" s="550" t="s">
        <v>2998</v>
      </c>
      <c r="E1861" s="552">
        <v>0</v>
      </c>
      <c r="F1861" s="759" t="s">
        <v>8890</v>
      </c>
      <c r="G1861" s="761"/>
    </row>
    <row r="1862" spans="1:7" ht="15.9" customHeight="1">
      <c r="A1862" s="552" t="s">
        <v>3702</v>
      </c>
      <c r="B1862" s="557" t="s">
        <v>2800</v>
      </c>
      <c r="C1862" s="648" t="s">
        <v>3320</v>
      </c>
      <c r="D1862" s="550" t="s">
        <v>2998</v>
      </c>
      <c r="E1862" s="552">
        <v>0</v>
      </c>
      <c r="F1862" s="759" t="s">
        <v>8890</v>
      </c>
      <c r="G1862" s="761"/>
    </row>
    <row r="1863" spans="1:7" ht="15.9" customHeight="1">
      <c r="A1863" s="552" t="s">
        <v>3702</v>
      </c>
      <c r="B1863" s="557" t="s">
        <v>2800</v>
      </c>
      <c r="C1863" s="648" t="s">
        <v>3321</v>
      </c>
      <c r="D1863" s="550" t="s">
        <v>2998</v>
      </c>
      <c r="E1863" s="552">
        <v>0</v>
      </c>
      <c r="F1863" s="759" t="s">
        <v>8890</v>
      </c>
      <c r="G1863" s="761"/>
    </row>
    <row r="1864" spans="1:7" ht="15.9" customHeight="1">
      <c r="A1864" s="552" t="s">
        <v>3702</v>
      </c>
      <c r="B1864" s="557" t="s">
        <v>2800</v>
      </c>
      <c r="C1864" s="648" t="s">
        <v>3322</v>
      </c>
      <c r="D1864" s="550" t="s">
        <v>2998</v>
      </c>
      <c r="E1864" s="552">
        <v>0</v>
      </c>
      <c r="F1864" s="759" t="s">
        <v>8890</v>
      </c>
      <c r="G1864" s="761"/>
    </row>
    <row r="1865" spans="1:7" ht="15.9" customHeight="1">
      <c r="A1865" s="552" t="s">
        <v>3702</v>
      </c>
      <c r="B1865" s="557" t="s">
        <v>2800</v>
      </c>
      <c r="C1865" s="648" t="s">
        <v>3323</v>
      </c>
      <c r="D1865" s="550" t="s">
        <v>2998</v>
      </c>
      <c r="E1865" s="552">
        <v>0</v>
      </c>
      <c r="F1865" s="759" t="s">
        <v>8890</v>
      </c>
      <c r="G1865" s="760"/>
    </row>
    <row r="1866" spans="1:7" ht="15.9" customHeight="1">
      <c r="A1866" s="552" t="s">
        <v>3702</v>
      </c>
      <c r="B1866" s="557" t="s">
        <v>2800</v>
      </c>
      <c r="C1866" s="648" t="s">
        <v>3324</v>
      </c>
      <c r="D1866" s="550" t="s">
        <v>2998</v>
      </c>
      <c r="E1866" s="552">
        <v>0</v>
      </c>
      <c r="F1866" s="759" t="s">
        <v>8890</v>
      </c>
      <c r="G1866" s="760"/>
    </row>
    <row r="1867" spans="1:7" ht="15.9" customHeight="1">
      <c r="A1867" s="552" t="s">
        <v>3702</v>
      </c>
      <c r="B1867" s="557" t="s">
        <v>2800</v>
      </c>
      <c r="C1867" s="648" t="s">
        <v>3325</v>
      </c>
      <c r="D1867" s="550" t="s">
        <v>2998</v>
      </c>
      <c r="E1867" s="552">
        <v>0</v>
      </c>
      <c r="F1867" s="759" t="s">
        <v>8890</v>
      </c>
      <c r="G1867" s="760"/>
    </row>
    <row r="1868" spans="1:7" ht="15.9" customHeight="1">
      <c r="A1868" s="552" t="s">
        <v>3702</v>
      </c>
      <c r="B1868" s="557" t="s">
        <v>2800</v>
      </c>
      <c r="C1868" s="648" t="s">
        <v>3326</v>
      </c>
      <c r="D1868" s="550" t="s">
        <v>2998</v>
      </c>
      <c r="E1868" s="552">
        <v>0</v>
      </c>
      <c r="F1868" s="759" t="s">
        <v>8890</v>
      </c>
      <c r="G1868" s="761"/>
    </row>
    <row r="1869" spans="1:7" ht="15.9" customHeight="1">
      <c r="A1869" s="552" t="s">
        <v>3702</v>
      </c>
      <c r="B1869" s="557" t="s">
        <v>2800</v>
      </c>
      <c r="C1869" s="648" t="s">
        <v>3327</v>
      </c>
      <c r="D1869" s="550" t="s">
        <v>2998</v>
      </c>
      <c r="E1869" s="552">
        <v>0</v>
      </c>
      <c r="F1869" s="759" t="s">
        <v>8890</v>
      </c>
      <c r="G1869" s="760"/>
    </row>
    <row r="1870" spans="1:7" ht="15.9" customHeight="1">
      <c r="A1870" s="552" t="s">
        <v>3702</v>
      </c>
      <c r="B1870" s="557" t="s">
        <v>2800</v>
      </c>
      <c r="C1870" s="648" t="s">
        <v>3328</v>
      </c>
      <c r="D1870" s="550" t="s">
        <v>2998</v>
      </c>
      <c r="E1870" s="552">
        <v>0</v>
      </c>
      <c r="F1870" s="759" t="s">
        <v>8890</v>
      </c>
      <c r="G1870" s="761"/>
    </row>
    <row r="1871" spans="1:7" ht="15.9" customHeight="1">
      <c r="A1871" s="552" t="s">
        <v>3702</v>
      </c>
      <c r="B1871" s="557" t="s">
        <v>2800</v>
      </c>
      <c r="C1871" s="648" t="s">
        <v>3329</v>
      </c>
      <c r="D1871" s="550" t="s">
        <v>2998</v>
      </c>
      <c r="E1871" s="552">
        <v>0</v>
      </c>
      <c r="F1871" s="759" t="s">
        <v>8890</v>
      </c>
      <c r="G1871" s="760"/>
    </row>
    <row r="1872" spans="1:7" ht="15.9" customHeight="1">
      <c r="A1872" s="552" t="s">
        <v>3702</v>
      </c>
      <c r="B1872" s="557" t="s">
        <v>2800</v>
      </c>
      <c r="C1872" s="648" t="s">
        <v>3330</v>
      </c>
      <c r="D1872" s="550" t="s">
        <v>2998</v>
      </c>
      <c r="E1872" s="552">
        <v>0</v>
      </c>
      <c r="F1872" s="759" t="s">
        <v>8890</v>
      </c>
      <c r="G1872" s="761"/>
    </row>
    <row r="1873" spans="1:7" ht="15.9" customHeight="1">
      <c r="A1873" s="552" t="s">
        <v>3702</v>
      </c>
      <c r="B1873" s="557" t="s">
        <v>2800</v>
      </c>
      <c r="C1873" s="648" t="s">
        <v>3331</v>
      </c>
      <c r="D1873" s="550" t="s">
        <v>2998</v>
      </c>
      <c r="E1873" s="552">
        <v>0</v>
      </c>
      <c r="F1873" s="759" t="s">
        <v>8890</v>
      </c>
      <c r="G1873" s="760"/>
    </row>
    <row r="1874" spans="1:7" ht="15.9" customHeight="1">
      <c r="A1874" s="552" t="s">
        <v>3702</v>
      </c>
      <c r="B1874" s="557" t="s">
        <v>2800</v>
      </c>
      <c r="C1874" s="648" t="s">
        <v>3332</v>
      </c>
      <c r="D1874" s="550" t="s">
        <v>2998</v>
      </c>
      <c r="E1874" s="552">
        <v>0</v>
      </c>
      <c r="F1874" s="759" t="s">
        <v>8890</v>
      </c>
      <c r="G1874" s="761"/>
    </row>
    <row r="1875" spans="1:7" ht="15.9" customHeight="1">
      <c r="A1875" s="552" t="s">
        <v>3702</v>
      </c>
      <c r="B1875" s="557" t="s">
        <v>2800</v>
      </c>
      <c r="C1875" s="648" t="s">
        <v>3631</v>
      </c>
      <c r="D1875" s="550" t="s">
        <v>2998</v>
      </c>
      <c r="E1875" s="552">
        <v>0</v>
      </c>
      <c r="F1875" s="759" t="s">
        <v>8890</v>
      </c>
      <c r="G1875" s="760"/>
    </row>
    <row r="1876" spans="1:7" ht="15.9" customHeight="1">
      <c r="A1876" s="552" t="s">
        <v>3702</v>
      </c>
      <c r="B1876" s="557" t="s">
        <v>2800</v>
      </c>
      <c r="C1876" s="648" t="s">
        <v>3333</v>
      </c>
      <c r="D1876" s="550" t="s">
        <v>2998</v>
      </c>
      <c r="E1876" s="552">
        <v>0</v>
      </c>
      <c r="F1876" s="759" t="s">
        <v>8890</v>
      </c>
      <c r="G1876" s="760"/>
    </row>
    <row r="1877" spans="1:7" ht="15.9" customHeight="1">
      <c r="A1877" s="552" t="s">
        <v>3702</v>
      </c>
      <c r="B1877" s="557" t="s">
        <v>2800</v>
      </c>
      <c r="C1877" s="648" t="s">
        <v>3334</v>
      </c>
      <c r="D1877" s="550" t="s">
        <v>2998</v>
      </c>
      <c r="E1877" s="552">
        <v>0</v>
      </c>
      <c r="F1877" s="759" t="s">
        <v>8890</v>
      </c>
      <c r="G1877" s="760"/>
    </row>
    <row r="1878" spans="1:7" ht="15.9" customHeight="1">
      <c r="A1878" s="552" t="s">
        <v>3702</v>
      </c>
      <c r="B1878" s="557" t="s">
        <v>2800</v>
      </c>
      <c r="C1878" s="648" t="s">
        <v>3335</v>
      </c>
      <c r="D1878" s="550" t="s">
        <v>2998</v>
      </c>
      <c r="E1878" s="552">
        <v>0</v>
      </c>
      <c r="F1878" s="759" t="s">
        <v>8890</v>
      </c>
      <c r="G1878" s="760"/>
    </row>
    <row r="1879" spans="1:7" ht="15.9" customHeight="1">
      <c r="A1879" s="552" t="s">
        <v>3702</v>
      </c>
      <c r="B1879" s="557" t="s">
        <v>2800</v>
      </c>
      <c r="C1879" s="648" t="s">
        <v>3336</v>
      </c>
      <c r="D1879" s="550" t="s">
        <v>2998</v>
      </c>
      <c r="E1879" s="552">
        <v>0</v>
      </c>
      <c r="F1879" s="759" t="s">
        <v>8890</v>
      </c>
      <c r="G1879" s="760"/>
    </row>
    <row r="1880" spans="1:7" ht="15.9" customHeight="1">
      <c r="A1880" s="552" t="s">
        <v>3702</v>
      </c>
      <c r="B1880" s="557" t="s">
        <v>2800</v>
      </c>
      <c r="C1880" s="648" t="s">
        <v>3337</v>
      </c>
      <c r="D1880" s="550" t="s">
        <v>2998</v>
      </c>
      <c r="E1880" s="552">
        <v>0</v>
      </c>
      <c r="F1880" s="759" t="s">
        <v>8890</v>
      </c>
      <c r="G1880" s="760"/>
    </row>
    <row r="1881" spans="1:7" ht="15.9" customHeight="1">
      <c r="A1881" s="552" t="s">
        <v>3702</v>
      </c>
      <c r="B1881" s="557" t="s">
        <v>2800</v>
      </c>
      <c r="C1881" s="648" t="s">
        <v>3338</v>
      </c>
      <c r="D1881" s="550" t="s">
        <v>2998</v>
      </c>
      <c r="E1881" s="552">
        <v>0</v>
      </c>
      <c r="F1881" s="759" t="s">
        <v>8890</v>
      </c>
      <c r="G1881" s="761"/>
    </row>
    <row r="1882" spans="1:7" ht="15.9" customHeight="1">
      <c r="A1882" s="552" t="s">
        <v>3702</v>
      </c>
      <c r="B1882" s="557" t="s">
        <v>2800</v>
      </c>
      <c r="C1882" s="648" t="s">
        <v>3339</v>
      </c>
      <c r="D1882" s="550" t="s">
        <v>2998</v>
      </c>
      <c r="E1882" s="552">
        <v>0</v>
      </c>
      <c r="F1882" s="759" t="s">
        <v>8890</v>
      </c>
      <c r="G1882" s="760"/>
    </row>
    <row r="1883" spans="1:7" ht="15.9" customHeight="1">
      <c r="A1883" s="552" t="s">
        <v>3702</v>
      </c>
      <c r="B1883" s="557" t="s">
        <v>2800</v>
      </c>
      <c r="C1883" s="648" t="s">
        <v>3340</v>
      </c>
      <c r="D1883" s="550" t="s">
        <v>2998</v>
      </c>
      <c r="E1883" s="552">
        <v>0</v>
      </c>
      <c r="F1883" s="759" t="s">
        <v>8890</v>
      </c>
      <c r="G1883" s="760"/>
    </row>
    <row r="1884" spans="1:7" ht="15.9" customHeight="1">
      <c r="A1884" s="552" t="s">
        <v>3702</v>
      </c>
      <c r="B1884" s="557" t="s">
        <v>2800</v>
      </c>
      <c r="C1884" s="652" t="s">
        <v>3341</v>
      </c>
      <c r="D1884" s="550" t="s">
        <v>2998</v>
      </c>
      <c r="E1884" s="552">
        <v>0</v>
      </c>
      <c r="F1884" s="759" t="s">
        <v>8890</v>
      </c>
      <c r="G1884" s="760"/>
    </row>
    <row r="1885" spans="1:7" ht="15.9" customHeight="1">
      <c r="A1885" s="552" t="s">
        <v>3702</v>
      </c>
      <c r="B1885" s="557" t="s">
        <v>2800</v>
      </c>
      <c r="C1885" s="648" t="s">
        <v>3342</v>
      </c>
      <c r="D1885" s="550" t="s">
        <v>2998</v>
      </c>
      <c r="E1885" s="552">
        <v>0</v>
      </c>
      <c r="F1885" s="759" t="s">
        <v>8890</v>
      </c>
      <c r="G1885" s="760"/>
    </row>
    <row r="1886" spans="1:7" ht="15.9" customHeight="1">
      <c r="A1886" s="552" t="s">
        <v>3702</v>
      </c>
      <c r="B1886" s="557" t="s">
        <v>2800</v>
      </c>
      <c r="C1886" s="648" t="s">
        <v>3343</v>
      </c>
      <c r="D1886" s="550" t="s">
        <v>2998</v>
      </c>
      <c r="E1886" s="552">
        <v>0</v>
      </c>
      <c r="F1886" s="759" t="s">
        <v>8890</v>
      </c>
      <c r="G1886" s="760"/>
    </row>
    <row r="1887" spans="1:7" ht="15.9" customHeight="1">
      <c r="A1887" s="552" t="s">
        <v>3702</v>
      </c>
      <c r="B1887" s="557" t="s">
        <v>2800</v>
      </c>
      <c r="C1887" s="648" t="s">
        <v>3345</v>
      </c>
      <c r="D1887" s="550" t="s">
        <v>2998</v>
      </c>
      <c r="E1887" s="552">
        <v>0</v>
      </c>
      <c r="F1887" s="759" t="s">
        <v>8890</v>
      </c>
      <c r="G1887" s="760"/>
    </row>
    <row r="1888" spans="1:7" ht="15.9" customHeight="1">
      <c r="A1888" s="552" t="s">
        <v>3702</v>
      </c>
      <c r="B1888" s="557" t="s">
        <v>2800</v>
      </c>
      <c r="C1888" s="648" t="s">
        <v>3346</v>
      </c>
      <c r="D1888" s="550" t="s">
        <v>2998</v>
      </c>
      <c r="E1888" s="552">
        <v>0</v>
      </c>
      <c r="F1888" s="759" t="s">
        <v>8890</v>
      </c>
      <c r="G1888" s="760"/>
    </row>
    <row r="1889" spans="1:7" ht="15.9" customHeight="1">
      <c r="A1889" s="552" t="s">
        <v>3702</v>
      </c>
      <c r="B1889" s="557" t="s">
        <v>2800</v>
      </c>
      <c r="C1889" s="648" t="s">
        <v>3347</v>
      </c>
      <c r="D1889" s="550" t="s">
        <v>2998</v>
      </c>
      <c r="E1889" s="552">
        <v>0</v>
      </c>
      <c r="F1889" s="759" t="s">
        <v>8890</v>
      </c>
      <c r="G1889" s="760"/>
    </row>
    <row r="1890" spans="1:7" ht="15.9" customHeight="1">
      <c r="A1890" s="552" t="s">
        <v>3702</v>
      </c>
      <c r="B1890" s="557" t="s">
        <v>2800</v>
      </c>
      <c r="C1890" s="648" t="s">
        <v>3348</v>
      </c>
      <c r="D1890" s="550" t="s">
        <v>2998</v>
      </c>
      <c r="E1890" s="552">
        <v>0</v>
      </c>
      <c r="F1890" s="759" t="s">
        <v>8890</v>
      </c>
      <c r="G1890" s="761"/>
    </row>
    <row r="1891" spans="1:7" ht="15.9" customHeight="1">
      <c r="A1891" s="552" t="s">
        <v>3702</v>
      </c>
      <c r="B1891" s="557" t="s">
        <v>2800</v>
      </c>
      <c r="C1891" s="648" t="s">
        <v>3349</v>
      </c>
      <c r="D1891" s="550" t="s">
        <v>2998</v>
      </c>
      <c r="E1891" s="552">
        <v>0</v>
      </c>
      <c r="F1891" s="759" t="s">
        <v>8890</v>
      </c>
      <c r="G1891" s="760"/>
    </row>
    <row r="1892" spans="1:7" ht="15.9" customHeight="1">
      <c r="A1892" s="552" t="s">
        <v>3702</v>
      </c>
      <c r="B1892" s="557" t="s">
        <v>2800</v>
      </c>
      <c r="C1892" s="648" t="s">
        <v>3350</v>
      </c>
      <c r="D1892" s="550" t="s">
        <v>2998</v>
      </c>
      <c r="E1892" s="552">
        <v>0</v>
      </c>
      <c r="F1892" s="759" t="s">
        <v>8890</v>
      </c>
      <c r="G1892" s="760"/>
    </row>
    <row r="1893" spans="1:7" ht="15.9" customHeight="1">
      <c r="A1893" s="552" t="s">
        <v>3702</v>
      </c>
      <c r="B1893" s="557" t="s">
        <v>2800</v>
      </c>
      <c r="C1893" s="648" t="s">
        <v>3351</v>
      </c>
      <c r="D1893" s="550" t="s">
        <v>2998</v>
      </c>
      <c r="E1893" s="552">
        <v>0</v>
      </c>
      <c r="F1893" s="759" t="s">
        <v>8890</v>
      </c>
      <c r="G1893" s="760"/>
    </row>
    <row r="1894" spans="1:7" ht="15.9" customHeight="1">
      <c r="A1894" s="552" t="s">
        <v>3702</v>
      </c>
      <c r="B1894" s="557" t="s">
        <v>2800</v>
      </c>
      <c r="C1894" s="648" t="s">
        <v>3352</v>
      </c>
      <c r="D1894" s="550" t="s">
        <v>2998</v>
      </c>
      <c r="E1894" s="552">
        <v>0</v>
      </c>
      <c r="F1894" s="759" t="s">
        <v>8890</v>
      </c>
      <c r="G1894" s="760"/>
    </row>
    <row r="1895" spans="1:7" ht="15.9" customHeight="1">
      <c r="A1895" s="552" t="s">
        <v>3702</v>
      </c>
      <c r="B1895" s="557" t="s">
        <v>2800</v>
      </c>
      <c r="C1895" s="648" t="s">
        <v>3353</v>
      </c>
      <c r="D1895" s="550" t="s">
        <v>2998</v>
      </c>
      <c r="E1895" s="552">
        <v>0</v>
      </c>
      <c r="F1895" s="759" t="s">
        <v>8890</v>
      </c>
      <c r="G1895" s="760"/>
    </row>
    <row r="1896" spans="1:7" ht="15.9" customHeight="1">
      <c r="A1896" s="552" t="s">
        <v>3702</v>
      </c>
      <c r="B1896" s="557" t="s">
        <v>2800</v>
      </c>
      <c r="C1896" s="648" t="s">
        <v>3354</v>
      </c>
      <c r="D1896" s="550" t="s">
        <v>2998</v>
      </c>
      <c r="E1896" s="552">
        <v>0</v>
      </c>
      <c r="F1896" s="759" t="s">
        <v>8890</v>
      </c>
      <c r="G1896" s="760"/>
    </row>
    <row r="1897" spans="1:7" ht="15.9" customHeight="1">
      <c r="A1897" s="552" t="s">
        <v>3702</v>
      </c>
      <c r="B1897" s="557" t="s">
        <v>2800</v>
      </c>
      <c r="C1897" s="648" t="s">
        <v>3592</v>
      </c>
      <c r="D1897" s="550" t="s">
        <v>2998</v>
      </c>
      <c r="E1897" s="552">
        <v>0</v>
      </c>
      <c r="F1897" s="759" t="s">
        <v>8890</v>
      </c>
      <c r="G1897" s="760"/>
    </row>
    <row r="1898" spans="1:7" ht="15.9" customHeight="1">
      <c r="A1898" s="552" t="s">
        <v>3702</v>
      </c>
      <c r="B1898" s="557" t="s">
        <v>2800</v>
      </c>
      <c r="C1898" s="648" t="s">
        <v>3355</v>
      </c>
      <c r="D1898" s="550" t="s">
        <v>2998</v>
      </c>
      <c r="E1898" s="552">
        <v>0</v>
      </c>
      <c r="F1898" s="759" t="s">
        <v>8890</v>
      </c>
      <c r="G1898" s="760"/>
    </row>
    <row r="1899" spans="1:7" ht="15.9" customHeight="1">
      <c r="A1899" s="552" t="s">
        <v>3702</v>
      </c>
      <c r="B1899" s="557" t="s">
        <v>2800</v>
      </c>
      <c r="C1899" s="648" t="s">
        <v>3594</v>
      </c>
      <c r="D1899" s="550" t="s">
        <v>2998</v>
      </c>
      <c r="E1899" s="552">
        <v>0</v>
      </c>
      <c r="F1899" s="759" t="s">
        <v>8890</v>
      </c>
      <c r="G1899" s="760"/>
    </row>
    <row r="1900" spans="1:7" ht="15.9" customHeight="1">
      <c r="A1900" s="552" t="s">
        <v>3702</v>
      </c>
      <c r="B1900" s="557" t="s">
        <v>2800</v>
      </c>
      <c r="C1900" s="648" t="s">
        <v>3356</v>
      </c>
      <c r="D1900" s="550" t="s">
        <v>2998</v>
      </c>
      <c r="E1900" s="552">
        <v>0</v>
      </c>
      <c r="F1900" s="759" t="s">
        <v>8890</v>
      </c>
      <c r="G1900" s="760"/>
    </row>
    <row r="1901" spans="1:7" ht="15.9" customHeight="1">
      <c r="A1901" s="552" t="s">
        <v>3702</v>
      </c>
      <c r="B1901" s="557" t="s">
        <v>2800</v>
      </c>
      <c r="C1901" s="648" t="s">
        <v>3357</v>
      </c>
      <c r="D1901" s="550" t="s">
        <v>2998</v>
      </c>
      <c r="E1901" s="552">
        <v>0</v>
      </c>
      <c r="F1901" s="759" t="s">
        <v>8890</v>
      </c>
      <c r="G1901" s="760"/>
    </row>
    <row r="1902" spans="1:7" ht="15.9" customHeight="1">
      <c r="A1902" s="552" t="s">
        <v>3702</v>
      </c>
      <c r="B1902" s="557" t="s">
        <v>2800</v>
      </c>
      <c r="C1902" s="648" t="s">
        <v>3358</v>
      </c>
      <c r="D1902" s="550" t="s">
        <v>2998</v>
      </c>
      <c r="E1902" s="552">
        <v>0</v>
      </c>
      <c r="F1902" s="759" t="s">
        <v>8890</v>
      </c>
      <c r="G1902" s="760"/>
    </row>
    <row r="1903" spans="1:7" ht="15.9" customHeight="1">
      <c r="A1903" s="552" t="s">
        <v>3702</v>
      </c>
      <c r="B1903" s="557" t="s">
        <v>2800</v>
      </c>
      <c r="C1903" s="648" t="s">
        <v>3359</v>
      </c>
      <c r="D1903" s="550" t="s">
        <v>2998</v>
      </c>
      <c r="E1903" s="552">
        <v>0</v>
      </c>
      <c r="F1903" s="759" t="s">
        <v>8890</v>
      </c>
      <c r="G1903" s="760"/>
    </row>
    <row r="1904" spans="1:7" ht="15.9" customHeight="1">
      <c r="A1904" s="552" t="s">
        <v>3702</v>
      </c>
      <c r="B1904" s="557" t="s">
        <v>2800</v>
      </c>
      <c r="C1904" s="648" t="s">
        <v>3360</v>
      </c>
      <c r="D1904" s="550" t="s">
        <v>2998</v>
      </c>
      <c r="E1904" s="552">
        <v>0</v>
      </c>
      <c r="F1904" s="759" t="s">
        <v>8890</v>
      </c>
      <c r="G1904" s="760"/>
    </row>
    <row r="1905" spans="1:7" ht="15.9" customHeight="1">
      <c r="A1905" s="552" t="s">
        <v>3702</v>
      </c>
      <c r="B1905" s="557" t="s">
        <v>2800</v>
      </c>
      <c r="C1905" s="648" t="s">
        <v>3361</v>
      </c>
      <c r="D1905" s="550" t="s">
        <v>2998</v>
      </c>
      <c r="E1905" s="552">
        <v>0</v>
      </c>
      <c r="F1905" s="759" t="s">
        <v>8890</v>
      </c>
      <c r="G1905" s="760"/>
    </row>
    <row r="1906" spans="1:7" ht="15.9" customHeight="1">
      <c r="A1906" s="552" t="s">
        <v>3702</v>
      </c>
      <c r="B1906" s="557" t="s">
        <v>2800</v>
      </c>
      <c r="C1906" s="648" t="s">
        <v>3362</v>
      </c>
      <c r="D1906" s="550" t="s">
        <v>2998</v>
      </c>
      <c r="E1906" s="552">
        <v>0</v>
      </c>
      <c r="F1906" s="759" t="s">
        <v>8890</v>
      </c>
      <c r="G1906" s="760"/>
    </row>
    <row r="1907" spans="1:7" ht="15.9" customHeight="1">
      <c r="A1907" s="552" t="s">
        <v>3702</v>
      </c>
      <c r="B1907" s="557" t="s">
        <v>2800</v>
      </c>
      <c r="C1907" s="648" t="s">
        <v>3363</v>
      </c>
      <c r="D1907" s="550" t="s">
        <v>2998</v>
      </c>
      <c r="E1907" s="552">
        <v>0</v>
      </c>
      <c r="F1907" s="759" t="s">
        <v>8890</v>
      </c>
      <c r="G1907" s="760"/>
    </row>
    <row r="1908" spans="1:7" ht="15.9" customHeight="1">
      <c r="A1908" s="552" t="s">
        <v>3702</v>
      </c>
      <c r="B1908" s="557" t="s">
        <v>2800</v>
      </c>
      <c r="C1908" s="648" t="s">
        <v>3364</v>
      </c>
      <c r="D1908" s="550" t="s">
        <v>2998</v>
      </c>
      <c r="E1908" s="552">
        <v>0</v>
      </c>
      <c r="F1908" s="759" t="s">
        <v>8890</v>
      </c>
      <c r="G1908" s="761"/>
    </row>
    <row r="1909" spans="1:7" ht="15.9" customHeight="1">
      <c r="A1909" s="552" t="s">
        <v>3702</v>
      </c>
      <c r="B1909" s="557" t="s">
        <v>2800</v>
      </c>
      <c r="C1909" s="648" t="s">
        <v>3365</v>
      </c>
      <c r="D1909" s="550" t="s">
        <v>2998</v>
      </c>
      <c r="E1909" s="552">
        <v>0</v>
      </c>
      <c r="F1909" s="759" t="s">
        <v>8890</v>
      </c>
      <c r="G1909" s="761"/>
    </row>
    <row r="1910" spans="1:7" ht="15.9" customHeight="1">
      <c r="A1910" s="552" t="s">
        <v>3702</v>
      </c>
      <c r="B1910" s="557" t="s">
        <v>2800</v>
      </c>
      <c r="C1910" s="648" t="s">
        <v>3366</v>
      </c>
      <c r="D1910" s="550" t="s">
        <v>2998</v>
      </c>
      <c r="E1910" s="552">
        <v>0</v>
      </c>
      <c r="F1910" s="759" t="s">
        <v>8890</v>
      </c>
      <c r="G1910" s="760"/>
    </row>
    <row r="1911" spans="1:7" ht="15.9" customHeight="1">
      <c r="A1911" s="552" t="s">
        <v>3702</v>
      </c>
      <c r="B1911" s="557" t="s">
        <v>2800</v>
      </c>
      <c r="C1911" s="648" t="s">
        <v>3367</v>
      </c>
      <c r="D1911" s="550" t="s">
        <v>2998</v>
      </c>
      <c r="E1911" s="552">
        <v>0</v>
      </c>
      <c r="F1911" s="759" t="s">
        <v>8890</v>
      </c>
      <c r="G1911" s="761"/>
    </row>
    <row r="1912" spans="1:7" ht="15.9" customHeight="1">
      <c r="A1912" s="552" t="s">
        <v>3702</v>
      </c>
      <c r="B1912" s="557" t="s">
        <v>2800</v>
      </c>
      <c r="C1912" s="648" t="s">
        <v>3368</v>
      </c>
      <c r="D1912" s="550" t="s">
        <v>2998</v>
      </c>
      <c r="E1912" s="552">
        <v>0</v>
      </c>
      <c r="F1912" s="759" t="s">
        <v>8890</v>
      </c>
      <c r="G1912" s="760"/>
    </row>
    <row r="1913" spans="1:7" ht="15.9" customHeight="1">
      <c r="A1913" s="552" t="s">
        <v>3702</v>
      </c>
      <c r="B1913" s="557" t="s">
        <v>2800</v>
      </c>
      <c r="C1913" s="648" t="s">
        <v>3369</v>
      </c>
      <c r="D1913" s="550" t="s">
        <v>2998</v>
      </c>
      <c r="E1913" s="552">
        <v>0</v>
      </c>
      <c r="F1913" s="759" t="s">
        <v>8890</v>
      </c>
      <c r="G1913" s="760"/>
    </row>
    <row r="1914" spans="1:7" ht="15.9" customHeight="1">
      <c r="A1914" s="552" t="s">
        <v>3702</v>
      </c>
      <c r="B1914" s="557" t="s">
        <v>2800</v>
      </c>
      <c r="C1914" s="648" t="s">
        <v>3370</v>
      </c>
      <c r="D1914" s="550" t="s">
        <v>2998</v>
      </c>
      <c r="E1914" s="552">
        <v>0</v>
      </c>
      <c r="F1914" s="759" t="s">
        <v>8890</v>
      </c>
      <c r="G1914" s="761"/>
    </row>
    <row r="1915" spans="1:7" ht="15.9" customHeight="1">
      <c r="A1915" s="552" t="s">
        <v>3702</v>
      </c>
      <c r="B1915" s="557" t="s">
        <v>2800</v>
      </c>
      <c r="C1915" s="648" t="s">
        <v>3371</v>
      </c>
      <c r="D1915" s="550" t="s">
        <v>2998</v>
      </c>
      <c r="E1915" s="552">
        <v>0</v>
      </c>
      <c r="F1915" s="759" t="s">
        <v>8890</v>
      </c>
      <c r="G1915" s="760"/>
    </row>
    <row r="1916" spans="1:7" ht="15.9" customHeight="1">
      <c r="A1916" s="552" t="s">
        <v>3702</v>
      </c>
      <c r="B1916" s="557" t="s">
        <v>2800</v>
      </c>
      <c r="C1916" s="648" t="s">
        <v>3372</v>
      </c>
      <c r="D1916" s="550" t="s">
        <v>2998</v>
      </c>
      <c r="E1916" s="552">
        <v>0</v>
      </c>
      <c r="F1916" s="759" t="s">
        <v>8890</v>
      </c>
      <c r="G1916" s="760"/>
    </row>
    <row r="1917" spans="1:7" ht="15.9" customHeight="1">
      <c r="A1917" s="552" t="s">
        <v>3702</v>
      </c>
      <c r="B1917" s="557" t="s">
        <v>2800</v>
      </c>
      <c r="C1917" s="648" t="s">
        <v>3373</v>
      </c>
      <c r="D1917" s="550" t="s">
        <v>2998</v>
      </c>
      <c r="E1917" s="552">
        <v>0</v>
      </c>
      <c r="F1917" s="759" t="s">
        <v>8890</v>
      </c>
      <c r="G1917" s="760"/>
    </row>
    <row r="1918" spans="1:7" ht="15.9" customHeight="1">
      <c r="A1918" s="552" t="s">
        <v>3702</v>
      </c>
      <c r="B1918" s="557" t="s">
        <v>2800</v>
      </c>
      <c r="C1918" s="648" t="s">
        <v>3374</v>
      </c>
      <c r="D1918" s="550" t="s">
        <v>2998</v>
      </c>
      <c r="E1918" s="552">
        <v>0</v>
      </c>
      <c r="F1918" s="759" t="s">
        <v>8890</v>
      </c>
      <c r="G1918" s="760"/>
    </row>
    <row r="1919" spans="1:7" ht="15.9" customHeight="1">
      <c r="A1919" s="552" t="s">
        <v>3702</v>
      </c>
      <c r="B1919" s="557" t="s">
        <v>2800</v>
      </c>
      <c r="C1919" s="648" t="s">
        <v>3375</v>
      </c>
      <c r="D1919" s="550" t="s">
        <v>2998</v>
      </c>
      <c r="E1919" s="552">
        <v>0</v>
      </c>
      <c r="F1919" s="759" t="s">
        <v>8890</v>
      </c>
      <c r="G1919" s="760"/>
    </row>
    <row r="1920" spans="1:7" ht="15.9" customHeight="1">
      <c r="A1920" s="552" t="s">
        <v>3702</v>
      </c>
      <c r="B1920" s="557" t="s">
        <v>2800</v>
      </c>
      <c r="C1920" s="648" t="s">
        <v>3376</v>
      </c>
      <c r="D1920" s="550" t="s">
        <v>2998</v>
      </c>
      <c r="E1920" s="552">
        <v>0</v>
      </c>
      <c r="F1920" s="759" t="s">
        <v>8890</v>
      </c>
      <c r="G1920" s="760"/>
    </row>
    <row r="1921" spans="1:7" ht="15.9" customHeight="1">
      <c r="A1921" s="552" t="s">
        <v>3702</v>
      </c>
      <c r="B1921" s="557" t="s">
        <v>2800</v>
      </c>
      <c r="C1921" s="648" t="s">
        <v>3377</v>
      </c>
      <c r="D1921" s="550" t="s">
        <v>2998</v>
      </c>
      <c r="E1921" s="552">
        <v>0</v>
      </c>
      <c r="F1921" s="759" t="s">
        <v>8890</v>
      </c>
      <c r="G1921" s="760"/>
    </row>
    <row r="1922" spans="1:7" ht="15.9" customHeight="1">
      <c r="A1922" s="552" t="s">
        <v>3702</v>
      </c>
      <c r="B1922" s="557" t="s">
        <v>2800</v>
      </c>
      <c r="C1922" s="648" t="s">
        <v>3378</v>
      </c>
      <c r="D1922" s="550" t="s">
        <v>2998</v>
      </c>
      <c r="E1922" s="552">
        <v>0</v>
      </c>
      <c r="F1922" s="759" t="s">
        <v>8890</v>
      </c>
      <c r="G1922" s="760"/>
    </row>
    <row r="1923" spans="1:7" ht="15.9" customHeight="1">
      <c r="A1923" s="552" t="s">
        <v>3702</v>
      </c>
      <c r="B1923" s="557" t="s">
        <v>2800</v>
      </c>
      <c r="C1923" s="648" t="s">
        <v>3379</v>
      </c>
      <c r="D1923" s="550" t="s">
        <v>2998</v>
      </c>
      <c r="E1923" s="552">
        <v>0</v>
      </c>
      <c r="F1923" s="759" t="s">
        <v>8890</v>
      </c>
      <c r="G1923" s="760"/>
    </row>
    <row r="1924" spans="1:7" ht="15.9" customHeight="1">
      <c r="A1924" s="552" t="s">
        <v>3702</v>
      </c>
      <c r="B1924" s="557" t="s">
        <v>2800</v>
      </c>
      <c r="C1924" s="648" t="s">
        <v>3380</v>
      </c>
      <c r="D1924" s="550" t="s">
        <v>2998</v>
      </c>
      <c r="E1924" s="552">
        <v>0</v>
      </c>
      <c r="F1924" s="759" t="s">
        <v>8890</v>
      </c>
      <c r="G1924" s="760"/>
    </row>
    <row r="1925" spans="1:7" ht="15.9" customHeight="1">
      <c r="A1925" s="552" t="s">
        <v>3702</v>
      </c>
      <c r="B1925" s="557" t="s">
        <v>2800</v>
      </c>
      <c r="C1925" s="648" t="s">
        <v>3381</v>
      </c>
      <c r="D1925" s="550" t="s">
        <v>2998</v>
      </c>
      <c r="E1925" s="552">
        <v>0</v>
      </c>
      <c r="F1925" s="759" t="s">
        <v>8890</v>
      </c>
      <c r="G1925" s="760"/>
    </row>
    <row r="1926" spans="1:7" ht="15.9" customHeight="1">
      <c r="A1926" s="552" t="s">
        <v>3702</v>
      </c>
      <c r="B1926" s="557" t="s">
        <v>2800</v>
      </c>
      <c r="C1926" s="648" t="s">
        <v>3382</v>
      </c>
      <c r="D1926" s="550" t="s">
        <v>2998</v>
      </c>
      <c r="E1926" s="552">
        <v>0</v>
      </c>
      <c r="F1926" s="759" t="s">
        <v>8890</v>
      </c>
      <c r="G1926" s="761"/>
    </row>
    <row r="1927" spans="1:7" ht="15.9" customHeight="1">
      <c r="A1927" s="552" t="s">
        <v>3702</v>
      </c>
      <c r="B1927" s="557" t="s">
        <v>2800</v>
      </c>
      <c r="C1927" s="648" t="s">
        <v>3383</v>
      </c>
      <c r="D1927" s="550" t="s">
        <v>2998</v>
      </c>
      <c r="E1927" s="552">
        <v>0</v>
      </c>
      <c r="F1927" s="759" t="s">
        <v>8890</v>
      </c>
      <c r="G1927" s="761"/>
    </row>
    <row r="1928" spans="1:7" ht="15.9" customHeight="1">
      <c r="A1928" s="552" t="s">
        <v>3702</v>
      </c>
      <c r="B1928" s="557" t="s">
        <v>2800</v>
      </c>
      <c r="C1928" s="648" t="s">
        <v>3384</v>
      </c>
      <c r="D1928" s="550" t="s">
        <v>2998</v>
      </c>
      <c r="E1928" s="552">
        <v>0</v>
      </c>
      <c r="F1928" s="759" t="s">
        <v>8890</v>
      </c>
      <c r="G1928" s="761"/>
    </row>
    <row r="1929" spans="1:7" ht="15.9" customHeight="1">
      <c r="A1929" s="552" t="s">
        <v>3702</v>
      </c>
      <c r="B1929" s="557" t="s">
        <v>2800</v>
      </c>
      <c r="C1929" s="648" t="s">
        <v>3385</v>
      </c>
      <c r="D1929" s="550" t="s">
        <v>2998</v>
      </c>
      <c r="E1929" s="552">
        <v>0</v>
      </c>
      <c r="F1929" s="759" t="s">
        <v>8890</v>
      </c>
      <c r="G1929" s="761"/>
    </row>
    <row r="1930" spans="1:7" ht="15.9" customHeight="1">
      <c r="A1930" s="552" t="s">
        <v>3702</v>
      </c>
      <c r="B1930" s="557" t="s">
        <v>2800</v>
      </c>
      <c r="C1930" s="648" t="s">
        <v>3386</v>
      </c>
      <c r="D1930" s="550" t="s">
        <v>2998</v>
      </c>
      <c r="E1930" s="552">
        <v>0</v>
      </c>
      <c r="F1930" s="759" t="s">
        <v>8890</v>
      </c>
      <c r="G1930" s="761"/>
    </row>
    <row r="1931" spans="1:7" ht="15.9" customHeight="1">
      <c r="A1931" s="552" t="s">
        <v>3702</v>
      </c>
      <c r="B1931" s="557" t="s">
        <v>2800</v>
      </c>
      <c r="C1931" s="648" t="s">
        <v>3387</v>
      </c>
      <c r="D1931" s="550" t="s">
        <v>2998</v>
      </c>
      <c r="E1931" s="552">
        <v>0</v>
      </c>
      <c r="F1931" s="759" t="s">
        <v>8890</v>
      </c>
      <c r="G1931" s="761"/>
    </row>
    <row r="1932" spans="1:7" ht="15.9" customHeight="1">
      <c r="A1932" s="552" t="s">
        <v>3702</v>
      </c>
      <c r="B1932" s="557" t="s">
        <v>2800</v>
      </c>
      <c r="C1932" s="648" t="s">
        <v>3388</v>
      </c>
      <c r="D1932" s="550" t="s">
        <v>2998</v>
      </c>
      <c r="E1932" s="552">
        <v>0</v>
      </c>
      <c r="F1932" s="759" t="s">
        <v>8890</v>
      </c>
      <c r="G1932" s="761"/>
    </row>
    <row r="1933" spans="1:7" ht="15.9" customHeight="1">
      <c r="A1933" s="552" t="s">
        <v>3702</v>
      </c>
      <c r="B1933" s="557" t="s">
        <v>2800</v>
      </c>
      <c r="C1933" s="648" t="s">
        <v>3389</v>
      </c>
      <c r="D1933" s="550" t="s">
        <v>2998</v>
      </c>
      <c r="E1933" s="552">
        <v>0</v>
      </c>
      <c r="F1933" s="759" t="s">
        <v>8890</v>
      </c>
      <c r="G1933" s="761"/>
    </row>
    <row r="1934" spans="1:7" ht="15.9" customHeight="1">
      <c r="A1934" s="552" t="s">
        <v>3702</v>
      </c>
      <c r="B1934" s="557" t="s">
        <v>2800</v>
      </c>
      <c r="C1934" s="648" t="s">
        <v>3390</v>
      </c>
      <c r="D1934" s="550" t="s">
        <v>2998</v>
      </c>
      <c r="E1934" s="552">
        <v>0</v>
      </c>
      <c r="F1934" s="759" t="s">
        <v>8890</v>
      </c>
      <c r="G1934" s="761"/>
    </row>
    <row r="1935" spans="1:7" ht="15.9" customHeight="1">
      <c r="A1935" s="552" t="s">
        <v>3702</v>
      </c>
      <c r="B1935" s="557" t="s">
        <v>2800</v>
      </c>
      <c r="C1935" s="648" t="s">
        <v>3391</v>
      </c>
      <c r="D1935" s="550" t="s">
        <v>2998</v>
      </c>
      <c r="E1935" s="552">
        <v>0</v>
      </c>
      <c r="F1935" s="759" t="s">
        <v>8890</v>
      </c>
      <c r="G1935" s="760"/>
    </row>
    <row r="1936" spans="1:7" ht="15.9" customHeight="1">
      <c r="A1936" s="552" t="s">
        <v>3702</v>
      </c>
      <c r="B1936" s="557" t="s">
        <v>2800</v>
      </c>
      <c r="C1936" s="648" t="s">
        <v>3392</v>
      </c>
      <c r="D1936" s="550" t="s">
        <v>2998</v>
      </c>
      <c r="E1936" s="552">
        <v>0</v>
      </c>
      <c r="F1936" s="759" t="s">
        <v>8890</v>
      </c>
      <c r="G1936" s="760"/>
    </row>
    <row r="1937" spans="1:7" ht="15.9" customHeight="1">
      <c r="A1937" s="552" t="s">
        <v>3702</v>
      </c>
      <c r="B1937" s="557" t="s">
        <v>2800</v>
      </c>
      <c r="C1937" s="648" t="s">
        <v>3394</v>
      </c>
      <c r="D1937" s="550" t="s">
        <v>2998</v>
      </c>
      <c r="E1937" s="552">
        <v>0</v>
      </c>
      <c r="F1937" s="759" t="s">
        <v>8890</v>
      </c>
      <c r="G1937" s="760"/>
    </row>
    <row r="1938" spans="1:7" ht="15.9" customHeight="1">
      <c r="A1938" s="552" t="s">
        <v>3702</v>
      </c>
      <c r="B1938" s="557" t="s">
        <v>2800</v>
      </c>
      <c r="C1938" s="648" t="s">
        <v>3395</v>
      </c>
      <c r="D1938" s="550" t="s">
        <v>2998</v>
      </c>
      <c r="E1938" s="552">
        <v>0</v>
      </c>
      <c r="F1938" s="759" t="s">
        <v>8890</v>
      </c>
      <c r="G1938" s="760"/>
    </row>
    <row r="1939" spans="1:7" ht="15.9" customHeight="1">
      <c r="A1939" s="552" t="s">
        <v>3702</v>
      </c>
      <c r="B1939" s="557" t="s">
        <v>2800</v>
      </c>
      <c r="C1939" s="648" t="s">
        <v>3396</v>
      </c>
      <c r="D1939" s="550" t="s">
        <v>2998</v>
      </c>
      <c r="E1939" s="552">
        <v>0</v>
      </c>
      <c r="F1939" s="759" t="s">
        <v>8890</v>
      </c>
      <c r="G1939" s="761"/>
    </row>
    <row r="1940" spans="1:7" ht="15.9" customHeight="1">
      <c r="A1940" s="552" t="s">
        <v>3702</v>
      </c>
      <c r="B1940" s="557" t="s">
        <v>2800</v>
      </c>
      <c r="C1940" s="648" t="s">
        <v>3397</v>
      </c>
      <c r="D1940" s="550" t="s">
        <v>2998</v>
      </c>
      <c r="E1940" s="552">
        <v>0</v>
      </c>
      <c r="F1940" s="759" t="s">
        <v>8890</v>
      </c>
      <c r="G1940" s="760"/>
    </row>
    <row r="1941" spans="1:7" ht="15.9" customHeight="1">
      <c r="A1941" s="552" t="s">
        <v>3702</v>
      </c>
      <c r="B1941" s="557" t="s">
        <v>2800</v>
      </c>
      <c r="C1941" s="648" t="s">
        <v>3398</v>
      </c>
      <c r="D1941" s="550" t="s">
        <v>2998</v>
      </c>
      <c r="E1941" s="552">
        <v>0</v>
      </c>
      <c r="F1941" s="759" t="s">
        <v>8890</v>
      </c>
      <c r="G1941" s="761"/>
    </row>
    <row r="1942" spans="1:7" ht="15.9" customHeight="1">
      <c r="A1942" s="552" t="s">
        <v>3702</v>
      </c>
      <c r="B1942" s="557" t="s">
        <v>2800</v>
      </c>
      <c r="C1942" s="648" t="s">
        <v>3399</v>
      </c>
      <c r="D1942" s="550" t="s">
        <v>2998</v>
      </c>
      <c r="E1942" s="552">
        <v>0</v>
      </c>
      <c r="F1942" s="759" t="s">
        <v>8890</v>
      </c>
      <c r="G1942" s="761"/>
    </row>
    <row r="1943" spans="1:7" ht="15.9" customHeight="1">
      <c r="A1943" s="552" t="s">
        <v>3702</v>
      </c>
      <c r="B1943" s="557" t="s">
        <v>2800</v>
      </c>
      <c r="C1943" s="648" t="s">
        <v>5787</v>
      </c>
      <c r="D1943" s="550" t="s">
        <v>2998</v>
      </c>
      <c r="E1943" s="552">
        <v>0</v>
      </c>
      <c r="F1943" s="759" t="s">
        <v>8890</v>
      </c>
      <c r="G1943" s="761"/>
    </row>
    <row r="1944" spans="1:7" ht="15.9" customHeight="1">
      <c r="A1944" s="552" t="s">
        <v>3702</v>
      </c>
      <c r="B1944" s="557" t="s">
        <v>2800</v>
      </c>
      <c r="C1944" s="648" t="s">
        <v>3444</v>
      </c>
      <c r="D1944" s="550" t="s">
        <v>2998</v>
      </c>
      <c r="E1944" s="552">
        <v>0</v>
      </c>
      <c r="F1944" s="759" t="s">
        <v>8890</v>
      </c>
      <c r="G1944" s="761"/>
    </row>
    <row r="1945" spans="1:7" ht="15.9" customHeight="1">
      <c r="A1945" s="552" t="s">
        <v>3702</v>
      </c>
      <c r="B1945" s="557" t="s">
        <v>2800</v>
      </c>
      <c r="C1945" s="648" t="s">
        <v>3400</v>
      </c>
      <c r="D1945" s="550" t="s">
        <v>2998</v>
      </c>
      <c r="E1945" s="552">
        <v>0</v>
      </c>
      <c r="F1945" s="759" t="s">
        <v>8890</v>
      </c>
      <c r="G1945" s="761"/>
    </row>
    <row r="1946" spans="1:7" ht="15.9" customHeight="1">
      <c r="A1946" s="552" t="s">
        <v>3702</v>
      </c>
      <c r="B1946" s="557" t="s">
        <v>2800</v>
      </c>
      <c r="C1946" s="648" t="s">
        <v>3401</v>
      </c>
      <c r="D1946" s="550" t="s">
        <v>2998</v>
      </c>
      <c r="E1946" s="552">
        <v>0</v>
      </c>
      <c r="F1946" s="759" t="s">
        <v>8890</v>
      </c>
      <c r="G1946" s="761"/>
    </row>
    <row r="1947" spans="1:7" ht="15.9" customHeight="1">
      <c r="A1947" s="552" t="s">
        <v>3702</v>
      </c>
      <c r="B1947" s="557" t="s">
        <v>2800</v>
      </c>
      <c r="C1947" s="648" t="s">
        <v>3402</v>
      </c>
      <c r="D1947" s="550" t="s">
        <v>2998</v>
      </c>
      <c r="E1947" s="552">
        <v>0</v>
      </c>
      <c r="F1947" s="759" t="s">
        <v>8890</v>
      </c>
      <c r="G1947" s="761"/>
    </row>
    <row r="1948" spans="1:7" ht="15.9" customHeight="1">
      <c r="A1948" s="552" t="s">
        <v>3702</v>
      </c>
      <c r="B1948" s="557" t="s">
        <v>2800</v>
      </c>
      <c r="C1948" s="648" t="s">
        <v>3403</v>
      </c>
      <c r="D1948" s="550" t="s">
        <v>2998</v>
      </c>
      <c r="E1948" s="552">
        <v>0</v>
      </c>
      <c r="F1948" s="759" t="s">
        <v>8890</v>
      </c>
      <c r="G1948" s="761"/>
    </row>
    <row r="1949" spans="1:7" ht="15.9" customHeight="1">
      <c r="A1949" s="552" t="s">
        <v>3702</v>
      </c>
      <c r="B1949" s="557" t="s">
        <v>2800</v>
      </c>
      <c r="C1949" s="648" t="s">
        <v>3404</v>
      </c>
      <c r="D1949" s="550" t="s">
        <v>2998</v>
      </c>
      <c r="E1949" s="552">
        <v>0</v>
      </c>
      <c r="F1949" s="759" t="s">
        <v>8890</v>
      </c>
      <c r="G1949" s="760"/>
    </row>
    <row r="1950" spans="1:7" ht="15.9" customHeight="1">
      <c r="A1950" s="552" t="s">
        <v>3702</v>
      </c>
      <c r="B1950" s="557" t="s">
        <v>2800</v>
      </c>
      <c r="C1950" s="648" t="s">
        <v>3405</v>
      </c>
      <c r="D1950" s="550" t="s">
        <v>2998</v>
      </c>
      <c r="E1950" s="552">
        <v>0</v>
      </c>
      <c r="F1950" s="759" t="s">
        <v>8890</v>
      </c>
      <c r="G1950" s="760"/>
    </row>
    <row r="1951" spans="1:7" ht="15.9" customHeight="1">
      <c r="A1951" s="552" t="s">
        <v>3702</v>
      </c>
      <c r="B1951" s="557" t="s">
        <v>2800</v>
      </c>
      <c r="C1951" s="648" t="s">
        <v>3407</v>
      </c>
      <c r="D1951" s="550" t="s">
        <v>2998</v>
      </c>
      <c r="E1951" s="552">
        <v>0</v>
      </c>
      <c r="F1951" s="759" t="s">
        <v>8890</v>
      </c>
      <c r="G1951" s="760"/>
    </row>
    <row r="1952" spans="1:7" ht="15.9" customHeight="1">
      <c r="A1952" s="552" t="s">
        <v>3702</v>
      </c>
      <c r="B1952" s="557" t="s">
        <v>2800</v>
      </c>
      <c r="C1952" s="648" t="s">
        <v>3408</v>
      </c>
      <c r="D1952" s="550" t="s">
        <v>2998</v>
      </c>
      <c r="E1952" s="552">
        <v>0</v>
      </c>
      <c r="F1952" s="759" t="s">
        <v>8890</v>
      </c>
      <c r="G1952" s="760"/>
    </row>
    <row r="1953" spans="1:7" ht="15.9" customHeight="1">
      <c r="A1953" s="552" t="s">
        <v>3702</v>
      </c>
      <c r="B1953" s="557" t="s">
        <v>2800</v>
      </c>
      <c r="C1953" s="648" t="s">
        <v>6054</v>
      </c>
      <c r="D1953" s="550" t="s">
        <v>2998</v>
      </c>
      <c r="E1953" s="552">
        <v>0</v>
      </c>
      <c r="F1953" s="759" t="s">
        <v>8890</v>
      </c>
      <c r="G1953" s="760"/>
    </row>
    <row r="1954" spans="1:7" ht="15.9" customHeight="1">
      <c r="A1954" s="552" t="s">
        <v>3702</v>
      </c>
      <c r="B1954" s="557" t="s">
        <v>2800</v>
      </c>
      <c r="C1954" s="648" t="s">
        <v>3409</v>
      </c>
      <c r="D1954" s="550" t="s">
        <v>2998</v>
      </c>
      <c r="E1954" s="552">
        <v>0</v>
      </c>
      <c r="F1954" s="759" t="s">
        <v>8890</v>
      </c>
      <c r="G1954" s="760"/>
    </row>
    <row r="1955" spans="1:7" ht="15.9" customHeight="1">
      <c r="A1955" s="552" t="s">
        <v>3702</v>
      </c>
      <c r="B1955" s="557" t="s">
        <v>2800</v>
      </c>
      <c r="C1955" s="648" t="s">
        <v>3410</v>
      </c>
      <c r="D1955" s="550" t="s">
        <v>2998</v>
      </c>
      <c r="E1955" s="552">
        <v>0</v>
      </c>
      <c r="F1955" s="759" t="s">
        <v>8890</v>
      </c>
      <c r="G1955" s="761"/>
    </row>
    <row r="1956" spans="1:7" ht="15.9" customHeight="1">
      <c r="A1956" s="552" t="s">
        <v>3702</v>
      </c>
      <c r="B1956" s="557" t="s">
        <v>2800</v>
      </c>
      <c r="C1956" s="648" t="s">
        <v>3419</v>
      </c>
      <c r="D1956" s="550" t="s">
        <v>2998</v>
      </c>
      <c r="E1956" s="552">
        <v>0</v>
      </c>
      <c r="F1956" s="759" t="s">
        <v>8890</v>
      </c>
      <c r="G1956" s="761"/>
    </row>
    <row r="1957" spans="1:7" ht="15.9" customHeight="1">
      <c r="A1957" s="552" t="s">
        <v>3702</v>
      </c>
      <c r="B1957" s="557" t="s">
        <v>2800</v>
      </c>
      <c r="C1957" s="648" t="s">
        <v>3411</v>
      </c>
      <c r="D1957" s="550" t="s">
        <v>2998</v>
      </c>
      <c r="E1957" s="552">
        <v>0</v>
      </c>
      <c r="F1957" s="759" t="s">
        <v>8890</v>
      </c>
      <c r="G1957" s="761"/>
    </row>
    <row r="1958" spans="1:7" ht="15.9" customHeight="1">
      <c r="A1958" s="552" t="s">
        <v>3702</v>
      </c>
      <c r="B1958" s="557" t="s">
        <v>2800</v>
      </c>
      <c r="C1958" s="648" t="s">
        <v>3456</v>
      </c>
      <c r="D1958" s="550" t="s">
        <v>2998</v>
      </c>
      <c r="E1958" s="552">
        <v>0</v>
      </c>
      <c r="F1958" s="759" t="s">
        <v>8890</v>
      </c>
      <c r="G1958" s="761"/>
    </row>
    <row r="1959" spans="1:7" ht="15.9" customHeight="1">
      <c r="A1959" s="552" t="s">
        <v>3702</v>
      </c>
      <c r="B1959" s="557" t="s">
        <v>2800</v>
      </c>
      <c r="C1959" s="648" t="s">
        <v>3412</v>
      </c>
      <c r="D1959" s="550" t="s">
        <v>2998</v>
      </c>
      <c r="E1959" s="552">
        <v>0</v>
      </c>
      <c r="F1959" s="759" t="s">
        <v>8890</v>
      </c>
      <c r="G1959" s="761"/>
    </row>
    <row r="1960" spans="1:7" ht="15.9" customHeight="1">
      <c r="A1960" s="552" t="s">
        <v>3702</v>
      </c>
      <c r="B1960" s="557" t="s">
        <v>2800</v>
      </c>
      <c r="C1960" s="648" t="s">
        <v>3413</v>
      </c>
      <c r="D1960" s="550" t="s">
        <v>2998</v>
      </c>
      <c r="E1960" s="552">
        <v>0</v>
      </c>
      <c r="F1960" s="759" t="s">
        <v>8890</v>
      </c>
      <c r="G1960" s="761"/>
    </row>
    <row r="1961" spans="1:7" ht="15.9" customHeight="1">
      <c r="A1961" s="552" t="s">
        <v>3702</v>
      </c>
      <c r="B1961" s="557" t="s">
        <v>2800</v>
      </c>
      <c r="C1961" s="648" t="s">
        <v>3414</v>
      </c>
      <c r="D1961" s="550" t="s">
        <v>2998</v>
      </c>
      <c r="E1961" s="552">
        <v>0</v>
      </c>
      <c r="F1961" s="759" t="s">
        <v>8890</v>
      </c>
      <c r="G1961" s="760"/>
    </row>
    <row r="1962" spans="1:7" ht="15.9" customHeight="1">
      <c r="A1962" s="552" t="s">
        <v>3702</v>
      </c>
      <c r="B1962" s="557" t="s">
        <v>2800</v>
      </c>
      <c r="C1962" s="648" t="s">
        <v>3415</v>
      </c>
      <c r="D1962" s="550" t="s">
        <v>2998</v>
      </c>
      <c r="E1962" s="552">
        <v>0</v>
      </c>
      <c r="F1962" s="759" t="s">
        <v>8890</v>
      </c>
      <c r="G1962" s="760"/>
    </row>
    <row r="1963" spans="1:7" ht="15.9" customHeight="1">
      <c r="A1963" s="552" t="s">
        <v>3702</v>
      </c>
      <c r="B1963" s="557" t="s">
        <v>2800</v>
      </c>
      <c r="C1963" s="648" t="s">
        <v>3417</v>
      </c>
      <c r="D1963" s="550" t="s">
        <v>2998</v>
      </c>
      <c r="E1963" s="552">
        <v>0</v>
      </c>
      <c r="F1963" s="759" t="s">
        <v>8890</v>
      </c>
      <c r="G1963" s="760"/>
    </row>
    <row r="1964" spans="1:7" ht="15.9" customHeight="1">
      <c r="A1964" s="552" t="s">
        <v>3702</v>
      </c>
      <c r="B1964" s="557" t="s">
        <v>2800</v>
      </c>
      <c r="C1964" s="648" t="s">
        <v>3418</v>
      </c>
      <c r="D1964" s="550" t="s">
        <v>2998</v>
      </c>
      <c r="E1964" s="552">
        <v>0</v>
      </c>
      <c r="F1964" s="759" t="s">
        <v>8890</v>
      </c>
      <c r="G1964" s="760"/>
    </row>
    <row r="1965" spans="1:7" ht="15.9" customHeight="1">
      <c r="A1965" s="552" t="s">
        <v>3702</v>
      </c>
      <c r="B1965" s="557" t="s">
        <v>2800</v>
      </c>
      <c r="C1965" s="648" t="s">
        <v>3420</v>
      </c>
      <c r="D1965" s="550" t="s">
        <v>2998</v>
      </c>
      <c r="E1965" s="552">
        <v>0</v>
      </c>
      <c r="F1965" s="759" t="s">
        <v>8890</v>
      </c>
      <c r="G1965" s="760"/>
    </row>
    <row r="1966" spans="1:7" ht="15.9" customHeight="1">
      <c r="A1966" s="552" t="s">
        <v>3702</v>
      </c>
      <c r="B1966" s="557" t="s">
        <v>2800</v>
      </c>
      <c r="C1966" s="648" t="s">
        <v>3421</v>
      </c>
      <c r="D1966" s="550" t="s">
        <v>2998</v>
      </c>
      <c r="E1966" s="552">
        <v>0</v>
      </c>
      <c r="F1966" s="759" t="s">
        <v>8890</v>
      </c>
      <c r="G1966" s="761"/>
    </row>
    <row r="1967" spans="1:7" ht="15.9" customHeight="1">
      <c r="A1967" s="552" t="s">
        <v>3702</v>
      </c>
      <c r="B1967" s="557" t="s">
        <v>2800</v>
      </c>
      <c r="C1967" s="648" t="s">
        <v>3422</v>
      </c>
      <c r="D1967" s="550" t="s">
        <v>2998</v>
      </c>
      <c r="E1967" s="552">
        <v>0</v>
      </c>
      <c r="F1967" s="759" t="s">
        <v>8890</v>
      </c>
      <c r="G1967" s="761"/>
    </row>
    <row r="1968" spans="1:7" ht="15.9" customHeight="1">
      <c r="A1968" s="552" t="s">
        <v>3702</v>
      </c>
      <c r="B1968" s="557" t="s">
        <v>2800</v>
      </c>
      <c r="C1968" s="648" t="s">
        <v>3423</v>
      </c>
      <c r="D1968" s="550" t="s">
        <v>2998</v>
      </c>
      <c r="E1968" s="552">
        <v>0</v>
      </c>
      <c r="F1968" s="759" t="s">
        <v>8890</v>
      </c>
      <c r="G1968" s="761"/>
    </row>
    <row r="1969" spans="1:7" ht="15.9" customHeight="1">
      <c r="A1969" s="552" t="s">
        <v>3702</v>
      </c>
      <c r="B1969" s="557" t="s">
        <v>2800</v>
      </c>
      <c r="C1969" s="648" t="s">
        <v>3424</v>
      </c>
      <c r="D1969" s="550" t="s">
        <v>2998</v>
      </c>
      <c r="E1969" s="552">
        <v>0</v>
      </c>
      <c r="F1969" s="759" t="s">
        <v>8890</v>
      </c>
      <c r="G1969" s="761"/>
    </row>
    <row r="1970" spans="1:7" ht="15.9" customHeight="1">
      <c r="A1970" s="552" t="s">
        <v>3702</v>
      </c>
      <c r="B1970" s="557" t="s">
        <v>2800</v>
      </c>
      <c r="C1970" s="648" t="s">
        <v>3425</v>
      </c>
      <c r="D1970" s="550" t="s">
        <v>2998</v>
      </c>
      <c r="E1970" s="552">
        <v>0</v>
      </c>
      <c r="F1970" s="759" t="s">
        <v>8890</v>
      </c>
      <c r="G1970" s="761"/>
    </row>
    <row r="1971" spans="1:7" ht="15.9" customHeight="1">
      <c r="A1971" s="552" t="s">
        <v>3702</v>
      </c>
      <c r="B1971" s="557" t="s">
        <v>2800</v>
      </c>
      <c r="C1971" s="648" t="s">
        <v>3426</v>
      </c>
      <c r="D1971" s="550" t="s">
        <v>2998</v>
      </c>
      <c r="E1971" s="552">
        <v>0</v>
      </c>
      <c r="F1971" s="759" t="s">
        <v>8890</v>
      </c>
      <c r="G1971" s="761"/>
    </row>
    <row r="1972" spans="1:7" ht="15.9" customHeight="1">
      <c r="A1972" s="552" t="s">
        <v>3702</v>
      </c>
      <c r="B1972" s="557" t="s">
        <v>2800</v>
      </c>
      <c r="C1972" s="648" t="s">
        <v>3427</v>
      </c>
      <c r="D1972" s="550" t="s">
        <v>2998</v>
      </c>
      <c r="E1972" s="552">
        <v>0</v>
      </c>
      <c r="F1972" s="759" t="s">
        <v>8890</v>
      </c>
      <c r="G1972" s="760"/>
    </row>
    <row r="1973" spans="1:7" ht="15.9" customHeight="1">
      <c r="A1973" s="552" t="s">
        <v>3702</v>
      </c>
      <c r="B1973" s="557" t="s">
        <v>2800</v>
      </c>
      <c r="C1973" s="648" t="s">
        <v>3428</v>
      </c>
      <c r="D1973" s="550" t="s">
        <v>2998</v>
      </c>
      <c r="E1973" s="552">
        <v>0</v>
      </c>
      <c r="F1973" s="759" t="s">
        <v>8890</v>
      </c>
      <c r="G1973" s="760"/>
    </row>
    <row r="1974" spans="1:7" ht="15.9" customHeight="1">
      <c r="A1974" s="552" t="s">
        <v>3702</v>
      </c>
      <c r="B1974" s="557" t="s">
        <v>2800</v>
      </c>
      <c r="C1974" s="648" t="s">
        <v>3430</v>
      </c>
      <c r="D1974" s="550" t="s">
        <v>2998</v>
      </c>
      <c r="E1974" s="552">
        <v>0</v>
      </c>
      <c r="F1974" s="759" t="s">
        <v>8890</v>
      </c>
      <c r="G1974" s="760"/>
    </row>
    <row r="1975" spans="1:7" ht="15.9" customHeight="1">
      <c r="A1975" s="552" t="s">
        <v>3702</v>
      </c>
      <c r="B1975" s="557" t="s">
        <v>2800</v>
      </c>
      <c r="C1975" s="648" t="s">
        <v>3431</v>
      </c>
      <c r="D1975" s="550" t="s">
        <v>2998</v>
      </c>
      <c r="E1975" s="552">
        <v>0</v>
      </c>
      <c r="F1975" s="759" t="s">
        <v>8890</v>
      </c>
      <c r="G1975" s="760"/>
    </row>
    <row r="1976" spans="1:7" ht="15.9" customHeight="1">
      <c r="A1976" s="552" t="s">
        <v>3702</v>
      </c>
      <c r="B1976" s="557" t="s">
        <v>2800</v>
      </c>
      <c r="C1976" s="648" t="s">
        <v>3432</v>
      </c>
      <c r="D1976" s="550" t="s">
        <v>2998</v>
      </c>
      <c r="E1976" s="552">
        <v>0</v>
      </c>
      <c r="F1976" s="759" t="s">
        <v>8890</v>
      </c>
      <c r="G1976" s="761"/>
    </row>
    <row r="1977" spans="1:7" ht="15.9" customHeight="1">
      <c r="A1977" s="552" t="s">
        <v>3702</v>
      </c>
      <c r="B1977" s="557" t="s">
        <v>2800</v>
      </c>
      <c r="C1977" s="648" t="s">
        <v>3433</v>
      </c>
      <c r="D1977" s="550" t="s">
        <v>2998</v>
      </c>
      <c r="E1977" s="552">
        <v>0</v>
      </c>
      <c r="F1977" s="759" t="s">
        <v>8890</v>
      </c>
      <c r="G1977" s="760"/>
    </row>
    <row r="1978" spans="1:7" ht="15.9" customHeight="1">
      <c r="A1978" s="552" t="s">
        <v>3702</v>
      </c>
      <c r="B1978" s="557" t="s">
        <v>2800</v>
      </c>
      <c r="C1978" s="648" t="s">
        <v>3434</v>
      </c>
      <c r="D1978" s="550" t="s">
        <v>2998</v>
      </c>
      <c r="E1978" s="552">
        <v>0</v>
      </c>
      <c r="F1978" s="759" t="s">
        <v>8890</v>
      </c>
      <c r="G1978" s="761"/>
    </row>
    <row r="1979" spans="1:7" ht="15.9" customHeight="1">
      <c r="A1979" s="552" t="s">
        <v>3702</v>
      </c>
      <c r="B1979" s="557" t="s">
        <v>2800</v>
      </c>
      <c r="C1979" s="648" t="s">
        <v>3435</v>
      </c>
      <c r="D1979" s="550" t="s">
        <v>2998</v>
      </c>
      <c r="E1979" s="552">
        <v>0</v>
      </c>
      <c r="F1979" s="759" t="s">
        <v>8890</v>
      </c>
      <c r="G1979" s="761"/>
    </row>
    <row r="1980" spans="1:7" ht="15.9" customHeight="1">
      <c r="A1980" s="552" t="s">
        <v>3702</v>
      </c>
      <c r="B1980" s="557" t="s">
        <v>2800</v>
      </c>
      <c r="C1980" s="648" t="s">
        <v>3436</v>
      </c>
      <c r="D1980" s="550" t="s">
        <v>2998</v>
      </c>
      <c r="E1980" s="552">
        <v>0</v>
      </c>
      <c r="F1980" s="759" t="s">
        <v>8890</v>
      </c>
      <c r="G1980" s="761"/>
    </row>
    <row r="1981" spans="1:7" ht="15.9" customHeight="1">
      <c r="A1981" s="552" t="s">
        <v>3702</v>
      </c>
      <c r="B1981" s="557" t="s">
        <v>2800</v>
      </c>
      <c r="C1981" s="648" t="s">
        <v>3437</v>
      </c>
      <c r="D1981" s="550" t="s">
        <v>2998</v>
      </c>
      <c r="E1981" s="552">
        <v>0</v>
      </c>
      <c r="F1981" s="759" t="s">
        <v>8890</v>
      </c>
      <c r="G1981" s="761"/>
    </row>
    <row r="1982" spans="1:7" ht="15.9" customHeight="1">
      <c r="A1982" s="552" t="s">
        <v>3702</v>
      </c>
      <c r="B1982" s="557" t="s">
        <v>2800</v>
      </c>
      <c r="C1982" s="648" t="s">
        <v>3438</v>
      </c>
      <c r="D1982" s="550" t="s">
        <v>2998</v>
      </c>
      <c r="E1982" s="552">
        <v>0</v>
      </c>
      <c r="F1982" s="759" t="s">
        <v>8890</v>
      </c>
      <c r="G1982" s="761"/>
    </row>
    <row r="1983" spans="1:7" ht="15.9" customHeight="1">
      <c r="A1983" s="552" t="s">
        <v>3702</v>
      </c>
      <c r="B1983" s="557" t="s">
        <v>2800</v>
      </c>
      <c r="C1983" s="648" t="s">
        <v>3439</v>
      </c>
      <c r="D1983" s="550" t="s">
        <v>2998</v>
      </c>
      <c r="E1983" s="552">
        <v>0</v>
      </c>
      <c r="F1983" s="759" t="s">
        <v>8890</v>
      </c>
      <c r="G1983" s="760"/>
    </row>
    <row r="1984" spans="1:7" ht="15.9" customHeight="1">
      <c r="A1984" s="552" t="s">
        <v>3702</v>
      </c>
      <c r="B1984" s="557" t="s">
        <v>2800</v>
      </c>
      <c r="C1984" s="648" t="s">
        <v>3440</v>
      </c>
      <c r="D1984" s="550" t="s">
        <v>2998</v>
      </c>
      <c r="E1984" s="552">
        <v>0</v>
      </c>
      <c r="F1984" s="759" t="s">
        <v>8890</v>
      </c>
      <c r="G1984" s="760"/>
    </row>
    <row r="1985" spans="1:7" ht="15.9" customHeight="1">
      <c r="A1985" s="552" t="s">
        <v>3702</v>
      </c>
      <c r="B1985" s="557" t="s">
        <v>2800</v>
      </c>
      <c r="C1985" s="648" t="s">
        <v>3442</v>
      </c>
      <c r="D1985" s="550" t="s">
        <v>2998</v>
      </c>
      <c r="E1985" s="552">
        <v>0</v>
      </c>
      <c r="F1985" s="759" t="s">
        <v>8890</v>
      </c>
      <c r="G1985" s="760"/>
    </row>
    <row r="1986" spans="1:7" ht="15.9" customHeight="1">
      <c r="A1986" s="552" t="s">
        <v>3702</v>
      </c>
      <c r="B1986" s="557" t="s">
        <v>2800</v>
      </c>
      <c r="C1986" s="648" t="s">
        <v>3443</v>
      </c>
      <c r="D1986" s="550" t="s">
        <v>2998</v>
      </c>
      <c r="E1986" s="552">
        <v>0</v>
      </c>
      <c r="F1986" s="759" t="s">
        <v>8890</v>
      </c>
      <c r="G1986" s="760"/>
    </row>
    <row r="1987" spans="1:7" ht="15.9" customHeight="1">
      <c r="A1987" s="552" t="s">
        <v>3702</v>
      </c>
      <c r="B1987" s="557" t="s">
        <v>2800</v>
      </c>
      <c r="C1987" s="648" t="s">
        <v>3445</v>
      </c>
      <c r="D1987" s="550" t="s">
        <v>2998</v>
      </c>
      <c r="E1987" s="552">
        <v>0</v>
      </c>
      <c r="F1987" s="759" t="s">
        <v>8890</v>
      </c>
      <c r="G1987" s="761"/>
    </row>
    <row r="1988" spans="1:7" ht="15.9" customHeight="1">
      <c r="A1988" s="552" t="s">
        <v>3702</v>
      </c>
      <c r="B1988" s="557" t="s">
        <v>2800</v>
      </c>
      <c r="C1988" s="648" t="s">
        <v>3446</v>
      </c>
      <c r="D1988" s="550" t="s">
        <v>2998</v>
      </c>
      <c r="E1988" s="552">
        <v>0</v>
      </c>
      <c r="F1988" s="759" t="s">
        <v>8890</v>
      </c>
      <c r="G1988" s="761"/>
    </row>
    <row r="1989" spans="1:7" ht="15.9" customHeight="1">
      <c r="A1989" s="552" t="s">
        <v>3702</v>
      </c>
      <c r="B1989" s="557" t="s">
        <v>2800</v>
      </c>
      <c r="C1989" s="648" t="s">
        <v>3447</v>
      </c>
      <c r="D1989" s="550" t="s">
        <v>2998</v>
      </c>
      <c r="E1989" s="552">
        <v>0</v>
      </c>
      <c r="F1989" s="759" t="s">
        <v>8890</v>
      </c>
      <c r="G1989" s="761"/>
    </row>
    <row r="1990" spans="1:7" ht="15.9" customHeight="1">
      <c r="A1990" s="552" t="s">
        <v>3702</v>
      </c>
      <c r="B1990" s="557" t="s">
        <v>2800</v>
      </c>
      <c r="C1990" s="648" t="s">
        <v>3448</v>
      </c>
      <c r="D1990" s="550" t="s">
        <v>2998</v>
      </c>
      <c r="E1990" s="552">
        <v>0</v>
      </c>
      <c r="F1990" s="759" t="s">
        <v>8890</v>
      </c>
      <c r="G1990" s="761"/>
    </row>
    <row r="1991" spans="1:7" ht="15.9" customHeight="1">
      <c r="A1991" s="552" t="s">
        <v>3702</v>
      </c>
      <c r="B1991" s="557" t="s">
        <v>2800</v>
      </c>
      <c r="C1991" s="648" t="s">
        <v>3449</v>
      </c>
      <c r="D1991" s="550" t="s">
        <v>2998</v>
      </c>
      <c r="E1991" s="552">
        <v>0</v>
      </c>
      <c r="F1991" s="759" t="s">
        <v>8890</v>
      </c>
      <c r="G1991" s="760"/>
    </row>
    <row r="1992" spans="1:7" ht="15.9" customHeight="1">
      <c r="A1992" s="552" t="s">
        <v>3702</v>
      </c>
      <c r="B1992" s="557" t="s">
        <v>2800</v>
      </c>
      <c r="C1992" s="648" t="s">
        <v>3450</v>
      </c>
      <c r="D1992" s="550" t="s">
        <v>2998</v>
      </c>
      <c r="E1992" s="552">
        <v>0</v>
      </c>
      <c r="F1992" s="759" t="s">
        <v>8890</v>
      </c>
      <c r="G1992" s="760"/>
    </row>
    <row r="1993" spans="1:7" ht="15.9" customHeight="1">
      <c r="A1993" s="552" t="s">
        <v>3702</v>
      </c>
      <c r="B1993" s="557" t="s">
        <v>2800</v>
      </c>
      <c r="C1993" s="648" t="s">
        <v>3452</v>
      </c>
      <c r="D1993" s="550" t="s">
        <v>2998</v>
      </c>
      <c r="E1993" s="552">
        <v>0</v>
      </c>
      <c r="F1993" s="759" t="s">
        <v>8890</v>
      </c>
      <c r="G1993" s="760"/>
    </row>
    <row r="1994" spans="1:7" ht="15.9" customHeight="1">
      <c r="A1994" s="552" t="s">
        <v>3702</v>
      </c>
      <c r="B1994" s="557" t="s">
        <v>2800</v>
      </c>
      <c r="C1994" s="648" t="s">
        <v>3453</v>
      </c>
      <c r="D1994" s="550" t="s">
        <v>2998</v>
      </c>
      <c r="E1994" s="552">
        <v>0</v>
      </c>
      <c r="F1994" s="759" t="s">
        <v>8890</v>
      </c>
      <c r="G1994" s="760"/>
    </row>
    <row r="1995" spans="1:7" ht="15.9" customHeight="1">
      <c r="A1995" s="552" t="s">
        <v>3702</v>
      </c>
      <c r="B1995" s="557" t="s">
        <v>2800</v>
      </c>
      <c r="C1995" s="648" t="s">
        <v>3454</v>
      </c>
      <c r="D1995" s="550" t="s">
        <v>2998</v>
      </c>
      <c r="E1995" s="552">
        <v>0</v>
      </c>
      <c r="F1995" s="759" t="s">
        <v>8890</v>
      </c>
      <c r="G1995" s="760"/>
    </row>
    <row r="1996" spans="1:7" ht="15.9" customHeight="1">
      <c r="A1996" s="552" t="s">
        <v>3702</v>
      </c>
      <c r="B1996" s="557" t="s">
        <v>2800</v>
      </c>
      <c r="C1996" s="648" t="s">
        <v>3455</v>
      </c>
      <c r="D1996" s="550" t="s">
        <v>2998</v>
      </c>
      <c r="E1996" s="552">
        <v>0</v>
      </c>
      <c r="F1996" s="759" t="s">
        <v>8890</v>
      </c>
      <c r="G1996" s="760"/>
    </row>
    <row r="1997" spans="1:7" ht="15.9" customHeight="1">
      <c r="A1997" s="552" t="s">
        <v>3702</v>
      </c>
      <c r="B1997" s="557" t="s">
        <v>2800</v>
      </c>
      <c r="C1997" s="648" t="s">
        <v>3457</v>
      </c>
      <c r="D1997" s="550" t="s">
        <v>2998</v>
      </c>
      <c r="E1997" s="552">
        <v>0</v>
      </c>
      <c r="F1997" s="759" t="s">
        <v>8890</v>
      </c>
      <c r="G1997" s="761"/>
    </row>
    <row r="1998" spans="1:7" ht="15.9" customHeight="1">
      <c r="A1998" s="552" t="s">
        <v>3702</v>
      </c>
      <c r="B1998" s="557" t="s">
        <v>2800</v>
      </c>
      <c r="C1998" s="648" t="s">
        <v>3458</v>
      </c>
      <c r="D1998" s="550" t="s">
        <v>2998</v>
      </c>
      <c r="E1998" s="552">
        <v>0</v>
      </c>
      <c r="F1998" s="759" t="s">
        <v>8890</v>
      </c>
      <c r="G1998" s="761"/>
    </row>
    <row r="1999" spans="1:7" ht="15.9" customHeight="1">
      <c r="A1999" s="552" t="s">
        <v>3702</v>
      </c>
      <c r="B1999" s="557" t="s">
        <v>2800</v>
      </c>
      <c r="C1999" s="648" t="s">
        <v>3459</v>
      </c>
      <c r="D1999" s="550" t="s">
        <v>2998</v>
      </c>
      <c r="E1999" s="552">
        <v>0</v>
      </c>
      <c r="F1999" s="759" t="s">
        <v>8890</v>
      </c>
      <c r="G1999" s="761"/>
    </row>
    <row r="2000" spans="1:7" ht="15.9" customHeight="1">
      <c r="A2000" s="552" t="s">
        <v>3702</v>
      </c>
      <c r="B2000" s="557" t="s">
        <v>2800</v>
      </c>
      <c r="C2000" s="648" t="s">
        <v>3460</v>
      </c>
      <c r="D2000" s="550" t="s">
        <v>2998</v>
      </c>
      <c r="E2000" s="552">
        <v>0</v>
      </c>
      <c r="F2000" s="759" t="s">
        <v>8890</v>
      </c>
      <c r="G2000" s="760"/>
    </row>
    <row r="2001" spans="1:7" ht="15.9" customHeight="1">
      <c r="A2001" s="552" t="s">
        <v>3702</v>
      </c>
      <c r="B2001" s="557" t="s">
        <v>2800</v>
      </c>
      <c r="C2001" s="648" t="s">
        <v>3461</v>
      </c>
      <c r="D2001" s="550" t="s">
        <v>2998</v>
      </c>
      <c r="E2001" s="552">
        <v>0</v>
      </c>
      <c r="F2001" s="759" t="s">
        <v>8890</v>
      </c>
      <c r="G2001" s="760"/>
    </row>
    <row r="2002" spans="1:7" ht="15.9" customHeight="1">
      <c r="A2002" s="552" t="s">
        <v>3702</v>
      </c>
      <c r="B2002" s="557" t="s">
        <v>2800</v>
      </c>
      <c r="C2002" s="648" t="s">
        <v>3463</v>
      </c>
      <c r="D2002" s="550" t="s">
        <v>2998</v>
      </c>
      <c r="E2002" s="552">
        <v>0</v>
      </c>
      <c r="F2002" s="759" t="s">
        <v>8890</v>
      </c>
      <c r="G2002" s="760"/>
    </row>
    <row r="2003" spans="1:7" ht="15.9" customHeight="1">
      <c r="A2003" s="552" t="s">
        <v>3702</v>
      </c>
      <c r="B2003" s="557" t="s">
        <v>2800</v>
      </c>
      <c r="C2003" s="648" t="s">
        <v>3464</v>
      </c>
      <c r="D2003" s="550" t="s">
        <v>2998</v>
      </c>
      <c r="E2003" s="552">
        <v>0</v>
      </c>
      <c r="F2003" s="759" t="s">
        <v>8890</v>
      </c>
      <c r="G2003" s="760"/>
    </row>
    <row r="2004" spans="1:7" ht="15.9" customHeight="1">
      <c r="A2004" s="552" t="s">
        <v>3702</v>
      </c>
      <c r="B2004" s="557" t="s">
        <v>2800</v>
      </c>
      <c r="C2004" s="648" t="s">
        <v>3465</v>
      </c>
      <c r="D2004" s="550" t="s">
        <v>2998</v>
      </c>
      <c r="E2004" s="552">
        <v>0</v>
      </c>
      <c r="F2004" s="759" t="s">
        <v>8890</v>
      </c>
      <c r="G2004" s="760"/>
    </row>
    <row r="2005" spans="1:7" ht="15.9" customHeight="1">
      <c r="A2005" s="552" t="s">
        <v>3702</v>
      </c>
      <c r="B2005" s="557" t="s">
        <v>2800</v>
      </c>
      <c r="C2005" s="648" t="s">
        <v>3466</v>
      </c>
      <c r="D2005" s="550" t="s">
        <v>2998</v>
      </c>
      <c r="E2005" s="552">
        <v>0</v>
      </c>
      <c r="F2005" s="759" t="s">
        <v>8890</v>
      </c>
      <c r="G2005" s="760"/>
    </row>
    <row r="2006" spans="1:7" ht="15.9" customHeight="1">
      <c r="A2006" s="552" t="s">
        <v>3702</v>
      </c>
      <c r="B2006" s="557" t="s">
        <v>2800</v>
      </c>
      <c r="C2006" s="648" t="s">
        <v>3467</v>
      </c>
      <c r="D2006" s="550" t="s">
        <v>2998</v>
      </c>
      <c r="E2006" s="552">
        <v>0</v>
      </c>
      <c r="F2006" s="759" t="s">
        <v>8890</v>
      </c>
      <c r="G2006" s="761"/>
    </row>
    <row r="2007" spans="1:7" ht="15.9" customHeight="1">
      <c r="A2007" s="552" t="s">
        <v>3702</v>
      </c>
      <c r="B2007" s="557" t="s">
        <v>2800</v>
      </c>
      <c r="C2007" s="648" t="s">
        <v>3468</v>
      </c>
      <c r="D2007" s="550" t="s">
        <v>2998</v>
      </c>
      <c r="E2007" s="552">
        <v>0</v>
      </c>
      <c r="F2007" s="759" t="s">
        <v>8890</v>
      </c>
      <c r="G2007" s="761"/>
    </row>
    <row r="2008" spans="1:7" ht="15.9" customHeight="1">
      <c r="A2008" s="552" t="s">
        <v>3702</v>
      </c>
      <c r="B2008" s="557" t="s">
        <v>2800</v>
      </c>
      <c r="C2008" s="648" t="s">
        <v>3469</v>
      </c>
      <c r="D2008" s="550" t="s">
        <v>2998</v>
      </c>
      <c r="E2008" s="552">
        <v>0</v>
      </c>
      <c r="F2008" s="759" t="s">
        <v>8890</v>
      </c>
      <c r="G2008" s="760"/>
    </row>
    <row r="2009" spans="1:7" ht="15.9" customHeight="1">
      <c r="A2009" s="552" t="s">
        <v>3702</v>
      </c>
      <c r="B2009" s="557" t="s">
        <v>2800</v>
      </c>
      <c r="C2009" s="648" t="s">
        <v>3470</v>
      </c>
      <c r="D2009" s="550" t="s">
        <v>2998</v>
      </c>
      <c r="E2009" s="552">
        <v>0</v>
      </c>
      <c r="F2009" s="759" t="s">
        <v>8890</v>
      </c>
      <c r="G2009" s="760"/>
    </row>
    <row r="2010" spans="1:7" ht="15.9" customHeight="1">
      <c r="A2010" s="552" t="s">
        <v>3702</v>
      </c>
      <c r="B2010" s="557" t="s">
        <v>2800</v>
      </c>
      <c r="C2010" s="648" t="s">
        <v>3472</v>
      </c>
      <c r="D2010" s="550" t="s">
        <v>2998</v>
      </c>
      <c r="E2010" s="552">
        <v>0</v>
      </c>
      <c r="F2010" s="759" t="s">
        <v>8890</v>
      </c>
      <c r="G2010" s="760"/>
    </row>
    <row r="2011" spans="1:7" ht="15.9" customHeight="1">
      <c r="A2011" s="552" t="s">
        <v>3702</v>
      </c>
      <c r="B2011" s="557" t="s">
        <v>2800</v>
      </c>
      <c r="C2011" s="648" t="s">
        <v>3473</v>
      </c>
      <c r="D2011" s="550" t="s">
        <v>2998</v>
      </c>
      <c r="E2011" s="552">
        <v>0</v>
      </c>
      <c r="F2011" s="759" t="s">
        <v>8890</v>
      </c>
      <c r="G2011" s="760"/>
    </row>
    <row r="2012" spans="1:7" ht="15.9" customHeight="1">
      <c r="A2012" s="552" t="s">
        <v>3702</v>
      </c>
      <c r="B2012" s="557" t="s">
        <v>2800</v>
      </c>
      <c r="C2012" s="648" t="s">
        <v>3474</v>
      </c>
      <c r="D2012" s="550" t="s">
        <v>2998</v>
      </c>
      <c r="E2012" s="552">
        <v>0</v>
      </c>
      <c r="F2012" s="759" t="s">
        <v>8890</v>
      </c>
      <c r="G2012" s="760"/>
    </row>
    <row r="2013" spans="1:7" ht="15.9" customHeight="1">
      <c r="A2013" s="552" t="s">
        <v>3702</v>
      </c>
      <c r="B2013" s="557" t="s">
        <v>2800</v>
      </c>
      <c r="C2013" s="648" t="s">
        <v>3475</v>
      </c>
      <c r="D2013" s="550" t="s">
        <v>2998</v>
      </c>
      <c r="E2013" s="552">
        <v>0</v>
      </c>
      <c r="F2013" s="759" t="s">
        <v>8890</v>
      </c>
      <c r="G2013" s="760"/>
    </row>
    <row r="2014" spans="1:7" ht="15.9" customHeight="1">
      <c r="A2014" s="552" t="s">
        <v>3702</v>
      </c>
      <c r="B2014" s="557" t="s">
        <v>2800</v>
      </c>
      <c r="C2014" s="648" t="s">
        <v>3476</v>
      </c>
      <c r="D2014" s="550" t="s">
        <v>2998</v>
      </c>
      <c r="E2014" s="552">
        <v>0</v>
      </c>
      <c r="F2014" s="759" t="s">
        <v>8890</v>
      </c>
      <c r="G2014" s="760"/>
    </row>
    <row r="2015" spans="1:7" ht="15.9" customHeight="1">
      <c r="A2015" s="552" t="s">
        <v>3702</v>
      </c>
      <c r="B2015" s="557" t="s">
        <v>2800</v>
      </c>
      <c r="C2015" s="648" t="s">
        <v>3477</v>
      </c>
      <c r="D2015" s="550" t="s">
        <v>2998</v>
      </c>
      <c r="E2015" s="552">
        <v>0</v>
      </c>
      <c r="F2015" s="759" t="s">
        <v>8890</v>
      </c>
      <c r="G2015" s="760"/>
    </row>
    <row r="2016" spans="1:7" ht="15.9" customHeight="1">
      <c r="A2016" s="552" t="s">
        <v>3702</v>
      </c>
      <c r="B2016" s="557" t="s">
        <v>2800</v>
      </c>
      <c r="C2016" s="648" t="s">
        <v>3479</v>
      </c>
      <c r="D2016" s="550" t="s">
        <v>2998</v>
      </c>
      <c r="E2016" s="552">
        <v>0</v>
      </c>
      <c r="F2016" s="759" t="s">
        <v>8890</v>
      </c>
      <c r="G2016" s="760"/>
    </row>
    <row r="2017" spans="1:7" ht="15.9" customHeight="1">
      <c r="A2017" s="552" t="s">
        <v>3702</v>
      </c>
      <c r="B2017" s="557" t="s">
        <v>2800</v>
      </c>
      <c r="C2017" s="648" t="s">
        <v>3480</v>
      </c>
      <c r="D2017" s="550" t="s">
        <v>2998</v>
      </c>
      <c r="E2017" s="552">
        <v>0</v>
      </c>
      <c r="F2017" s="759" t="s">
        <v>8890</v>
      </c>
      <c r="G2017" s="760"/>
    </row>
    <row r="2018" spans="1:7" ht="15.9" customHeight="1">
      <c r="A2018" s="552" t="s">
        <v>3702</v>
      </c>
      <c r="B2018" s="557" t="s">
        <v>2800</v>
      </c>
      <c r="C2018" s="648" t="s">
        <v>5788</v>
      </c>
      <c r="D2018" s="550" t="s">
        <v>2998</v>
      </c>
      <c r="E2018" s="552">
        <v>0</v>
      </c>
      <c r="F2018" s="759" t="s">
        <v>8890</v>
      </c>
      <c r="G2018" s="760"/>
    </row>
    <row r="2019" spans="1:7" ht="15.9" customHeight="1">
      <c r="A2019" s="552" t="s">
        <v>3702</v>
      </c>
      <c r="B2019" s="557" t="s">
        <v>2800</v>
      </c>
      <c r="C2019" s="648" t="s">
        <v>3482</v>
      </c>
      <c r="D2019" s="550" t="s">
        <v>2998</v>
      </c>
      <c r="E2019" s="552">
        <v>0</v>
      </c>
      <c r="F2019" s="759" t="s">
        <v>8890</v>
      </c>
      <c r="G2019" s="760"/>
    </row>
    <row r="2020" spans="1:7" ht="15.9" customHeight="1">
      <c r="A2020" s="552" t="s">
        <v>3702</v>
      </c>
      <c r="B2020" s="557" t="s">
        <v>2800</v>
      </c>
      <c r="C2020" s="648" t="s">
        <v>3483</v>
      </c>
      <c r="D2020" s="550" t="s">
        <v>2998</v>
      </c>
      <c r="E2020" s="552">
        <v>0</v>
      </c>
      <c r="F2020" s="759" t="s">
        <v>8890</v>
      </c>
      <c r="G2020" s="760"/>
    </row>
    <row r="2021" spans="1:7" ht="15.9" customHeight="1">
      <c r="A2021" s="552" t="s">
        <v>3702</v>
      </c>
      <c r="B2021" s="557" t="s">
        <v>2800</v>
      </c>
      <c r="C2021" s="648" t="s">
        <v>3484</v>
      </c>
      <c r="D2021" s="550" t="s">
        <v>2998</v>
      </c>
      <c r="E2021" s="552">
        <v>0</v>
      </c>
      <c r="F2021" s="759" t="s">
        <v>8890</v>
      </c>
      <c r="G2021" s="760"/>
    </row>
    <row r="2022" spans="1:7" ht="15.9" customHeight="1">
      <c r="A2022" s="552" t="s">
        <v>3702</v>
      </c>
      <c r="B2022" s="557" t="s">
        <v>2800</v>
      </c>
      <c r="C2022" s="648" t="s">
        <v>3485</v>
      </c>
      <c r="D2022" s="550" t="s">
        <v>2998</v>
      </c>
      <c r="E2022" s="552">
        <v>0</v>
      </c>
      <c r="F2022" s="759" t="s">
        <v>8890</v>
      </c>
      <c r="G2022" s="760"/>
    </row>
    <row r="2023" spans="1:7" ht="15.9" customHeight="1">
      <c r="A2023" s="552" t="s">
        <v>3702</v>
      </c>
      <c r="B2023" s="557" t="s">
        <v>2800</v>
      </c>
      <c r="C2023" s="648" t="s">
        <v>3486</v>
      </c>
      <c r="D2023" s="550" t="s">
        <v>2998</v>
      </c>
      <c r="E2023" s="552">
        <v>0</v>
      </c>
      <c r="F2023" s="759" t="s">
        <v>8890</v>
      </c>
      <c r="G2023" s="760"/>
    </row>
    <row r="2024" spans="1:7" ht="15.9" customHeight="1">
      <c r="A2024" s="552" t="s">
        <v>3702</v>
      </c>
      <c r="B2024" s="557" t="s">
        <v>2800</v>
      </c>
      <c r="C2024" s="648" t="s">
        <v>3487</v>
      </c>
      <c r="D2024" s="550" t="s">
        <v>2998</v>
      </c>
      <c r="E2024" s="552">
        <v>0</v>
      </c>
      <c r="F2024" s="759" t="s">
        <v>8890</v>
      </c>
      <c r="G2024" s="760"/>
    </row>
    <row r="2025" spans="1:7" ht="15.9" customHeight="1">
      <c r="A2025" s="552" t="s">
        <v>3702</v>
      </c>
      <c r="B2025" s="557" t="s">
        <v>2800</v>
      </c>
      <c r="C2025" s="648" t="s">
        <v>3488</v>
      </c>
      <c r="D2025" s="550" t="s">
        <v>2998</v>
      </c>
      <c r="E2025" s="552">
        <v>0</v>
      </c>
      <c r="F2025" s="759" t="s">
        <v>8890</v>
      </c>
      <c r="G2025" s="760"/>
    </row>
    <row r="2026" spans="1:7" ht="15.9" customHeight="1">
      <c r="A2026" s="552" t="s">
        <v>3702</v>
      </c>
      <c r="B2026" s="557" t="s">
        <v>2800</v>
      </c>
      <c r="C2026" s="648" t="s">
        <v>3489</v>
      </c>
      <c r="D2026" s="550" t="s">
        <v>2998</v>
      </c>
      <c r="E2026" s="552">
        <v>0</v>
      </c>
      <c r="F2026" s="759" t="s">
        <v>8890</v>
      </c>
      <c r="G2026" s="760"/>
    </row>
    <row r="2027" spans="1:7" ht="15.9" customHeight="1">
      <c r="A2027" s="552" t="s">
        <v>3702</v>
      </c>
      <c r="B2027" s="557" t="s">
        <v>2800</v>
      </c>
      <c r="C2027" s="648" t="s">
        <v>3490</v>
      </c>
      <c r="D2027" s="550" t="s">
        <v>2998</v>
      </c>
      <c r="E2027" s="552">
        <v>0</v>
      </c>
      <c r="F2027" s="759" t="s">
        <v>8890</v>
      </c>
      <c r="G2027" s="760"/>
    </row>
    <row r="2028" spans="1:7" ht="15.9" customHeight="1">
      <c r="A2028" s="552" t="s">
        <v>3702</v>
      </c>
      <c r="B2028" s="557" t="s">
        <v>2800</v>
      </c>
      <c r="C2028" s="648" t="s">
        <v>3491</v>
      </c>
      <c r="D2028" s="550" t="s">
        <v>2998</v>
      </c>
      <c r="E2028" s="552">
        <v>0</v>
      </c>
      <c r="F2028" s="759" t="s">
        <v>8890</v>
      </c>
      <c r="G2028" s="760"/>
    </row>
    <row r="2029" spans="1:7" ht="15.9" customHeight="1">
      <c r="A2029" s="552" t="s">
        <v>3702</v>
      </c>
      <c r="B2029" s="557" t="s">
        <v>2800</v>
      </c>
      <c r="C2029" s="648" t="s">
        <v>3493</v>
      </c>
      <c r="D2029" s="550" t="s">
        <v>2998</v>
      </c>
      <c r="E2029" s="552">
        <v>0</v>
      </c>
      <c r="F2029" s="759" t="s">
        <v>8890</v>
      </c>
      <c r="G2029" s="760"/>
    </row>
    <row r="2030" spans="1:7" ht="15.9" customHeight="1">
      <c r="A2030" s="552" t="s">
        <v>3702</v>
      </c>
      <c r="B2030" s="557" t="s">
        <v>2800</v>
      </c>
      <c r="C2030" s="648" t="s">
        <v>3495</v>
      </c>
      <c r="D2030" s="550" t="s">
        <v>2998</v>
      </c>
      <c r="E2030" s="552">
        <v>0</v>
      </c>
      <c r="F2030" s="759" t="s">
        <v>8890</v>
      </c>
      <c r="G2030" s="760"/>
    </row>
    <row r="2031" spans="1:7" ht="15.9" customHeight="1">
      <c r="A2031" s="552" t="s">
        <v>3702</v>
      </c>
      <c r="B2031" s="557" t="s">
        <v>2800</v>
      </c>
      <c r="C2031" s="648" t="s">
        <v>3496</v>
      </c>
      <c r="D2031" s="550" t="s">
        <v>2998</v>
      </c>
      <c r="E2031" s="552">
        <v>0</v>
      </c>
      <c r="F2031" s="759" t="s">
        <v>8890</v>
      </c>
      <c r="G2031" s="761"/>
    </row>
    <row r="2032" spans="1:7" ht="15.9" customHeight="1">
      <c r="A2032" s="552" t="s">
        <v>3702</v>
      </c>
      <c r="B2032" s="557" t="s">
        <v>2800</v>
      </c>
      <c r="C2032" s="648" t="s">
        <v>3497</v>
      </c>
      <c r="D2032" s="550" t="s">
        <v>2998</v>
      </c>
      <c r="E2032" s="552">
        <v>0</v>
      </c>
      <c r="F2032" s="759" t="s">
        <v>8890</v>
      </c>
      <c r="G2032" s="760"/>
    </row>
    <row r="2033" spans="1:7" ht="15.9" customHeight="1">
      <c r="A2033" s="552" t="s">
        <v>3702</v>
      </c>
      <c r="B2033" s="557" t="s">
        <v>2800</v>
      </c>
      <c r="C2033" s="648" t="s">
        <v>3498</v>
      </c>
      <c r="D2033" s="550" t="s">
        <v>2998</v>
      </c>
      <c r="E2033" s="552">
        <v>0</v>
      </c>
      <c r="F2033" s="759" t="s">
        <v>8890</v>
      </c>
      <c r="G2033" s="760"/>
    </row>
    <row r="2034" spans="1:7" ht="15.9" customHeight="1">
      <c r="A2034" s="552" t="s">
        <v>3702</v>
      </c>
      <c r="B2034" s="557" t="s">
        <v>2800</v>
      </c>
      <c r="C2034" s="648" t="s">
        <v>3499</v>
      </c>
      <c r="D2034" s="550" t="s">
        <v>2998</v>
      </c>
      <c r="E2034" s="552">
        <v>0</v>
      </c>
      <c r="F2034" s="759" t="s">
        <v>8890</v>
      </c>
      <c r="G2034" s="760"/>
    </row>
    <row r="2035" spans="1:7" ht="15.9" customHeight="1">
      <c r="A2035" s="552" t="s">
        <v>3702</v>
      </c>
      <c r="B2035" s="557" t="s">
        <v>2800</v>
      </c>
      <c r="C2035" s="648" t="s">
        <v>3500</v>
      </c>
      <c r="D2035" s="550" t="s">
        <v>2998</v>
      </c>
      <c r="E2035" s="552">
        <v>0</v>
      </c>
      <c r="F2035" s="759" t="s">
        <v>8890</v>
      </c>
      <c r="G2035" s="760"/>
    </row>
    <row r="2036" spans="1:7" ht="15.9" customHeight="1">
      <c r="A2036" s="552" t="s">
        <v>3702</v>
      </c>
      <c r="B2036" s="557" t="s">
        <v>2800</v>
      </c>
      <c r="C2036" s="648" t="s">
        <v>3501</v>
      </c>
      <c r="D2036" s="550" t="s">
        <v>2998</v>
      </c>
      <c r="E2036" s="552">
        <v>0</v>
      </c>
      <c r="F2036" s="759" t="s">
        <v>8890</v>
      </c>
      <c r="G2036" s="760"/>
    </row>
    <row r="2037" spans="1:7" ht="15.9" customHeight="1">
      <c r="A2037" s="552" t="s">
        <v>3702</v>
      </c>
      <c r="B2037" s="557" t="s">
        <v>2800</v>
      </c>
      <c r="C2037" s="648" t="s">
        <v>3481</v>
      </c>
      <c r="D2037" s="550" t="s">
        <v>2998</v>
      </c>
      <c r="E2037" s="552">
        <v>0</v>
      </c>
      <c r="F2037" s="759" t="s">
        <v>8890</v>
      </c>
      <c r="G2037" s="761"/>
    </row>
    <row r="2038" spans="1:7" ht="15.9" customHeight="1">
      <c r="A2038" s="552" t="s">
        <v>3702</v>
      </c>
      <c r="B2038" s="557" t="s">
        <v>2800</v>
      </c>
      <c r="C2038" s="648" t="s">
        <v>3502</v>
      </c>
      <c r="D2038" s="550" t="s">
        <v>2998</v>
      </c>
      <c r="E2038" s="552">
        <v>0</v>
      </c>
      <c r="F2038" s="759" t="s">
        <v>8890</v>
      </c>
      <c r="G2038" s="761"/>
    </row>
    <row r="2039" spans="1:7" ht="15.9" customHeight="1">
      <c r="A2039" s="552" t="s">
        <v>3702</v>
      </c>
      <c r="B2039" s="564" t="s">
        <v>2803</v>
      </c>
      <c r="C2039" s="651" t="s">
        <v>3503</v>
      </c>
      <c r="D2039" s="550" t="s">
        <v>2809</v>
      </c>
      <c r="E2039" s="552">
        <v>0</v>
      </c>
      <c r="F2039" s="759" t="s">
        <v>8890</v>
      </c>
      <c r="G2039" s="760"/>
    </row>
    <row r="2040" spans="1:7" ht="15.9" customHeight="1">
      <c r="A2040" s="552" t="s">
        <v>3702</v>
      </c>
      <c r="B2040" s="564" t="s">
        <v>2803</v>
      </c>
      <c r="C2040" s="651" t="s">
        <v>3504</v>
      </c>
      <c r="D2040" s="550" t="s">
        <v>2809</v>
      </c>
      <c r="E2040" s="552">
        <v>0</v>
      </c>
      <c r="F2040" s="759" t="s">
        <v>8890</v>
      </c>
      <c r="G2040" s="760"/>
    </row>
    <row r="2041" spans="1:7" ht="15.9" customHeight="1">
      <c r="A2041" s="552" t="s">
        <v>3702</v>
      </c>
      <c r="B2041" s="564" t="s">
        <v>2803</v>
      </c>
      <c r="C2041" s="651" t="s">
        <v>3505</v>
      </c>
      <c r="D2041" s="550" t="s">
        <v>2809</v>
      </c>
      <c r="E2041" s="552">
        <v>0</v>
      </c>
      <c r="F2041" s="759" t="s">
        <v>8890</v>
      </c>
      <c r="G2041" s="760"/>
    </row>
    <row r="2042" spans="1:7" ht="15.9" customHeight="1">
      <c r="A2042" s="552" t="s">
        <v>3702</v>
      </c>
      <c r="B2042" s="564" t="s">
        <v>2803</v>
      </c>
      <c r="C2042" s="651" t="s">
        <v>3506</v>
      </c>
      <c r="D2042" s="550" t="s">
        <v>2809</v>
      </c>
      <c r="E2042" s="552">
        <v>0</v>
      </c>
      <c r="F2042" s="759" t="s">
        <v>8890</v>
      </c>
      <c r="G2042" s="761"/>
    </row>
    <row r="2043" spans="1:7" ht="15.9" customHeight="1">
      <c r="A2043" s="552" t="s">
        <v>3702</v>
      </c>
      <c r="B2043" s="564" t="s">
        <v>2803</v>
      </c>
      <c r="C2043" s="651" t="s">
        <v>3507</v>
      </c>
      <c r="D2043" s="550" t="s">
        <v>2809</v>
      </c>
      <c r="E2043" s="552">
        <v>0</v>
      </c>
      <c r="F2043" s="759" t="s">
        <v>8890</v>
      </c>
      <c r="G2043" s="760"/>
    </row>
    <row r="2044" spans="1:7" ht="15.9" customHeight="1">
      <c r="A2044" s="552" t="s">
        <v>3702</v>
      </c>
      <c r="B2044" s="564" t="s">
        <v>2803</v>
      </c>
      <c r="C2044" s="651" t="s">
        <v>3508</v>
      </c>
      <c r="D2044" s="550" t="s">
        <v>2809</v>
      </c>
      <c r="E2044" s="552">
        <v>0</v>
      </c>
      <c r="F2044" s="759" t="s">
        <v>8890</v>
      </c>
      <c r="G2044" s="761"/>
    </row>
    <row r="2045" spans="1:7" ht="15.9" customHeight="1">
      <c r="A2045" s="552" t="s">
        <v>3702</v>
      </c>
      <c r="B2045" s="564" t="s">
        <v>2803</v>
      </c>
      <c r="C2045" s="650" t="s">
        <v>3509</v>
      </c>
      <c r="D2045" s="550" t="s">
        <v>2809</v>
      </c>
      <c r="E2045" s="552">
        <v>0</v>
      </c>
      <c r="F2045" s="759" t="s">
        <v>8890</v>
      </c>
      <c r="G2045" s="760"/>
    </row>
    <row r="2046" spans="1:7" ht="15.9" customHeight="1">
      <c r="A2046" s="552" t="s">
        <v>3702</v>
      </c>
      <c r="B2046" s="564" t="s">
        <v>2803</v>
      </c>
      <c r="C2046" s="651" t="s">
        <v>3510</v>
      </c>
      <c r="D2046" s="550" t="s">
        <v>2809</v>
      </c>
      <c r="E2046" s="552">
        <v>0</v>
      </c>
      <c r="F2046" s="759" t="s">
        <v>8890</v>
      </c>
      <c r="G2046" s="760"/>
    </row>
    <row r="2047" spans="1:7" ht="15.9" customHeight="1">
      <c r="A2047" s="552" t="s">
        <v>3702</v>
      </c>
      <c r="B2047" s="564" t="s">
        <v>2803</v>
      </c>
      <c r="C2047" s="651" t="s">
        <v>3511</v>
      </c>
      <c r="D2047" s="550" t="s">
        <v>2809</v>
      </c>
      <c r="E2047" s="552">
        <v>0</v>
      </c>
      <c r="F2047" s="759" t="s">
        <v>8890</v>
      </c>
      <c r="G2047" s="760"/>
    </row>
    <row r="2048" spans="1:7" ht="15.9" customHeight="1">
      <c r="A2048" s="552" t="s">
        <v>3702</v>
      </c>
      <c r="B2048" s="564" t="s">
        <v>2803</v>
      </c>
      <c r="C2048" s="651" t="s">
        <v>3512</v>
      </c>
      <c r="D2048" s="550" t="s">
        <v>2809</v>
      </c>
      <c r="E2048" s="552">
        <v>0</v>
      </c>
      <c r="F2048" s="759" t="s">
        <v>8890</v>
      </c>
      <c r="G2048" s="760"/>
    </row>
    <row r="2049" spans="1:7" ht="15.9" customHeight="1">
      <c r="A2049" s="552" t="s">
        <v>3702</v>
      </c>
      <c r="B2049" s="564" t="s">
        <v>2803</v>
      </c>
      <c r="C2049" s="655" t="s">
        <v>3513</v>
      </c>
      <c r="D2049" s="550" t="s">
        <v>2809</v>
      </c>
      <c r="E2049" s="552">
        <v>0</v>
      </c>
      <c r="F2049" s="759" t="s">
        <v>8890</v>
      </c>
      <c r="G2049" s="760"/>
    </row>
    <row r="2050" spans="1:7" ht="15.9" customHeight="1">
      <c r="A2050" s="552" t="s">
        <v>3702</v>
      </c>
      <c r="B2050" s="564" t="s">
        <v>2803</v>
      </c>
      <c r="C2050" s="651" t="s">
        <v>3514</v>
      </c>
      <c r="D2050" s="550" t="s">
        <v>2809</v>
      </c>
      <c r="E2050" s="552">
        <v>0</v>
      </c>
      <c r="F2050" s="759" t="s">
        <v>8890</v>
      </c>
      <c r="G2050" s="760"/>
    </row>
    <row r="2051" spans="1:7" ht="15.9" customHeight="1">
      <c r="A2051" s="552" t="s">
        <v>3702</v>
      </c>
      <c r="B2051" s="564" t="s">
        <v>2803</v>
      </c>
      <c r="C2051" s="651" t="s">
        <v>3515</v>
      </c>
      <c r="D2051" s="550" t="s">
        <v>2809</v>
      </c>
      <c r="E2051" s="552">
        <v>0</v>
      </c>
      <c r="F2051" s="759" t="s">
        <v>8890</v>
      </c>
      <c r="G2051" s="760"/>
    </row>
    <row r="2052" spans="1:7" ht="15.9" customHeight="1">
      <c r="A2052" s="552" t="s">
        <v>3702</v>
      </c>
      <c r="B2052" s="564" t="s">
        <v>2803</v>
      </c>
      <c r="C2052" s="651" t="s">
        <v>3516</v>
      </c>
      <c r="D2052" s="550" t="s">
        <v>2809</v>
      </c>
      <c r="E2052" s="552">
        <v>0</v>
      </c>
      <c r="F2052" s="759" t="s">
        <v>8890</v>
      </c>
      <c r="G2052" s="760"/>
    </row>
    <row r="2053" spans="1:7" ht="15.9" customHeight="1">
      <c r="A2053" s="552" t="s">
        <v>3702</v>
      </c>
      <c r="B2053" s="564" t="s">
        <v>2803</v>
      </c>
      <c r="C2053" s="651" t="s">
        <v>3517</v>
      </c>
      <c r="D2053" s="550" t="s">
        <v>2809</v>
      </c>
      <c r="E2053" s="552">
        <v>0</v>
      </c>
      <c r="F2053" s="759" t="s">
        <v>8890</v>
      </c>
      <c r="G2053" s="760"/>
    </row>
    <row r="2054" spans="1:7" ht="15.9" customHeight="1">
      <c r="A2054" s="552" t="s">
        <v>3702</v>
      </c>
      <c r="B2054" s="564" t="s">
        <v>2803</v>
      </c>
      <c r="C2054" s="651" t="s">
        <v>3518</v>
      </c>
      <c r="D2054" s="550" t="s">
        <v>2809</v>
      </c>
      <c r="E2054" s="552">
        <v>0</v>
      </c>
      <c r="F2054" s="759" t="s">
        <v>8890</v>
      </c>
      <c r="G2054" s="760"/>
    </row>
    <row r="2055" spans="1:7" ht="15.9" customHeight="1">
      <c r="A2055" s="552" t="s">
        <v>3702</v>
      </c>
      <c r="B2055" s="564" t="s">
        <v>2803</v>
      </c>
      <c r="C2055" s="651" t="s">
        <v>3519</v>
      </c>
      <c r="D2055" s="550" t="s">
        <v>2809</v>
      </c>
      <c r="E2055" s="552">
        <v>0</v>
      </c>
      <c r="F2055" s="759" t="s">
        <v>8890</v>
      </c>
      <c r="G2055" s="760"/>
    </row>
    <row r="2056" spans="1:7" ht="15.9" customHeight="1">
      <c r="A2056" s="552" t="s">
        <v>3702</v>
      </c>
      <c r="B2056" s="564" t="s">
        <v>2803</v>
      </c>
      <c r="C2056" s="651" t="s">
        <v>3520</v>
      </c>
      <c r="D2056" s="550" t="s">
        <v>2809</v>
      </c>
      <c r="E2056" s="552">
        <v>0</v>
      </c>
      <c r="F2056" s="759" t="s">
        <v>8890</v>
      </c>
      <c r="G2056" s="760"/>
    </row>
    <row r="2057" spans="1:7" ht="15.9" customHeight="1">
      <c r="A2057" s="552" t="s">
        <v>3702</v>
      </c>
      <c r="B2057" s="564" t="s">
        <v>2803</v>
      </c>
      <c r="C2057" s="651" t="s">
        <v>3521</v>
      </c>
      <c r="D2057" s="550" t="s">
        <v>2809</v>
      </c>
      <c r="E2057" s="552">
        <v>0</v>
      </c>
      <c r="F2057" s="759" t="s">
        <v>8890</v>
      </c>
      <c r="G2057" s="760"/>
    </row>
    <row r="2058" spans="1:7" ht="15.9" customHeight="1">
      <c r="A2058" s="552" t="s">
        <v>3702</v>
      </c>
      <c r="B2058" s="564" t="s">
        <v>2803</v>
      </c>
      <c r="C2058" s="651" t="s">
        <v>3522</v>
      </c>
      <c r="D2058" s="550" t="s">
        <v>2809</v>
      </c>
      <c r="E2058" s="552">
        <v>0</v>
      </c>
      <c r="F2058" s="759" t="s">
        <v>8890</v>
      </c>
      <c r="G2058" s="760"/>
    </row>
    <row r="2059" spans="1:7" ht="15.9" customHeight="1">
      <c r="A2059" s="552" t="s">
        <v>3702</v>
      </c>
      <c r="B2059" s="564" t="s">
        <v>2803</v>
      </c>
      <c r="C2059" s="651" t="s">
        <v>3523</v>
      </c>
      <c r="D2059" s="550" t="s">
        <v>2809</v>
      </c>
      <c r="E2059" s="552">
        <v>0</v>
      </c>
      <c r="F2059" s="759" t="s">
        <v>8890</v>
      </c>
      <c r="G2059" s="760"/>
    </row>
    <row r="2060" spans="1:7" ht="15.9" customHeight="1">
      <c r="A2060" s="552" t="s">
        <v>3702</v>
      </c>
      <c r="B2060" s="564" t="s">
        <v>2803</v>
      </c>
      <c r="C2060" s="651" t="s">
        <v>3524</v>
      </c>
      <c r="D2060" s="550" t="s">
        <v>2809</v>
      </c>
      <c r="E2060" s="552">
        <v>0</v>
      </c>
      <c r="F2060" s="759" t="s">
        <v>8890</v>
      </c>
      <c r="G2060" s="760"/>
    </row>
    <row r="2061" spans="1:7" ht="15.9" customHeight="1">
      <c r="A2061" s="552" t="s">
        <v>3702</v>
      </c>
      <c r="B2061" s="564" t="s">
        <v>2803</v>
      </c>
      <c r="C2061" s="651" t="s">
        <v>3525</v>
      </c>
      <c r="D2061" s="550" t="s">
        <v>2809</v>
      </c>
      <c r="E2061" s="552">
        <v>0</v>
      </c>
      <c r="F2061" s="759" t="s">
        <v>8890</v>
      </c>
      <c r="G2061" s="760"/>
    </row>
    <row r="2062" spans="1:7" ht="15.9" customHeight="1">
      <c r="A2062" s="552" t="s">
        <v>3702</v>
      </c>
      <c r="B2062" s="564" t="s">
        <v>2803</v>
      </c>
      <c r="C2062" s="651" t="s">
        <v>3526</v>
      </c>
      <c r="D2062" s="550" t="s">
        <v>2809</v>
      </c>
      <c r="E2062" s="552">
        <v>0</v>
      </c>
      <c r="F2062" s="759" t="s">
        <v>8890</v>
      </c>
      <c r="G2062" s="760"/>
    </row>
    <row r="2063" spans="1:7" ht="15.9" customHeight="1">
      <c r="A2063" s="552" t="s">
        <v>3702</v>
      </c>
      <c r="B2063" s="564" t="s">
        <v>2803</v>
      </c>
      <c r="C2063" s="651" t="s">
        <v>3527</v>
      </c>
      <c r="D2063" s="550" t="s">
        <v>2809</v>
      </c>
      <c r="E2063" s="552">
        <v>0</v>
      </c>
      <c r="F2063" s="759" t="s">
        <v>8890</v>
      </c>
      <c r="G2063" s="760"/>
    </row>
    <row r="2064" spans="1:7" ht="15.9" customHeight="1">
      <c r="A2064" s="552" t="s">
        <v>3702</v>
      </c>
      <c r="B2064" s="564" t="s">
        <v>2803</v>
      </c>
      <c r="C2064" s="651" t="s">
        <v>3528</v>
      </c>
      <c r="D2064" s="550" t="s">
        <v>2809</v>
      </c>
      <c r="E2064" s="552">
        <v>0</v>
      </c>
      <c r="F2064" s="759" t="s">
        <v>8890</v>
      </c>
      <c r="G2064" s="760"/>
    </row>
    <row r="2065" spans="1:7" ht="15.9" customHeight="1">
      <c r="A2065" s="552" t="s">
        <v>3702</v>
      </c>
      <c r="B2065" s="564" t="s">
        <v>2803</v>
      </c>
      <c r="C2065" s="651" t="s">
        <v>3529</v>
      </c>
      <c r="D2065" s="550" t="s">
        <v>2809</v>
      </c>
      <c r="E2065" s="552">
        <v>0</v>
      </c>
      <c r="F2065" s="759" t="s">
        <v>8890</v>
      </c>
      <c r="G2065" s="760"/>
    </row>
    <row r="2066" spans="1:7" ht="15.9" customHeight="1">
      <c r="A2066" s="552" t="s">
        <v>3702</v>
      </c>
      <c r="B2066" s="564" t="s">
        <v>2803</v>
      </c>
      <c r="C2066" s="651" t="s">
        <v>3530</v>
      </c>
      <c r="D2066" s="550" t="s">
        <v>2809</v>
      </c>
      <c r="E2066" s="552">
        <v>0</v>
      </c>
      <c r="F2066" s="759" t="s">
        <v>8890</v>
      </c>
      <c r="G2066" s="760"/>
    </row>
    <row r="2067" spans="1:7" ht="15.9" customHeight="1">
      <c r="A2067" s="552" t="s">
        <v>3702</v>
      </c>
      <c r="B2067" s="564" t="s">
        <v>2803</v>
      </c>
      <c r="C2067" s="651" t="s">
        <v>3531</v>
      </c>
      <c r="D2067" s="550" t="s">
        <v>2809</v>
      </c>
      <c r="E2067" s="552">
        <v>0</v>
      </c>
      <c r="F2067" s="759" t="s">
        <v>8890</v>
      </c>
      <c r="G2067" s="760"/>
    </row>
    <row r="2068" spans="1:7" ht="15.9" customHeight="1">
      <c r="A2068" s="552" t="s">
        <v>3702</v>
      </c>
      <c r="B2068" s="564" t="s">
        <v>2803</v>
      </c>
      <c r="C2068" s="651" t="s">
        <v>3532</v>
      </c>
      <c r="D2068" s="550" t="s">
        <v>2809</v>
      </c>
      <c r="E2068" s="552">
        <v>0</v>
      </c>
      <c r="F2068" s="759" t="s">
        <v>8890</v>
      </c>
      <c r="G2068" s="760"/>
    </row>
    <row r="2069" spans="1:7" ht="15.9" customHeight="1">
      <c r="A2069" s="552" t="s">
        <v>3702</v>
      </c>
      <c r="B2069" s="564" t="s">
        <v>2803</v>
      </c>
      <c r="C2069" s="651" t="s">
        <v>3533</v>
      </c>
      <c r="D2069" s="550" t="s">
        <v>2809</v>
      </c>
      <c r="E2069" s="552">
        <v>0</v>
      </c>
      <c r="F2069" s="759" t="s">
        <v>8890</v>
      </c>
      <c r="G2069" s="760"/>
    </row>
    <row r="2070" spans="1:7" ht="15.9" customHeight="1">
      <c r="A2070" s="552" t="s">
        <v>3702</v>
      </c>
      <c r="B2070" s="564" t="s">
        <v>2803</v>
      </c>
      <c r="C2070" s="651" t="s">
        <v>3534</v>
      </c>
      <c r="D2070" s="550" t="s">
        <v>2809</v>
      </c>
      <c r="E2070" s="552">
        <v>0</v>
      </c>
      <c r="F2070" s="759" t="s">
        <v>8890</v>
      </c>
      <c r="G2070" s="760"/>
    </row>
    <row r="2071" spans="1:7" ht="15.9" customHeight="1">
      <c r="A2071" s="552" t="s">
        <v>3702</v>
      </c>
      <c r="B2071" s="564" t="s">
        <v>2803</v>
      </c>
      <c r="C2071" s="651" t="s">
        <v>3535</v>
      </c>
      <c r="D2071" s="550" t="s">
        <v>2809</v>
      </c>
      <c r="E2071" s="552">
        <v>0</v>
      </c>
      <c r="F2071" s="759" t="s">
        <v>8890</v>
      </c>
      <c r="G2071" s="760"/>
    </row>
    <row r="2072" spans="1:7" ht="15.9" customHeight="1">
      <c r="A2072" s="552" t="s">
        <v>3702</v>
      </c>
      <c r="B2072" s="564" t="s">
        <v>2803</v>
      </c>
      <c r="C2072" s="651" t="s">
        <v>3536</v>
      </c>
      <c r="D2072" s="550" t="s">
        <v>2809</v>
      </c>
      <c r="E2072" s="552">
        <v>0</v>
      </c>
      <c r="F2072" s="759" t="s">
        <v>8890</v>
      </c>
      <c r="G2072" s="760"/>
    </row>
    <row r="2073" spans="1:7" ht="15.9" customHeight="1">
      <c r="A2073" s="552" t="s">
        <v>3702</v>
      </c>
      <c r="B2073" s="564" t="s">
        <v>2803</v>
      </c>
      <c r="C2073" s="651" t="s">
        <v>3537</v>
      </c>
      <c r="D2073" s="550" t="s">
        <v>2809</v>
      </c>
      <c r="E2073" s="552">
        <v>0</v>
      </c>
      <c r="F2073" s="759" t="s">
        <v>8890</v>
      </c>
      <c r="G2073" s="760"/>
    </row>
    <row r="2074" spans="1:7" ht="15.9" customHeight="1">
      <c r="A2074" s="552" t="s">
        <v>3702</v>
      </c>
      <c r="B2074" s="564" t="s">
        <v>2803</v>
      </c>
      <c r="C2074" s="651" t="s">
        <v>3538</v>
      </c>
      <c r="D2074" s="550" t="s">
        <v>2809</v>
      </c>
      <c r="E2074" s="552">
        <v>0</v>
      </c>
      <c r="F2074" s="759" t="s">
        <v>8890</v>
      </c>
      <c r="G2074" s="760"/>
    </row>
    <row r="2075" spans="1:7" ht="15.9" customHeight="1">
      <c r="A2075" s="552" t="s">
        <v>3702</v>
      </c>
      <c r="B2075" s="564" t="s">
        <v>2803</v>
      </c>
      <c r="C2075" s="651" t="s">
        <v>3539</v>
      </c>
      <c r="D2075" s="550" t="s">
        <v>2809</v>
      </c>
      <c r="E2075" s="552">
        <v>0</v>
      </c>
      <c r="F2075" s="759" t="s">
        <v>8890</v>
      </c>
      <c r="G2075" s="760"/>
    </row>
    <row r="2076" spans="1:7" ht="15.9" customHeight="1">
      <c r="A2076" s="552" t="s">
        <v>3702</v>
      </c>
      <c r="B2076" s="564" t="s">
        <v>2803</v>
      </c>
      <c r="C2076" s="651" t="s">
        <v>3540</v>
      </c>
      <c r="D2076" s="550" t="s">
        <v>2809</v>
      </c>
      <c r="E2076" s="552">
        <v>0</v>
      </c>
      <c r="F2076" s="759" t="s">
        <v>8890</v>
      </c>
      <c r="G2076" s="760"/>
    </row>
    <row r="2077" spans="1:7" ht="15.9" customHeight="1">
      <c r="A2077" s="552" t="s">
        <v>3702</v>
      </c>
      <c r="B2077" s="564" t="s">
        <v>2803</v>
      </c>
      <c r="C2077" s="651" t="s">
        <v>3541</v>
      </c>
      <c r="D2077" s="550" t="s">
        <v>2809</v>
      </c>
      <c r="E2077" s="552">
        <v>0</v>
      </c>
      <c r="F2077" s="759" t="s">
        <v>8890</v>
      </c>
      <c r="G2077" s="761"/>
    </row>
    <row r="2078" spans="1:7" ht="15.9" customHeight="1">
      <c r="A2078" s="552" t="s">
        <v>3702</v>
      </c>
      <c r="B2078" s="564" t="s">
        <v>2803</v>
      </c>
      <c r="C2078" s="651" t="s">
        <v>3542</v>
      </c>
      <c r="D2078" s="550" t="s">
        <v>2809</v>
      </c>
      <c r="E2078" s="552">
        <v>0</v>
      </c>
      <c r="F2078" s="759" t="s">
        <v>8890</v>
      </c>
      <c r="G2078" s="760"/>
    </row>
    <row r="2079" spans="1:7" ht="15.9" customHeight="1">
      <c r="A2079" s="552" t="s">
        <v>3702</v>
      </c>
      <c r="B2079" s="564" t="s">
        <v>2803</v>
      </c>
      <c r="C2079" s="651" t="s">
        <v>3543</v>
      </c>
      <c r="D2079" s="550" t="s">
        <v>2809</v>
      </c>
      <c r="E2079" s="552">
        <v>0</v>
      </c>
      <c r="F2079" s="759" t="s">
        <v>8890</v>
      </c>
      <c r="G2079" s="760"/>
    </row>
    <row r="2080" spans="1:7" ht="15.9" customHeight="1">
      <c r="A2080" s="552" t="s">
        <v>3702</v>
      </c>
      <c r="B2080" s="564" t="s">
        <v>2803</v>
      </c>
      <c r="C2080" s="651" t="s">
        <v>3544</v>
      </c>
      <c r="D2080" s="550" t="s">
        <v>2809</v>
      </c>
      <c r="E2080" s="552">
        <v>0</v>
      </c>
      <c r="F2080" s="759" t="s">
        <v>8890</v>
      </c>
      <c r="G2080" s="760"/>
    </row>
    <row r="2081" spans="1:7" ht="15.9" customHeight="1">
      <c r="A2081" s="552" t="s">
        <v>3702</v>
      </c>
      <c r="B2081" s="564" t="s">
        <v>2803</v>
      </c>
      <c r="C2081" s="651" t="s">
        <v>3545</v>
      </c>
      <c r="D2081" s="550" t="s">
        <v>2809</v>
      </c>
      <c r="E2081" s="552">
        <v>0</v>
      </c>
      <c r="F2081" s="759" t="s">
        <v>8890</v>
      </c>
      <c r="G2081" s="760"/>
    </row>
    <row r="2082" spans="1:7" ht="15.9" customHeight="1">
      <c r="A2082" s="552" t="s">
        <v>3702</v>
      </c>
      <c r="B2082" s="564" t="s">
        <v>2803</v>
      </c>
      <c r="C2082" s="655" t="s">
        <v>3546</v>
      </c>
      <c r="D2082" s="550" t="s">
        <v>2809</v>
      </c>
      <c r="E2082" s="552">
        <v>0</v>
      </c>
      <c r="F2082" s="759" t="s">
        <v>8890</v>
      </c>
      <c r="G2082" s="760"/>
    </row>
    <row r="2083" spans="1:7" ht="15.9" customHeight="1">
      <c r="A2083" s="552" t="s">
        <v>3702</v>
      </c>
      <c r="B2083" s="564" t="s">
        <v>2803</v>
      </c>
      <c r="C2083" s="651" t="s">
        <v>3547</v>
      </c>
      <c r="D2083" s="550" t="s">
        <v>2809</v>
      </c>
      <c r="E2083" s="552">
        <v>0</v>
      </c>
      <c r="F2083" s="759" t="s">
        <v>8890</v>
      </c>
      <c r="G2083" s="760"/>
    </row>
    <row r="2084" spans="1:7" ht="15.9" customHeight="1">
      <c r="A2084" s="552" t="s">
        <v>3702</v>
      </c>
      <c r="B2084" s="564" t="s">
        <v>2803</v>
      </c>
      <c r="C2084" s="651" t="s">
        <v>3548</v>
      </c>
      <c r="D2084" s="550" t="s">
        <v>2809</v>
      </c>
      <c r="E2084" s="552">
        <v>0</v>
      </c>
      <c r="F2084" s="759" t="s">
        <v>8890</v>
      </c>
      <c r="G2084" s="760"/>
    </row>
    <row r="2085" spans="1:7" ht="15.9" customHeight="1">
      <c r="A2085" s="552" t="s">
        <v>3702</v>
      </c>
      <c r="B2085" s="564" t="s">
        <v>2803</v>
      </c>
      <c r="C2085" s="651" t="s">
        <v>3549</v>
      </c>
      <c r="D2085" s="550" t="s">
        <v>2809</v>
      </c>
      <c r="E2085" s="552">
        <v>0</v>
      </c>
      <c r="F2085" s="759" t="s">
        <v>8890</v>
      </c>
      <c r="G2085" s="760"/>
    </row>
    <row r="2086" spans="1:7" ht="15.9" customHeight="1">
      <c r="A2086" s="552" t="s">
        <v>3702</v>
      </c>
      <c r="B2086" s="564" t="s">
        <v>2803</v>
      </c>
      <c r="C2086" s="651" t="s">
        <v>3550</v>
      </c>
      <c r="D2086" s="550" t="s">
        <v>2809</v>
      </c>
      <c r="E2086" s="552">
        <v>0</v>
      </c>
      <c r="F2086" s="759" t="s">
        <v>8890</v>
      </c>
      <c r="G2086" s="760"/>
    </row>
    <row r="2087" spans="1:7" ht="15.9" customHeight="1">
      <c r="A2087" s="552" t="s">
        <v>3702</v>
      </c>
      <c r="B2087" s="564" t="s">
        <v>2803</v>
      </c>
      <c r="C2087" s="651" t="s">
        <v>3551</v>
      </c>
      <c r="D2087" s="550" t="s">
        <v>2809</v>
      </c>
      <c r="E2087" s="552">
        <v>0</v>
      </c>
      <c r="F2087" s="759" t="s">
        <v>8890</v>
      </c>
      <c r="G2087" s="760"/>
    </row>
    <row r="2088" spans="1:7" ht="15.9" customHeight="1">
      <c r="A2088" s="552" t="s">
        <v>3702</v>
      </c>
      <c r="B2088" s="564" t="s">
        <v>2803</v>
      </c>
      <c r="C2088" s="651" t="s">
        <v>3552</v>
      </c>
      <c r="D2088" s="550" t="s">
        <v>2809</v>
      </c>
      <c r="E2088" s="552">
        <v>0</v>
      </c>
      <c r="F2088" s="759" t="s">
        <v>8890</v>
      </c>
      <c r="G2088" s="760"/>
    </row>
    <row r="2089" spans="1:7" ht="15.9" customHeight="1">
      <c r="A2089" s="552" t="s">
        <v>3702</v>
      </c>
      <c r="B2089" s="564" t="s">
        <v>2803</v>
      </c>
      <c r="C2089" s="651" t="s">
        <v>3553</v>
      </c>
      <c r="D2089" s="550" t="s">
        <v>2809</v>
      </c>
      <c r="E2089" s="552">
        <v>0</v>
      </c>
      <c r="F2089" s="759" t="s">
        <v>8890</v>
      </c>
      <c r="G2089" s="760"/>
    </row>
    <row r="2090" spans="1:7" ht="15.9" customHeight="1">
      <c r="A2090" s="552" t="s">
        <v>3702</v>
      </c>
      <c r="B2090" s="564" t="s">
        <v>2803</v>
      </c>
      <c r="C2090" s="655" t="s">
        <v>3554</v>
      </c>
      <c r="D2090" s="550" t="s">
        <v>2809</v>
      </c>
      <c r="E2090" s="552">
        <v>0</v>
      </c>
      <c r="F2090" s="759" t="s">
        <v>8890</v>
      </c>
      <c r="G2090" s="760"/>
    </row>
    <row r="2091" spans="1:7" ht="15.9" customHeight="1">
      <c r="A2091" s="552" t="s">
        <v>3702</v>
      </c>
      <c r="B2091" s="564" t="s">
        <v>2803</v>
      </c>
      <c r="C2091" s="651" t="s">
        <v>3555</v>
      </c>
      <c r="D2091" s="550" t="s">
        <v>2809</v>
      </c>
      <c r="E2091" s="552">
        <v>0</v>
      </c>
      <c r="F2091" s="759" t="s">
        <v>8890</v>
      </c>
      <c r="G2091" s="760"/>
    </row>
    <row r="2092" spans="1:7" ht="15.9" customHeight="1">
      <c r="A2092" s="552" t="s">
        <v>3702</v>
      </c>
      <c r="B2092" s="564" t="s">
        <v>2803</v>
      </c>
      <c r="C2092" s="651" t="s">
        <v>3556</v>
      </c>
      <c r="D2092" s="550" t="s">
        <v>2809</v>
      </c>
      <c r="E2092" s="552">
        <v>0</v>
      </c>
      <c r="F2092" s="759" t="s">
        <v>8890</v>
      </c>
      <c r="G2092" s="760"/>
    </row>
    <row r="2093" spans="1:7" ht="15.9" customHeight="1">
      <c r="A2093" s="552" t="s">
        <v>3702</v>
      </c>
      <c r="B2093" s="564" t="s">
        <v>2803</v>
      </c>
      <c r="C2093" s="651" t="s">
        <v>3557</v>
      </c>
      <c r="D2093" s="550" t="s">
        <v>2809</v>
      </c>
      <c r="E2093" s="552">
        <v>0</v>
      </c>
      <c r="F2093" s="759" t="s">
        <v>8890</v>
      </c>
      <c r="G2093" s="761"/>
    </row>
    <row r="2094" spans="1:7" ht="15.9" customHeight="1">
      <c r="A2094" s="552" t="s">
        <v>3702</v>
      </c>
      <c r="B2094" s="564" t="s">
        <v>2803</v>
      </c>
      <c r="C2094" s="651" t="s">
        <v>3558</v>
      </c>
      <c r="D2094" s="550" t="s">
        <v>2809</v>
      </c>
      <c r="E2094" s="552">
        <v>0</v>
      </c>
      <c r="F2094" s="759" t="s">
        <v>8890</v>
      </c>
      <c r="G2094" s="760"/>
    </row>
    <row r="2095" spans="1:7" ht="15.9" customHeight="1">
      <c r="A2095" s="552" t="s">
        <v>3702</v>
      </c>
      <c r="B2095" s="564" t="s">
        <v>2803</v>
      </c>
      <c r="C2095" s="651" t="s">
        <v>3559</v>
      </c>
      <c r="D2095" s="550" t="s">
        <v>2809</v>
      </c>
      <c r="E2095" s="552">
        <v>0</v>
      </c>
      <c r="F2095" s="759" t="s">
        <v>8890</v>
      </c>
      <c r="G2095" s="760"/>
    </row>
    <row r="2096" spans="1:7" ht="15.9" customHeight="1">
      <c r="A2096" s="552" t="s">
        <v>3702</v>
      </c>
      <c r="B2096" s="564" t="s">
        <v>2803</v>
      </c>
      <c r="C2096" s="651" t="s">
        <v>3560</v>
      </c>
      <c r="D2096" s="550" t="s">
        <v>2809</v>
      </c>
      <c r="E2096" s="552">
        <v>0</v>
      </c>
      <c r="F2096" s="759" t="s">
        <v>8890</v>
      </c>
      <c r="G2096" s="760"/>
    </row>
    <row r="2097" spans="1:7" ht="15.9" customHeight="1">
      <c r="A2097" s="552" t="s">
        <v>3702</v>
      </c>
      <c r="B2097" s="564" t="s">
        <v>2803</v>
      </c>
      <c r="C2097" s="651" t="s">
        <v>3561</v>
      </c>
      <c r="D2097" s="550" t="s">
        <v>2809</v>
      </c>
      <c r="E2097" s="552">
        <v>0</v>
      </c>
      <c r="F2097" s="759" t="s">
        <v>8890</v>
      </c>
      <c r="G2097" s="760"/>
    </row>
    <row r="2098" spans="1:7" ht="15.9" customHeight="1">
      <c r="A2098" s="552" t="s">
        <v>3702</v>
      </c>
      <c r="B2098" s="564" t="s">
        <v>2803</v>
      </c>
      <c r="C2098" s="651" t="s">
        <v>3562</v>
      </c>
      <c r="D2098" s="550" t="s">
        <v>2809</v>
      </c>
      <c r="E2098" s="552">
        <v>0</v>
      </c>
      <c r="F2098" s="759" t="s">
        <v>8890</v>
      </c>
      <c r="G2098" s="760"/>
    </row>
    <row r="2099" spans="1:7" ht="15.9" customHeight="1">
      <c r="A2099" s="552" t="s">
        <v>3702</v>
      </c>
      <c r="B2099" s="564" t="s">
        <v>2803</v>
      </c>
      <c r="C2099" s="651" t="s">
        <v>3563</v>
      </c>
      <c r="D2099" s="550" t="s">
        <v>2809</v>
      </c>
      <c r="E2099" s="552">
        <v>0</v>
      </c>
      <c r="F2099" s="759" t="s">
        <v>8890</v>
      </c>
      <c r="G2099" s="760"/>
    </row>
    <row r="2100" spans="1:7" ht="15.9" customHeight="1">
      <c r="A2100" s="552" t="s">
        <v>3702</v>
      </c>
      <c r="B2100" s="564" t="s">
        <v>2803</v>
      </c>
      <c r="C2100" s="651" t="s">
        <v>3564</v>
      </c>
      <c r="D2100" s="550" t="s">
        <v>2809</v>
      </c>
      <c r="E2100" s="552">
        <v>0</v>
      </c>
      <c r="F2100" s="759" t="s">
        <v>8890</v>
      </c>
      <c r="G2100" s="760"/>
    </row>
    <row r="2101" spans="1:7" ht="15.9" customHeight="1">
      <c r="A2101" s="552" t="s">
        <v>3702</v>
      </c>
      <c r="B2101" s="564" t="s">
        <v>2803</v>
      </c>
      <c r="C2101" s="651" t="s">
        <v>3565</v>
      </c>
      <c r="D2101" s="550" t="s">
        <v>2809</v>
      </c>
      <c r="E2101" s="552">
        <v>0</v>
      </c>
      <c r="F2101" s="759" t="s">
        <v>8890</v>
      </c>
      <c r="G2101" s="760"/>
    </row>
    <row r="2102" spans="1:7" ht="15.9" customHeight="1">
      <c r="A2102" s="552" t="s">
        <v>3702</v>
      </c>
      <c r="B2102" s="564" t="s">
        <v>2803</v>
      </c>
      <c r="C2102" s="651" t="s">
        <v>3566</v>
      </c>
      <c r="D2102" s="550" t="s">
        <v>2809</v>
      </c>
      <c r="E2102" s="552">
        <v>0</v>
      </c>
      <c r="F2102" s="759" t="s">
        <v>8890</v>
      </c>
      <c r="G2102" s="760"/>
    </row>
    <row r="2103" spans="1:7" ht="15.9" customHeight="1">
      <c r="A2103" s="552" t="s">
        <v>3702</v>
      </c>
      <c r="B2103" s="564" t="s">
        <v>2803</v>
      </c>
      <c r="C2103" s="651" t="s">
        <v>3567</v>
      </c>
      <c r="D2103" s="550" t="s">
        <v>2809</v>
      </c>
      <c r="E2103" s="552">
        <v>0</v>
      </c>
      <c r="F2103" s="759" t="s">
        <v>8890</v>
      </c>
      <c r="G2103" s="760"/>
    </row>
    <row r="2104" spans="1:7" ht="15.9" customHeight="1">
      <c r="A2104" s="552" t="s">
        <v>3702</v>
      </c>
      <c r="B2104" s="564" t="s">
        <v>2803</v>
      </c>
      <c r="C2104" s="651" t="s">
        <v>3568</v>
      </c>
      <c r="D2104" s="550" t="s">
        <v>2809</v>
      </c>
      <c r="E2104" s="552">
        <v>0</v>
      </c>
      <c r="F2104" s="759" t="s">
        <v>8890</v>
      </c>
      <c r="G2104" s="760"/>
    </row>
    <row r="2105" spans="1:7" ht="15.9" customHeight="1">
      <c r="A2105" s="552" t="s">
        <v>3702</v>
      </c>
      <c r="B2105" s="564" t="s">
        <v>2803</v>
      </c>
      <c r="C2105" s="651" t="s">
        <v>3569</v>
      </c>
      <c r="D2105" s="550" t="s">
        <v>2809</v>
      </c>
      <c r="E2105" s="552">
        <v>0</v>
      </c>
      <c r="F2105" s="759" t="s">
        <v>8890</v>
      </c>
      <c r="G2105" s="760"/>
    </row>
    <row r="2106" spans="1:7" ht="15.9" customHeight="1">
      <c r="A2106" s="552" t="s">
        <v>3702</v>
      </c>
      <c r="B2106" s="564" t="s">
        <v>2803</v>
      </c>
      <c r="C2106" s="651" t="s">
        <v>3570</v>
      </c>
      <c r="D2106" s="550" t="s">
        <v>2809</v>
      </c>
      <c r="E2106" s="552">
        <v>0</v>
      </c>
      <c r="F2106" s="759" t="s">
        <v>8890</v>
      </c>
      <c r="G2106" s="760"/>
    </row>
    <row r="2107" spans="1:7" ht="15.9" customHeight="1">
      <c r="A2107" s="552" t="s">
        <v>3702</v>
      </c>
      <c r="B2107" s="564" t="s">
        <v>2803</v>
      </c>
      <c r="C2107" s="651" t="s">
        <v>3571</v>
      </c>
      <c r="D2107" s="550" t="s">
        <v>2809</v>
      </c>
      <c r="E2107" s="552">
        <v>0</v>
      </c>
      <c r="F2107" s="759" t="s">
        <v>8890</v>
      </c>
      <c r="G2107" s="760"/>
    </row>
    <row r="2108" spans="1:7" ht="15.9" customHeight="1">
      <c r="A2108" s="552" t="s">
        <v>3702</v>
      </c>
      <c r="B2108" s="564" t="s">
        <v>2803</v>
      </c>
      <c r="C2108" s="655" t="s">
        <v>3572</v>
      </c>
      <c r="D2108" s="550" t="s">
        <v>2809</v>
      </c>
      <c r="E2108" s="552">
        <v>0</v>
      </c>
      <c r="F2108" s="759" t="s">
        <v>8890</v>
      </c>
      <c r="G2108" s="760"/>
    </row>
    <row r="2109" spans="1:7" ht="15.9" customHeight="1">
      <c r="A2109" s="552" t="s">
        <v>3702</v>
      </c>
      <c r="B2109" s="564" t="s">
        <v>2803</v>
      </c>
      <c r="C2109" s="651" t="s">
        <v>3573</v>
      </c>
      <c r="D2109" s="550" t="s">
        <v>2809</v>
      </c>
      <c r="E2109" s="552">
        <v>0</v>
      </c>
      <c r="F2109" s="759" t="s">
        <v>8890</v>
      </c>
      <c r="G2109" s="761"/>
    </row>
    <row r="2110" spans="1:7" ht="15.9" customHeight="1">
      <c r="A2110" s="552" t="s">
        <v>3702</v>
      </c>
      <c r="B2110" s="564" t="s">
        <v>2803</v>
      </c>
      <c r="C2110" s="651" t="s">
        <v>3574</v>
      </c>
      <c r="D2110" s="550" t="s">
        <v>2809</v>
      </c>
      <c r="E2110" s="552">
        <v>0</v>
      </c>
      <c r="F2110" s="759" t="s">
        <v>8890</v>
      </c>
      <c r="G2110" s="760"/>
    </row>
    <row r="2111" spans="1:7" ht="15.9" customHeight="1">
      <c r="A2111" s="552" t="s">
        <v>3702</v>
      </c>
      <c r="B2111" s="564" t="s">
        <v>2803</v>
      </c>
      <c r="C2111" s="651" t="s">
        <v>3575</v>
      </c>
      <c r="D2111" s="550" t="s">
        <v>2809</v>
      </c>
      <c r="E2111" s="552">
        <v>0</v>
      </c>
      <c r="F2111" s="759" t="s">
        <v>8890</v>
      </c>
      <c r="G2111" s="761"/>
    </row>
    <row r="2112" spans="1:7" ht="15.9" customHeight="1">
      <c r="A2112" s="552" t="s">
        <v>3702</v>
      </c>
      <c r="B2112" s="564" t="s">
        <v>2803</v>
      </c>
      <c r="C2112" s="651" t="s">
        <v>3576</v>
      </c>
      <c r="D2112" s="550" t="s">
        <v>2809</v>
      </c>
      <c r="E2112" s="552">
        <v>0</v>
      </c>
      <c r="F2112" s="759" t="s">
        <v>8890</v>
      </c>
      <c r="G2112" s="760"/>
    </row>
    <row r="2113" spans="1:7" ht="15.9" customHeight="1">
      <c r="A2113" s="552" t="s">
        <v>3702</v>
      </c>
      <c r="B2113" s="564" t="s">
        <v>2803</v>
      </c>
      <c r="C2113" s="651" t="s">
        <v>3577</v>
      </c>
      <c r="D2113" s="550" t="s">
        <v>2809</v>
      </c>
      <c r="E2113" s="552">
        <v>0</v>
      </c>
      <c r="F2113" s="759" t="s">
        <v>8890</v>
      </c>
      <c r="G2113" s="760"/>
    </row>
    <row r="2114" spans="1:7" ht="15.9" customHeight="1">
      <c r="A2114" s="552" t="s">
        <v>3702</v>
      </c>
      <c r="B2114" s="564" t="s">
        <v>2803</v>
      </c>
      <c r="C2114" s="650" t="s">
        <v>3578</v>
      </c>
      <c r="D2114" s="550" t="s">
        <v>2809</v>
      </c>
      <c r="E2114" s="552">
        <v>0</v>
      </c>
      <c r="F2114" s="759" t="s">
        <v>8890</v>
      </c>
      <c r="G2114" s="760"/>
    </row>
    <row r="2115" spans="1:7" ht="15.9" customHeight="1">
      <c r="A2115" s="552" t="s">
        <v>3702</v>
      </c>
      <c r="B2115" s="564" t="s">
        <v>2803</v>
      </c>
      <c r="C2115" s="651" t="s">
        <v>3579</v>
      </c>
      <c r="D2115" s="550" t="s">
        <v>2809</v>
      </c>
      <c r="E2115" s="552">
        <v>0</v>
      </c>
      <c r="F2115" s="759" t="s">
        <v>8890</v>
      </c>
      <c r="G2115" s="760"/>
    </row>
    <row r="2116" spans="1:7" ht="15.9" customHeight="1">
      <c r="A2116" s="552" t="s">
        <v>3702</v>
      </c>
      <c r="B2116" s="564" t="s">
        <v>2803</v>
      </c>
      <c r="C2116" s="651" t="s">
        <v>3580</v>
      </c>
      <c r="D2116" s="550" t="s">
        <v>2809</v>
      </c>
      <c r="E2116" s="552">
        <v>0</v>
      </c>
      <c r="F2116" s="759" t="s">
        <v>8890</v>
      </c>
      <c r="G2116" s="760"/>
    </row>
    <row r="2117" spans="1:7" ht="15.9" customHeight="1">
      <c r="A2117" s="552" t="s">
        <v>3702</v>
      </c>
      <c r="B2117" s="564" t="s">
        <v>2803</v>
      </c>
      <c r="C2117" s="651" t="s">
        <v>3582</v>
      </c>
      <c r="D2117" s="550" t="s">
        <v>2809</v>
      </c>
      <c r="E2117" s="552">
        <v>0</v>
      </c>
      <c r="F2117" s="759" t="s">
        <v>8890</v>
      </c>
      <c r="G2117" s="760"/>
    </row>
    <row r="2118" spans="1:7" ht="15.9" customHeight="1">
      <c r="A2118" s="552" t="s">
        <v>3702</v>
      </c>
      <c r="B2118" s="564" t="s">
        <v>2803</v>
      </c>
      <c r="C2118" s="651" t="s">
        <v>3583</v>
      </c>
      <c r="D2118" s="550" t="s">
        <v>2809</v>
      </c>
      <c r="E2118" s="552">
        <v>0</v>
      </c>
      <c r="F2118" s="759" t="s">
        <v>8890</v>
      </c>
      <c r="G2118" s="760"/>
    </row>
    <row r="2119" spans="1:7" ht="15.9" customHeight="1">
      <c r="A2119" s="552" t="s">
        <v>3702</v>
      </c>
      <c r="B2119" s="564" t="s">
        <v>2803</v>
      </c>
      <c r="C2119" s="651" t="s">
        <v>3584</v>
      </c>
      <c r="D2119" s="550" t="s">
        <v>2809</v>
      </c>
      <c r="E2119" s="552">
        <v>0</v>
      </c>
      <c r="F2119" s="759" t="s">
        <v>8890</v>
      </c>
      <c r="G2119" s="760"/>
    </row>
    <row r="2120" spans="1:7" ht="15.9" customHeight="1">
      <c r="A2120" s="552" t="s">
        <v>3702</v>
      </c>
      <c r="B2120" s="564" t="s">
        <v>2803</v>
      </c>
      <c r="C2120" s="651" t="s">
        <v>3585</v>
      </c>
      <c r="D2120" s="550" t="s">
        <v>2809</v>
      </c>
      <c r="E2120" s="552">
        <v>0</v>
      </c>
      <c r="F2120" s="759" t="s">
        <v>8890</v>
      </c>
      <c r="G2120" s="760"/>
    </row>
    <row r="2121" spans="1:7" ht="15.9" customHeight="1">
      <c r="A2121" s="552" t="s">
        <v>3702</v>
      </c>
      <c r="B2121" s="564" t="s">
        <v>2803</v>
      </c>
      <c r="C2121" s="651" t="s">
        <v>3586</v>
      </c>
      <c r="D2121" s="550" t="s">
        <v>2809</v>
      </c>
      <c r="E2121" s="552">
        <v>0</v>
      </c>
      <c r="F2121" s="759" t="s">
        <v>8890</v>
      </c>
      <c r="G2121" s="761"/>
    </row>
    <row r="2122" spans="1:7" ht="15.9" customHeight="1">
      <c r="A2122" s="552" t="s">
        <v>3702</v>
      </c>
      <c r="B2122" s="564" t="s">
        <v>2803</v>
      </c>
      <c r="C2122" s="651" t="s">
        <v>3587</v>
      </c>
      <c r="D2122" s="550" t="s">
        <v>2809</v>
      </c>
      <c r="E2122" s="552">
        <v>0</v>
      </c>
      <c r="F2122" s="759" t="s">
        <v>8890</v>
      </c>
      <c r="G2122" s="760"/>
    </row>
    <row r="2123" spans="1:7" ht="15.9" customHeight="1">
      <c r="A2123" s="552" t="s">
        <v>3702</v>
      </c>
      <c r="B2123" s="564" t="s">
        <v>2803</v>
      </c>
      <c r="C2123" s="651" t="s">
        <v>3588</v>
      </c>
      <c r="D2123" s="550" t="s">
        <v>2809</v>
      </c>
      <c r="E2123" s="552">
        <v>0</v>
      </c>
      <c r="F2123" s="759" t="s">
        <v>8890</v>
      </c>
      <c r="G2123" s="760"/>
    </row>
    <row r="2124" spans="1:7" ht="15.9" customHeight="1">
      <c r="A2124" s="552" t="s">
        <v>3702</v>
      </c>
      <c r="B2124" s="564" t="s">
        <v>2803</v>
      </c>
      <c r="C2124" s="651" t="s">
        <v>3589</v>
      </c>
      <c r="D2124" s="550" t="s">
        <v>2809</v>
      </c>
      <c r="E2124" s="552">
        <v>0</v>
      </c>
      <c r="F2124" s="759" t="s">
        <v>8890</v>
      </c>
      <c r="G2124" s="760"/>
    </row>
    <row r="2125" spans="1:7" ht="15.9" customHeight="1">
      <c r="A2125" s="552" t="s">
        <v>3702</v>
      </c>
      <c r="B2125" s="564" t="s">
        <v>2803</v>
      </c>
      <c r="C2125" s="651" t="s">
        <v>3590</v>
      </c>
      <c r="D2125" s="550" t="s">
        <v>2809</v>
      </c>
      <c r="E2125" s="552">
        <v>0</v>
      </c>
      <c r="F2125" s="759" t="s">
        <v>8890</v>
      </c>
      <c r="G2125" s="760"/>
    </row>
    <row r="2126" spans="1:7" ht="15.9" customHeight="1">
      <c r="A2126" s="552" t="s">
        <v>3702</v>
      </c>
      <c r="B2126" s="564" t="s">
        <v>2803</v>
      </c>
      <c r="C2126" s="651" t="s">
        <v>3591</v>
      </c>
      <c r="D2126" s="550" t="s">
        <v>2809</v>
      </c>
      <c r="E2126" s="552">
        <v>0</v>
      </c>
      <c r="F2126" s="759" t="s">
        <v>8890</v>
      </c>
      <c r="G2126" s="760"/>
    </row>
    <row r="2127" spans="1:7" ht="15.9" customHeight="1">
      <c r="A2127" s="552" t="s">
        <v>3702</v>
      </c>
      <c r="B2127" s="564" t="s">
        <v>2803</v>
      </c>
      <c r="C2127" s="651" t="s">
        <v>3593</v>
      </c>
      <c r="D2127" s="550" t="s">
        <v>2809</v>
      </c>
      <c r="E2127" s="552">
        <v>0</v>
      </c>
      <c r="F2127" s="759" t="s">
        <v>8890</v>
      </c>
      <c r="G2127" s="760"/>
    </row>
    <row r="2128" spans="1:7" ht="15.9" customHeight="1">
      <c r="A2128" s="552" t="s">
        <v>3702</v>
      </c>
      <c r="B2128" s="564" t="s">
        <v>2803</v>
      </c>
      <c r="C2128" s="651" t="s">
        <v>3595</v>
      </c>
      <c r="D2128" s="550" t="s">
        <v>2809</v>
      </c>
      <c r="E2128" s="552">
        <v>0</v>
      </c>
      <c r="F2128" s="759" t="s">
        <v>8890</v>
      </c>
      <c r="G2128" s="760"/>
    </row>
    <row r="2129" spans="1:7" ht="15.9" customHeight="1">
      <c r="A2129" s="552" t="s">
        <v>3702</v>
      </c>
      <c r="B2129" s="564" t="s">
        <v>2803</v>
      </c>
      <c r="C2129" s="651" t="s">
        <v>3596</v>
      </c>
      <c r="D2129" s="550" t="s">
        <v>2809</v>
      </c>
      <c r="E2129" s="552">
        <v>0</v>
      </c>
      <c r="F2129" s="759" t="s">
        <v>8890</v>
      </c>
      <c r="G2129" s="760"/>
    </row>
    <row r="2130" spans="1:7" ht="15.9" customHeight="1">
      <c r="A2130" s="552" t="s">
        <v>3702</v>
      </c>
      <c r="B2130" s="564" t="s">
        <v>2803</v>
      </c>
      <c r="C2130" s="651" t="s">
        <v>3597</v>
      </c>
      <c r="D2130" s="550" t="s">
        <v>2809</v>
      </c>
      <c r="E2130" s="552">
        <v>0</v>
      </c>
      <c r="F2130" s="759" t="s">
        <v>8890</v>
      </c>
      <c r="G2130" s="760"/>
    </row>
    <row r="2131" spans="1:7" ht="15.9" customHeight="1">
      <c r="A2131" s="552" t="s">
        <v>3702</v>
      </c>
      <c r="B2131" s="564" t="s">
        <v>2803</v>
      </c>
      <c r="C2131" s="651" t="s">
        <v>3598</v>
      </c>
      <c r="D2131" s="550" t="s">
        <v>2809</v>
      </c>
      <c r="E2131" s="552">
        <v>0</v>
      </c>
      <c r="F2131" s="759" t="s">
        <v>8890</v>
      </c>
      <c r="G2131" s="760"/>
    </row>
    <row r="2132" spans="1:7" ht="15.9" customHeight="1">
      <c r="A2132" s="552" t="s">
        <v>3702</v>
      </c>
      <c r="B2132" s="564" t="s">
        <v>2803</v>
      </c>
      <c r="C2132" s="651" t="s">
        <v>3599</v>
      </c>
      <c r="D2132" s="550" t="s">
        <v>2809</v>
      </c>
      <c r="E2132" s="552">
        <v>0</v>
      </c>
      <c r="F2132" s="759" t="s">
        <v>8890</v>
      </c>
      <c r="G2132" s="760"/>
    </row>
    <row r="2133" spans="1:7" ht="15.9" customHeight="1">
      <c r="A2133" s="552" t="s">
        <v>3702</v>
      </c>
      <c r="B2133" s="564" t="s">
        <v>2803</v>
      </c>
      <c r="C2133" s="651" t="s">
        <v>3600</v>
      </c>
      <c r="D2133" s="550" t="s">
        <v>2809</v>
      </c>
      <c r="E2133" s="552">
        <v>0</v>
      </c>
      <c r="F2133" s="759" t="s">
        <v>8890</v>
      </c>
      <c r="G2133" s="760"/>
    </row>
    <row r="2134" spans="1:7" ht="15.9" customHeight="1">
      <c r="A2134" s="552" t="s">
        <v>3702</v>
      </c>
      <c r="B2134" s="564" t="s">
        <v>2803</v>
      </c>
      <c r="C2134" s="651" t="s">
        <v>3601</v>
      </c>
      <c r="D2134" s="550" t="s">
        <v>2809</v>
      </c>
      <c r="E2134" s="552">
        <v>0</v>
      </c>
      <c r="F2134" s="759" t="s">
        <v>8890</v>
      </c>
      <c r="G2134" s="760"/>
    </row>
    <row r="2135" spans="1:7" ht="15.9" customHeight="1">
      <c r="A2135" s="552" t="s">
        <v>3702</v>
      </c>
      <c r="B2135" s="564" t="s">
        <v>2803</v>
      </c>
      <c r="C2135" s="651" t="s">
        <v>3602</v>
      </c>
      <c r="D2135" s="550" t="s">
        <v>2809</v>
      </c>
      <c r="E2135" s="552">
        <v>0</v>
      </c>
      <c r="F2135" s="759" t="s">
        <v>8890</v>
      </c>
      <c r="G2135" s="760"/>
    </row>
    <row r="2136" spans="1:7" ht="15.9" customHeight="1">
      <c r="A2136" s="552" t="s">
        <v>3702</v>
      </c>
      <c r="B2136" s="564" t="s">
        <v>2803</v>
      </c>
      <c r="C2136" s="651" t="s">
        <v>3603</v>
      </c>
      <c r="D2136" s="550" t="s">
        <v>2809</v>
      </c>
      <c r="E2136" s="552">
        <v>0</v>
      </c>
      <c r="F2136" s="759" t="s">
        <v>8890</v>
      </c>
      <c r="G2136" s="760"/>
    </row>
    <row r="2137" spans="1:7" ht="15.9" customHeight="1">
      <c r="A2137" s="552" t="s">
        <v>3702</v>
      </c>
      <c r="B2137" s="564" t="s">
        <v>2803</v>
      </c>
      <c r="C2137" s="651" t="s">
        <v>3604</v>
      </c>
      <c r="D2137" s="550" t="s">
        <v>2809</v>
      </c>
      <c r="E2137" s="552">
        <v>0</v>
      </c>
      <c r="F2137" s="759" t="s">
        <v>8890</v>
      </c>
      <c r="G2137" s="760"/>
    </row>
    <row r="2138" spans="1:7" ht="15.9" customHeight="1">
      <c r="A2138" s="552" t="s">
        <v>3702</v>
      </c>
      <c r="B2138" s="564" t="s">
        <v>2803</v>
      </c>
      <c r="C2138" s="651" t="s">
        <v>3605</v>
      </c>
      <c r="D2138" s="550" t="s">
        <v>2809</v>
      </c>
      <c r="E2138" s="552">
        <v>0</v>
      </c>
      <c r="F2138" s="759" t="s">
        <v>8890</v>
      </c>
      <c r="G2138" s="760"/>
    </row>
    <row r="2139" spans="1:7" ht="15.9" customHeight="1">
      <c r="A2139" s="552" t="s">
        <v>3702</v>
      </c>
      <c r="B2139" s="564" t="s">
        <v>2803</v>
      </c>
      <c r="C2139" s="651" t="s">
        <v>3606</v>
      </c>
      <c r="D2139" s="550" t="s">
        <v>2809</v>
      </c>
      <c r="E2139" s="552">
        <v>0</v>
      </c>
      <c r="F2139" s="759" t="s">
        <v>8890</v>
      </c>
      <c r="G2139" s="760"/>
    </row>
    <row r="2140" spans="1:7" ht="15.9" customHeight="1">
      <c r="A2140" s="552" t="s">
        <v>3702</v>
      </c>
      <c r="B2140" s="564" t="s">
        <v>2803</v>
      </c>
      <c r="C2140" s="651" t="s">
        <v>3607</v>
      </c>
      <c r="D2140" s="550" t="s">
        <v>2809</v>
      </c>
      <c r="E2140" s="552">
        <v>0</v>
      </c>
      <c r="F2140" s="759" t="s">
        <v>8890</v>
      </c>
      <c r="G2140" s="760"/>
    </row>
    <row r="2141" spans="1:7" ht="15.9" customHeight="1">
      <c r="A2141" s="552" t="s">
        <v>3702</v>
      </c>
      <c r="B2141" s="564" t="s">
        <v>2803</v>
      </c>
      <c r="C2141" s="650" t="s">
        <v>3608</v>
      </c>
      <c r="D2141" s="550" t="s">
        <v>2809</v>
      </c>
      <c r="E2141" s="552">
        <v>0</v>
      </c>
      <c r="F2141" s="759" t="s">
        <v>8890</v>
      </c>
      <c r="G2141" s="760"/>
    </row>
    <row r="2142" spans="1:7" ht="15.9" customHeight="1">
      <c r="A2142" s="552" t="s">
        <v>3702</v>
      </c>
      <c r="B2142" s="564" t="s">
        <v>2803</v>
      </c>
      <c r="C2142" s="651" t="s">
        <v>3609</v>
      </c>
      <c r="D2142" s="550" t="s">
        <v>2809</v>
      </c>
      <c r="E2142" s="552">
        <v>0</v>
      </c>
      <c r="F2142" s="759" t="s">
        <v>8890</v>
      </c>
      <c r="G2142" s="760"/>
    </row>
    <row r="2143" spans="1:7" ht="15.9" customHeight="1">
      <c r="A2143" s="552" t="s">
        <v>3702</v>
      </c>
      <c r="B2143" s="564" t="s">
        <v>2803</v>
      </c>
      <c r="C2143" s="651" t="s">
        <v>3610</v>
      </c>
      <c r="D2143" s="550" t="s">
        <v>2809</v>
      </c>
      <c r="E2143" s="552">
        <v>0</v>
      </c>
      <c r="F2143" s="759" t="s">
        <v>8890</v>
      </c>
      <c r="G2143" s="760"/>
    </row>
    <row r="2144" spans="1:7" ht="15.9" customHeight="1">
      <c r="A2144" s="552" t="s">
        <v>3702</v>
      </c>
      <c r="B2144" s="564" t="s">
        <v>2803</v>
      </c>
      <c r="C2144" s="651" t="s">
        <v>3611</v>
      </c>
      <c r="D2144" s="550" t="s">
        <v>2809</v>
      </c>
      <c r="E2144" s="552">
        <v>0</v>
      </c>
      <c r="F2144" s="759" t="s">
        <v>8890</v>
      </c>
      <c r="G2144" s="760"/>
    </row>
    <row r="2145" spans="1:7" ht="15.9" customHeight="1">
      <c r="A2145" s="552" t="s">
        <v>3702</v>
      </c>
      <c r="B2145" s="564" t="s">
        <v>2803</v>
      </c>
      <c r="C2145" s="651" t="s">
        <v>3612</v>
      </c>
      <c r="D2145" s="550" t="s">
        <v>2809</v>
      </c>
      <c r="E2145" s="552">
        <v>0</v>
      </c>
      <c r="F2145" s="759" t="s">
        <v>8890</v>
      </c>
      <c r="G2145" s="760"/>
    </row>
    <row r="2146" spans="1:7" ht="15.9" customHeight="1">
      <c r="A2146" s="552" t="s">
        <v>3702</v>
      </c>
      <c r="B2146" s="564" t="s">
        <v>2803</v>
      </c>
      <c r="C2146" s="651" t="s">
        <v>3613</v>
      </c>
      <c r="D2146" s="550" t="s">
        <v>2809</v>
      </c>
      <c r="E2146" s="552">
        <v>0</v>
      </c>
      <c r="F2146" s="759" t="s">
        <v>8890</v>
      </c>
      <c r="G2146" s="760"/>
    </row>
    <row r="2147" spans="1:7" ht="15.9" customHeight="1">
      <c r="A2147" s="552" t="s">
        <v>3702</v>
      </c>
      <c r="B2147" s="564" t="s">
        <v>2803</v>
      </c>
      <c r="C2147" s="651" t="s">
        <v>3614</v>
      </c>
      <c r="D2147" s="550" t="s">
        <v>2809</v>
      </c>
      <c r="E2147" s="552">
        <v>0</v>
      </c>
      <c r="F2147" s="759" t="s">
        <v>8890</v>
      </c>
      <c r="G2147" s="760"/>
    </row>
    <row r="2148" spans="1:7" ht="15.9" customHeight="1">
      <c r="A2148" s="552" t="s">
        <v>3702</v>
      </c>
      <c r="B2148" s="564" t="s">
        <v>2803</v>
      </c>
      <c r="C2148" s="651" t="s">
        <v>3615</v>
      </c>
      <c r="D2148" s="550" t="s">
        <v>2809</v>
      </c>
      <c r="E2148" s="552">
        <v>0</v>
      </c>
      <c r="F2148" s="759" t="s">
        <v>8890</v>
      </c>
      <c r="G2148" s="760"/>
    </row>
    <row r="2149" spans="1:7" ht="15.9" customHeight="1">
      <c r="A2149" s="552" t="s">
        <v>3702</v>
      </c>
      <c r="B2149" s="564" t="s">
        <v>2803</v>
      </c>
      <c r="C2149" s="651" t="s">
        <v>3616</v>
      </c>
      <c r="D2149" s="550" t="s">
        <v>2809</v>
      </c>
      <c r="E2149" s="552">
        <v>0</v>
      </c>
      <c r="F2149" s="759" t="s">
        <v>8890</v>
      </c>
      <c r="G2149" s="760"/>
    </row>
    <row r="2150" spans="1:7" ht="15.9" customHeight="1">
      <c r="A2150" s="552" t="s">
        <v>3702</v>
      </c>
      <c r="B2150" s="564" t="s">
        <v>2803</v>
      </c>
      <c r="C2150" s="651" t="s">
        <v>3617</v>
      </c>
      <c r="D2150" s="550" t="s">
        <v>2809</v>
      </c>
      <c r="E2150" s="552">
        <v>0</v>
      </c>
      <c r="F2150" s="759" t="s">
        <v>8890</v>
      </c>
      <c r="G2150" s="760"/>
    </row>
    <row r="2151" spans="1:7" ht="15.9" customHeight="1">
      <c r="A2151" s="552" t="s">
        <v>3702</v>
      </c>
      <c r="B2151" s="564" t="s">
        <v>2803</v>
      </c>
      <c r="C2151" s="651" t="s">
        <v>3618</v>
      </c>
      <c r="D2151" s="550" t="s">
        <v>2809</v>
      </c>
      <c r="E2151" s="552">
        <v>0</v>
      </c>
      <c r="F2151" s="759" t="s">
        <v>8890</v>
      </c>
      <c r="G2151" s="760"/>
    </row>
    <row r="2152" spans="1:7" ht="15.9" customHeight="1">
      <c r="A2152" s="552" t="s">
        <v>3702</v>
      </c>
      <c r="B2152" s="564" t="s">
        <v>2803</v>
      </c>
      <c r="C2152" s="651" t="s">
        <v>3619</v>
      </c>
      <c r="D2152" s="550" t="s">
        <v>2809</v>
      </c>
      <c r="E2152" s="552">
        <v>0</v>
      </c>
      <c r="F2152" s="759" t="s">
        <v>8890</v>
      </c>
      <c r="G2152" s="760"/>
    </row>
    <row r="2153" spans="1:7" ht="15.9" customHeight="1">
      <c r="A2153" s="552" t="s">
        <v>3702</v>
      </c>
      <c r="B2153" s="564" t="s">
        <v>2803</v>
      </c>
      <c r="C2153" s="650" t="s">
        <v>3620</v>
      </c>
      <c r="D2153" s="550" t="s">
        <v>2809</v>
      </c>
      <c r="E2153" s="552">
        <v>0</v>
      </c>
      <c r="F2153" s="759" t="s">
        <v>8890</v>
      </c>
      <c r="G2153" s="760"/>
    </row>
    <row r="2154" spans="1:7" ht="15.9" customHeight="1">
      <c r="A2154" s="552" t="s">
        <v>3702</v>
      </c>
      <c r="B2154" s="564" t="s">
        <v>2803</v>
      </c>
      <c r="C2154" s="651" t="s">
        <v>3621</v>
      </c>
      <c r="D2154" s="550" t="s">
        <v>2809</v>
      </c>
      <c r="E2154" s="552">
        <v>0</v>
      </c>
      <c r="F2154" s="759" t="s">
        <v>8890</v>
      </c>
      <c r="G2154" s="760"/>
    </row>
    <row r="2155" spans="1:7" ht="15.9" customHeight="1">
      <c r="A2155" s="552" t="s">
        <v>3702</v>
      </c>
      <c r="B2155" s="564" t="s">
        <v>2803</v>
      </c>
      <c r="C2155" s="651" t="s">
        <v>3622</v>
      </c>
      <c r="D2155" s="550" t="s">
        <v>2809</v>
      </c>
      <c r="E2155" s="552">
        <v>0</v>
      </c>
      <c r="F2155" s="759" t="s">
        <v>8890</v>
      </c>
      <c r="G2155" s="760"/>
    </row>
    <row r="2156" spans="1:7" ht="15.9" customHeight="1">
      <c r="A2156" s="552" t="s">
        <v>3702</v>
      </c>
      <c r="B2156" s="564" t="s">
        <v>2803</v>
      </c>
      <c r="C2156" s="651" t="s">
        <v>3623</v>
      </c>
      <c r="D2156" s="550" t="s">
        <v>2809</v>
      </c>
      <c r="E2156" s="552">
        <v>0</v>
      </c>
      <c r="F2156" s="759" t="s">
        <v>8890</v>
      </c>
      <c r="G2156" s="760"/>
    </row>
    <row r="2157" spans="1:7" ht="15.9" customHeight="1">
      <c r="A2157" s="552" t="s">
        <v>3702</v>
      </c>
      <c r="B2157" s="564" t="s">
        <v>2803</v>
      </c>
      <c r="C2157" s="651" t="s">
        <v>3624</v>
      </c>
      <c r="D2157" s="550" t="s">
        <v>2809</v>
      </c>
      <c r="E2157" s="552">
        <v>0</v>
      </c>
      <c r="F2157" s="759" t="s">
        <v>8890</v>
      </c>
      <c r="G2157" s="760"/>
    </row>
    <row r="2158" spans="1:7" ht="15.9" customHeight="1">
      <c r="A2158" s="552" t="s">
        <v>3702</v>
      </c>
      <c r="B2158" s="564" t="s">
        <v>2803</v>
      </c>
      <c r="C2158" s="651" t="s">
        <v>3625</v>
      </c>
      <c r="D2158" s="550" t="s">
        <v>2809</v>
      </c>
      <c r="E2158" s="552">
        <v>0</v>
      </c>
      <c r="F2158" s="759" t="s">
        <v>8890</v>
      </c>
      <c r="G2158" s="760"/>
    </row>
    <row r="2159" spans="1:7" ht="15.9" customHeight="1">
      <c r="A2159" s="552" t="s">
        <v>3702</v>
      </c>
      <c r="B2159" s="564" t="s">
        <v>2803</v>
      </c>
      <c r="C2159" s="651" t="s">
        <v>3626</v>
      </c>
      <c r="D2159" s="550" t="s">
        <v>2809</v>
      </c>
      <c r="E2159" s="552">
        <v>0</v>
      </c>
      <c r="F2159" s="759" t="s">
        <v>8890</v>
      </c>
      <c r="G2159" s="760"/>
    </row>
    <row r="2160" spans="1:7" ht="15.9" customHeight="1">
      <c r="A2160" s="552" t="s">
        <v>3702</v>
      </c>
      <c r="B2160" s="564" t="s">
        <v>2803</v>
      </c>
      <c r="C2160" s="651" t="s">
        <v>3627</v>
      </c>
      <c r="D2160" s="550" t="s">
        <v>2809</v>
      </c>
      <c r="E2160" s="552">
        <v>0</v>
      </c>
      <c r="F2160" s="759" t="s">
        <v>8890</v>
      </c>
      <c r="G2160" s="760"/>
    </row>
    <row r="2161" spans="1:7" ht="15.9" customHeight="1">
      <c r="A2161" s="552" t="s">
        <v>3702</v>
      </c>
      <c r="B2161" s="564" t="s">
        <v>2803</v>
      </c>
      <c r="C2161" s="651" t="s">
        <v>3628</v>
      </c>
      <c r="D2161" s="550" t="s">
        <v>2809</v>
      </c>
      <c r="E2161" s="552">
        <v>0</v>
      </c>
      <c r="F2161" s="759" t="s">
        <v>8890</v>
      </c>
      <c r="G2161" s="760"/>
    </row>
    <row r="2162" spans="1:7" ht="15.9" customHeight="1">
      <c r="A2162" s="552" t="s">
        <v>3702</v>
      </c>
      <c r="B2162" s="564" t="s">
        <v>2803</v>
      </c>
      <c r="C2162" s="651" t="s">
        <v>3629</v>
      </c>
      <c r="D2162" s="550" t="s">
        <v>2809</v>
      </c>
      <c r="E2162" s="552">
        <v>0</v>
      </c>
      <c r="F2162" s="759" t="s">
        <v>8890</v>
      </c>
      <c r="G2162" s="760"/>
    </row>
    <row r="2163" spans="1:7" ht="15.9" customHeight="1">
      <c r="A2163" s="552" t="s">
        <v>3702</v>
      </c>
      <c r="B2163" s="564" t="s">
        <v>2803</v>
      </c>
      <c r="C2163" s="651" t="s">
        <v>3630</v>
      </c>
      <c r="D2163" s="550" t="s">
        <v>2809</v>
      </c>
      <c r="E2163" s="552">
        <v>0</v>
      </c>
      <c r="F2163" s="759" t="s">
        <v>8890</v>
      </c>
      <c r="G2163" s="760"/>
    </row>
    <row r="2164" spans="1:7" ht="15.9" customHeight="1">
      <c r="A2164" s="552" t="s">
        <v>3702</v>
      </c>
      <c r="B2164" s="559" t="s">
        <v>2807</v>
      </c>
      <c r="C2164" s="653" t="s">
        <v>3043</v>
      </c>
      <c r="D2164" s="550" t="s">
        <v>3632</v>
      </c>
      <c r="E2164" s="552">
        <v>0</v>
      </c>
      <c r="F2164" s="759" t="s">
        <v>8890</v>
      </c>
      <c r="G2164" s="760"/>
    </row>
    <row r="2165" spans="1:7" ht="15.9" customHeight="1">
      <c r="A2165" s="552" t="s">
        <v>3702</v>
      </c>
      <c r="B2165" s="559" t="s">
        <v>2807</v>
      </c>
      <c r="C2165" s="653" t="s">
        <v>3122</v>
      </c>
      <c r="D2165" s="550" t="s">
        <v>3632</v>
      </c>
      <c r="E2165" s="552">
        <v>0</v>
      </c>
      <c r="F2165" s="759" t="s">
        <v>8890</v>
      </c>
      <c r="G2165" s="760"/>
    </row>
    <row r="2166" spans="1:7" ht="15.9" customHeight="1">
      <c r="A2166" s="552" t="s">
        <v>3702</v>
      </c>
      <c r="B2166" s="559" t="s">
        <v>2807</v>
      </c>
      <c r="C2166" s="653" t="s">
        <v>3044</v>
      </c>
      <c r="D2166" s="550" t="s">
        <v>3632</v>
      </c>
      <c r="E2166" s="552">
        <v>0</v>
      </c>
      <c r="F2166" s="759" t="s">
        <v>8890</v>
      </c>
      <c r="G2166" s="760"/>
    </row>
    <row r="2167" spans="1:7" ht="15.9" customHeight="1">
      <c r="A2167" s="552" t="s">
        <v>3702</v>
      </c>
      <c r="B2167" s="559" t="s">
        <v>2807</v>
      </c>
      <c r="C2167" s="653" t="s">
        <v>3045</v>
      </c>
      <c r="D2167" s="550" t="s">
        <v>3632</v>
      </c>
      <c r="E2167" s="552">
        <v>0</v>
      </c>
      <c r="F2167" s="759" t="s">
        <v>8890</v>
      </c>
      <c r="G2167" s="760"/>
    </row>
    <row r="2168" spans="1:7" ht="15.9" customHeight="1">
      <c r="A2168" s="552" t="s">
        <v>3702</v>
      </c>
      <c r="B2168" s="559" t="s">
        <v>2807</v>
      </c>
      <c r="C2168" s="653" t="s">
        <v>3046</v>
      </c>
      <c r="D2168" s="550" t="s">
        <v>3632</v>
      </c>
      <c r="E2168" s="552">
        <v>0</v>
      </c>
      <c r="F2168" s="759" t="s">
        <v>8890</v>
      </c>
      <c r="G2168" s="760"/>
    </row>
    <row r="2169" spans="1:7" ht="15.9" customHeight="1">
      <c r="A2169" s="552" t="s">
        <v>3702</v>
      </c>
      <c r="B2169" s="559" t="s">
        <v>2807</v>
      </c>
      <c r="C2169" s="653" t="s">
        <v>3047</v>
      </c>
      <c r="D2169" s="550" t="s">
        <v>3632</v>
      </c>
      <c r="E2169" s="552">
        <v>0</v>
      </c>
      <c r="F2169" s="759" t="s">
        <v>8890</v>
      </c>
      <c r="G2169" s="760"/>
    </row>
    <row r="2170" spans="1:7" ht="15.9" customHeight="1">
      <c r="A2170" s="552" t="s">
        <v>3702</v>
      </c>
      <c r="B2170" s="559" t="s">
        <v>2807</v>
      </c>
      <c r="C2170" s="653" t="s">
        <v>3048</v>
      </c>
      <c r="D2170" s="550" t="s">
        <v>3632</v>
      </c>
      <c r="E2170" s="552">
        <v>0</v>
      </c>
      <c r="F2170" s="759" t="s">
        <v>8890</v>
      </c>
      <c r="G2170" s="760"/>
    </row>
    <row r="2171" spans="1:7" ht="15.9" customHeight="1">
      <c r="A2171" s="552" t="s">
        <v>3702</v>
      </c>
      <c r="B2171" s="559" t="s">
        <v>2807</v>
      </c>
      <c r="C2171" s="653" t="s">
        <v>3049</v>
      </c>
      <c r="D2171" s="550" t="s">
        <v>3632</v>
      </c>
      <c r="E2171" s="552">
        <v>0</v>
      </c>
      <c r="F2171" s="759" t="s">
        <v>8890</v>
      </c>
      <c r="G2171" s="760"/>
    </row>
    <row r="2172" spans="1:7" ht="15.9" customHeight="1">
      <c r="A2172" s="552" t="s">
        <v>3702</v>
      </c>
      <c r="B2172" s="559" t="s">
        <v>2807</v>
      </c>
      <c r="C2172" s="653" t="s">
        <v>3050</v>
      </c>
      <c r="D2172" s="550" t="s">
        <v>3632</v>
      </c>
      <c r="E2172" s="552">
        <v>0</v>
      </c>
      <c r="F2172" s="759" t="s">
        <v>8890</v>
      </c>
      <c r="G2172" s="760"/>
    </row>
    <row r="2173" spans="1:7" ht="15.9" customHeight="1">
      <c r="A2173" s="552" t="s">
        <v>3702</v>
      </c>
      <c r="B2173" s="559" t="s">
        <v>2807</v>
      </c>
      <c r="C2173" s="653" t="s">
        <v>3051</v>
      </c>
      <c r="D2173" s="550" t="s">
        <v>3632</v>
      </c>
      <c r="E2173" s="552">
        <v>0</v>
      </c>
      <c r="F2173" s="759" t="s">
        <v>8890</v>
      </c>
      <c r="G2173" s="760"/>
    </row>
    <row r="2174" spans="1:7" ht="15.9" customHeight="1">
      <c r="A2174" s="552" t="s">
        <v>3702</v>
      </c>
      <c r="B2174" s="559" t="s">
        <v>2807</v>
      </c>
      <c r="C2174" s="653" t="s">
        <v>3052</v>
      </c>
      <c r="D2174" s="550" t="s">
        <v>3632</v>
      </c>
      <c r="E2174" s="552">
        <v>0</v>
      </c>
      <c r="F2174" s="759" t="s">
        <v>8890</v>
      </c>
      <c r="G2174" s="760"/>
    </row>
    <row r="2175" spans="1:7" ht="15.9" customHeight="1">
      <c r="A2175" s="552" t="s">
        <v>3702</v>
      </c>
      <c r="B2175" s="559" t="s">
        <v>2807</v>
      </c>
      <c r="C2175" s="653" t="s">
        <v>3053</v>
      </c>
      <c r="D2175" s="550" t="s">
        <v>3632</v>
      </c>
      <c r="E2175" s="552">
        <v>0</v>
      </c>
      <c r="F2175" s="759" t="s">
        <v>8890</v>
      </c>
      <c r="G2175" s="760"/>
    </row>
    <row r="2176" spans="1:7" ht="15.9" customHeight="1">
      <c r="A2176" s="552" t="s">
        <v>3702</v>
      </c>
      <c r="B2176" s="559" t="s">
        <v>2807</v>
      </c>
      <c r="C2176" s="653" t="s">
        <v>3054</v>
      </c>
      <c r="D2176" s="550" t="s">
        <v>3632</v>
      </c>
      <c r="E2176" s="552">
        <v>0</v>
      </c>
      <c r="F2176" s="759" t="s">
        <v>8890</v>
      </c>
      <c r="G2176" s="760"/>
    </row>
    <row r="2177" spans="1:7" ht="15.9" customHeight="1">
      <c r="A2177" s="552" t="s">
        <v>3702</v>
      </c>
      <c r="B2177" s="559" t="s">
        <v>2807</v>
      </c>
      <c r="C2177" s="653" t="s">
        <v>3055</v>
      </c>
      <c r="D2177" s="550" t="s">
        <v>3632</v>
      </c>
      <c r="E2177" s="552">
        <v>0</v>
      </c>
      <c r="F2177" s="759" t="s">
        <v>8890</v>
      </c>
      <c r="G2177" s="760"/>
    </row>
    <row r="2178" spans="1:7" ht="15.9" customHeight="1">
      <c r="A2178" s="552" t="s">
        <v>3702</v>
      </c>
      <c r="B2178" s="559" t="s">
        <v>2807</v>
      </c>
      <c r="C2178" s="653" t="s">
        <v>3056</v>
      </c>
      <c r="D2178" s="550" t="s">
        <v>3632</v>
      </c>
      <c r="E2178" s="552">
        <v>0</v>
      </c>
      <c r="F2178" s="759" t="s">
        <v>8890</v>
      </c>
      <c r="G2178" s="760"/>
    </row>
    <row r="2179" spans="1:7" ht="15.9" customHeight="1">
      <c r="A2179" s="552" t="s">
        <v>3702</v>
      </c>
      <c r="B2179" s="559" t="s">
        <v>2807</v>
      </c>
      <c r="C2179" s="653" t="s">
        <v>3057</v>
      </c>
      <c r="D2179" s="550" t="s">
        <v>3632</v>
      </c>
      <c r="E2179" s="552">
        <v>0</v>
      </c>
      <c r="F2179" s="759" t="s">
        <v>8890</v>
      </c>
      <c r="G2179" s="760"/>
    </row>
    <row r="2180" spans="1:7" ht="15.9" customHeight="1">
      <c r="A2180" s="552" t="s">
        <v>3702</v>
      </c>
      <c r="B2180" s="559" t="s">
        <v>2807</v>
      </c>
      <c r="C2180" s="654" t="s">
        <v>9111</v>
      </c>
      <c r="D2180" s="550" t="s">
        <v>3632</v>
      </c>
      <c r="E2180" s="552">
        <v>0</v>
      </c>
      <c r="F2180" s="759" t="s">
        <v>8890</v>
      </c>
      <c r="G2180" s="760"/>
    </row>
    <row r="2181" spans="1:7" ht="15.9" customHeight="1">
      <c r="A2181" s="552" t="s">
        <v>3702</v>
      </c>
      <c r="B2181" s="559" t="s">
        <v>2807</v>
      </c>
      <c r="C2181" s="653" t="s">
        <v>3059</v>
      </c>
      <c r="D2181" s="550" t="s">
        <v>3632</v>
      </c>
      <c r="E2181" s="552">
        <v>0</v>
      </c>
      <c r="F2181" s="759" t="s">
        <v>8890</v>
      </c>
      <c r="G2181" s="760"/>
    </row>
    <row r="2182" spans="1:7" ht="15.9" customHeight="1">
      <c r="A2182" s="552" t="s">
        <v>3702</v>
      </c>
      <c r="B2182" s="559" t="s">
        <v>2807</v>
      </c>
      <c r="C2182" s="653" t="s">
        <v>3060</v>
      </c>
      <c r="D2182" s="550" t="s">
        <v>3632</v>
      </c>
      <c r="E2182" s="552">
        <v>0</v>
      </c>
      <c r="F2182" s="759" t="s">
        <v>8890</v>
      </c>
      <c r="G2182" s="760"/>
    </row>
    <row r="2183" spans="1:7" ht="15.9" customHeight="1">
      <c r="A2183" s="552" t="s">
        <v>3702</v>
      </c>
      <c r="B2183" s="559" t="s">
        <v>2807</v>
      </c>
      <c r="C2183" s="653" t="s">
        <v>3061</v>
      </c>
      <c r="D2183" s="550" t="s">
        <v>3632</v>
      </c>
      <c r="E2183" s="552">
        <v>0</v>
      </c>
      <c r="F2183" s="759" t="s">
        <v>8890</v>
      </c>
      <c r="G2183" s="760"/>
    </row>
    <row r="2184" spans="1:7" ht="15.9" customHeight="1">
      <c r="A2184" s="552" t="s">
        <v>3702</v>
      </c>
      <c r="B2184" s="559" t="s">
        <v>2807</v>
      </c>
      <c r="C2184" s="653" t="s">
        <v>3062</v>
      </c>
      <c r="D2184" s="550" t="s">
        <v>3632</v>
      </c>
      <c r="E2184" s="552">
        <v>0</v>
      </c>
      <c r="F2184" s="759" t="s">
        <v>8890</v>
      </c>
      <c r="G2184" s="760"/>
    </row>
    <row r="2185" spans="1:7" ht="15.9" customHeight="1">
      <c r="A2185" s="552" t="s">
        <v>3702</v>
      </c>
      <c r="B2185" s="559" t="s">
        <v>2807</v>
      </c>
      <c r="C2185" s="653" t="s">
        <v>3063</v>
      </c>
      <c r="D2185" s="550" t="s">
        <v>3632</v>
      </c>
      <c r="E2185" s="552">
        <v>0</v>
      </c>
      <c r="F2185" s="759" t="s">
        <v>8890</v>
      </c>
      <c r="G2185" s="760"/>
    </row>
    <row r="2186" spans="1:7" ht="15.9" customHeight="1">
      <c r="A2186" s="552" t="s">
        <v>3702</v>
      </c>
      <c r="B2186" s="559" t="s">
        <v>2807</v>
      </c>
      <c r="C2186" s="653" t="s">
        <v>3064</v>
      </c>
      <c r="D2186" s="550" t="s">
        <v>3632</v>
      </c>
      <c r="E2186" s="552">
        <v>0</v>
      </c>
      <c r="F2186" s="759" t="s">
        <v>8890</v>
      </c>
      <c r="G2186" s="760"/>
    </row>
    <row r="2187" spans="1:7" ht="15.9" customHeight="1">
      <c r="A2187" s="552" t="s">
        <v>3702</v>
      </c>
      <c r="B2187" s="559" t="s">
        <v>2807</v>
      </c>
      <c r="C2187" s="653" t="s">
        <v>3065</v>
      </c>
      <c r="D2187" s="550" t="s">
        <v>3632</v>
      </c>
      <c r="E2187" s="552">
        <v>0</v>
      </c>
      <c r="F2187" s="759" t="s">
        <v>8890</v>
      </c>
      <c r="G2187" s="760"/>
    </row>
    <row r="2188" spans="1:7" ht="15.9" customHeight="1">
      <c r="A2188" s="552" t="s">
        <v>3702</v>
      </c>
      <c r="B2188" s="559" t="s">
        <v>2807</v>
      </c>
      <c r="C2188" s="654" t="s">
        <v>3066</v>
      </c>
      <c r="D2188" s="550" t="s">
        <v>3632</v>
      </c>
      <c r="E2188" s="552">
        <v>0</v>
      </c>
      <c r="F2188" s="759" t="s">
        <v>8890</v>
      </c>
      <c r="G2188" s="760"/>
    </row>
    <row r="2189" spans="1:7" ht="15.9" customHeight="1">
      <c r="A2189" s="552" t="s">
        <v>3702</v>
      </c>
      <c r="B2189" s="559" t="s">
        <v>2807</v>
      </c>
      <c r="C2189" s="653" t="s">
        <v>3067</v>
      </c>
      <c r="D2189" s="550" t="s">
        <v>3632</v>
      </c>
      <c r="E2189" s="552">
        <v>0</v>
      </c>
      <c r="F2189" s="759" t="s">
        <v>8890</v>
      </c>
      <c r="G2189" s="760"/>
    </row>
    <row r="2190" spans="1:7" ht="15.9" customHeight="1">
      <c r="A2190" s="552" t="s">
        <v>3702</v>
      </c>
      <c r="B2190" s="559" t="s">
        <v>2807</v>
      </c>
      <c r="C2190" s="653" t="s">
        <v>3068</v>
      </c>
      <c r="D2190" s="550" t="s">
        <v>3632</v>
      </c>
      <c r="E2190" s="552">
        <v>0</v>
      </c>
      <c r="F2190" s="759" t="s">
        <v>8890</v>
      </c>
      <c r="G2190" s="760"/>
    </row>
    <row r="2191" spans="1:7" ht="15.9" customHeight="1">
      <c r="A2191" s="552" t="s">
        <v>3702</v>
      </c>
      <c r="B2191" s="559" t="s">
        <v>2807</v>
      </c>
      <c r="C2191" s="653" t="s">
        <v>3069</v>
      </c>
      <c r="D2191" s="550" t="s">
        <v>3632</v>
      </c>
      <c r="E2191" s="552">
        <v>0</v>
      </c>
      <c r="F2191" s="759" t="s">
        <v>8890</v>
      </c>
      <c r="G2191" s="760"/>
    </row>
    <row r="2192" spans="1:7" ht="15.9" customHeight="1">
      <c r="A2192" s="552" t="s">
        <v>3702</v>
      </c>
      <c r="B2192" s="559" t="s">
        <v>2807</v>
      </c>
      <c r="C2192" s="653" t="s">
        <v>3070</v>
      </c>
      <c r="D2192" s="550" t="s">
        <v>3632</v>
      </c>
      <c r="E2192" s="552">
        <v>0</v>
      </c>
      <c r="F2192" s="759" t="s">
        <v>8890</v>
      </c>
      <c r="G2192" s="760"/>
    </row>
    <row r="2193" spans="1:7" ht="15.9" customHeight="1">
      <c r="A2193" s="552" t="s">
        <v>3702</v>
      </c>
      <c r="B2193" s="559" t="s">
        <v>2807</v>
      </c>
      <c r="C2193" s="653" t="s">
        <v>3071</v>
      </c>
      <c r="D2193" s="550" t="s">
        <v>3632</v>
      </c>
      <c r="E2193" s="552">
        <v>0</v>
      </c>
      <c r="F2193" s="759" t="s">
        <v>8890</v>
      </c>
      <c r="G2193" s="760"/>
    </row>
    <row r="2194" spans="1:7" ht="15.9" customHeight="1">
      <c r="A2194" s="552" t="s">
        <v>3702</v>
      </c>
      <c r="B2194" s="559" t="s">
        <v>2807</v>
      </c>
      <c r="C2194" s="653" t="s">
        <v>5789</v>
      </c>
      <c r="D2194" s="550" t="s">
        <v>3632</v>
      </c>
      <c r="E2194" s="552">
        <v>0</v>
      </c>
      <c r="F2194" s="759" t="s">
        <v>8890</v>
      </c>
      <c r="G2194" s="760"/>
    </row>
    <row r="2195" spans="1:7" ht="15.9" customHeight="1">
      <c r="A2195" s="552" t="s">
        <v>3702</v>
      </c>
      <c r="B2195" s="559" t="s">
        <v>2807</v>
      </c>
      <c r="C2195" s="653" t="s">
        <v>3072</v>
      </c>
      <c r="D2195" s="550" t="s">
        <v>3632</v>
      </c>
      <c r="E2195" s="552">
        <v>0</v>
      </c>
      <c r="F2195" s="759" t="s">
        <v>8890</v>
      </c>
      <c r="G2195" s="760"/>
    </row>
    <row r="2196" spans="1:7" ht="15.9" customHeight="1">
      <c r="A2196" s="552" t="s">
        <v>3702</v>
      </c>
      <c r="B2196" s="559" t="s">
        <v>2807</v>
      </c>
      <c r="C2196" s="653" t="s">
        <v>3073</v>
      </c>
      <c r="D2196" s="550" t="s">
        <v>3632</v>
      </c>
      <c r="E2196" s="552">
        <v>0</v>
      </c>
      <c r="F2196" s="759" t="s">
        <v>8890</v>
      </c>
      <c r="G2196" s="760"/>
    </row>
    <row r="2197" spans="1:7" ht="15.9" customHeight="1">
      <c r="A2197" s="552" t="s">
        <v>3702</v>
      </c>
      <c r="B2197" s="559" t="s">
        <v>2807</v>
      </c>
      <c r="C2197" s="653" t="s">
        <v>3074</v>
      </c>
      <c r="D2197" s="550" t="s">
        <v>3632</v>
      </c>
      <c r="E2197" s="552">
        <v>0</v>
      </c>
      <c r="F2197" s="759" t="s">
        <v>8890</v>
      </c>
      <c r="G2197" s="760"/>
    </row>
    <row r="2198" spans="1:7" ht="15.9" customHeight="1">
      <c r="A2198" s="552" t="s">
        <v>3702</v>
      </c>
      <c r="B2198" s="559" t="s">
        <v>2807</v>
      </c>
      <c r="C2198" s="653" t="s">
        <v>3075</v>
      </c>
      <c r="D2198" s="550" t="s">
        <v>3632</v>
      </c>
      <c r="E2198" s="552">
        <v>0</v>
      </c>
      <c r="F2198" s="759" t="s">
        <v>8890</v>
      </c>
      <c r="G2198" s="760"/>
    </row>
    <row r="2199" spans="1:7" ht="15.9" customHeight="1">
      <c r="A2199" s="552" t="s">
        <v>3702</v>
      </c>
      <c r="B2199" s="559" t="s">
        <v>2807</v>
      </c>
      <c r="C2199" s="653" t="s">
        <v>3076</v>
      </c>
      <c r="D2199" s="550" t="s">
        <v>3632</v>
      </c>
      <c r="E2199" s="552">
        <v>0</v>
      </c>
      <c r="F2199" s="759" t="s">
        <v>8890</v>
      </c>
      <c r="G2199" s="760"/>
    </row>
    <row r="2200" spans="1:7" ht="15.9" customHeight="1">
      <c r="A2200" s="552" t="s">
        <v>3702</v>
      </c>
      <c r="B2200" s="559" t="s">
        <v>2807</v>
      </c>
      <c r="C2200" s="653" t="s">
        <v>3077</v>
      </c>
      <c r="D2200" s="550" t="s">
        <v>3632</v>
      </c>
      <c r="E2200" s="552">
        <v>0</v>
      </c>
      <c r="F2200" s="759" t="s">
        <v>8890</v>
      </c>
      <c r="G2200" s="760"/>
    </row>
    <row r="2201" spans="1:7" ht="15.9" customHeight="1">
      <c r="A2201" s="552" t="s">
        <v>3702</v>
      </c>
      <c r="B2201" s="559" t="s">
        <v>2807</v>
      </c>
      <c r="C2201" s="653" t="s">
        <v>3058</v>
      </c>
      <c r="D2201" s="550" t="s">
        <v>3632</v>
      </c>
      <c r="E2201" s="552">
        <v>0</v>
      </c>
      <c r="F2201" s="759" t="s">
        <v>8890</v>
      </c>
      <c r="G2201" s="760"/>
    </row>
    <row r="2202" spans="1:7" ht="15.9" customHeight="1">
      <c r="A2202" s="552" t="s">
        <v>3702</v>
      </c>
      <c r="B2202" s="559" t="s">
        <v>2807</v>
      </c>
      <c r="C2202" s="653" t="s">
        <v>3078</v>
      </c>
      <c r="D2202" s="550" t="s">
        <v>3632</v>
      </c>
      <c r="E2202" s="552">
        <v>0</v>
      </c>
      <c r="F2202" s="759" t="s">
        <v>8890</v>
      </c>
      <c r="G2202" s="760"/>
    </row>
    <row r="2203" spans="1:7" ht="15.9" customHeight="1">
      <c r="A2203" s="552" t="s">
        <v>3702</v>
      </c>
      <c r="B2203" s="559" t="s">
        <v>2807</v>
      </c>
      <c r="C2203" s="653" t="s">
        <v>3079</v>
      </c>
      <c r="D2203" s="550" t="s">
        <v>3632</v>
      </c>
      <c r="E2203" s="552">
        <v>0</v>
      </c>
      <c r="F2203" s="759" t="s">
        <v>8890</v>
      </c>
      <c r="G2203" s="760"/>
    </row>
    <row r="2204" spans="1:7" ht="15.9" customHeight="1">
      <c r="A2204" s="552" t="s">
        <v>3702</v>
      </c>
      <c r="B2204" s="559" t="s">
        <v>2807</v>
      </c>
      <c r="C2204" s="653" t="s">
        <v>3080</v>
      </c>
      <c r="D2204" s="550" t="s">
        <v>3632</v>
      </c>
      <c r="E2204" s="552">
        <v>0</v>
      </c>
      <c r="F2204" s="759" t="s">
        <v>8890</v>
      </c>
      <c r="G2204" s="760"/>
    </row>
    <row r="2205" spans="1:7" ht="15.9" customHeight="1">
      <c r="A2205" s="552" t="s">
        <v>3702</v>
      </c>
      <c r="B2205" s="559" t="s">
        <v>2807</v>
      </c>
      <c r="C2205" s="653" t="s">
        <v>3081</v>
      </c>
      <c r="D2205" s="550" t="s">
        <v>3632</v>
      </c>
      <c r="E2205" s="552">
        <v>0</v>
      </c>
      <c r="F2205" s="759" t="s">
        <v>8890</v>
      </c>
      <c r="G2205" s="760"/>
    </row>
    <row r="2206" spans="1:7" ht="15.9" customHeight="1">
      <c r="A2206" s="552" t="s">
        <v>3702</v>
      </c>
      <c r="B2206" s="559" t="s">
        <v>2807</v>
      </c>
      <c r="C2206" s="653" t="s">
        <v>3082</v>
      </c>
      <c r="D2206" s="550" t="s">
        <v>3632</v>
      </c>
      <c r="E2206" s="552">
        <v>0</v>
      </c>
      <c r="F2206" s="759" t="s">
        <v>8890</v>
      </c>
      <c r="G2206" s="760"/>
    </row>
    <row r="2207" spans="1:7" ht="15.9" customHeight="1">
      <c r="A2207" s="552" t="s">
        <v>3702</v>
      </c>
      <c r="B2207" s="559" t="s">
        <v>2807</v>
      </c>
      <c r="C2207" s="653" t="s">
        <v>3083</v>
      </c>
      <c r="D2207" s="550" t="s">
        <v>3632</v>
      </c>
      <c r="E2207" s="552">
        <v>0</v>
      </c>
      <c r="F2207" s="759" t="s">
        <v>8890</v>
      </c>
      <c r="G2207" s="760"/>
    </row>
    <row r="2208" spans="1:7" ht="15.9" customHeight="1">
      <c r="A2208" s="552" t="s">
        <v>3702</v>
      </c>
      <c r="B2208" s="559" t="s">
        <v>2807</v>
      </c>
      <c r="C2208" s="653" t="s">
        <v>3084</v>
      </c>
      <c r="D2208" s="550" t="s">
        <v>3632</v>
      </c>
      <c r="E2208" s="552">
        <v>0</v>
      </c>
      <c r="F2208" s="759" t="s">
        <v>8890</v>
      </c>
      <c r="G2208" s="760"/>
    </row>
    <row r="2209" spans="1:7" ht="15.9" customHeight="1">
      <c r="A2209" s="552" t="s">
        <v>3702</v>
      </c>
      <c r="B2209" s="559" t="s">
        <v>2807</v>
      </c>
      <c r="C2209" s="653" t="s">
        <v>3085</v>
      </c>
      <c r="D2209" s="550" t="s">
        <v>3632</v>
      </c>
      <c r="E2209" s="552">
        <v>0</v>
      </c>
      <c r="F2209" s="759" t="s">
        <v>8890</v>
      </c>
      <c r="G2209" s="760"/>
    </row>
    <row r="2210" spans="1:7" ht="15.9" customHeight="1">
      <c r="A2210" s="552" t="s">
        <v>3702</v>
      </c>
      <c r="B2210" s="559" t="s">
        <v>2807</v>
      </c>
      <c r="C2210" s="654" t="s">
        <v>3086</v>
      </c>
      <c r="D2210" s="550" t="s">
        <v>3632</v>
      </c>
      <c r="E2210" s="552">
        <v>0</v>
      </c>
      <c r="F2210" s="759" t="s">
        <v>8890</v>
      </c>
      <c r="G2210" s="760"/>
    </row>
    <row r="2211" spans="1:7" ht="15.9" customHeight="1">
      <c r="A2211" s="552" t="s">
        <v>3702</v>
      </c>
      <c r="B2211" s="559" t="s">
        <v>2807</v>
      </c>
      <c r="C2211" s="653" t="s">
        <v>3087</v>
      </c>
      <c r="D2211" s="550" t="s">
        <v>3632</v>
      </c>
      <c r="E2211" s="552">
        <v>0</v>
      </c>
      <c r="F2211" s="759" t="s">
        <v>8890</v>
      </c>
      <c r="G2211" s="760"/>
    </row>
    <row r="2212" spans="1:7" ht="15.9" customHeight="1">
      <c r="A2212" s="552" t="s">
        <v>3702</v>
      </c>
      <c r="B2212" s="559" t="s">
        <v>2807</v>
      </c>
      <c r="C2212" s="654" t="s">
        <v>5790</v>
      </c>
      <c r="D2212" s="550" t="s">
        <v>3632</v>
      </c>
      <c r="E2212" s="552">
        <v>0</v>
      </c>
      <c r="F2212" s="759" t="s">
        <v>8890</v>
      </c>
      <c r="G2212" s="760"/>
    </row>
    <row r="2213" spans="1:7" ht="15.9" customHeight="1">
      <c r="A2213" s="552" t="s">
        <v>3702</v>
      </c>
      <c r="B2213" s="559" t="s">
        <v>2807</v>
      </c>
      <c r="C2213" s="653" t="s">
        <v>3088</v>
      </c>
      <c r="D2213" s="550" t="s">
        <v>3632</v>
      </c>
      <c r="E2213" s="552">
        <v>0</v>
      </c>
      <c r="F2213" s="759" t="s">
        <v>8890</v>
      </c>
      <c r="G2213" s="760"/>
    </row>
    <row r="2214" spans="1:7" ht="15.9" customHeight="1">
      <c r="A2214" s="552" t="s">
        <v>3702</v>
      </c>
      <c r="B2214" s="559" t="s">
        <v>2807</v>
      </c>
      <c r="C2214" s="653" t="s">
        <v>3089</v>
      </c>
      <c r="D2214" s="550" t="s">
        <v>3632</v>
      </c>
      <c r="E2214" s="552">
        <v>0</v>
      </c>
      <c r="F2214" s="759" t="s">
        <v>8890</v>
      </c>
      <c r="G2214" s="760"/>
    </row>
    <row r="2215" spans="1:7" ht="15.9" customHeight="1">
      <c r="A2215" s="552" t="s">
        <v>3702</v>
      </c>
      <c r="B2215" s="559" t="s">
        <v>2807</v>
      </c>
      <c r="C2215" s="653" t="s">
        <v>3090</v>
      </c>
      <c r="D2215" s="550" t="s">
        <v>3632</v>
      </c>
      <c r="E2215" s="552">
        <v>0</v>
      </c>
      <c r="F2215" s="759" t="s">
        <v>8890</v>
      </c>
      <c r="G2215" s="760"/>
    </row>
    <row r="2216" spans="1:7" ht="15.9" customHeight="1">
      <c r="A2216" s="552" t="s">
        <v>3702</v>
      </c>
      <c r="B2216" s="559" t="s">
        <v>2807</v>
      </c>
      <c r="C2216" s="653" t="s">
        <v>3091</v>
      </c>
      <c r="D2216" s="550" t="s">
        <v>3632</v>
      </c>
      <c r="E2216" s="552">
        <v>0</v>
      </c>
      <c r="F2216" s="759" t="s">
        <v>8890</v>
      </c>
      <c r="G2216" s="760"/>
    </row>
    <row r="2217" spans="1:7" ht="15.9" customHeight="1">
      <c r="A2217" s="552" t="s">
        <v>3702</v>
      </c>
      <c r="B2217" s="559" t="s">
        <v>2807</v>
      </c>
      <c r="C2217" s="653" t="s">
        <v>3092</v>
      </c>
      <c r="D2217" s="550" t="s">
        <v>3632</v>
      </c>
      <c r="E2217" s="552">
        <v>0</v>
      </c>
      <c r="F2217" s="759" t="s">
        <v>8890</v>
      </c>
      <c r="G2217" s="760"/>
    </row>
    <row r="2218" spans="1:7" ht="15.9" customHeight="1">
      <c r="A2218" s="552" t="s">
        <v>3702</v>
      </c>
      <c r="B2218" s="559" t="s">
        <v>2807</v>
      </c>
      <c r="C2218" s="653" t="s">
        <v>3093</v>
      </c>
      <c r="D2218" s="550" t="s">
        <v>3632</v>
      </c>
      <c r="E2218" s="552">
        <v>0</v>
      </c>
      <c r="F2218" s="759" t="s">
        <v>8890</v>
      </c>
      <c r="G2218" s="760"/>
    </row>
    <row r="2219" spans="1:7" ht="15.9" customHeight="1">
      <c r="A2219" s="552" t="s">
        <v>3702</v>
      </c>
      <c r="B2219" s="559" t="s">
        <v>2807</v>
      </c>
      <c r="C2219" s="653" t="s">
        <v>3097</v>
      </c>
      <c r="D2219" s="550" t="s">
        <v>3632</v>
      </c>
      <c r="E2219" s="552">
        <v>0</v>
      </c>
      <c r="F2219" s="759" t="s">
        <v>8890</v>
      </c>
      <c r="G2219" s="760"/>
    </row>
    <row r="2220" spans="1:7" ht="15.9" customHeight="1">
      <c r="A2220" s="552" t="s">
        <v>3702</v>
      </c>
      <c r="B2220" s="559" t="s">
        <v>2807</v>
      </c>
      <c r="C2220" s="653" t="s">
        <v>3094</v>
      </c>
      <c r="D2220" s="550" t="s">
        <v>3632</v>
      </c>
      <c r="E2220" s="552">
        <v>0</v>
      </c>
      <c r="F2220" s="759" t="s">
        <v>8890</v>
      </c>
      <c r="G2220" s="760"/>
    </row>
    <row r="2221" spans="1:7" ht="15.9" customHeight="1">
      <c r="A2221" s="552" t="s">
        <v>3702</v>
      </c>
      <c r="B2221" s="559" t="s">
        <v>2807</v>
      </c>
      <c r="C2221" s="653" t="s">
        <v>3095</v>
      </c>
      <c r="D2221" s="550" t="s">
        <v>3632</v>
      </c>
      <c r="E2221" s="552">
        <v>0</v>
      </c>
      <c r="F2221" s="759" t="s">
        <v>8890</v>
      </c>
      <c r="G2221" s="760"/>
    </row>
    <row r="2222" spans="1:7" ht="15.9" customHeight="1">
      <c r="A2222" s="552" t="s">
        <v>3702</v>
      </c>
      <c r="B2222" s="559" t="s">
        <v>2807</v>
      </c>
      <c r="C2222" s="653" t="s">
        <v>3096</v>
      </c>
      <c r="D2222" s="550" t="s">
        <v>3632</v>
      </c>
      <c r="E2222" s="552">
        <v>0</v>
      </c>
      <c r="F2222" s="759" t="s">
        <v>8890</v>
      </c>
      <c r="G2222" s="760"/>
    </row>
    <row r="2223" spans="1:7" ht="15.9" customHeight="1">
      <c r="A2223" s="552" t="s">
        <v>3702</v>
      </c>
      <c r="B2223" s="559" t="s">
        <v>2807</v>
      </c>
      <c r="C2223" s="653" t="s">
        <v>3098</v>
      </c>
      <c r="D2223" s="550" t="s">
        <v>3632</v>
      </c>
      <c r="E2223" s="552">
        <v>0</v>
      </c>
      <c r="F2223" s="759" t="s">
        <v>8890</v>
      </c>
      <c r="G2223" s="760"/>
    </row>
    <row r="2224" spans="1:7" ht="15.9" customHeight="1">
      <c r="A2224" s="552" t="s">
        <v>3702</v>
      </c>
      <c r="B2224" s="559" t="s">
        <v>2807</v>
      </c>
      <c r="C2224" s="653" t="s">
        <v>3099</v>
      </c>
      <c r="D2224" s="550" t="s">
        <v>3632</v>
      </c>
      <c r="E2224" s="552">
        <v>0</v>
      </c>
      <c r="F2224" s="759" t="s">
        <v>8890</v>
      </c>
      <c r="G2224" s="760"/>
    </row>
    <row r="2225" spans="1:7" ht="15.9" customHeight="1">
      <c r="A2225" s="552" t="s">
        <v>3702</v>
      </c>
      <c r="B2225" s="559" t="s">
        <v>2807</v>
      </c>
      <c r="C2225" s="653" t="s">
        <v>3100</v>
      </c>
      <c r="D2225" s="550" t="s">
        <v>3632</v>
      </c>
      <c r="E2225" s="552">
        <v>0</v>
      </c>
      <c r="F2225" s="759" t="s">
        <v>8890</v>
      </c>
      <c r="G2225" s="760"/>
    </row>
    <row r="2226" spans="1:7" ht="15.9" customHeight="1">
      <c r="A2226" s="552" t="s">
        <v>3702</v>
      </c>
      <c r="B2226" s="559" t="s">
        <v>2807</v>
      </c>
      <c r="C2226" s="653" t="s">
        <v>3101</v>
      </c>
      <c r="D2226" s="550" t="s">
        <v>3632</v>
      </c>
      <c r="E2226" s="552">
        <v>0</v>
      </c>
      <c r="F2226" s="759" t="s">
        <v>8890</v>
      </c>
      <c r="G2226" s="760"/>
    </row>
    <row r="2227" spans="1:7" ht="15.9" customHeight="1">
      <c r="A2227" s="552" t="s">
        <v>3702</v>
      </c>
      <c r="B2227" s="559" t="s">
        <v>2807</v>
      </c>
      <c r="C2227" s="653" t="s">
        <v>3102</v>
      </c>
      <c r="D2227" s="550" t="s">
        <v>3632</v>
      </c>
      <c r="E2227" s="552">
        <v>0</v>
      </c>
      <c r="F2227" s="759" t="s">
        <v>8890</v>
      </c>
      <c r="G2227" s="760"/>
    </row>
    <row r="2228" spans="1:7" ht="15.9" customHeight="1">
      <c r="A2228" s="552" t="s">
        <v>3702</v>
      </c>
      <c r="B2228" s="559" t="s">
        <v>2807</v>
      </c>
      <c r="C2228" s="653" t="s">
        <v>3103</v>
      </c>
      <c r="D2228" s="550" t="s">
        <v>3632</v>
      </c>
      <c r="E2228" s="552">
        <v>0</v>
      </c>
      <c r="F2228" s="759" t="s">
        <v>8890</v>
      </c>
      <c r="G2228" s="760"/>
    </row>
    <row r="2229" spans="1:7" ht="15.9" customHeight="1">
      <c r="A2229" s="552" t="s">
        <v>3702</v>
      </c>
      <c r="B2229" s="559" t="s">
        <v>2807</v>
      </c>
      <c r="C2229" s="653" t="s">
        <v>3104</v>
      </c>
      <c r="D2229" s="550" t="s">
        <v>3632</v>
      </c>
      <c r="E2229" s="552">
        <v>0</v>
      </c>
      <c r="F2229" s="759" t="s">
        <v>8890</v>
      </c>
      <c r="G2229" s="760"/>
    </row>
    <row r="2230" spans="1:7" ht="15.9" customHeight="1">
      <c r="A2230" s="552" t="s">
        <v>3702</v>
      </c>
      <c r="B2230" s="559" t="s">
        <v>2807</v>
      </c>
      <c r="C2230" s="653" t="s">
        <v>3105</v>
      </c>
      <c r="D2230" s="550" t="s">
        <v>3632</v>
      </c>
      <c r="E2230" s="552">
        <v>0</v>
      </c>
      <c r="F2230" s="759" t="s">
        <v>8890</v>
      </c>
      <c r="G2230" s="760"/>
    </row>
    <row r="2231" spans="1:7" ht="15.9" customHeight="1">
      <c r="A2231" s="552" t="s">
        <v>3702</v>
      </c>
      <c r="B2231" s="559" t="s">
        <v>2807</v>
      </c>
      <c r="C2231" s="653" t="s">
        <v>3106</v>
      </c>
      <c r="D2231" s="550" t="s">
        <v>3632</v>
      </c>
      <c r="E2231" s="552">
        <v>0</v>
      </c>
      <c r="F2231" s="759" t="s">
        <v>8890</v>
      </c>
      <c r="G2231" s="760"/>
    </row>
    <row r="2232" spans="1:7" ht="15.9" customHeight="1">
      <c r="A2232" s="552" t="s">
        <v>3702</v>
      </c>
      <c r="B2232" s="559" t="s">
        <v>2807</v>
      </c>
      <c r="C2232" s="653" t="s">
        <v>3107</v>
      </c>
      <c r="D2232" s="550" t="s">
        <v>3632</v>
      </c>
      <c r="E2232" s="552">
        <v>0</v>
      </c>
      <c r="F2232" s="759" t="s">
        <v>8890</v>
      </c>
      <c r="G2232" s="760"/>
    </row>
    <row r="2233" spans="1:7" ht="15.9" customHeight="1">
      <c r="A2233" s="552" t="s">
        <v>3702</v>
      </c>
      <c r="B2233" s="559" t="s">
        <v>2807</v>
      </c>
      <c r="C2233" s="653" t="s">
        <v>3108</v>
      </c>
      <c r="D2233" s="550" t="s">
        <v>3632</v>
      </c>
      <c r="E2233" s="552">
        <v>0</v>
      </c>
      <c r="F2233" s="759" t="s">
        <v>8890</v>
      </c>
      <c r="G2233" s="760"/>
    </row>
    <row r="2234" spans="1:7" ht="15.9" customHeight="1">
      <c r="A2234" s="552" t="s">
        <v>3702</v>
      </c>
      <c r="B2234" s="559" t="s">
        <v>2807</v>
      </c>
      <c r="C2234" s="653" t="s">
        <v>3109</v>
      </c>
      <c r="D2234" s="550" t="s">
        <v>3632</v>
      </c>
      <c r="E2234" s="552">
        <v>0</v>
      </c>
      <c r="F2234" s="759" t="s">
        <v>8890</v>
      </c>
      <c r="G2234" s="760"/>
    </row>
    <row r="2235" spans="1:7" ht="15.9" customHeight="1">
      <c r="A2235" s="552" t="s">
        <v>3702</v>
      </c>
      <c r="B2235" s="559" t="s">
        <v>2807</v>
      </c>
      <c r="C2235" s="653" t="s">
        <v>3110</v>
      </c>
      <c r="D2235" s="550" t="s">
        <v>3632</v>
      </c>
      <c r="E2235" s="552">
        <v>0</v>
      </c>
      <c r="F2235" s="759" t="s">
        <v>8890</v>
      </c>
      <c r="G2235" s="760"/>
    </row>
    <row r="2236" spans="1:7" ht="15.9" customHeight="1">
      <c r="A2236" s="552" t="s">
        <v>3702</v>
      </c>
      <c r="B2236" s="559" t="s">
        <v>2807</v>
      </c>
      <c r="C2236" s="653" t="s">
        <v>3111</v>
      </c>
      <c r="D2236" s="550" t="s">
        <v>3632</v>
      </c>
      <c r="E2236" s="552">
        <v>0</v>
      </c>
      <c r="F2236" s="759" t="s">
        <v>8890</v>
      </c>
      <c r="G2236" s="760"/>
    </row>
    <row r="2237" spans="1:7" ht="15.9" customHeight="1">
      <c r="A2237" s="552" t="s">
        <v>3702</v>
      </c>
      <c r="B2237" s="559" t="s">
        <v>2807</v>
      </c>
      <c r="C2237" s="653" t="s">
        <v>3112</v>
      </c>
      <c r="D2237" s="550" t="s">
        <v>3632</v>
      </c>
      <c r="E2237" s="552">
        <v>0</v>
      </c>
      <c r="F2237" s="759" t="s">
        <v>8890</v>
      </c>
      <c r="G2237" s="760"/>
    </row>
    <row r="2238" spans="1:7" ht="15.9" customHeight="1">
      <c r="A2238" s="552" t="s">
        <v>3702</v>
      </c>
      <c r="B2238" s="559" t="s">
        <v>2807</v>
      </c>
      <c r="C2238" s="653" t="s">
        <v>3113</v>
      </c>
      <c r="D2238" s="550" t="s">
        <v>3632</v>
      </c>
      <c r="E2238" s="552">
        <v>0</v>
      </c>
      <c r="F2238" s="759" t="s">
        <v>8890</v>
      </c>
      <c r="G2238" s="760"/>
    </row>
    <row r="2239" spans="1:7" ht="15.9" customHeight="1">
      <c r="A2239" s="552" t="s">
        <v>3702</v>
      </c>
      <c r="B2239" s="559" t="s">
        <v>2807</v>
      </c>
      <c r="C2239" s="653" t="s">
        <v>3114</v>
      </c>
      <c r="D2239" s="550" t="s">
        <v>3632</v>
      </c>
      <c r="E2239" s="552">
        <v>0</v>
      </c>
      <c r="F2239" s="759" t="s">
        <v>8890</v>
      </c>
      <c r="G2239" s="760"/>
    </row>
    <row r="2240" spans="1:7" ht="15.9" customHeight="1">
      <c r="A2240" s="552" t="s">
        <v>3702</v>
      </c>
      <c r="B2240" s="559" t="s">
        <v>2807</v>
      </c>
      <c r="C2240" s="653" t="s">
        <v>3115</v>
      </c>
      <c r="D2240" s="550" t="s">
        <v>3632</v>
      </c>
      <c r="E2240" s="552">
        <v>0</v>
      </c>
      <c r="F2240" s="759" t="s">
        <v>8890</v>
      </c>
      <c r="G2240" s="760"/>
    </row>
    <row r="2241" spans="1:7" ht="15.9" customHeight="1">
      <c r="A2241" s="552" t="s">
        <v>3702</v>
      </c>
      <c r="B2241" s="559" t="s">
        <v>2807</v>
      </c>
      <c r="C2241" s="653" t="s">
        <v>3120</v>
      </c>
      <c r="D2241" s="550" t="s">
        <v>3632</v>
      </c>
      <c r="E2241" s="552">
        <v>0</v>
      </c>
      <c r="F2241" s="759" t="s">
        <v>8890</v>
      </c>
      <c r="G2241" s="760"/>
    </row>
    <row r="2242" spans="1:7" ht="15.9" customHeight="1">
      <c r="A2242" s="552" t="s">
        <v>3702</v>
      </c>
      <c r="B2242" s="559" t="s">
        <v>2807</v>
      </c>
      <c r="C2242" s="653" t="s">
        <v>3116</v>
      </c>
      <c r="D2242" s="550" t="s">
        <v>3632</v>
      </c>
      <c r="E2242" s="552">
        <v>0</v>
      </c>
      <c r="F2242" s="759" t="s">
        <v>8890</v>
      </c>
      <c r="G2242" s="760"/>
    </row>
    <row r="2243" spans="1:7" ht="15.9" customHeight="1">
      <c r="A2243" s="552" t="s">
        <v>3702</v>
      </c>
      <c r="B2243" s="559" t="s">
        <v>2807</v>
      </c>
      <c r="C2243" s="653" t="s">
        <v>3117</v>
      </c>
      <c r="D2243" s="550" t="s">
        <v>3632</v>
      </c>
      <c r="E2243" s="552">
        <v>0</v>
      </c>
      <c r="F2243" s="759" t="s">
        <v>8890</v>
      </c>
      <c r="G2243" s="760"/>
    </row>
    <row r="2244" spans="1:7" ht="15.9" customHeight="1">
      <c r="A2244" s="552" t="s">
        <v>3702</v>
      </c>
      <c r="B2244" s="559" t="s">
        <v>2807</v>
      </c>
      <c r="C2244" s="653" t="s">
        <v>3118</v>
      </c>
      <c r="D2244" s="550" t="s">
        <v>3632</v>
      </c>
      <c r="E2244" s="552">
        <v>0</v>
      </c>
      <c r="F2244" s="759" t="s">
        <v>8890</v>
      </c>
      <c r="G2244" s="760"/>
    </row>
    <row r="2245" spans="1:7" ht="15.9" customHeight="1">
      <c r="A2245" s="552" t="s">
        <v>3702</v>
      </c>
      <c r="B2245" s="559" t="s">
        <v>2807</v>
      </c>
      <c r="C2245" s="653" t="s">
        <v>3119</v>
      </c>
      <c r="D2245" s="550" t="s">
        <v>3632</v>
      </c>
      <c r="E2245" s="552">
        <v>0</v>
      </c>
      <c r="F2245" s="759" t="s">
        <v>8890</v>
      </c>
      <c r="G2245" s="760"/>
    </row>
    <row r="2246" spans="1:7" ht="15.9" customHeight="1">
      <c r="A2246" s="552" t="s">
        <v>3702</v>
      </c>
      <c r="B2246" s="559" t="s">
        <v>2807</v>
      </c>
      <c r="C2246" s="653" t="s">
        <v>3275</v>
      </c>
      <c r="D2246" s="550" t="s">
        <v>3632</v>
      </c>
      <c r="E2246" s="552">
        <v>0</v>
      </c>
      <c r="F2246" s="759" t="s">
        <v>8890</v>
      </c>
      <c r="G2246" s="760"/>
    </row>
    <row r="2247" spans="1:7" ht="15.9" customHeight="1">
      <c r="A2247" s="552" t="s">
        <v>3702</v>
      </c>
      <c r="B2247" s="559" t="s">
        <v>2807</v>
      </c>
      <c r="C2247" s="653" t="s">
        <v>3121</v>
      </c>
      <c r="D2247" s="550" t="s">
        <v>3632</v>
      </c>
      <c r="E2247" s="552">
        <v>0</v>
      </c>
      <c r="F2247" s="759" t="s">
        <v>8890</v>
      </c>
      <c r="G2247" s="760"/>
    </row>
    <row r="2248" spans="1:7" ht="15.9" customHeight="1">
      <c r="A2248" s="552" t="s">
        <v>3702</v>
      </c>
      <c r="B2248" s="559" t="s">
        <v>2807</v>
      </c>
      <c r="C2248" s="653" t="s">
        <v>3263</v>
      </c>
      <c r="D2248" s="550" t="s">
        <v>3632</v>
      </c>
      <c r="E2248" s="552">
        <v>0</v>
      </c>
      <c r="F2248" s="759" t="s">
        <v>8890</v>
      </c>
      <c r="G2248" s="760"/>
    </row>
    <row r="2249" spans="1:7" ht="15.9" customHeight="1">
      <c r="A2249" s="552" t="s">
        <v>3702</v>
      </c>
      <c r="B2249" s="540" t="s">
        <v>3695</v>
      </c>
      <c r="C2249" s="553" t="s">
        <v>3679</v>
      </c>
      <c r="D2249" s="550" t="s">
        <v>2794</v>
      </c>
      <c r="E2249" s="552">
        <v>0</v>
      </c>
      <c r="F2249" s="759" t="s">
        <v>8892</v>
      </c>
      <c r="G2249" s="762"/>
    </row>
    <row r="2250" spans="1:7" ht="15.9" customHeight="1">
      <c r="A2250" s="552" t="s">
        <v>3702</v>
      </c>
      <c r="B2250" s="555" t="s">
        <v>3696</v>
      </c>
      <c r="C2250" s="555" t="s">
        <v>3680</v>
      </c>
      <c r="D2250" s="550" t="s">
        <v>2802</v>
      </c>
      <c r="E2250" s="552">
        <v>0</v>
      </c>
      <c r="F2250" s="759" t="s">
        <v>8892</v>
      </c>
      <c r="G2250" s="762"/>
    </row>
    <row r="2251" spans="1:7" ht="15.9" customHeight="1">
      <c r="A2251" s="552" t="s">
        <v>3702</v>
      </c>
      <c r="B2251" s="555" t="s">
        <v>3696</v>
      </c>
      <c r="C2251" s="555" t="s">
        <v>3681</v>
      </c>
      <c r="D2251" s="550" t="s">
        <v>2802</v>
      </c>
      <c r="E2251" s="552">
        <v>0</v>
      </c>
      <c r="F2251" s="759" t="s">
        <v>8892</v>
      </c>
      <c r="G2251" s="762"/>
    </row>
    <row r="2252" spans="1:7" ht="15.9" customHeight="1">
      <c r="A2252" s="552" t="s">
        <v>3702</v>
      </c>
      <c r="B2252" s="556" t="s">
        <v>3697</v>
      </c>
      <c r="C2252" s="556" t="s">
        <v>3682</v>
      </c>
      <c r="D2252" s="550" t="s">
        <v>2805</v>
      </c>
      <c r="E2252" s="552">
        <v>0</v>
      </c>
      <c r="F2252" s="759" t="s">
        <v>8892</v>
      </c>
      <c r="G2252" s="762"/>
    </row>
    <row r="2253" spans="1:7" ht="15.9" customHeight="1">
      <c r="A2253" s="552" t="s">
        <v>3702</v>
      </c>
      <c r="B2253" s="556" t="s">
        <v>3697</v>
      </c>
      <c r="C2253" s="556" t="s">
        <v>3683</v>
      </c>
      <c r="D2253" s="550" t="s">
        <v>2805</v>
      </c>
      <c r="E2253" s="552">
        <v>0</v>
      </c>
      <c r="F2253" s="759" t="s">
        <v>8892</v>
      </c>
      <c r="G2253" s="762"/>
    </row>
    <row r="2254" spans="1:7" ht="15.9" customHeight="1">
      <c r="A2254" s="552" t="s">
        <v>3702</v>
      </c>
      <c r="B2254" s="557" t="s">
        <v>3698</v>
      </c>
      <c r="C2254" s="557" t="s">
        <v>3684</v>
      </c>
      <c r="D2254" s="550" t="s">
        <v>2875</v>
      </c>
      <c r="E2254" s="552">
        <v>0</v>
      </c>
      <c r="F2254" s="759" t="s">
        <v>8892</v>
      </c>
      <c r="G2254" s="762"/>
    </row>
    <row r="2255" spans="1:7" ht="15.9" customHeight="1">
      <c r="A2255" s="552" t="s">
        <v>3702</v>
      </c>
      <c r="B2255" s="557" t="s">
        <v>3698</v>
      </c>
      <c r="C2255" s="557" t="s">
        <v>3685</v>
      </c>
      <c r="D2255" s="550" t="s">
        <v>2875</v>
      </c>
      <c r="E2255" s="552">
        <v>0</v>
      </c>
      <c r="F2255" s="759" t="s">
        <v>8892</v>
      </c>
      <c r="G2255" s="762"/>
    </row>
    <row r="2256" spans="1:7" ht="15.9" customHeight="1">
      <c r="A2256" s="552" t="s">
        <v>3702</v>
      </c>
      <c r="B2256" s="558" t="s">
        <v>3699</v>
      </c>
      <c r="C2256" s="558" t="s">
        <v>3686</v>
      </c>
      <c r="D2256" s="550" t="s">
        <v>2998</v>
      </c>
      <c r="E2256" s="552">
        <v>0</v>
      </c>
      <c r="F2256" s="759" t="s">
        <v>8892</v>
      </c>
      <c r="G2256" s="762"/>
    </row>
    <row r="2257" spans="1:7" ht="15.9" customHeight="1">
      <c r="A2257" s="552" t="s">
        <v>3702</v>
      </c>
      <c r="B2257" s="558" t="s">
        <v>3699</v>
      </c>
      <c r="C2257" s="558" t="s">
        <v>3687</v>
      </c>
      <c r="D2257" s="550" t="s">
        <v>2998</v>
      </c>
      <c r="E2257" s="552">
        <v>0</v>
      </c>
      <c r="F2257" s="759" t="s">
        <v>8892</v>
      </c>
      <c r="G2257" s="762"/>
    </row>
    <row r="2258" spans="1:7" ht="15.9" customHeight="1">
      <c r="A2258" s="552" t="s">
        <v>3702</v>
      </c>
      <c r="B2258" s="559" t="s">
        <v>3700</v>
      </c>
      <c r="C2258" s="559" t="s">
        <v>3688</v>
      </c>
      <c r="D2258" s="550" t="s">
        <v>2809</v>
      </c>
      <c r="E2258" s="552">
        <v>0</v>
      </c>
      <c r="F2258" s="759" t="s">
        <v>8892</v>
      </c>
      <c r="G2258" s="762"/>
    </row>
  </sheetData>
  <autoFilter ref="A1:E2258"/>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39997558519241921"/>
  </sheetPr>
  <dimension ref="A1:I73"/>
  <sheetViews>
    <sheetView workbookViewId="0">
      <selection activeCell="A43" sqref="A43"/>
    </sheetView>
  </sheetViews>
  <sheetFormatPr defaultColWidth="9" defaultRowHeight="16.5" customHeight="1"/>
  <cols>
    <col min="1" max="1" width="169.85546875" style="345" customWidth="1"/>
    <col min="2" max="2" width="77.5" style="345" customWidth="1"/>
    <col min="3" max="3" width="39.640625" style="345" customWidth="1"/>
    <col min="4" max="4" width="185.2109375" style="345" bestFit="1" customWidth="1"/>
    <col min="5" max="5" width="164.640625" style="345" customWidth="1"/>
    <col min="6" max="6" width="81.2109375" style="345" customWidth="1"/>
    <col min="7" max="7" width="115.7109375" style="345" customWidth="1"/>
    <col min="8" max="8" width="171.7109375" style="345" customWidth="1"/>
    <col min="9" max="9" width="38" style="345" customWidth="1"/>
    <col min="10" max="10" width="9" style="345" customWidth="1"/>
    <col min="11" max="16384" width="9" style="345"/>
  </cols>
  <sheetData>
    <row r="1" spans="1:9" ht="16.5" customHeight="1">
      <c r="A1" s="543" t="s">
        <v>3703</v>
      </c>
    </row>
    <row r="2" spans="1:9" ht="16.5" customHeight="1">
      <c r="A2" s="346" t="s">
        <v>3704</v>
      </c>
      <c r="B2" s="347"/>
      <c r="C2" s="347"/>
      <c r="D2" s="347"/>
      <c r="E2" s="347"/>
      <c r="F2" s="347"/>
      <c r="G2" s="347"/>
      <c r="H2" s="347"/>
      <c r="I2" s="347"/>
    </row>
    <row r="3" spans="1:9" ht="16.5" customHeight="1">
      <c r="A3" s="348" t="s">
        <v>3705</v>
      </c>
      <c r="B3" s="347"/>
      <c r="C3" s="347"/>
      <c r="D3" s="347"/>
      <c r="E3" s="347"/>
      <c r="F3" s="347"/>
      <c r="G3" s="347"/>
      <c r="H3" s="347"/>
      <c r="I3" s="347"/>
    </row>
    <row r="4" spans="1:9" ht="16.5" customHeight="1">
      <c r="A4" s="349" t="s">
        <v>3706</v>
      </c>
      <c r="B4" s="347"/>
      <c r="C4" s="347"/>
      <c r="D4" s="347"/>
      <c r="E4" s="347"/>
      <c r="F4" s="347"/>
      <c r="G4" s="347"/>
      <c r="H4" s="347"/>
      <c r="I4" s="347"/>
    </row>
    <row r="5" spans="1:9" ht="16.5" customHeight="1">
      <c r="A5" s="349" t="s">
        <v>3707</v>
      </c>
      <c r="B5" s="347"/>
      <c r="C5" s="347"/>
      <c r="D5" s="347"/>
      <c r="E5" s="347"/>
      <c r="F5" s="347"/>
      <c r="G5" s="347"/>
      <c r="H5" s="347"/>
      <c r="I5" s="347"/>
    </row>
    <row r="6" spans="1:9" ht="16.5" customHeight="1">
      <c r="A6" s="348" t="s">
        <v>3708</v>
      </c>
      <c r="B6" s="347"/>
      <c r="C6" s="347"/>
      <c r="D6" s="347"/>
      <c r="E6" s="347"/>
      <c r="F6" s="347"/>
      <c r="G6" s="347"/>
      <c r="H6" s="347"/>
      <c r="I6" s="347"/>
    </row>
    <row r="7" spans="1:9" ht="16.5" customHeight="1">
      <c r="A7" s="348" t="s">
        <v>3709</v>
      </c>
      <c r="B7" s="347"/>
      <c r="C7" s="347"/>
      <c r="D7" s="347"/>
      <c r="E7" s="347"/>
      <c r="F7" s="347"/>
      <c r="G7" s="347"/>
      <c r="H7" s="347"/>
      <c r="I7" s="347"/>
    </row>
    <row r="8" spans="1:9" ht="16.5" customHeight="1">
      <c r="A8" s="348" t="s">
        <v>3710</v>
      </c>
      <c r="B8" s="347"/>
      <c r="C8" s="347"/>
      <c r="D8" s="347"/>
      <c r="E8" s="347"/>
      <c r="F8" s="347"/>
      <c r="G8" s="347"/>
      <c r="H8" s="347"/>
      <c r="I8" s="347"/>
    </row>
    <row r="9" spans="1:9" ht="16.5" customHeight="1">
      <c r="A9" s="347"/>
      <c r="B9" s="347"/>
      <c r="C9" s="347"/>
      <c r="D9" s="347"/>
      <c r="E9" s="347"/>
      <c r="F9" s="347"/>
      <c r="G9" s="347"/>
      <c r="H9" s="347"/>
      <c r="I9" s="347"/>
    </row>
    <row r="10" spans="1:9" ht="16.5" customHeight="1">
      <c r="A10" s="347"/>
      <c r="B10" s="347"/>
      <c r="C10" s="347"/>
      <c r="D10" s="347"/>
      <c r="E10" s="347"/>
      <c r="F10" s="347"/>
      <c r="G10" s="347"/>
      <c r="H10" s="347"/>
      <c r="I10" s="347"/>
    </row>
    <row r="11" spans="1:9" ht="16.5" customHeight="1">
      <c r="A11" s="350" t="s">
        <v>3711</v>
      </c>
      <c r="B11" s="347"/>
      <c r="C11" s="347"/>
      <c r="D11" s="347"/>
      <c r="E11" s="347"/>
      <c r="F11" s="347"/>
      <c r="G11" s="347"/>
      <c r="H11" s="347"/>
      <c r="I11" s="347"/>
    </row>
    <row r="12" spans="1:9" ht="16.5" customHeight="1">
      <c r="A12" s="544" t="s">
        <v>3712</v>
      </c>
      <c r="B12" s="347"/>
      <c r="C12" s="347"/>
      <c r="D12" s="347"/>
      <c r="E12" s="347"/>
      <c r="F12" s="347"/>
      <c r="G12" s="347"/>
      <c r="H12" s="347"/>
      <c r="I12" s="347"/>
    </row>
    <row r="13" spans="1:9" ht="16.5" customHeight="1">
      <c r="A13" s="348" t="s">
        <v>3713</v>
      </c>
      <c r="B13" s="347"/>
      <c r="C13" s="347"/>
      <c r="D13" s="347"/>
      <c r="E13" s="347"/>
      <c r="F13" s="347"/>
      <c r="G13" s="347"/>
      <c r="H13" s="347"/>
      <c r="I13" s="347"/>
    </row>
    <row r="14" spans="1:9" ht="16.5" customHeight="1">
      <c r="A14" s="348" t="s">
        <v>3714</v>
      </c>
      <c r="B14" s="347"/>
      <c r="C14" s="347"/>
      <c r="D14" s="347"/>
      <c r="E14" s="347"/>
      <c r="F14" s="347"/>
      <c r="G14" s="347"/>
      <c r="H14" s="347"/>
      <c r="I14" s="347"/>
    </row>
    <row r="15" spans="1:9" ht="16.5" customHeight="1">
      <c r="A15" s="348" t="s">
        <v>3715</v>
      </c>
      <c r="B15" s="347"/>
      <c r="C15" s="347"/>
      <c r="D15" s="347"/>
      <c r="E15" s="347"/>
      <c r="F15" s="347"/>
      <c r="G15" s="347"/>
      <c r="H15" s="347"/>
      <c r="I15" s="347"/>
    </row>
    <row r="16" spans="1:9" ht="16.5" customHeight="1">
      <c r="A16" s="348" t="s">
        <v>3716</v>
      </c>
      <c r="B16" s="347"/>
      <c r="C16" s="347"/>
      <c r="D16" s="347"/>
      <c r="E16" s="347"/>
      <c r="F16" s="347"/>
      <c r="G16" s="347"/>
      <c r="H16" s="347"/>
      <c r="I16" s="347"/>
    </row>
    <row r="17" spans="1:9" ht="16.5" customHeight="1">
      <c r="A17" s="127" t="s">
        <v>3717</v>
      </c>
      <c r="B17" s="347"/>
      <c r="C17" s="347"/>
      <c r="D17" s="347"/>
      <c r="E17" s="347"/>
      <c r="F17" s="347"/>
      <c r="G17" s="347"/>
      <c r="H17" s="347"/>
      <c r="I17" s="347"/>
    </row>
    <row r="18" spans="1:9" ht="16.5" customHeight="1">
      <c r="A18" s="347"/>
      <c r="B18" s="347"/>
      <c r="C18" s="347"/>
      <c r="D18" s="347"/>
      <c r="E18" s="347"/>
      <c r="F18" s="347"/>
      <c r="G18" s="347"/>
      <c r="H18" s="347"/>
      <c r="I18" s="347"/>
    </row>
    <row r="19" spans="1:9" ht="16.5" customHeight="1">
      <c r="A19" s="347"/>
      <c r="B19" s="347"/>
      <c r="C19" s="347"/>
      <c r="D19" s="347"/>
      <c r="E19" s="347"/>
      <c r="F19" s="347"/>
      <c r="G19" s="347"/>
      <c r="H19" s="347"/>
      <c r="I19" s="347"/>
    </row>
    <row r="20" spans="1:9" ht="16.5" customHeight="1">
      <c r="A20" s="351" t="s">
        <v>3718</v>
      </c>
      <c r="B20" s="347"/>
      <c r="C20" s="347"/>
      <c r="D20" s="347"/>
      <c r="E20" s="347"/>
      <c r="F20" s="347"/>
      <c r="G20" s="347"/>
      <c r="H20" s="347"/>
      <c r="I20" s="347"/>
    </row>
    <row r="21" spans="1:9" ht="16.5" customHeight="1">
      <c r="A21" s="348" t="s">
        <v>3719</v>
      </c>
      <c r="B21" s="347"/>
      <c r="C21" s="347"/>
      <c r="D21" s="347"/>
      <c r="E21" s="347"/>
      <c r="F21" s="347"/>
      <c r="G21" s="347"/>
      <c r="H21" s="347"/>
      <c r="I21" s="347"/>
    </row>
    <row r="22" spans="1:9" ht="16.5" customHeight="1">
      <c r="A22" s="348" t="s">
        <v>3720</v>
      </c>
      <c r="B22" s="347"/>
      <c r="C22" s="347"/>
      <c r="D22" s="347"/>
      <c r="E22" s="347"/>
      <c r="F22" s="347"/>
      <c r="G22" s="347"/>
      <c r="H22" s="347"/>
      <c r="I22" s="347"/>
    </row>
    <row r="23" spans="1:9" ht="16.5" customHeight="1">
      <c r="A23" s="348" t="s">
        <v>3721</v>
      </c>
      <c r="B23" s="347"/>
      <c r="C23" s="347"/>
      <c r="D23" s="347"/>
      <c r="E23" s="347"/>
      <c r="F23" s="347"/>
      <c r="G23" s="347"/>
      <c r="H23" s="347"/>
      <c r="I23" s="347"/>
    </row>
    <row r="24" spans="1:9" ht="16.5" customHeight="1">
      <c r="A24" s="348" t="s">
        <v>3722</v>
      </c>
      <c r="B24" s="347"/>
      <c r="C24" s="347"/>
      <c r="D24" s="347"/>
      <c r="E24" s="347"/>
      <c r="F24" s="347"/>
      <c r="G24" s="347"/>
      <c r="H24" s="347"/>
      <c r="I24" s="347"/>
    </row>
    <row r="25" spans="1:9" ht="16.5" customHeight="1">
      <c r="A25" s="348" t="s">
        <v>3723</v>
      </c>
      <c r="B25" s="347"/>
      <c r="C25" s="347"/>
      <c r="D25" s="347"/>
      <c r="E25" s="347"/>
      <c r="F25" s="347"/>
      <c r="G25" s="347"/>
      <c r="H25" s="347"/>
      <c r="I25" s="347"/>
    </row>
    <row r="26" spans="1:9" ht="16.5" customHeight="1">
      <c r="A26" s="127" t="s">
        <v>3724</v>
      </c>
      <c r="B26" s="347"/>
      <c r="C26" s="347"/>
      <c r="D26" s="347"/>
      <c r="E26" s="347"/>
      <c r="F26" s="347"/>
      <c r="G26" s="347"/>
      <c r="H26" s="347"/>
      <c r="I26" s="347"/>
    </row>
    <row r="27" spans="1:9" ht="16.5" customHeight="1">
      <c r="A27" s="347"/>
      <c r="B27" s="347"/>
      <c r="C27" s="347"/>
      <c r="D27" s="347"/>
      <c r="E27" s="347"/>
      <c r="F27" s="347"/>
      <c r="G27" s="347"/>
      <c r="H27" s="347"/>
      <c r="I27" s="347"/>
    </row>
    <row r="28" spans="1:9" ht="16.5" customHeight="1">
      <c r="A28" s="347"/>
      <c r="B28" s="347"/>
      <c r="C28" s="347"/>
      <c r="D28" s="347"/>
      <c r="E28" s="347"/>
      <c r="F28" s="347"/>
      <c r="G28" s="347"/>
      <c r="H28" s="347"/>
      <c r="I28" s="347"/>
    </row>
    <row r="29" spans="1:9" ht="16.5" customHeight="1">
      <c r="A29" s="352" t="s">
        <v>3725</v>
      </c>
      <c r="B29" s="347"/>
      <c r="C29" s="347"/>
      <c r="D29" s="347"/>
      <c r="E29" s="347"/>
      <c r="F29" s="347"/>
      <c r="G29" s="347"/>
      <c r="H29" s="347"/>
      <c r="I29" s="347"/>
    </row>
    <row r="30" spans="1:9" ht="16.5" customHeight="1">
      <c r="A30" s="348" t="s">
        <v>3726</v>
      </c>
      <c r="B30" s="347"/>
      <c r="C30" s="347"/>
      <c r="D30" s="347"/>
      <c r="E30" s="347"/>
      <c r="F30" s="347"/>
      <c r="G30" s="347"/>
      <c r="H30" s="347"/>
      <c r="I30" s="347"/>
    </row>
    <row r="31" spans="1:9" ht="16.5" customHeight="1">
      <c r="A31" s="348" t="s">
        <v>3727</v>
      </c>
      <c r="B31" s="347"/>
      <c r="C31" s="347"/>
      <c r="D31" s="347"/>
      <c r="E31" s="347"/>
      <c r="F31" s="347"/>
      <c r="G31" s="347"/>
      <c r="H31" s="347"/>
      <c r="I31" s="347"/>
    </row>
    <row r="32" spans="1:9" ht="16.5" customHeight="1">
      <c r="A32" s="348" t="s">
        <v>3728</v>
      </c>
      <c r="B32" s="347"/>
      <c r="C32" s="347"/>
      <c r="D32" s="347"/>
      <c r="E32" s="347"/>
      <c r="F32" s="347"/>
      <c r="G32" s="347"/>
      <c r="H32" s="347"/>
      <c r="I32" s="347"/>
    </row>
    <row r="33" spans="1:9" ht="16.5" customHeight="1">
      <c r="A33" s="353" t="s">
        <v>3729</v>
      </c>
      <c r="B33" s="347"/>
      <c r="C33" s="347"/>
      <c r="D33" s="347"/>
      <c r="E33" s="347"/>
      <c r="F33" s="347"/>
      <c r="G33" s="347"/>
      <c r="H33" s="347"/>
      <c r="I33" s="347"/>
    </row>
    <row r="34" spans="1:9" ht="16.5" customHeight="1">
      <c r="A34" s="353" t="s">
        <v>3730</v>
      </c>
      <c r="B34" s="347"/>
      <c r="C34" s="347"/>
      <c r="D34" s="347"/>
      <c r="E34" s="347"/>
      <c r="F34" s="347"/>
      <c r="G34" s="347"/>
      <c r="H34" s="347"/>
      <c r="I34" s="347"/>
    </row>
    <row r="35" spans="1:9" ht="16.5" customHeight="1">
      <c r="A35" s="127" t="s">
        <v>3731</v>
      </c>
      <c r="B35" s="347"/>
      <c r="C35" s="347"/>
      <c r="D35" s="347"/>
      <c r="E35" s="347"/>
      <c r="F35" s="347"/>
      <c r="G35" s="347"/>
      <c r="H35" s="347"/>
      <c r="I35" s="347"/>
    </row>
    <row r="36" spans="1:9" ht="16.5" customHeight="1">
      <c r="A36" s="347"/>
      <c r="B36" s="347"/>
      <c r="C36" s="347"/>
      <c r="D36" s="347"/>
      <c r="E36" s="347"/>
      <c r="F36" s="347"/>
      <c r="G36" s="347"/>
      <c r="H36" s="347"/>
      <c r="I36" s="347"/>
    </row>
    <row r="37" spans="1:9" ht="16.5" customHeight="1">
      <c r="A37" s="347"/>
      <c r="B37" s="347"/>
      <c r="C37" s="347"/>
      <c r="D37" s="347"/>
      <c r="E37" s="347"/>
      <c r="F37" s="347"/>
      <c r="G37" s="347"/>
      <c r="H37" s="347"/>
      <c r="I37" s="347"/>
    </row>
    <row r="38" spans="1:9" ht="16.5" customHeight="1">
      <c r="A38" s="354" t="s">
        <v>6033</v>
      </c>
      <c r="B38" s="347"/>
      <c r="C38" s="347"/>
      <c r="D38" s="347"/>
      <c r="E38" s="347"/>
      <c r="F38" s="347"/>
      <c r="G38" s="347"/>
      <c r="H38" s="347"/>
      <c r="I38" s="347"/>
    </row>
    <row r="39" spans="1:9" ht="16.5" customHeight="1">
      <c r="A39" s="348" t="s">
        <v>3732</v>
      </c>
      <c r="B39" s="347"/>
      <c r="C39" s="347"/>
      <c r="D39" s="347"/>
      <c r="E39" s="347"/>
      <c r="F39" s="347"/>
      <c r="G39" s="347"/>
      <c r="H39" s="347"/>
      <c r="I39" s="347"/>
    </row>
    <row r="40" spans="1:9" ht="16.5" customHeight="1">
      <c r="A40" s="348" t="s">
        <v>3733</v>
      </c>
      <c r="B40" s="347"/>
      <c r="C40" s="347"/>
      <c r="D40" s="347"/>
      <c r="E40" s="347"/>
      <c r="F40" s="347"/>
      <c r="G40" s="347"/>
      <c r="H40" s="347"/>
      <c r="I40" s="347"/>
    </row>
    <row r="41" spans="1:9" ht="16.5" customHeight="1">
      <c r="A41" s="348" t="s">
        <v>3734</v>
      </c>
      <c r="B41" s="347"/>
      <c r="C41" s="347"/>
      <c r="D41" s="347"/>
      <c r="E41" s="347"/>
      <c r="F41" s="347"/>
      <c r="G41" s="347"/>
      <c r="H41" s="347"/>
      <c r="I41" s="347"/>
    </row>
    <row r="42" spans="1:9" ht="16.5" customHeight="1">
      <c r="A42" s="348" t="s">
        <v>3735</v>
      </c>
      <c r="B42" s="347"/>
      <c r="C42" s="347"/>
      <c r="D42" s="347"/>
      <c r="E42" s="347"/>
      <c r="F42" s="347"/>
      <c r="G42" s="347"/>
      <c r="H42" s="347"/>
      <c r="I42" s="347"/>
    </row>
    <row r="43" spans="1:9" ht="16.5" customHeight="1">
      <c r="A43" s="348" t="s">
        <v>3736</v>
      </c>
      <c r="B43" s="347"/>
      <c r="C43" s="347"/>
      <c r="D43" s="347"/>
      <c r="E43" s="347"/>
      <c r="F43" s="347"/>
      <c r="G43" s="347"/>
      <c r="H43" s="347"/>
      <c r="I43" s="347"/>
    </row>
    <row r="44" spans="1:9" ht="16.5" customHeight="1">
      <c r="A44" s="348" t="s">
        <v>3737</v>
      </c>
      <c r="B44" s="347"/>
      <c r="C44" s="347"/>
      <c r="D44" s="347"/>
      <c r="E44" s="347"/>
      <c r="F44" s="347"/>
      <c r="G44" s="347"/>
      <c r="H44" s="347"/>
      <c r="I44" s="347"/>
    </row>
    <row r="45" spans="1:9" ht="16.5" customHeight="1">
      <c r="A45" s="127" t="s">
        <v>3738</v>
      </c>
      <c r="B45" s="347"/>
      <c r="C45" s="347"/>
      <c r="D45" s="347"/>
      <c r="E45" s="347"/>
      <c r="F45" s="347"/>
      <c r="G45" s="347"/>
      <c r="H45" s="347"/>
      <c r="I45" s="347"/>
    </row>
    <row r="46" spans="1:9" ht="16.5" customHeight="1">
      <c r="A46" s="347"/>
      <c r="B46" s="347"/>
      <c r="C46" s="347"/>
      <c r="D46" s="347"/>
      <c r="E46" s="347"/>
      <c r="F46" s="347"/>
      <c r="G46" s="347"/>
      <c r="H46" s="347"/>
      <c r="I46" s="347"/>
    </row>
    <row r="47" spans="1:9" ht="16.5" customHeight="1">
      <c r="A47" s="355" t="s">
        <v>3739</v>
      </c>
      <c r="B47" s="347"/>
      <c r="C47" s="347"/>
      <c r="D47" s="347"/>
      <c r="E47" s="347"/>
      <c r="F47" s="347"/>
      <c r="G47" s="347"/>
      <c r="H47" s="347"/>
      <c r="I47" s="347"/>
    </row>
    <row r="48" spans="1:9" ht="16.5" customHeight="1">
      <c r="A48" s="348" t="s">
        <v>3740</v>
      </c>
      <c r="B48" s="347"/>
      <c r="C48" s="347"/>
      <c r="D48" s="347"/>
      <c r="E48" s="347"/>
      <c r="F48" s="347"/>
      <c r="G48" s="347"/>
      <c r="H48" s="347"/>
      <c r="I48" s="347"/>
    </row>
    <row r="49" spans="1:9" ht="16.5" customHeight="1">
      <c r="A49" s="348" t="s">
        <v>3741</v>
      </c>
      <c r="B49" s="347"/>
      <c r="C49" s="347"/>
      <c r="D49" s="347"/>
      <c r="E49" s="347"/>
      <c r="F49" s="347"/>
      <c r="G49" s="347"/>
      <c r="H49" s="347"/>
      <c r="I49" s="347"/>
    </row>
    <row r="50" spans="1:9" ht="16.5" customHeight="1">
      <c r="A50" s="348" t="s">
        <v>3742</v>
      </c>
      <c r="B50" s="347"/>
      <c r="C50" s="347"/>
      <c r="D50" s="347"/>
      <c r="E50" s="347"/>
      <c r="F50" s="347"/>
      <c r="G50" s="347"/>
      <c r="H50" s="347"/>
      <c r="I50" s="347"/>
    </row>
    <row r="51" spans="1:9" ht="16.5" customHeight="1">
      <c r="A51" s="348" t="s">
        <v>3743</v>
      </c>
      <c r="B51" s="347"/>
      <c r="C51" s="347"/>
      <c r="D51" s="347"/>
      <c r="E51" s="347"/>
      <c r="F51" s="347"/>
      <c r="G51" s="347"/>
      <c r="H51" s="347"/>
      <c r="I51" s="347"/>
    </row>
    <row r="52" spans="1:9" ht="16.5" customHeight="1">
      <c r="A52" s="348" t="s">
        <v>3744</v>
      </c>
      <c r="B52" s="347"/>
      <c r="C52" s="347"/>
      <c r="D52" s="347"/>
      <c r="E52" s="347"/>
      <c r="F52" s="347"/>
      <c r="G52" s="347"/>
      <c r="H52" s="347"/>
      <c r="I52" s="347"/>
    </row>
    <row r="53" spans="1:9" ht="16.5" customHeight="1">
      <c r="A53" s="348" t="s">
        <v>3745</v>
      </c>
      <c r="B53" s="347"/>
      <c r="C53" s="347"/>
      <c r="D53" s="347"/>
      <c r="E53" s="347"/>
      <c r="F53" s="347"/>
      <c r="G53" s="347"/>
      <c r="H53" s="347"/>
      <c r="I53" s="347"/>
    </row>
    <row r="54" spans="1:9" ht="16.5" customHeight="1">
      <c r="A54" s="348" t="s">
        <v>3746</v>
      </c>
      <c r="B54" s="347"/>
      <c r="C54" s="347"/>
      <c r="D54" s="347"/>
      <c r="E54" s="347"/>
      <c r="F54" s="347"/>
      <c r="G54" s="347"/>
      <c r="H54" s="347"/>
      <c r="I54" s="347"/>
    </row>
    <row r="55" spans="1:9" ht="16.5" customHeight="1">
      <c r="A55" s="127" t="s">
        <v>3747</v>
      </c>
      <c r="B55" s="347"/>
      <c r="C55" s="347"/>
      <c r="D55" s="347"/>
      <c r="E55" s="347"/>
      <c r="F55" s="347"/>
      <c r="G55" s="347"/>
      <c r="H55" s="347"/>
      <c r="I55" s="347"/>
    </row>
    <row r="56" spans="1:9" ht="16.5" customHeight="1">
      <c r="A56" s="347"/>
      <c r="B56" s="347"/>
      <c r="C56" s="347"/>
      <c r="D56" s="347"/>
      <c r="E56" s="347"/>
      <c r="F56" s="347"/>
      <c r="G56" s="347"/>
      <c r="H56" s="347"/>
      <c r="I56" s="347"/>
    </row>
    <row r="57" spans="1:9" ht="16.5" customHeight="1">
      <c r="A57" s="347"/>
      <c r="B57" s="347"/>
      <c r="C57" s="347"/>
      <c r="D57" s="347"/>
      <c r="E57" s="347"/>
      <c r="F57" s="347"/>
      <c r="G57" s="347"/>
      <c r="H57" s="347"/>
      <c r="I57" s="347"/>
    </row>
    <row r="58" spans="1:9" ht="16.5" customHeight="1">
      <c r="A58" s="356" t="s">
        <v>6032</v>
      </c>
      <c r="B58" s="347"/>
      <c r="C58" s="347"/>
      <c r="D58" s="347"/>
      <c r="E58" s="347"/>
      <c r="F58" s="347"/>
      <c r="G58" s="347"/>
      <c r="H58" s="347"/>
      <c r="I58" s="347"/>
    </row>
    <row r="59" spans="1:9" ht="16.5" customHeight="1">
      <c r="A59" s="357" t="s">
        <v>3748</v>
      </c>
      <c r="B59" s="347"/>
      <c r="C59" s="347"/>
      <c r="D59" s="347"/>
      <c r="E59" s="347"/>
      <c r="F59" s="347"/>
      <c r="G59" s="347"/>
      <c r="H59" s="347"/>
      <c r="I59" s="347"/>
    </row>
    <row r="60" spans="1:9" ht="16.5" customHeight="1">
      <c r="A60" s="584" t="s">
        <v>3749</v>
      </c>
      <c r="B60" s="347"/>
      <c r="C60" s="347"/>
      <c r="D60" s="347"/>
      <c r="E60" s="347"/>
      <c r="F60" s="347"/>
      <c r="G60" s="347"/>
      <c r="H60" s="347"/>
      <c r="I60" s="347"/>
    </row>
    <row r="61" spans="1:9" ht="16.5" customHeight="1">
      <c r="A61" s="357" t="s">
        <v>3750</v>
      </c>
      <c r="B61" s="347"/>
      <c r="C61" s="347"/>
      <c r="D61" s="347"/>
      <c r="E61" s="347"/>
      <c r="F61" s="347"/>
      <c r="G61" s="347"/>
      <c r="H61" s="347"/>
      <c r="I61" s="347"/>
    </row>
    <row r="62" spans="1:9" ht="16.5" customHeight="1">
      <c r="A62" s="348" t="s">
        <v>3751</v>
      </c>
      <c r="B62" s="347"/>
      <c r="C62" s="347"/>
      <c r="D62" s="347"/>
      <c r="E62" s="347"/>
      <c r="F62" s="347"/>
      <c r="G62" s="347"/>
      <c r="H62" s="347"/>
      <c r="I62" s="347"/>
    </row>
    <row r="63" spans="1:9" ht="16.5" customHeight="1">
      <c r="A63" s="348" t="s">
        <v>3752</v>
      </c>
      <c r="B63" s="347"/>
      <c r="C63" s="347"/>
      <c r="D63" s="347"/>
      <c r="E63" s="347"/>
      <c r="F63" s="347"/>
      <c r="G63" s="347"/>
      <c r="H63" s="347"/>
      <c r="I63" s="347"/>
    </row>
    <row r="64" spans="1:9" ht="16.5" customHeight="1">
      <c r="A64" s="357" t="s">
        <v>3753</v>
      </c>
      <c r="B64" s="347"/>
      <c r="C64" s="347"/>
      <c r="D64" s="347"/>
      <c r="E64" s="347"/>
      <c r="F64" s="347"/>
      <c r="G64" s="347"/>
      <c r="H64" s="347"/>
      <c r="I64" s="347"/>
    </row>
    <row r="65" spans="1:9" ht="16.5" customHeight="1">
      <c r="A65" s="357" t="s">
        <v>3754</v>
      </c>
      <c r="B65" s="347"/>
      <c r="C65" s="347"/>
      <c r="D65" s="347"/>
      <c r="E65" s="347"/>
      <c r="F65" s="347"/>
      <c r="G65" s="347"/>
      <c r="H65" s="347"/>
      <c r="I65" s="347"/>
    </row>
    <row r="66" spans="1:9" ht="16.5" customHeight="1">
      <c r="A66" s="347"/>
      <c r="B66" s="347"/>
      <c r="C66" s="347"/>
      <c r="D66" s="347"/>
      <c r="E66" s="347"/>
      <c r="F66" s="347"/>
      <c r="G66" s="347"/>
      <c r="H66" s="347"/>
      <c r="I66" s="347"/>
    </row>
    <row r="67" spans="1:9" ht="16.5" customHeight="1">
      <c r="A67" s="358" t="s">
        <v>3849</v>
      </c>
      <c r="B67" s="347"/>
      <c r="C67" s="347"/>
      <c r="D67" s="347"/>
      <c r="E67" s="347"/>
      <c r="F67" s="347"/>
      <c r="G67" s="347"/>
      <c r="H67" s="347"/>
      <c r="I67" s="347"/>
    </row>
    <row r="68" spans="1:9" ht="16.5" customHeight="1">
      <c r="A68" s="357" t="s">
        <v>3755</v>
      </c>
      <c r="B68" s="347"/>
      <c r="C68" s="347"/>
      <c r="D68" s="347"/>
      <c r="E68" s="347"/>
      <c r="F68" s="347"/>
      <c r="G68" s="347"/>
      <c r="H68" s="347"/>
      <c r="I68" s="347"/>
    </row>
    <row r="69" spans="1:9" ht="16.5" customHeight="1">
      <c r="A69" s="357" t="s">
        <v>3756</v>
      </c>
      <c r="B69" s="347"/>
      <c r="C69" s="347"/>
      <c r="D69" s="347"/>
      <c r="E69" s="347"/>
      <c r="F69" s="347"/>
      <c r="G69" s="347"/>
      <c r="H69" s="347"/>
      <c r="I69" s="347"/>
    </row>
    <row r="70" spans="1:9" ht="16.5" customHeight="1">
      <c r="A70" s="357" t="s">
        <v>3757</v>
      </c>
      <c r="B70" s="347"/>
      <c r="C70" s="347"/>
      <c r="D70" s="347"/>
      <c r="E70" s="347"/>
      <c r="F70" s="347"/>
      <c r="G70" s="347"/>
      <c r="H70" s="347"/>
      <c r="I70" s="347"/>
    </row>
    <row r="71" spans="1:9" ht="16.5" customHeight="1">
      <c r="A71" s="348" t="s">
        <v>3758</v>
      </c>
      <c r="B71" s="347"/>
      <c r="C71" s="347"/>
      <c r="D71" s="347"/>
      <c r="E71" s="347"/>
      <c r="F71" s="347"/>
      <c r="G71" s="347"/>
      <c r="H71" s="347"/>
      <c r="I71" s="347"/>
    </row>
    <row r="72" spans="1:9" ht="16.5" customHeight="1">
      <c r="A72" s="348" t="s">
        <v>3759</v>
      </c>
      <c r="B72" s="347"/>
      <c r="C72" s="347"/>
      <c r="D72" s="347"/>
      <c r="E72" s="347"/>
      <c r="F72" s="347"/>
      <c r="G72" s="347"/>
      <c r="H72" s="347"/>
      <c r="I72" s="347"/>
    </row>
    <row r="73" spans="1:9" ht="16.5" customHeight="1">
      <c r="A73" s="357" t="s">
        <v>3760</v>
      </c>
      <c r="B73" s="347"/>
      <c r="C73" s="347"/>
      <c r="D73" s="347"/>
      <c r="E73" s="347"/>
      <c r="F73" s="347"/>
      <c r="G73" s="347"/>
      <c r="H73" s="347"/>
      <c r="I73" s="347"/>
    </row>
  </sheetData>
  <pageMargins left="0.7" right="0.7" top="0.75" bottom="0.75" header="0.3" footer="0.3"/>
  <pageSetup paperSize="9"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39997558519241921"/>
  </sheetPr>
  <dimension ref="A1:C27"/>
  <sheetViews>
    <sheetView workbookViewId="0">
      <selection activeCell="C19" sqref="C19"/>
    </sheetView>
  </sheetViews>
  <sheetFormatPr defaultRowHeight="14.15"/>
  <cols>
    <col min="1" max="1" width="19.2109375" style="580" bestFit="1" customWidth="1"/>
    <col min="2" max="2" width="155.5" style="580" bestFit="1" customWidth="1"/>
    <col min="3" max="3" width="164.7109375" style="580" customWidth="1"/>
  </cols>
  <sheetData>
    <row r="1" spans="1:3" ht="17.600000000000001" customHeight="1">
      <c r="A1" s="359" t="s">
        <v>3761</v>
      </c>
      <c r="B1" s="359" t="s">
        <v>3762</v>
      </c>
      <c r="C1" s="359" t="s">
        <v>3763</v>
      </c>
    </row>
    <row r="2" spans="1:3">
      <c r="A2" s="360" t="s">
        <v>3764</v>
      </c>
      <c r="B2" s="65" t="s">
        <v>3765</v>
      </c>
      <c r="C2" s="65" t="s">
        <v>3766</v>
      </c>
    </row>
    <row r="3" spans="1:3">
      <c r="A3" s="360" t="s">
        <v>3767</v>
      </c>
      <c r="B3" s="65" t="s">
        <v>3768</v>
      </c>
      <c r="C3" s="65" t="s">
        <v>3769</v>
      </c>
    </row>
    <row r="4" spans="1:3">
      <c r="A4" s="360" t="s">
        <v>3770</v>
      </c>
      <c r="B4" s="65" t="s">
        <v>3771</v>
      </c>
      <c r="C4" s="65" t="s">
        <v>3772</v>
      </c>
    </row>
    <row r="5" spans="1:3">
      <c r="A5" s="547" t="s">
        <v>3773</v>
      </c>
      <c r="B5" s="546" t="s">
        <v>3774</v>
      </c>
      <c r="C5" s="546" t="s">
        <v>3775</v>
      </c>
    </row>
    <row r="6" spans="1:3">
      <c r="A6" s="361" t="s">
        <v>3776</v>
      </c>
      <c r="B6" s="546" t="s">
        <v>3777</v>
      </c>
      <c r="C6" s="65" t="s">
        <v>3778</v>
      </c>
    </row>
    <row r="7" spans="1:3">
      <c r="A7" s="361" t="s">
        <v>3779</v>
      </c>
      <c r="B7" s="65" t="s">
        <v>3780</v>
      </c>
      <c r="C7" s="65" t="s">
        <v>3781</v>
      </c>
    </row>
    <row r="8" spans="1:3">
      <c r="A8" s="361" t="s">
        <v>3782</v>
      </c>
      <c r="B8" s="65" t="s">
        <v>3783</v>
      </c>
      <c r="C8" s="65" t="s">
        <v>3784</v>
      </c>
    </row>
    <row r="9" spans="1:3">
      <c r="A9" s="361" t="s">
        <v>3785</v>
      </c>
      <c r="B9" s="65" t="s">
        <v>3786</v>
      </c>
      <c r="C9" s="65" t="s">
        <v>3787</v>
      </c>
    </row>
    <row r="10" spans="1:3">
      <c r="A10" s="361" t="s">
        <v>3788</v>
      </c>
      <c r="B10" s="65" t="s">
        <v>3789</v>
      </c>
      <c r="C10" s="65" t="s">
        <v>3790</v>
      </c>
    </row>
    <row r="11" spans="1:3">
      <c r="A11" s="362" t="s">
        <v>3791</v>
      </c>
      <c r="B11" s="65" t="s">
        <v>3792</v>
      </c>
      <c r="C11" s="65" t="s">
        <v>3793</v>
      </c>
    </row>
    <row r="12" spans="1:3">
      <c r="A12" s="362" t="s">
        <v>3794</v>
      </c>
      <c r="B12" s="65" t="s">
        <v>3795</v>
      </c>
      <c r="C12" s="65" t="s">
        <v>3796</v>
      </c>
    </row>
    <row r="13" spans="1:3">
      <c r="A13" s="362" t="s">
        <v>3797</v>
      </c>
      <c r="B13" s="65" t="s">
        <v>3798</v>
      </c>
      <c r="C13" s="65" t="s">
        <v>3799</v>
      </c>
    </row>
    <row r="14" spans="1:3">
      <c r="A14" s="362" t="s">
        <v>3800</v>
      </c>
      <c r="B14" s="65" t="s">
        <v>3801</v>
      </c>
      <c r="C14" s="65" t="s">
        <v>3802</v>
      </c>
    </row>
    <row r="15" spans="1:3">
      <c r="A15" s="362" t="s">
        <v>3803</v>
      </c>
      <c r="B15" s="65" t="s">
        <v>3804</v>
      </c>
      <c r="C15" s="65" t="s">
        <v>3805</v>
      </c>
    </row>
    <row r="16" spans="1:3">
      <c r="A16" s="363" t="s">
        <v>3806</v>
      </c>
      <c r="B16" s="65" t="s">
        <v>3807</v>
      </c>
      <c r="C16" s="65" t="s">
        <v>3808</v>
      </c>
    </row>
    <row r="17" spans="1:3">
      <c r="A17" s="363" t="s">
        <v>3809</v>
      </c>
      <c r="B17" s="65" t="s">
        <v>3810</v>
      </c>
      <c r="C17" s="65" t="s">
        <v>3811</v>
      </c>
    </row>
    <row r="18" spans="1:3">
      <c r="A18" s="363" t="s">
        <v>3812</v>
      </c>
      <c r="B18" s="65" t="s">
        <v>3813</v>
      </c>
      <c r="C18" s="65" t="s">
        <v>3814</v>
      </c>
    </row>
    <row r="19" spans="1:3">
      <c r="A19" s="363" t="s">
        <v>3815</v>
      </c>
      <c r="B19" s="65" t="s">
        <v>3816</v>
      </c>
      <c r="C19" s="65" t="s">
        <v>3817</v>
      </c>
    </row>
    <row r="20" spans="1:3">
      <c r="A20" s="363" t="s">
        <v>3818</v>
      </c>
      <c r="B20" s="65" t="s">
        <v>3819</v>
      </c>
      <c r="C20" s="65" t="s">
        <v>3820</v>
      </c>
    </row>
    <row r="21" spans="1:3">
      <c r="A21" s="363" t="s">
        <v>3821</v>
      </c>
      <c r="B21" s="65" t="s">
        <v>3822</v>
      </c>
      <c r="C21" s="65" t="s">
        <v>3823</v>
      </c>
    </row>
    <row r="22" spans="1:3">
      <c r="A22" s="363" t="s">
        <v>3824</v>
      </c>
      <c r="B22" s="65" t="s">
        <v>3825</v>
      </c>
      <c r="C22" s="364"/>
    </row>
    <row r="23" spans="1:3">
      <c r="A23" s="363" t="s">
        <v>3826</v>
      </c>
      <c r="B23" s="65" t="s">
        <v>3827</v>
      </c>
      <c r="C23" s="65" t="s">
        <v>3828</v>
      </c>
    </row>
    <row r="24" spans="1:3">
      <c r="A24" s="363" t="s">
        <v>3829</v>
      </c>
      <c r="B24" s="65" t="s">
        <v>3830</v>
      </c>
      <c r="C24" s="65" t="s">
        <v>3831</v>
      </c>
    </row>
    <row r="25" spans="1:3">
      <c r="A25" s="365" t="s">
        <v>3832</v>
      </c>
      <c r="B25" s="65" t="s">
        <v>3833</v>
      </c>
      <c r="C25" s="65" t="s">
        <v>3834</v>
      </c>
    </row>
    <row r="26" spans="1:3">
      <c r="A26" s="365" t="s">
        <v>3835</v>
      </c>
      <c r="B26" s="65" t="s">
        <v>3836</v>
      </c>
      <c r="C26" s="65" t="s">
        <v>3837</v>
      </c>
    </row>
    <row r="27" spans="1:3">
      <c r="A27" s="366" t="s">
        <v>3838</v>
      </c>
      <c r="B27" s="65" t="s">
        <v>3839</v>
      </c>
      <c r="C27" s="65" t="s">
        <v>3840</v>
      </c>
    </row>
  </sheetData>
  <pageMargins left="0.7" right="0.7" top="0.75" bottom="0.75" header="0.3" footer="0.3"/>
  <pageSetup paperSize="9"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39997558519241921"/>
  </sheetPr>
  <dimension ref="A1:C13"/>
  <sheetViews>
    <sheetView workbookViewId="0">
      <selection activeCell="A2" sqref="A2:C15"/>
    </sheetView>
  </sheetViews>
  <sheetFormatPr defaultRowHeight="14.15"/>
  <cols>
    <col min="1" max="1" width="25.7109375" style="580" customWidth="1"/>
    <col min="2" max="2" width="21.35546875" style="580" customWidth="1"/>
    <col min="3" max="3" width="52.85546875" style="580" customWidth="1"/>
  </cols>
  <sheetData>
    <row r="1" spans="1:3">
      <c r="A1" s="367" t="s">
        <v>3841</v>
      </c>
      <c r="B1" s="368" t="s">
        <v>3842</v>
      </c>
      <c r="C1" s="369" t="s">
        <v>3843</v>
      </c>
    </row>
    <row r="2" spans="1:3">
      <c r="A2" t="s">
        <v>3694</v>
      </c>
      <c r="B2" t="s">
        <v>3711</v>
      </c>
      <c r="C2" s="345" t="s">
        <v>3844</v>
      </c>
    </row>
    <row r="3" spans="1:3">
      <c r="A3" t="s">
        <v>3845</v>
      </c>
      <c r="B3" t="s">
        <v>3711</v>
      </c>
      <c r="C3" s="545" t="s">
        <v>3846</v>
      </c>
    </row>
    <row r="4" spans="1:3">
      <c r="A4" t="s">
        <v>3847</v>
      </c>
      <c r="B4" t="s">
        <v>3711</v>
      </c>
      <c r="C4" t="s">
        <v>3844</v>
      </c>
    </row>
    <row r="5" spans="1:3">
      <c r="A5" t="s">
        <v>3848</v>
      </c>
      <c r="B5" t="s">
        <v>3849</v>
      </c>
      <c r="C5" s="345" t="s">
        <v>3844</v>
      </c>
    </row>
    <row r="6" spans="1:3" ht="15" customHeight="1">
      <c r="A6" s="61" t="s">
        <v>3850</v>
      </c>
      <c r="B6" t="s">
        <v>3851</v>
      </c>
    </row>
    <row r="7" spans="1:3" ht="15" customHeight="1">
      <c r="A7" s="370" t="s">
        <v>3852</v>
      </c>
      <c r="B7" t="s">
        <v>3853</v>
      </c>
    </row>
    <row r="8" spans="1:3" ht="15" customHeight="1">
      <c r="A8" s="61" t="s">
        <v>3854</v>
      </c>
      <c r="B8" t="s">
        <v>3855</v>
      </c>
    </row>
    <row r="9" spans="1:3" ht="15" customHeight="1">
      <c r="A9" s="61" t="s">
        <v>3856</v>
      </c>
      <c r="B9" t="s">
        <v>3857</v>
      </c>
    </row>
    <row r="10" spans="1:3" ht="15" customHeight="1">
      <c r="A10" s="61" t="s">
        <v>3858</v>
      </c>
      <c r="B10" t="s">
        <v>3859</v>
      </c>
    </row>
    <row r="11" spans="1:3" ht="15" customHeight="1">
      <c r="A11" s="61" t="s">
        <v>3860</v>
      </c>
      <c r="B11" t="s">
        <v>3861</v>
      </c>
    </row>
    <row r="12" spans="1:3" ht="15" customHeight="1">
      <c r="A12" s="61" t="s">
        <v>3862</v>
      </c>
      <c r="B12" t="s">
        <v>3863</v>
      </c>
    </row>
    <row r="13" spans="1:3" ht="15" customHeight="1">
      <c r="A13" s="61" t="s">
        <v>3864</v>
      </c>
      <c r="B13" t="s">
        <v>3865</v>
      </c>
    </row>
  </sheetData>
  <pageMargins left="0.7" right="0.7" top="0.75" bottom="0.75" header="0.3" footer="0.3"/>
  <pageSetup paperSize="9"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ACCC1"/>
  </sheetPr>
  <dimension ref="A1:C207"/>
  <sheetViews>
    <sheetView workbookViewId="0">
      <selection activeCell="B50" sqref="B50:C50"/>
    </sheetView>
  </sheetViews>
  <sheetFormatPr defaultRowHeight="14.15"/>
  <cols>
    <col min="1" max="1" width="16.35546875" style="580" customWidth="1"/>
    <col min="2" max="2" width="226.85546875" style="580" bestFit="1" customWidth="1"/>
    <col min="3" max="3" width="62.640625" style="580" customWidth="1"/>
  </cols>
  <sheetData>
    <row r="1" spans="1:3" s="660" customFormat="1"/>
    <row r="2" spans="1:3" s="1" customFormat="1" ht="16.5" customHeight="1">
      <c r="A2" s="371" t="s">
        <v>3866</v>
      </c>
      <c r="B2" s="371"/>
      <c r="C2" s="371"/>
    </row>
    <row r="3" spans="1:3" s="1" customFormat="1" ht="16.5" customHeight="1">
      <c r="A3" s="372" t="s">
        <v>3867</v>
      </c>
      <c r="B3" s="814" t="s">
        <v>3868</v>
      </c>
      <c r="C3" s="809"/>
    </row>
    <row r="4" spans="1:3" s="1" customFormat="1" ht="16.5" customHeight="1">
      <c r="A4" s="373" t="s">
        <v>1440</v>
      </c>
      <c r="B4" s="808" t="s">
        <v>3869</v>
      </c>
      <c r="C4" s="809"/>
    </row>
    <row r="5" spans="1:3" s="1" customFormat="1" ht="16.5" customHeight="1">
      <c r="A5" s="373" t="s">
        <v>1440</v>
      </c>
      <c r="B5" s="808" t="s">
        <v>3870</v>
      </c>
      <c r="C5" s="809"/>
    </row>
    <row r="6" spans="1:3" s="1" customFormat="1" ht="16.5" customHeight="1">
      <c r="A6" s="374" t="s">
        <v>2135</v>
      </c>
      <c r="B6" s="815" t="s">
        <v>3871</v>
      </c>
      <c r="C6" s="809"/>
    </row>
    <row r="7" spans="1:3" s="1" customFormat="1" ht="16.5" customHeight="1">
      <c r="A7" s="374" t="s">
        <v>2135</v>
      </c>
      <c r="B7" s="815" t="s">
        <v>3872</v>
      </c>
      <c r="C7" s="809"/>
    </row>
    <row r="8" spans="1:3" s="1" customFormat="1" ht="16.5" customHeight="1">
      <c r="A8" s="375" t="s">
        <v>2146</v>
      </c>
      <c r="B8" s="813" t="s">
        <v>3873</v>
      </c>
      <c r="C8" s="809"/>
    </row>
    <row r="9" spans="1:3" s="1" customFormat="1" ht="16.5" customHeight="1">
      <c r="A9" s="375" t="s">
        <v>2146</v>
      </c>
      <c r="B9" s="813" t="s">
        <v>3874</v>
      </c>
      <c r="C9" s="809"/>
    </row>
    <row r="10" spans="1:3" s="1" customFormat="1" ht="16.5" customHeight="1">
      <c r="A10" s="376" t="s">
        <v>2157</v>
      </c>
      <c r="B10" s="810" t="s">
        <v>3875</v>
      </c>
      <c r="C10" s="809"/>
    </row>
    <row r="11" spans="1:3" s="1" customFormat="1" ht="16.5" customHeight="1">
      <c r="A11" s="376" t="s">
        <v>2157</v>
      </c>
      <c r="B11" s="810" t="s">
        <v>3876</v>
      </c>
      <c r="C11" s="809"/>
    </row>
    <row r="12" spans="1:3" s="1" customFormat="1" ht="16.5" customHeight="1">
      <c r="A12" s="640"/>
      <c r="B12" s="817"/>
      <c r="C12" s="809"/>
    </row>
    <row r="13" spans="1:3" s="1" customFormat="1" ht="16.5" customHeight="1">
      <c r="A13" s="377" t="s">
        <v>3877</v>
      </c>
      <c r="B13" s="822"/>
      <c r="C13" s="809"/>
    </row>
    <row r="14" spans="1:3" s="1" customFormat="1" ht="16.5" customHeight="1">
      <c r="A14" s="372" t="s">
        <v>3867</v>
      </c>
      <c r="B14" s="814" t="s">
        <v>3878</v>
      </c>
      <c r="C14" s="809"/>
    </row>
    <row r="15" spans="1:3" s="1" customFormat="1" ht="16.5" customHeight="1">
      <c r="A15" s="373" t="s">
        <v>1440</v>
      </c>
      <c r="B15" s="808" t="s">
        <v>3879</v>
      </c>
      <c r="C15" s="809"/>
    </row>
    <row r="16" spans="1:3" s="1" customFormat="1" ht="16.5" customHeight="1">
      <c r="A16" s="373" t="s">
        <v>1440</v>
      </c>
      <c r="B16" s="808" t="s">
        <v>3880</v>
      </c>
      <c r="C16" s="809"/>
    </row>
    <row r="17" spans="1:3" s="1" customFormat="1" ht="16.5" customHeight="1">
      <c r="A17" s="374" t="s">
        <v>2135</v>
      </c>
      <c r="B17" s="815" t="s">
        <v>3881</v>
      </c>
      <c r="C17" s="809"/>
    </row>
    <row r="18" spans="1:3" s="1" customFormat="1" ht="16.5" customHeight="1">
      <c r="A18" s="374" t="s">
        <v>2135</v>
      </c>
      <c r="B18" s="815" t="s">
        <v>3882</v>
      </c>
      <c r="C18" s="809"/>
    </row>
    <row r="19" spans="1:3" s="1" customFormat="1" ht="16.5" customHeight="1">
      <c r="A19" s="375" t="s">
        <v>2146</v>
      </c>
      <c r="B19" s="813" t="s">
        <v>3883</v>
      </c>
      <c r="C19" s="809"/>
    </row>
    <row r="20" spans="1:3" s="1" customFormat="1" ht="16.5" customHeight="1">
      <c r="A20" s="375" t="s">
        <v>2146</v>
      </c>
      <c r="B20" s="813" t="s">
        <v>3884</v>
      </c>
      <c r="C20" s="809"/>
    </row>
    <row r="21" spans="1:3" s="1" customFormat="1" ht="16.5" customHeight="1">
      <c r="A21" s="376" t="s">
        <v>2157</v>
      </c>
      <c r="B21" s="810" t="s">
        <v>3885</v>
      </c>
      <c r="C21" s="809"/>
    </row>
    <row r="22" spans="1:3" s="1" customFormat="1" ht="16.5" customHeight="1">
      <c r="A22" s="376" t="s">
        <v>2157</v>
      </c>
      <c r="B22" s="823" t="s">
        <v>3886</v>
      </c>
      <c r="C22" s="809"/>
    </row>
    <row r="23" spans="1:3" s="1" customFormat="1" ht="16.5" customHeight="1">
      <c r="A23" s="641"/>
      <c r="B23" s="817"/>
      <c r="C23" s="809"/>
    </row>
    <row r="24" spans="1:3" s="1" customFormat="1" ht="16.5" customHeight="1">
      <c r="A24" s="378" t="s">
        <v>3887</v>
      </c>
      <c r="B24" s="816"/>
      <c r="C24" s="809"/>
    </row>
    <row r="25" spans="1:3" s="1" customFormat="1" ht="16.5" customHeight="1">
      <c r="A25" s="372" t="s">
        <v>3867</v>
      </c>
      <c r="B25" s="814" t="s">
        <v>3888</v>
      </c>
      <c r="C25" s="809"/>
    </row>
    <row r="26" spans="1:3" s="1" customFormat="1" ht="16.5" customHeight="1">
      <c r="A26" s="373" t="s">
        <v>1440</v>
      </c>
      <c r="B26" s="808" t="s">
        <v>3889</v>
      </c>
      <c r="C26" s="809"/>
    </row>
    <row r="27" spans="1:3" s="1" customFormat="1" ht="16.5" customHeight="1">
      <c r="A27" s="373" t="s">
        <v>1440</v>
      </c>
      <c r="B27" s="808" t="s">
        <v>3890</v>
      </c>
      <c r="C27" s="809"/>
    </row>
    <row r="28" spans="1:3" s="1" customFormat="1" ht="16.5" customHeight="1">
      <c r="A28" s="374" t="s">
        <v>2135</v>
      </c>
      <c r="B28" s="815" t="s">
        <v>3891</v>
      </c>
      <c r="C28" s="809"/>
    </row>
    <row r="29" spans="1:3" s="1" customFormat="1" ht="16.5" customHeight="1">
      <c r="A29" s="374" t="s">
        <v>2135</v>
      </c>
      <c r="B29" s="815" t="s">
        <v>3892</v>
      </c>
      <c r="C29" s="809"/>
    </row>
    <row r="30" spans="1:3" s="1" customFormat="1" ht="16.5" customHeight="1">
      <c r="A30" s="375" t="s">
        <v>2146</v>
      </c>
      <c r="B30" s="813" t="s">
        <v>3893</v>
      </c>
      <c r="C30" s="809"/>
    </row>
    <row r="31" spans="1:3" s="1" customFormat="1" ht="16.5" customHeight="1">
      <c r="A31" s="375" t="s">
        <v>2146</v>
      </c>
      <c r="B31" s="813" t="s">
        <v>3894</v>
      </c>
      <c r="C31" s="809"/>
    </row>
    <row r="32" spans="1:3" s="1" customFormat="1" ht="16.5" customHeight="1">
      <c r="A32" s="376" t="s">
        <v>2157</v>
      </c>
      <c r="B32" s="810" t="s">
        <v>3895</v>
      </c>
      <c r="C32" s="809"/>
    </row>
    <row r="33" spans="1:3" s="1" customFormat="1" ht="16.5" customHeight="1">
      <c r="A33" s="376" t="s">
        <v>2157</v>
      </c>
      <c r="B33" s="810" t="s">
        <v>3896</v>
      </c>
      <c r="C33" s="809"/>
    </row>
    <row r="34" spans="1:3" s="1" customFormat="1" ht="16.5" customHeight="1">
      <c r="A34" s="641"/>
      <c r="B34" s="817"/>
      <c r="C34" s="809"/>
    </row>
    <row r="35" spans="1:3" s="1" customFormat="1" ht="16.5" customHeight="1">
      <c r="A35" s="379" t="s">
        <v>3897</v>
      </c>
      <c r="B35" s="818"/>
      <c r="C35" s="809"/>
    </row>
    <row r="36" spans="1:3" s="1" customFormat="1" ht="16.5" customHeight="1">
      <c r="A36" s="372" t="s">
        <v>3867</v>
      </c>
      <c r="B36" s="814" t="s">
        <v>3898</v>
      </c>
      <c r="C36" s="809"/>
    </row>
    <row r="37" spans="1:3" s="1" customFormat="1" ht="16.5" customHeight="1">
      <c r="A37" s="373" t="s">
        <v>1440</v>
      </c>
      <c r="B37" s="808" t="s">
        <v>3899</v>
      </c>
      <c r="C37" s="809"/>
    </row>
    <row r="38" spans="1:3" s="1" customFormat="1" ht="16.5" customHeight="1">
      <c r="A38" s="373" t="s">
        <v>1440</v>
      </c>
      <c r="B38" s="808" t="s">
        <v>3900</v>
      </c>
      <c r="C38" s="809"/>
    </row>
    <row r="39" spans="1:3" s="1" customFormat="1" ht="16.5" customHeight="1">
      <c r="A39" s="374" t="s">
        <v>2135</v>
      </c>
      <c r="B39" s="815" t="s">
        <v>3901</v>
      </c>
      <c r="C39" s="809"/>
    </row>
    <row r="40" spans="1:3" s="1" customFormat="1" ht="16.5" customHeight="1">
      <c r="A40" s="374" t="s">
        <v>2135</v>
      </c>
      <c r="B40" s="815" t="s">
        <v>3902</v>
      </c>
      <c r="C40" s="809"/>
    </row>
    <row r="41" spans="1:3" s="1" customFormat="1" ht="16.5" customHeight="1">
      <c r="A41" s="375" t="s">
        <v>2146</v>
      </c>
      <c r="B41" s="813" t="s">
        <v>3903</v>
      </c>
      <c r="C41" s="809"/>
    </row>
    <row r="42" spans="1:3" s="1" customFormat="1" ht="16.5" customHeight="1">
      <c r="A42" s="375" t="s">
        <v>2146</v>
      </c>
      <c r="B42" s="813" t="s">
        <v>3904</v>
      </c>
      <c r="C42" s="809"/>
    </row>
    <row r="43" spans="1:3" s="1" customFormat="1" ht="16.5" customHeight="1">
      <c r="A43" s="376" t="s">
        <v>2157</v>
      </c>
      <c r="B43" s="810" t="s">
        <v>3905</v>
      </c>
      <c r="C43" s="809"/>
    </row>
    <row r="44" spans="1:3" s="1" customFormat="1" ht="16.5" customHeight="1">
      <c r="A44" s="376" t="s">
        <v>2157</v>
      </c>
      <c r="B44" s="810" t="s">
        <v>3906</v>
      </c>
      <c r="C44" s="809"/>
    </row>
    <row r="45" spans="1:3" s="1" customFormat="1" ht="16.5" customHeight="1">
      <c r="A45" s="640"/>
      <c r="B45" s="817"/>
      <c r="C45" s="809"/>
    </row>
    <row r="46" spans="1:3" s="1" customFormat="1" ht="16.5" customHeight="1">
      <c r="A46" s="380" t="s">
        <v>3907</v>
      </c>
      <c r="B46" s="820"/>
      <c r="C46" s="809"/>
    </row>
    <row r="47" spans="1:3" s="1" customFormat="1" ht="16.5" customHeight="1">
      <c r="A47" s="372" t="s">
        <v>3867</v>
      </c>
      <c r="B47" s="814" t="s">
        <v>3908</v>
      </c>
      <c r="C47" s="809"/>
    </row>
    <row r="48" spans="1:3" s="1" customFormat="1" ht="16.5" customHeight="1">
      <c r="A48" s="373" t="s">
        <v>1440</v>
      </c>
      <c r="B48" s="808" t="s">
        <v>3909</v>
      </c>
      <c r="C48" s="809"/>
    </row>
    <row r="49" spans="1:3" s="1" customFormat="1" ht="16.5" customHeight="1">
      <c r="A49" s="373" t="s">
        <v>1440</v>
      </c>
      <c r="B49" s="808" t="s">
        <v>3910</v>
      </c>
      <c r="C49" s="809"/>
    </row>
    <row r="50" spans="1:3" s="1" customFormat="1" ht="16.5" customHeight="1">
      <c r="A50" s="374" t="s">
        <v>2135</v>
      </c>
      <c r="B50" s="815" t="s">
        <v>3911</v>
      </c>
      <c r="C50" s="809"/>
    </row>
    <row r="51" spans="1:3" s="1" customFormat="1" ht="16.5" customHeight="1">
      <c r="A51" s="374" t="s">
        <v>2135</v>
      </c>
      <c r="B51" s="815" t="s">
        <v>3912</v>
      </c>
      <c r="C51" s="809"/>
    </row>
    <row r="52" spans="1:3" s="1" customFormat="1" ht="16.5" customHeight="1">
      <c r="A52" s="375" t="s">
        <v>2146</v>
      </c>
      <c r="B52" s="813" t="s">
        <v>3913</v>
      </c>
      <c r="C52" s="809"/>
    </row>
    <row r="53" spans="1:3" s="1" customFormat="1" ht="16.5" customHeight="1">
      <c r="A53" s="375" t="s">
        <v>2146</v>
      </c>
      <c r="B53" s="813" t="s">
        <v>3914</v>
      </c>
      <c r="C53" s="809"/>
    </row>
    <row r="54" spans="1:3" s="1" customFormat="1" ht="16.5" customHeight="1">
      <c r="A54" s="376" t="s">
        <v>2157</v>
      </c>
      <c r="B54" s="810" t="s">
        <v>3915</v>
      </c>
      <c r="C54" s="809"/>
    </row>
    <row r="55" spans="1:3" s="1" customFormat="1" ht="16.5" customHeight="1">
      <c r="A55" s="376" t="s">
        <v>2157</v>
      </c>
      <c r="B55" s="810" t="s">
        <v>3916</v>
      </c>
      <c r="C55" s="809"/>
    </row>
    <row r="56" spans="1:3" s="1" customFormat="1" ht="16.5" customHeight="1">
      <c r="A56" s="640"/>
      <c r="B56" s="827"/>
      <c r="C56" s="809"/>
    </row>
    <row r="57" spans="1:3" s="1" customFormat="1" ht="16.5" customHeight="1">
      <c r="A57" s="381" t="s">
        <v>3917</v>
      </c>
      <c r="B57" s="825"/>
      <c r="C57" s="809"/>
    </row>
    <row r="58" spans="1:3" s="1" customFormat="1" ht="16.5" customHeight="1">
      <c r="A58" s="372" t="s">
        <v>3867</v>
      </c>
      <c r="B58" s="814" t="s">
        <v>3918</v>
      </c>
      <c r="C58" s="809"/>
    </row>
    <row r="59" spans="1:3" s="1" customFormat="1" ht="16.5" customHeight="1">
      <c r="A59" s="373" t="s">
        <v>1440</v>
      </c>
      <c r="B59" s="808" t="s">
        <v>3919</v>
      </c>
      <c r="C59" s="809"/>
    </row>
    <row r="60" spans="1:3" s="1" customFormat="1" ht="16.5" customHeight="1">
      <c r="A60" s="373" t="s">
        <v>1440</v>
      </c>
      <c r="B60" s="808" t="s">
        <v>3920</v>
      </c>
      <c r="C60" s="809"/>
    </row>
    <row r="61" spans="1:3" s="1" customFormat="1" ht="16.5" customHeight="1">
      <c r="A61" s="374" t="s">
        <v>2135</v>
      </c>
      <c r="B61" s="815" t="s">
        <v>3921</v>
      </c>
      <c r="C61" s="809"/>
    </row>
    <row r="62" spans="1:3" s="1" customFormat="1" ht="16.5" customHeight="1">
      <c r="A62" s="374" t="s">
        <v>2135</v>
      </c>
      <c r="B62" s="815" t="s">
        <v>3922</v>
      </c>
      <c r="C62" s="809"/>
    </row>
    <row r="63" spans="1:3" s="1" customFormat="1" ht="16.5" customHeight="1">
      <c r="A63" s="375" t="s">
        <v>2146</v>
      </c>
      <c r="B63" s="813" t="s">
        <v>3923</v>
      </c>
      <c r="C63" s="809"/>
    </row>
    <row r="64" spans="1:3" s="1" customFormat="1" ht="16.5" customHeight="1">
      <c r="A64" s="375" t="s">
        <v>2146</v>
      </c>
      <c r="B64" s="813" t="s">
        <v>3924</v>
      </c>
      <c r="C64" s="809"/>
    </row>
    <row r="65" spans="1:3" s="1" customFormat="1" ht="16.5" customHeight="1">
      <c r="A65" s="376" t="s">
        <v>2157</v>
      </c>
      <c r="B65" s="810" t="s">
        <v>3925</v>
      </c>
      <c r="C65" s="809"/>
    </row>
    <row r="66" spans="1:3" s="1" customFormat="1" ht="16.5" customHeight="1">
      <c r="A66" s="376" t="s">
        <v>2157</v>
      </c>
      <c r="B66" s="810" t="s">
        <v>3926</v>
      </c>
      <c r="C66" s="809"/>
    </row>
    <row r="67" spans="1:3" s="1" customFormat="1" ht="16.5" customHeight="1">
      <c r="A67" s="641"/>
      <c r="B67" s="821"/>
      <c r="C67" s="809"/>
    </row>
    <row r="68" spans="1:3" s="1" customFormat="1" ht="16.5" customHeight="1">
      <c r="A68" s="382" t="s">
        <v>3927</v>
      </c>
      <c r="B68" s="824"/>
      <c r="C68" s="809"/>
    </row>
    <row r="69" spans="1:3" s="1" customFormat="1" ht="16.5" customHeight="1">
      <c r="A69" s="372" t="s">
        <v>3867</v>
      </c>
      <c r="B69" s="814" t="s">
        <v>3928</v>
      </c>
      <c r="C69" s="809"/>
    </row>
    <row r="70" spans="1:3" s="1" customFormat="1" ht="16.5" customHeight="1">
      <c r="A70" s="373" t="s">
        <v>1440</v>
      </c>
      <c r="B70" s="808" t="s">
        <v>3929</v>
      </c>
      <c r="C70" s="809"/>
    </row>
    <row r="71" spans="1:3" s="1" customFormat="1" ht="16.5" customHeight="1">
      <c r="A71" s="373" t="s">
        <v>1440</v>
      </c>
      <c r="B71" s="808" t="s">
        <v>3930</v>
      </c>
      <c r="C71" s="809"/>
    </row>
    <row r="72" spans="1:3" s="1" customFormat="1" ht="16.5" customHeight="1">
      <c r="A72" s="374" t="s">
        <v>2135</v>
      </c>
      <c r="B72" s="815" t="s">
        <v>3931</v>
      </c>
      <c r="C72" s="809"/>
    </row>
    <row r="73" spans="1:3" s="1" customFormat="1" ht="16.5" customHeight="1">
      <c r="A73" s="374" t="s">
        <v>2135</v>
      </c>
      <c r="B73" s="815" t="s">
        <v>3932</v>
      </c>
      <c r="C73" s="809"/>
    </row>
    <row r="74" spans="1:3" s="1" customFormat="1" ht="16.5" customHeight="1">
      <c r="A74" s="375" t="s">
        <v>2146</v>
      </c>
      <c r="B74" s="813" t="s">
        <v>3933</v>
      </c>
      <c r="C74" s="809"/>
    </row>
    <row r="75" spans="1:3" s="1" customFormat="1" ht="16.5" customHeight="1">
      <c r="A75" s="375" t="s">
        <v>2146</v>
      </c>
      <c r="B75" s="813" t="s">
        <v>3934</v>
      </c>
      <c r="C75" s="809"/>
    </row>
    <row r="76" spans="1:3" s="1" customFormat="1" ht="16.5" customHeight="1">
      <c r="A76" s="376" t="s">
        <v>2157</v>
      </c>
      <c r="B76" s="810" t="s">
        <v>3935</v>
      </c>
      <c r="C76" s="809"/>
    </row>
    <row r="77" spans="1:3" s="1" customFormat="1" ht="16.5" customHeight="1">
      <c r="A77" s="376" t="s">
        <v>2157</v>
      </c>
      <c r="B77" s="810" t="s">
        <v>3936</v>
      </c>
      <c r="C77" s="809"/>
    </row>
    <row r="78" spans="1:3" s="1" customFormat="1" ht="16.5" customHeight="1">
      <c r="A78" s="640"/>
      <c r="B78" s="817"/>
      <c r="C78" s="809"/>
    </row>
    <row r="79" spans="1:3" s="1" customFormat="1" ht="16.5" customHeight="1">
      <c r="A79" s="383" t="s">
        <v>3937</v>
      </c>
      <c r="B79" s="826"/>
      <c r="C79" s="809"/>
    </row>
    <row r="80" spans="1:3" s="1" customFormat="1" ht="16.5" customHeight="1">
      <c r="A80" s="372" t="s">
        <v>3867</v>
      </c>
      <c r="B80" s="814" t="s">
        <v>3938</v>
      </c>
      <c r="C80" s="809"/>
    </row>
    <row r="81" spans="1:3" s="1" customFormat="1" ht="16.5" customHeight="1">
      <c r="A81" s="373" t="s">
        <v>1440</v>
      </c>
      <c r="B81" s="808" t="s">
        <v>3939</v>
      </c>
      <c r="C81" s="809"/>
    </row>
    <row r="82" spans="1:3" s="1" customFormat="1" ht="16.5" customHeight="1">
      <c r="A82" s="373" t="s">
        <v>1440</v>
      </c>
      <c r="B82" s="808" t="s">
        <v>3940</v>
      </c>
      <c r="C82" s="809"/>
    </row>
    <row r="83" spans="1:3" s="1" customFormat="1" ht="16.5" customHeight="1">
      <c r="A83" s="374" t="s">
        <v>2135</v>
      </c>
      <c r="B83" s="815" t="s">
        <v>3941</v>
      </c>
      <c r="C83" s="809"/>
    </row>
    <row r="84" spans="1:3" s="1" customFormat="1" ht="16.5" customHeight="1">
      <c r="A84" s="374" t="s">
        <v>2135</v>
      </c>
      <c r="B84" s="815" t="s">
        <v>3942</v>
      </c>
      <c r="C84" s="809"/>
    </row>
    <row r="85" spans="1:3" s="1" customFormat="1" ht="16.5" customHeight="1">
      <c r="A85" s="375" t="s">
        <v>2146</v>
      </c>
      <c r="B85" s="813" t="s">
        <v>3943</v>
      </c>
      <c r="C85" s="809"/>
    </row>
    <row r="86" spans="1:3" s="1" customFormat="1" ht="16.5" customHeight="1">
      <c r="A86" s="375" t="s">
        <v>2146</v>
      </c>
      <c r="B86" s="813" t="s">
        <v>3944</v>
      </c>
      <c r="C86" s="809"/>
    </row>
    <row r="87" spans="1:3" s="1" customFormat="1" ht="16.5" customHeight="1">
      <c r="A87" s="376" t="s">
        <v>2157</v>
      </c>
      <c r="B87" s="810" t="s">
        <v>3945</v>
      </c>
      <c r="C87" s="809"/>
    </row>
    <row r="88" spans="1:3" s="1" customFormat="1" ht="16.5" customHeight="1">
      <c r="A88" s="376" t="s">
        <v>2157</v>
      </c>
      <c r="B88" s="810" t="s">
        <v>3946</v>
      </c>
      <c r="C88" s="809"/>
    </row>
    <row r="89" spans="1:3" s="1" customFormat="1" ht="16.5" customHeight="1">
      <c r="A89" s="640"/>
      <c r="B89" s="817"/>
      <c r="C89" s="809"/>
    </row>
    <row r="90" spans="1:3" s="1" customFormat="1" ht="16.5" customHeight="1">
      <c r="A90" s="384" t="s">
        <v>3947</v>
      </c>
      <c r="B90" s="819"/>
      <c r="C90" s="809"/>
    </row>
    <row r="91" spans="1:3" s="1" customFormat="1" ht="16.5" customHeight="1">
      <c r="A91" s="372" t="s">
        <v>3867</v>
      </c>
      <c r="B91" s="814" t="s">
        <v>3948</v>
      </c>
      <c r="C91" s="809"/>
    </row>
    <row r="92" spans="1:3" s="1" customFormat="1" ht="16.5" customHeight="1">
      <c r="A92" s="373" t="s">
        <v>1440</v>
      </c>
      <c r="B92" s="808" t="s">
        <v>3949</v>
      </c>
      <c r="C92" s="809"/>
    </row>
    <row r="93" spans="1:3" s="1" customFormat="1" ht="16.5" customHeight="1">
      <c r="A93" s="373" t="s">
        <v>1440</v>
      </c>
      <c r="B93" s="808" t="s">
        <v>3950</v>
      </c>
      <c r="C93" s="809"/>
    </row>
    <row r="94" spans="1:3" s="1" customFormat="1" ht="16.5" customHeight="1">
      <c r="A94" s="374" t="s">
        <v>2135</v>
      </c>
      <c r="B94" s="815" t="s">
        <v>3951</v>
      </c>
      <c r="C94" s="809"/>
    </row>
    <row r="95" spans="1:3" s="1" customFormat="1" ht="16.5" customHeight="1">
      <c r="A95" s="374" t="s">
        <v>2135</v>
      </c>
      <c r="B95" s="815" t="s">
        <v>3952</v>
      </c>
      <c r="C95" s="809"/>
    </row>
    <row r="96" spans="1:3" s="1" customFormat="1" ht="16.5" customHeight="1">
      <c r="A96" s="375" t="s">
        <v>2146</v>
      </c>
      <c r="B96" s="813" t="s">
        <v>3953</v>
      </c>
      <c r="C96" s="809"/>
    </row>
    <row r="97" spans="1:3" s="1" customFormat="1" ht="16.5" customHeight="1">
      <c r="A97" s="375" t="s">
        <v>2146</v>
      </c>
      <c r="B97" s="813" t="s">
        <v>3954</v>
      </c>
      <c r="C97" s="809"/>
    </row>
    <row r="98" spans="1:3" s="1" customFormat="1" ht="16.5" customHeight="1">
      <c r="A98" s="376" t="s">
        <v>2157</v>
      </c>
      <c r="B98" s="810" t="s">
        <v>3955</v>
      </c>
      <c r="C98" s="809"/>
    </row>
    <row r="99" spans="1:3" s="1" customFormat="1" ht="16.5" customHeight="1">
      <c r="A99" s="376" t="s">
        <v>2157</v>
      </c>
      <c r="B99" s="810" t="s">
        <v>3956</v>
      </c>
      <c r="C99" s="809"/>
    </row>
    <row r="100" spans="1:3" s="1" customFormat="1" ht="16.5" customHeight="1">
      <c r="A100" s="640"/>
      <c r="B100" s="817"/>
      <c r="C100" s="809"/>
    </row>
    <row r="101" spans="1:3">
      <c r="A101" s="642"/>
      <c r="B101" s="811"/>
      <c r="C101" s="812"/>
    </row>
    <row r="102" spans="1:3">
      <c r="A102" s="642"/>
      <c r="B102" s="811"/>
      <c r="C102" s="812"/>
    </row>
    <row r="103" spans="1:3">
      <c r="A103" s="642"/>
      <c r="B103" s="811"/>
      <c r="C103" s="812"/>
    </row>
    <row r="104" spans="1:3">
      <c r="A104" s="642"/>
      <c r="B104" s="811"/>
      <c r="C104" s="812"/>
    </row>
    <row r="105" spans="1:3">
      <c r="A105" s="642"/>
      <c r="B105" s="811"/>
      <c r="C105" s="812"/>
    </row>
    <row r="106" spans="1:3">
      <c r="A106" s="642"/>
      <c r="B106" s="811"/>
      <c r="C106" s="812"/>
    </row>
    <row r="107" spans="1:3">
      <c r="A107" s="642"/>
      <c r="B107" s="811"/>
      <c r="C107" s="812"/>
    </row>
    <row r="108" spans="1:3">
      <c r="A108" s="642"/>
      <c r="B108" s="811"/>
      <c r="C108" s="812"/>
    </row>
    <row r="109" spans="1:3">
      <c r="A109" s="642"/>
      <c r="B109" s="811"/>
      <c r="C109" s="812"/>
    </row>
    <row r="110" spans="1:3">
      <c r="A110" s="642"/>
      <c r="B110" s="811"/>
      <c r="C110" s="812"/>
    </row>
    <row r="111" spans="1:3">
      <c r="A111" s="642"/>
      <c r="B111" s="811"/>
      <c r="C111" s="812"/>
    </row>
    <row r="112" spans="1:3">
      <c r="A112" s="642"/>
      <c r="B112" s="811"/>
      <c r="C112" s="812"/>
    </row>
    <row r="113" spans="1:3">
      <c r="A113" s="642"/>
      <c r="B113" s="811"/>
      <c r="C113" s="812"/>
    </row>
    <row r="114" spans="1:3">
      <c r="A114" s="642"/>
      <c r="B114" s="811"/>
      <c r="C114" s="812"/>
    </row>
    <row r="115" spans="1:3">
      <c r="A115" s="642"/>
      <c r="B115" s="811"/>
      <c r="C115" s="812"/>
    </row>
    <row r="116" spans="1:3">
      <c r="A116" s="642"/>
      <c r="B116" s="811"/>
      <c r="C116" s="812"/>
    </row>
    <row r="117" spans="1:3">
      <c r="A117" s="642"/>
      <c r="B117" s="811"/>
      <c r="C117" s="812"/>
    </row>
    <row r="118" spans="1:3">
      <c r="A118" s="642"/>
      <c r="B118" s="811"/>
      <c r="C118" s="812"/>
    </row>
    <row r="119" spans="1:3">
      <c r="A119" s="642"/>
      <c r="B119" s="811"/>
      <c r="C119" s="812"/>
    </row>
    <row r="120" spans="1:3">
      <c r="A120" s="642"/>
      <c r="B120" s="811"/>
      <c r="C120" s="812"/>
    </row>
    <row r="121" spans="1:3">
      <c r="A121" s="642"/>
      <c r="B121" s="811"/>
      <c r="C121" s="812"/>
    </row>
    <row r="122" spans="1:3">
      <c r="A122" s="642"/>
      <c r="B122" s="811"/>
      <c r="C122" s="812"/>
    </row>
    <row r="123" spans="1:3">
      <c r="A123" s="642"/>
      <c r="B123" s="811"/>
      <c r="C123" s="812"/>
    </row>
    <row r="124" spans="1:3">
      <c r="A124" s="642"/>
      <c r="B124" s="811"/>
      <c r="C124" s="812"/>
    </row>
    <row r="125" spans="1:3">
      <c r="A125" s="642"/>
      <c r="B125" s="811"/>
      <c r="C125" s="812"/>
    </row>
    <row r="126" spans="1:3">
      <c r="A126" s="642"/>
      <c r="B126" s="811"/>
      <c r="C126" s="812"/>
    </row>
    <row r="127" spans="1:3">
      <c r="A127" s="642"/>
      <c r="B127" s="811"/>
      <c r="C127" s="812"/>
    </row>
    <row r="128" spans="1:3">
      <c r="A128" s="642"/>
      <c r="B128" s="811"/>
      <c r="C128" s="812"/>
    </row>
    <row r="129" spans="1:3">
      <c r="A129" s="642"/>
      <c r="B129" s="811"/>
      <c r="C129" s="812"/>
    </row>
    <row r="130" spans="1:3">
      <c r="A130" s="642"/>
      <c r="B130" s="811"/>
      <c r="C130" s="812"/>
    </row>
    <row r="131" spans="1:3">
      <c r="A131" s="642"/>
      <c r="B131" s="811"/>
      <c r="C131" s="812"/>
    </row>
    <row r="132" spans="1:3">
      <c r="A132" s="642"/>
      <c r="B132" s="811"/>
      <c r="C132" s="812"/>
    </row>
    <row r="133" spans="1:3">
      <c r="A133" s="642"/>
      <c r="B133" s="811"/>
      <c r="C133" s="812"/>
    </row>
    <row r="134" spans="1:3">
      <c r="A134" s="642"/>
      <c r="B134" s="811"/>
      <c r="C134" s="812"/>
    </row>
    <row r="135" spans="1:3">
      <c r="A135" s="642"/>
      <c r="B135" s="811"/>
      <c r="C135" s="812"/>
    </row>
    <row r="136" spans="1:3">
      <c r="A136" s="642"/>
      <c r="B136" s="811"/>
      <c r="C136" s="812"/>
    </row>
    <row r="137" spans="1:3">
      <c r="A137" s="642"/>
      <c r="B137" s="811"/>
      <c r="C137" s="812"/>
    </row>
    <row r="138" spans="1:3">
      <c r="A138" s="642"/>
      <c r="B138" s="811"/>
      <c r="C138" s="812"/>
    </row>
    <row r="139" spans="1:3">
      <c r="A139" s="642"/>
      <c r="B139" s="811"/>
      <c r="C139" s="812"/>
    </row>
    <row r="140" spans="1:3">
      <c r="A140" s="642"/>
      <c r="B140" s="811"/>
      <c r="C140" s="812"/>
    </row>
    <row r="141" spans="1:3">
      <c r="A141" s="642"/>
      <c r="B141" s="811"/>
      <c r="C141" s="812"/>
    </row>
    <row r="142" spans="1:3">
      <c r="A142" s="642"/>
      <c r="B142" s="811"/>
      <c r="C142" s="812"/>
    </row>
    <row r="143" spans="1:3">
      <c r="A143" s="642"/>
      <c r="B143" s="811"/>
      <c r="C143" s="812"/>
    </row>
    <row r="144" spans="1:3">
      <c r="A144" s="642"/>
      <c r="B144" s="811"/>
      <c r="C144" s="812"/>
    </row>
    <row r="145" spans="1:3">
      <c r="A145" s="642"/>
      <c r="B145" s="811"/>
      <c r="C145" s="812"/>
    </row>
    <row r="146" spans="1:3">
      <c r="A146" s="642"/>
      <c r="B146" s="811"/>
      <c r="C146" s="812"/>
    </row>
    <row r="147" spans="1:3">
      <c r="A147" s="642"/>
      <c r="B147" s="811"/>
      <c r="C147" s="812"/>
    </row>
    <row r="148" spans="1:3">
      <c r="A148" s="642"/>
      <c r="B148" s="811"/>
      <c r="C148" s="812"/>
    </row>
    <row r="149" spans="1:3">
      <c r="A149" s="642"/>
      <c r="B149" s="811"/>
      <c r="C149" s="812"/>
    </row>
    <row r="150" spans="1:3">
      <c r="A150" s="642"/>
      <c r="B150" s="811"/>
      <c r="C150" s="812"/>
    </row>
    <row r="151" spans="1:3">
      <c r="A151" s="642"/>
      <c r="B151" s="811"/>
      <c r="C151" s="812"/>
    </row>
    <row r="152" spans="1:3">
      <c r="A152" s="642"/>
      <c r="B152" s="811"/>
      <c r="C152" s="812"/>
    </row>
    <row r="153" spans="1:3">
      <c r="A153" s="642"/>
      <c r="B153" s="811"/>
      <c r="C153" s="812"/>
    </row>
    <row r="154" spans="1:3">
      <c r="A154" s="642"/>
      <c r="B154" s="811"/>
      <c r="C154" s="812"/>
    </row>
    <row r="155" spans="1:3">
      <c r="A155" s="642"/>
      <c r="B155" s="811"/>
      <c r="C155" s="812"/>
    </row>
    <row r="156" spans="1:3">
      <c r="A156" s="642"/>
      <c r="B156" s="811"/>
      <c r="C156" s="812"/>
    </row>
    <row r="157" spans="1:3">
      <c r="A157" s="642"/>
      <c r="B157" s="811"/>
      <c r="C157" s="812"/>
    </row>
    <row r="158" spans="1:3">
      <c r="A158" s="642"/>
      <c r="B158" s="811"/>
      <c r="C158" s="812"/>
    </row>
    <row r="159" spans="1:3">
      <c r="A159" s="642"/>
      <c r="B159" s="811"/>
      <c r="C159" s="812"/>
    </row>
    <row r="160" spans="1:3">
      <c r="A160" s="642"/>
      <c r="B160" s="811"/>
      <c r="C160" s="812"/>
    </row>
    <row r="161" spans="1:3">
      <c r="A161" s="642"/>
      <c r="B161" s="811"/>
      <c r="C161" s="812"/>
    </row>
    <row r="162" spans="1:3">
      <c r="A162" s="642"/>
      <c r="B162" s="811"/>
      <c r="C162" s="812"/>
    </row>
    <row r="163" spans="1:3">
      <c r="A163" s="642"/>
      <c r="B163" s="811"/>
      <c r="C163" s="812"/>
    </row>
    <row r="164" spans="1:3">
      <c r="A164" s="642"/>
      <c r="B164" s="811"/>
      <c r="C164" s="812"/>
    </row>
    <row r="165" spans="1:3">
      <c r="A165" s="642"/>
      <c r="B165" s="811"/>
      <c r="C165" s="812"/>
    </row>
    <row r="166" spans="1:3">
      <c r="A166" s="642"/>
      <c r="B166" s="811"/>
      <c r="C166" s="812"/>
    </row>
    <row r="167" spans="1:3">
      <c r="A167" s="642"/>
      <c r="B167" s="811"/>
      <c r="C167" s="812"/>
    </row>
    <row r="168" spans="1:3">
      <c r="A168" s="642"/>
      <c r="B168" s="811"/>
      <c r="C168" s="812"/>
    </row>
    <row r="169" spans="1:3">
      <c r="A169" s="642"/>
      <c r="B169" s="811"/>
      <c r="C169" s="812"/>
    </row>
    <row r="170" spans="1:3">
      <c r="A170" s="642"/>
      <c r="B170" s="811"/>
      <c r="C170" s="812"/>
    </row>
    <row r="171" spans="1:3">
      <c r="A171" s="642"/>
      <c r="B171" s="811"/>
      <c r="C171" s="812"/>
    </row>
    <row r="172" spans="1:3">
      <c r="A172" s="642"/>
      <c r="B172" s="811"/>
      <c r="C172" s="812"/>
    </row>
    <row r="173" spans="1:3">
      <c r="A173" s="642"/>
      <c r="B173" s="811"/>
      <c r="C173" s="812"/>
    </row>
    <row r="174" spans="1:3">
      <c r="A174" s="642"/>
      <c r="B174" s="811"/>
      <c r="C174" s="812"/>
    </row>
    <row r="175" spans="1:3">
      <c r="A175" s="642"/>
      <c r="B175" s="811"/>
      <c r="C175" s="812"/>
    </row>
    <row r="176" spans="1:3">
      <c r="A176" s="642"/>
      <c r="B176" s="811"/>
      <c r="C176" s="812"/>
    </row>
    <row r="177" spans="1:3">
      <c r="A177" s="642"/>
      <c r="B177" s="811"/>
      <c r="C177" s="812"/>
    </row>
    <row r="178" spans="1:3">
      <c r="A178" s="642"/>
      <c r="B178" s="811"/>
      <c r="C178" s="812"/>
    </row>
    <row r="179" spans="1:3">
      <c r="A179" s="642"/>
      <c r="B179" s="811"/>
      <c r="C179" s="812"/>
    </row>
    <row r="180" spans="1:3">
      <c r="A180" s="642"/>
      <c r="B180" s="811"/>
      <c r="C180" s="812"/>
    </row>
    <row r="181" spans="1:3" ht="16.5" customHeight="1">
      <c r="A181" s="642"/>
      <c r="B181" s="811"/>
      <c r="C181" s="812"/>
    </row>
    <row r="182" spans="1:3" ht="16.5" customHeight="1">
      <c r="A182" s="642"/>
      <c r="B182" s="811"/>
      <c r="C182" s="812"/>
    </row>
    <row r="183" spans="1:3" ht="16.5" customHeight="1">
      <c r="A183" s="642"/>
      <c r="B183" s="811"/>
      <c r="C183" s="812"/>
    </row>
    <row r="184" spans="1:3" ht="16.5" customHeight="1">
      <c r="A184" s="642"/>
      <c r="B184" s="811"/>
      <c r="C184" s="812"/>
    </row>
    <row r="185" spans="1:3" ht="16.5" customHeight="1">
      <c r="A185" s="642"/>
      <c r="B185" s="811"/>
      <c r="C185" s="812"/>
    </row>
    <row r="186" spans="1:3" ht="16.5" customHeight="1">
      <c r="A186" s="642"/>
      <c r="B186" s="811"/>
      <c r="C186" s="812"/>
    </row>
    <row r="187" spans="1:3" ht="16.5" customHeight="1">
      <c r="A187" s="642"/>
      <c r="B187" s="811"/>
      <c r="C187" s="812"/>
    </row>
    <row r="188" spans="1:3" ht="16.5" customHeight="1">
      <c r="A188" s="642"/>
      <c r="B188" s="811"/>
      <c r="C188" s="812"/>
    </row>
    <row r="189" spans="1:3" ht="16.5" customHeight="1">
      <c r="A189" s="642"/>
      <c r="B189" s="811"/>
      <c r="C189" s="812"/>
    </row>
    <row r="190" spans="1:3" ht="16.5" customHeight="1">
      <c r="A190" s="642"/>
      <c r="B190" s="811"/>
      <c r="C190" s="812"/>
    </row>
    <row r="191" spans="1:3" ht="16.5" customHeight="1">
      <c r="A191" s="642"/>
      <c r="B191" s="811"/>
      <c r="C191" s="812"/>
    </row>
    <row r="192" spans="1:3" ht="16.5" customHeight="1">
      <c r="A192" s="642"/>
      <c r="B192" s="811"/>
      <c r="C192" s="812"/>
    </row>
    <row r="193" spans="1:3" ht="16.5" customHeight="1">
      <c r="A193" s="642"/>
      <c r="B193" s="811"/>
      <c r="C193" s="812"/>
    </row>
    <row r="194" spans="1:3" ht="16.5" customHeight="1">
      <c r="A194" s="642"/>
      <c r="B194" s="811"/>
      <c r="C194" s="812"/>
    </row>
    <row r="195" spans="1:3" ht="16.5" customHeight="1">
      <c r="A195" s="642"/>
      <c r="B195" s="811"/>
      <c r="C195" s="812"/>
    </row>
    <row r="196" spans="1:3" ht="16.5" customHeight="1">
      <c r="A196" s="642"/>
      <c r="B196" s="811"/>
      <c r="C196" s="812"/>
    </row>
    <row r="197" spans="1:3" ht="16.5" customHeight="1">
      <c r="A197" s="642"/>
      <c r="B197" s="811"/>
      <c r="C197" s="812"/>
    </row>
    <row r="198" spans="1:3" ht="16.5" customHeight="1">
      <c r="A198" s="642"/>
      <c r="B198" s="811"/>
      <c r="C198" s="812"/>
    </row>
    <row r="199" spans="1:3" ht="16.5" customHeight="1">
      <c r="A199" s="642"/>
      <c r="B199" s="811"/>
      <c r="C199" s="812"/>
    </row>
    <row r="200" spans="1:3" ht="16.5" customHeight="1">
      <c r="A200" s="642"/>
      <c r="B200" s="811"/>
      <c r="C200" s="812"/>
    </row>
    <row r="201" spans="1:3" ht="16.5" customHeight="1">
      <c r="A201" s="642"/>
      <c r="B201" s="811"/>
      <c r="C201" s="812"/>
    </row>
    <row r="202" spans="1:3" ht="16.5" customHeight="1">
      <c r="A202" s="642"/>
      <c r="B202" s="811"/>
      <c r="C202" s="812"/>
    </row>
    <row r="203" spans="1:3" ht="16.5" customHeight="1">
      <c r="A203" s="642"/>
      <c r="B203" s="811"/>
      <c r="C203" s="812"/>
    </row>
    <row r="204" spans="1:3" ht="16.5" customHeight="1">
      <c r="A204" s="642"/>
      <c r="B204" s="811"/>
      <c r="C204" s="812"/>
    </row>
    <row r="205" spans="1:3" ht="16.5" customHeight="1">
      <c r="A205" s="642"/>
      <c r="B205" s="811"/>
      <c r="C205" s="812"/>
    </row>
    <row r="206" spans="1:3" ht="16.5" customHeight="1">
      <c r="A206" s="642"/>
      <c r="B206" s="811"/>
      <c r="C206" s="812"/>
    </row>
    <row r="207" spans="1:3" ht="16.5" customHeight="1">
      <c r="A207" s="642"/>
      <c r="B207" s="811"/>
      <c r="C207" s="812"/>
    </row>
  </sheetData>
  <mergeCells count="205">
    <mergeCell ref="B25:C25"/>
    <mergeCell ref="B194:C194"/>
    <mergeCell ref="B156:C156"/>
    <mergeCell ref="B116:C116"/>
    <mergeCell ref="B150:C150"/>
    <mergeCell ref="B94:C94"/>
    <mergeCell ref="B32:C32"/>
    <mergeCell ref="B103:C103"/>
    <mergeCell ref="B123:C123"/>
    <mergeCell ref="B97:C97"/>
    <mergeCell ref="B72:C72"/>
    <mergeCell ref="B57:C57"/>
    <mergeCell ref="B106:C106"/>
    <mergeCell ref="B183:C183"/>
    <mergeCell ref="B70:C70"/>
    <mergeCell ref="B39:C39"/>
    <mergeCell ref="B192:C192"/>
    <mergeCell ref="B79:C79"/>
    <mergeCell ref="B50:C50"/>
    <mergeCell ref="B56:C56"/>
    <mergeCell ref="B184:C184"/>
    <mergeCell ref="B65:C65"/>
    <mergeCell ref="B34:C34"/>
    <mergeCell ref="B105:C105"/>
    <mergeCell ref="B205:C205"/>
    <mergeCell ref="B199:C199"/>
    <mergeCell ref="B13:C13"/>
    <mergeCell ref="B78:C78"/>
    <mergeCell ref="B22:C22"/>
    <mergeCell ref="B87:C87"/>
    <mergeCell ref="B152:C152"/>
    <mergeCell ref="B68:C68"/>
    <mergeCell ref="B62:C62"/>
    <mergeCell ref="B102:C102"/>
    <mergeCell ref="B15:C15"/>
    <mergeCell ref="B17:C17"/>
    <mergeCell ref="B26:C26"/>
    <mergeCell ref="B53:C53"/>
    <mergeCell ref="B121:C121"/>
    <mergeCell ref="B99:C99"/>
    <mergeCell ref="B43:C43"/>
    <mergeCell ref="B108:C108"/>
    <mergeCell ref="B61:C61"/>
    <mergeCell ref="B92:C92"/>
    <mergeCell ref="B101:C101"/>
    <mergeCell ref="B14:C14"/>
    <mergeCell ref="B166:C166"/>
    <mergeCell ref="B142:C142"/>
    <mergeCell ref="B165:C165"/>
    <mergeCell ref="B52:C52"/>
    <mergeCell ref="B33:C33"/>
    <mergeCell ref="B64:C64"/>
    <mergeCell ref="B44:C44"/>
    <mergeCell ref="B73:C73"/>
    <mergeCell ref="B135:C135"/>
    <mergeCell ref="B82:C82"/>
    <mergeCell ref="B122:C122"/>
    <mergeCell ref="B36:C36"/>
    <mergeCell ref="B85:C85"/>
    <mergeCell ref="B59:C59"/>
    <mergeCell ref="B41:C41"/>
    <mergeCell ref="B207:C207"/>
    <mergeCell ref="B107:C107"/>
    <mergeCell ref="B130:C130"/>
    <mergeCell ref="B201:C201"/>
    <mergeCell ref="B139:C139"/>
    <mergeCell ref="B91:C91"/>
    <mergeCell ref="B196:C196"/>
    <mergeCell ref="B197:C197"/>
    <mergeCell ref="B187:C187"/>
    <mergeCell ref="B119:C119"/>
    <mergeCell ref="B159:C159"/>
    <mergeCell ref="B186:C186"/>
    <mergeCell ref="B200:C200"/>
    <mergeCell ref="B195:C195"/>
    <mergeCell ref="B185:C185"/>
    <mergeCell ref="B177:C177"/>
    <mergeCell ref="B206:C206"/>
    <mergeCell ref="B113:C113"/>
    <mergeCell ref="B179:C179"/>
    <mergeCell ref="B128:C128"/>
    <mergeCell ref="B178:C178"/>
    <mergeCell ref="B204:C204"/>
    <mergeCell ref="B173:C173"/>
    <mergeCell ref="B190:C190"/>
    <mergeCell ref="B4:C4"/>
    <mergeCell ref="B157:C157"/>
    <mergeCell ref="B67:C67"/>
    <mergeCell ref="B132:C132"/>
    <mergeCell ref="B141:C141"/>
    <mergeCell ref="B28:C28"/>
    <mergeCell ref="B19:C19"/>
    <mergeCell ref="B181:C181"/>
    <mergeCell ref="B3:C3"/>
    <mergeCell ref="B131:C131"/>
    <mergeCell ref="B12:C12"/>
    <mergeCell ref="B118:C118"/>
    <mergeCell ref="B180:C180"/>
    <mergeCell ref="B158:C158"/>
    <mergeCell ref="B133:C133"/>
    <mergeCell ref="B167:C167"/>
    <mergeCell ref="B54:C54"/>
    <mergeCell ref="B120:C120"/>
    <mergeCell ref="B117:C117"/>
    <mergeCell ref="B30:C30"/>
    <mergeCell ref="B104:C104"/>
    <mergeCell ref="B175:C175"/>
    <mergeCell ref="B38:C38"/>
    <mergeCell ref="B169:C169"/>
    <mergeCell ref="B18:C18"/>
    <mergeCell ref="B171:C171"/>
    <mergeCell ref="B89:C89"/>
    <mergeCell ref="B149:C149"/>
    <mergeCell ref="B83:C83"/>
    <mergeCell ref="B58:C58"/>
    <mergeCell ref="B163:C163"/>
    <mergeCell ref="B172:C172"/>
    <mergeCell ref="B45:C45"/>
    <mergeCell ref="B20:C20"/>
    <mergeCell ref="B35:C35"/>
    <mergeCell ref="B147:C147"/>
    <mergeCell ref="B29:C29"/>
    <mergeCell ref="B100:C100"/>
    <mergeCell ref="B109:C109"/>
    <mergeCell ref="B143:C143"/>
    <mergeCell ref="B81:C81"/>
    <mergeCell ref="B96:C96"/>
    <mergeCell ref="B90:C90"/>
    <mergeCell ref="B170:C170"/>
    <mergeCell ref="B161:C161"/>
    <mergeCell ref="B77:C77"/>
    <mergeCell ref="B46:C46"/>
    <mergeCell ref="B86:C86"/>
    <mergeCell ref="B10:C10"/>
    <mergeCell ref="B188:C188"/>
    <mergeCell ref="B84:C84"/>
    <mergeCell ref="B144:C144"/>
    <mergeCell ref="B93:C93"/>
    <mergeCell ref="B31:C31"/>
    <mergeCell ref="B125:C125"/>
    <mergeCell ref="B6:C6"/>
    <mergeCell ref="B134:C134"/>
    <mergeCell ref="B11:C11"/>
    <mergeCell ref="B37:C37"/>
    <mergeCell ref="B164:C164"/>
    <mergeCell ref="B51:C51"/>
    <mergeCell ref="B111:C111"/>
    <mergeCell ref="B114:C114"/>
    <mergeCell ref="B7:C7"/>
    <mergeCell ref="B16:C16"/>
    <mergeCell ref="B80:C80"/>
    <mergeCell ref="B145:C145"/>
    <mergeCell ref="B98:C98"/>
    <mergeCell ref="B154:C154"/>
    <mergeCell ref="B55:C55"/>
    <mergeCell ref="B126:C126"/>
    <mergeCell ref="B8:C8"/>
    <mergeCell ref="B21:C21"/>
    <mergeCell ref="B95:C95"/>
    <mergeCell ref="B174:C174"/>
    <mergeCell ref="B189:C189"/>
    <mergeCell ref="B127:C127"/>
    <mergeCell ref="B203:C203"/>
    <mergeCell ref="B74:C74"/>
    <mergeCell ref="B88:C88"/>
    <mergeCell ref="B148:C148"/>
    <mergeCell ref="B129:C129"/>
    <mergeCell ref="B138:C138"/>
    <mergeCell ref="B66:C66"/>
    <mergeCell ref="B193:C193"/>
    <mergeCell ref="B75:C75"/>
    <mergeCell ref="B202:C202"/>
    <mergeCell ref="B69:C69"/>
    <mergeCell ref="B140:C140"/>
    <mergeCell ref="B115:C115"/>
    <mergeCell ref="B124:C124"/>
    <mergeCell ref="B23:C23"/>
    <mergeCell ref="B198:C198"/>
    <mergeCell ref="B42:C42"/>
    <mergeCell ref="B27:C27"/>
    <mergeCell ref="B155:C155"/>
    <mergeCell ref="B5:C5"/>
    <mergeCell ref="B76:C76"/>
    <mergeCell ref="B136:C136"/>
    <mergeCell ref="B110:C110"/>
    <mergeCell ref="B48:C48"/>
    <mergeCell ref="B63:C63"/>
    <mergeCell ref="B60:C60"/>
    <mergeCell ref="B151:C151"/>
    <mergeCell ref="B191:C191"/>
    <mergeCell ref="B160:C160"/>
    <mergeCell ref="B47:C47"/>
    <mergeCell ref="B153:C153"/>
    <mergeCell ref="B168:C168"/>
    <mergeCell ref="B71:C71"/>
    <mergeCell ref="B40:C40"/>
    <mergeCell ref="B162:C162"/>
    <mergeCell ref="B49:C49"/>
    <mergeCell ref="B137:C137"/>
    <mergeCell ref="B112:C112"/>
    <mergeCell ref="B146:C146"/>
    <mergeCell ref="B24:C24"/>
    <mergeCell ref="B182:C182"/>
    <mergeCell ref="B9:C9"/>
    <mergeCell ref="B176:C176"/>
  </mergeCells>
  <pageMargins left="0.7" right="0.7" top="0.75" bottom="0.75" header="0.3" footer="0.3"/>
  <pageSetup paperSize="9"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ACCC1"/>
  </sheetPr>
  <dimension ref="A1:B159"/>
  <sheetViews>
    <sheetView workbookViewId="0">
      <selection activeCell="B90" sqref="B90"/>
    </sheetView>
  </sheetViews>
  <sheetFormatPr defaultRowHeight="14.25" customHeight="1"/>
  <cols>
    <col min="1" max="1" width="9.640625" style="580" bestFit="1" customWidth="1"/>
    <col min="2" max="2" width="223.5" style="580" customWidth="1"/>
  </cols>
  <sheetData>
    <row r="1" spans="1:2" ht="28.5" customHeight="1">
      <c r="A1" s="385" t="s">
        <v>593</v>
      </c>
      <c r="B1" s="386" t="s">
        <v>3957</v>
      </c>
    </row>
    <row r="2" spans="1:2" ht="28.5" customHeight="1">
      <c r="A2" s="336">
        <v>1</v>
      </c>
      <c r="B2" s="387" t="s">
        <v>3958</v>
      </c>
    </row>
    <row r="3" spans="1:2" ht="28.5" customHeight="1">
      <c r="A3" s="336">
        <v>2</v>
      </c>
      <c r="B3" s="387" t="s">
        <v>3959</v>
      </c>
    </row>
    <row r="4" spans="1:2" ht="28.5" customHeight="1">
      <c r="A4" s="336">
        <v>3</v>
      </c>
      <c r="B4" s="387" t="s">
        <v>3960</v>
      </c>
    </row>
    <row r="5" spans="1:2" ht="28.5" customHeight="1">
      <c r="A5" s="336">
        <v>4</v>
      </c>
      <c r="B5" s="387" t="s">
        <v>3961</v>
      </c>
    </row>
    <row r="6" spans="1:2" ht="28.5" customHeight="1">
      <c r="A6" s="336">
        <v>5</v>
      </c>
      <c r="B6" s="387" t="s">
        <v>5801</v>
      </c>
    </row>
    <row r="7" spans="1:2" ht="28.5" customHeight="1">
      <c r="A7" s="336">
        <v>6</v>
      </c>
      <c r="B7" s="387" t="s">
        <v>3962</v>
      </c>
    </row>
    <row r="8" spans="1:2" ht="28.5" customHeight="1">
      <c r="A8" s="336">
        <v>7</v>
      </c>
      <c r="B8" s="387" t="s">
        <v>3963</v>
      </c>
    </row>
    <row r="9" spans="1:2" ht="28.5" customHeight="1">
      <c r="A9" s="336">
        <v>8</v>
      </c>
      <c r="B9" s="387" t="s">
        <v>3964</v>
      </c>
    </row>
    <row r="10" spans="1:2" ht="28.5" customHeight="1">
      <c r="A10" s="336">
        <v>9</v>
      </c>
      <c r="B10" s="387" t="s">
        <v>3965</v>
      </c>
    </row>
    <row r="11" spans="1:2" ht="28.5" customHeight="1">
      <c r="A11" s="336">
        <v>10</v>
      </c>
      <c r="B11" s="387" t="s">
        <v>3966</v>
      </c>
    </row>
    <row r="12" spans="1:2" ht="28.5" customHeight="1">
      <c r="A12" s="336">
        <v>11</v>
      </c>
      <c r="B12" s="387" t="s">
        <v>3967</v>
      </c>
    </row>
    <row r="13" spans="1:2" ht="28.5" customHeight="1">
      <c r="A13" s="336">
        <v>12</v>
      </c>
      <c r="B13" s="387" t="s">
        <v>3968</v>
      </c>
    </row>
    <row r="14" spans="1:2" ht="28.5" customHeight="1">
      <c r="A14" s="336" t="s">
        <v>3969</v>
      </c>
      <c r="B14" s="388"/>
    </row>
    <row r="15" spans="1:2" ht="28.5" customHeight="1">
      <c r="A15" s="336" t="s">
        <v>3969</v>
      </c>
      <c r="B15" s="389" t="s">
        <v>546</v>
      </c>
    </row>
    <row r="16" spans="1:2" ht="28.5" customHeight="1">
      <c r="A16" s="336">
        <v>1</v>
      </c>
      <c r="B16" s="390" t="s">
        <v>3970</v>
      </c>
    </row>
    <row r="17" spans="1:2" ht="28.5" customHeight="1">
      <c r="A17" s="336">
        <v>2</v>
      </c>
      <c r="B17" s="390" t="s">
        <v>3971</v>
      </c>
    </row>
    <row r="18" spans="1:2" ht="28.5" customHeight="1">
      <c r="A18" s="336">
        <v>3</v>
      </c>
      <c r="B18" s="390" t="s">
        <v>3972</v>
      </c>
    </row>
    <row r="19" spans="1:2" ht="28.5" customHeight="1">
      <c r="A19" s="336">
        <v>4</v>
      </c>
      <c r="B19" s="390" t="s">
        <v>3973</v>
      </c>
    </row>
    <row r="20" spans="1:2" ht="28.5" customHeight="1">
      <c r="A20" s="336">
        <v>5</v>
      </c>
      <c r="B20" s="390" t="s">
        <v>3974</v>
      </c>
    </row>
    <row r="21" spans="1:2" ht="28.5" customHeight="1">
      <c r="A21" s="336">
        <v>6</v>
      </c>
      <c r="B21" s="390" t="s">
        <v>3975</v>
      </c>
    </row>
    <row r="22" spans="1:2" ht="28.5" customHeight="1">
      <c r="A22" s="336">
        <v>7</v>
      </c>
      <c r="B22" s="390" t="s">
        <v>3976</v>
      </c>
    </row>
    <row r="23" spans="1:2" ht="28.5" customHeight="1">
      <c r="A23" s="336">
        <v>8</v>
      </c>
      <c r="B23" s="390" t="s">
        <v>3977</v>
      </c>
    </row>
    <row r="24" spans="1:2" ht="28.5" customHeight="1">
      <c r="A24" s="336">
        <v>9</v>
      </c>
      <c r="B24" s="390" t="s">
        <v>3978</v>
      </c>
    </row>
    <row r="25" spans="1:2" ht="28.5" customHeight="1">
      <c r="A25" s="336">
        <v>10</v>
      </c>
      <c r="B25" s="390" t="s">
        <v>3979</v>
      </c>
    </row>
    <row r="26" spans="1:2" ht="28.5" customHeight="1">
      <c r="A26" s="336">
        <v>11</v>
      </c>
      <c r="B26" s="390" t="s">
        <v>3980</v>
      </c>
    </row>
    <row r="27" spans="1:2" ht="28.5" customHeight="1">
      <c r="A27" s="336">
        <v>12</v>
      </c>
      <c r="B27" s="390" t="s">
        <v>3981</v>
      </c>
    </row>
    <row r="28" spans="1:2" ht="28.5" customHeight="1">
      <c r="A28" s="336" t="s">
        <v>3969</v>
      </c>
      <c r="B28" s="391"/>
    </row>
    <row r="29" spans="1:2" ht="28.5" customHeight="1">
      <c r="A29" s="336" t="s">
        <v>3969</v>
      </c>
      <c r="B29" s="392" t="s">
        <v>3982</v>
      </c>
    </row>
    <row r="30" spans="1:2" ht="28.5" customHeight="1">
      <c r="A30" s="336">
        <v>1</v>
      </c>
      <c r="B30" s="393" t="s">
        <v>3958</v>
      </c>
    </row>
    <row r="31" spans="1:2" ht="28.5" customHeight="1">
      <c r="A31" s="336">
        <v>2</v>
      </c>
      <c r="B31" s="393" t="s">
        <v>3983</v>
      </c>
    </row>
    <row r="32" spans="1:2" ht="28.5" customHeight="1">
      <c r="A32" s="336">
        <v>3</v>
      </c>
      <c r="B32" s="393" t="s">
        <v>3984</v>
      </c>
    </row>
    <row r="33" spans="1:2" ht="28.5" customHeight="1">
      <c r="A33" s="336">
        <v>4</v>
      </c>
      <c r="B33" s="393" t="s">
        <v>3985</v>
      </c>
    </row>
    <row r="34" spans="1:2" ht="28.5" customHeight="1">
      <c r="A34" s="336">
        <v>5</v>
      </c>
      <c r="B34" s="393" t="s">
        <v>5802</v>
      </c>
    </row>
    <row r="35" spans="1:2" ht="28.5" customHeight="1">
      <c r="A35" s="336">
        <v>6</v>
      </c>
      <c r="B35" s="393" t="s">
        <v>3986</v>
      </c>
    </row>
    <row r="36" spans="1:2" ht="28.5" customHeight="1">
      <c r="A36" s="336">
        <v>7</v>
      </c>
      <c r="B36" s="393" t="s">
        <v>3987</v>
      </c>
    </row>
    <row r="37" spans="1:2" ht="28.5" customHeight="1">
      <c r="A37" s="336">
        <v>8</v>
      </c>
      <c r="B37" s="393" t="s">
        <v>3988</v>
      </c>
    </row>
    <row r="38" spans="1:2" ht="28.5" customHeight="1">
      <c r="A38" s="336">
        <v>9</v>
      </c>
      <c r="B38" s="393" t="s">
        <v>3989</v>
      </c>
    </row>
    <row r="39" spans="1:2" ht="28.5" customHeight="1">
      <c r="A39" s="336">
        <v>10</v>
      </c>
      <c r="B39" s="393" t="s">
        <v>3990</v>
      </c>
    </row>
    <row r="40" spans="1:2" ht="28.5" customHeight="1">
      <c r="A40" s="336">
        <v>11</v>
      </c>
      <c r="B40" s="393" t="s">
        <v>3991</v>
      </c>
    </row>
    <row r="41" spans="1:2" ht="28.5" customHeight="1">
      <c r="A41" s="336">
        <v>12</v>
      </c>
      <c r="B41" s="393" t="s">
        <v>3992</v>
      </c>
    </row>
    <row r="42" spans="1:2" ht="28.5" customHeight="1">
      <c r="A42" s="336" t="s">
        <v>3969</v>
      </c>
      <c r="B42" s="391"/>
    </row>
    <row r="43" spans="1:2" ht="28.5" customHeight="1">
      <c r="A43" s="336" t="s">
        <v>3969</v>
      </c>
      <c r="B43" s="394" t="s">
        <v>702</v>
      </c>
    </row>
    <row r="44" spans="1:2" ht="28.5" customHeight="1">
      <c r="A44" s="336">
        <v>1</v>
      </c>
      <c r="B44" s="395" t="s">
        <v>3970</v>
      </c>
    </row>
    <row r="45" spans="1:2" ht="28.5" customHeight="1">
      <c r="A45" s="336">
        <v>2</v>
      </c>
      <c r="B45" s="395" t="s">
        <v>3993</v>
      </c>
    </row>
    <row r="46" spans="1:2" ht="28.5" customHeight="1">
      <c r="A46" s="336">
        <v>3</v>
      </c>
      <c r="B46" s="395" t="s">
        <v>3994</v>
      </c>
    </row>
    <row r="47" spans="1:2" ht="28.5" customHeight="1">
      <c r="A47" s="336">
        <v>4</v>
      </c>
      <c r="B47" s="395" t="s">
        <v>3995</v>
      </c>
    </row>
    <row r="48" spans="1:2" ht="28.5" customHeight="1">
      <c r="A48" s="336">
        <v>5</v>
      </c>
      <c r="B48" s="395" t="s">
        <v>5803</v>
      </c>
    </row>
    <row r="49" spans="1:2" ht="28.5" customHeight="1">
      <c r="A49" s="336">
        <v>6</v>
      </c>
      <c r="B49" s="395" t="s">
        <v>3996</v>
      </c>
    </row>
    <row r="50" spans="1:2" ht="28.5" customHeight="1">
      <c r="A50" s="336">
        <v>7</v>
      </c>
      <c r="B50" s="395" t="s">
        <v>3997</v>
      </c>
    </row>
    <row r="51" spans="1:2" ht="28.5" customHeight="1">
      <c r="A51" s="336">
        <v>8</v>
      </c>
      <c r="B51" s="395" t="s">
        <v>3998</v>
      </c>
    </row>
    <row r="52" spans="1:2" ht="28.5" customHeight="1">
      <c r="A52" s="336">
        <v>9</v>
      </c>
      <c r="B52" s="395" t="s">
        <v>3999</v>
      </c>
    </row>
    <row r="53" spans="1:2" ht="28.5" customHeight="1">
      <c r="A53" s="336">
        <v>10</v>
      </c>
      <c r="B53" s="395" t="s">
        <v>4000</v>
      </c>
    </row>
    <row r="54" spans="1:2" ht="28.5" customHeight="1">
      <c r="A54" s="336">
        <v>11</v>
      </c>
      <c r="B54" s="395" t="s">
        <v>4001</v>
      </c>
    </row>
    <row r="55" spans="1:2" ht="28.5" customHeight="1">
      <c r="A55" s="336">
        <v>12</v>
      </c>
      <c r="B55" s="395" t="s">
        <v>4002</v>
      </c>
    </row>
    <row r="56" spans="1:2" ht="28.5" customHeight="1">
      <c r="A56" s="336" t="s">
        <v>3969</v>
      </c>
      <c r="B56" s="391"/>
    </row>
    <row r="57" spans="1:2" ht="28.5" customHeight="1">
      <c r="A57" s="336" t="s">
        <v>3969</v>
      </c>
      <c r="B57" s="396" t="s">
        <v>366</v>
      </c>
    </row>
    <row r="58" spans="1:2" ht="28.5" customHeight="1">
      <c r="A58" s="336">
        <v>1</v>
      </c>
      <c r="B58" s="397" t="s">
        <v>3958</v>
      </c>
    </row>
    <row r="59" spans="1:2" ht="28.5" customHeight="1">
      <c r="A59" s="336">
        <v>2</v>
      </c>
      <c r="B59" s="397" t="s">
        <v>4003</v>
      </c>
    </row>
    <row r="60" spans="1:2" ht="28.5" customHeight="1">
      <c r="A60" s="336">
        <v>3</v>
      </c>
      <c r="B60" s="398" t="s">
        <v>4004</v>
      </c>
    </row>
    <row r="61" spans="1:2" ht="28.5" customHeight="1">
      <c r="A61" s="336">
        <v>4</v>
      </c>
      <c r="B61" s="397" t="s">
        <v>4005</v>
      </c>
    </row>
    <row r="62" spans="1:2" ht="28.5" customHeight="1">
      <c r="A62" s="336">
        <v>5</v>
      </c>
      <c r="B62" s="397" t="s">
        <v>5804</v>
      </c>
    </row>
    <row r="63" spans="1:2" ht="28.5" customHeight="1">
      <c r="A63" s="336">
        <v>6</v>
      </c>
      <c r="B63" s="397" t="s">
        <v>4006</v>
      </c>
    </row>
    <row r="64" spans="1:2" ht="28.5" customHeight="1">
      <c r="A64" s="336">
        <v>7</v>
      </c>
      <c r="B64" s="397" t="s">
        <v>4007</v>
      </c>
    </row>
    <row r="65" spans="1:2" ht="28.5" customHeight="1">
      <c r="A65" s="336">
        <v>8</v>
      </c>
      <c r="B65" s="397" t="s">
        <v>4008</v>
      </c>
    </row>
    <row r="66" spans="1:2" ht="28.5" customHeight="1">
      <c r="A66" s="336">
        <v>9</v>
      </c>
      <c r="B66" s="397" t="s">
        <v>4009</v>
      </c>
    </row>
    <row r="67" spans="1:2" ht="28.5" customHeight="1">
      <c r="A67" s="336">
        <v>10</v>
      </c>
      <c r="B67" s="397" t="s">
        <v>4010</v>
      </c>
    </row>
    <row r="68" spans="1:2" ht="28.5" customHeight="1">
      <c r="A68" s="336">
        <v>11</v>
      </c>
      <c r="B68" s="397" t="s">
        <v>4011</v>
      </c>
    </row>
    <row r="69" spans="1:2" ht="28.5" customHeight="1">
      <c r="A69" s="336">
        <v>12</v>
      </c>
      <c r="B69" s="397" t="s">
        <v>4012</v>
      </c>
    </row>
    <row r="70" spans="1:2" ht="28.5" customHeight="1">
      <c r="A70" s="336" t="s">
        <v>3969</v>
      </c>
      <c r="B70" s="391"/>
    </row>
    <row r="71" spans="1:2" ht="28.5" customHeight="1">
      <c r="A71" s="336" t="s">
        <v>3969</v>
      </c>
      <c r="B71" s="399" t="s">
        <v>4013</v>
      </c>
    </row>
    <row r="72" spans="1:2" ht="28.5" customHeight="1">
      <c r="A72" s="336">
        <v>1</v>
      </c>
      <c r="B72" s="400" t="s">
        <v>3970</v>
      </c>
    </row>
    <row r="73" spans="1:2" ht="28.5" customHeight="1">
      <c r="A73" s="336">
        <v>2</v>
      </c>
      <c r="B73" s="400" t="s">
        <v>4014</v>
      </c>
    </row>
    <row r="74" spans="1:2" ht="28.5" customHeight="1">
      <c r="A74" s="336">
        <v>3</v>
      </c>
      <c r="B74" s="400" t="s">
        <v>4015</v>
      </c>
    </row>
    <row r="75" spans="1:2" ht="28.5" customHeight="1">
      <c r="A75" s="336">
        <v>4</v>
      </c>
      <c r="B75" s="400" t="s">
        <v>4016</v>
      </c>
    </row>
    <row r="76" spans="1:2" ht="28.5" customHeight="1">
      <c r="A76" s="336">
        <v>5</v>
      </c>
      <c r="B76" s="400" t="s">
        <v>4017</v>
      </c>
    </row>
    <row r="77" spans="1:2" ht="28.5" customHeight="1">
      <c r="A77" s="336">
        <v>6</v>
      </c>
      <c r="B77" s="400" t="s">
        <v>4018</v>
      </c>
    </row>
    <row r="78" spans="1:2" ht="28.5" customHeight="1">
      <c r="A78" s="336">
        <v>7</v>
      </c>
      <c r="B78" s="400" t="s">
        <v>4019</v>
      </c>
    </row>
    <row r="79" spans="1:2" ht="28.5" customHeight="1">
      <c r="A79" s="336">
        <v>8</v>
      </c>
      <c r="B79" s="400" t="s">
        <v>4020</v>
      </c>
    </row>
    <row r="80" spans="1:2" ht="28.5" customHeight="1">
      <c r="A80" s="336">
        <v>9</v>
      </c>
      <c r="B80" s="400" t="s">
        <v>4021</v>
      </c>
    </row>
    <row r="81" spans="1:2" ht="28.5" customHeight="1">
      <c r="A81" s="336">
        <v>10</v>
      </c>
      <c r="B81" s="400" t="s">
        <v>4022</v>
      </c>
    </row>
    <row r="82" spans="1:2" ht="28.5" customHeight="1">
      <c r="A82" s="336">
        <v>11</v>
      </c>
      <c r="B82" s="400" t="s">
        <v>4023</v>
      </c>
    </row>
    <row r="83" spans="1:2" ht="28.5" customHeight="1">
      <c r="A83" s="336">
        <v>12</v>
      </c>
      <c r="B83" s="400" t="s">
        <v>4024</v>
      </c>
    </row>
    <row r="84" spans="1:2" ht="14.15" customHeight="1"/>
    <row r="85" spans="1:2" ht="14.15" customHeight="1"/>
    <row r="86" spans="1:2" ht="14.15" customHeight="1"/>
    <row r="87" spans="1:2" ht="14.15" customHeight="1"/>
    <row r="88" spans="1:2" ht="14.15" customHeight="1"/>
    <row r="89" spans="1:2" ht="14.15" customHeight="1"/>
    <row r="90" spans="1:2" ht="14.15" customHeight="1"/>
    <row r="91" spans="1:2" ht="14.15" customHeight="1"/>
    <row r="92" spans="1:2" ht="14.15" customHeight="1"/>
    <row r="93" spans="1:2" ht="14.15" customHeight="1"/>
    <row r="94" spans="1:2" ht="14.15" customHeight="1"/>
    <row r="95" spans="1:2" ht="14.15" customHeight="1"/>
    <row r="96" spans="1:2" ht="14.15" customHeight="1"/>
    <row r="97" ht="14.15" customHeight="1"/>
    <row r="98" ht="14.15" customHeight="1"/>
    <row r="99" ht="14.15" customHeight="1"/>
    <row r="100" ht="14.15" customHeight="1"/>
    <row r="101" ht="14.15" customHeight="1"/>
    <row r="102" ht="14.15" customHeight="1"/>
    <row r="103" ht="14.15" customHeight="1"/>
    <row r="104" ht="14.15" customHeight="1"/>
    <row r="105" ht="14.15" customHeight="1"/>
    <row r="106" ht="14.15" customHeight="1"/>
    <row r="107" ht="14.15" customHeight="1"/>
    <row r="108" ht="14.15" customHeight="1"/>
    <row r="109" ht="14.15" customHeight="1"/>
    <row r="110" ht="14.15" customHeight="1"/>
    <row r="111" ht="14.15" customHeight="1"/>
    <row r="112" ht="14.15" customHeight="1"/>
    <row r="113" ht="14.15" customHeight="1"/>
    <row r="114" ht="14.15" customHeight="1"/>
    <row r="115" ht="14.15" customHeight="1"/>
    <row r="116" ht="14.15" customHeight="1"/>
    <row r="117" ht="14.15" customHeight="1"/>
    <row r="118" ht="14.15" customHeight="1"/>
    <row r="119" ht="14.15" customHeight="1"/>
    <row r="120" ht="14.15" customHeight="1"/>
    <row r="121" ht="14.15" customHeight="1"/>
    <row r="122" ht="14.15" customHeight="1"/>
    <row r="123" ht="14.15" customHeight="1"/>
    <row r="124" ht="14.15" customHeight="1"/>
    <row r="125" ht="14.15" customHeight="1"/>
    <row r="126" ht="14.15" customHeight="1"/>
    <row r="127" ht="14.15" customHeight="1"/>
    <row r="128" ht="14.15" customHeight="1"/>
    <row r="129" ht="14.15" customHeight="1"/>
    <row r="130" ht="14.15" customHeight="1"/>
    <row r="131" ht="14.15" customHeight="1"/>
    <row r="132" ht="14.15" customHeight="1"/>
    <row r="133" ht="14.15" customHeight="1"/>
    <row r="134" ht="14.15" customHeight="1"/>
    <row r="135" ht="14.15" customHeight="1"/>
    <row r="136" ht="14.15" customHeight="1"/>
    <row r="137" ht="14.15" customHeight="1"/>
    <row r="138" ht="14.15" customHeight="1"/>
    <row r="139" ht="14.15" customHeight="1"/>
    <row r="140" ht="14.15" customHeight="1"/>
    <row r="141" ht="14.15" customHeight="1"/>
    <row r="142" ht="14.15" customHeight="1"/>
    <row r="143" ht="14.15" customHeight="1"/>
    <row r="144" ht="14.15" customHeight="1"/>
    <row r="145" ht="14.15" customHeight="1"/>
    <row r="146" ht="14.15" customHeight="1"/>
    <row r="147" ht="14.15" customHeight="1"/>
    <row r="148" ht="14.15" customHeight="1"/>
    <row r="149" ht="14.15" customHeight="1"/>
    <row r="150" ht="14.15" customHeight="1"/>
    <row r="151" ht="14.15" customHeight="1"/>
    <row r="152" ht="14.15" customHeight="1"/>
    <row r="153" ht="14.15" customHeight="1"/>
    <row r="154" ht="14.15" customHeight="1"/>
    <row r="155" ht="14.15" customHeight="1"/>
    <row r="156" ht="14.15" customHeight="1"/>
    <row r="157" ht="14.15" customHeight="1"/>
    <row r="158" ht="14.15" customHeight="1"/>
    <row r="159" ht="14.15" customHeight="1"/>
  </sheetData>
  <pageMargins left="0.7" right="0.7" top="0.75" bottom="0.75" header="0.3" footer="0.3"/>
  <pageSetup paperSize="9" orientation="portrai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4D1AF"/>
  </sheetPr>
  <dimension ref="A1:Q360"/>
  <sheetViews>
    <sheetView zoomScale="70" zoomScaleNormal="70" workbookViewId="0">
      <selection activeCell="H24" sqref="H24"/>
    </sheetView>
  </sheetViews>
  <sheetFormatPr defaultRowHeight="24" customHeight="1"/>
  <cols>
    <col min="1" max="1" width="9.5" style="580" customWidth="1"/>
    <col min="2" max="2" width="255" style="401" bestFit="1" customWidth="1"/>
    <col min="3" max="4" width="255" style="337" bestFit="1" customWidth="1"/>
    <col min="5" max="5" width="255" style="580" bestFit="1" customWidth="1"/>
    <col min="6" max="6" width="110.5703125" style="580" customWidth="1"/>
    <col min="7" max="7" width="110" style="580" customWidth="1"/>
    <col min="8" max="8" width="255.640625" style="580" bestFit="1" customWidth="1"/>
    <col min="9" max="9" width="44.85546875" style="580" customWidth="1"/>
    <col min="10" max="10" width="46.140625" style="580" customWidth="1"/>
    <col min="11" max="11" width="44" style="580" customWidth="1"/>
  </cols>
  <sheetData>
    <row r="1" spans="1:17" ht="24" customHeight="1">
      <c r="A1" s="402" t="s">
        <v>4025</v>
      </c>
      <c r="B1" s="403" t="s">
        <v>963</v>
      </c>
      <c r="C1" s="404" t="s">
        <v>1109</v>
      </c>
      <c r="D1" s="405" t="s">
        <v>1150</v>
      </c>
      <c r="E1" s="406" t="s">
        <v>1192</v>
      </c>
      <c r="F1" s="407" t="s">
        <v>1233</v>
      </c>
      <c r="G1" s="408" t="s">
        <v>1275</v>
      </c>
      <c r="H1" s="623" t="s">
        <v>1316</v>
      </c>
      <c r="I1" s="410"/>
      <c r="J1" s="410"/>
      <c r="K1" s="410"/>
      <c r="L1" s="410"/>
      <c r="M1" s="410"/>
      <c r="N1" s="410"/>
      <c r="O1" s="410"/>
      <c r="P1" s="642"/>
      <c r="Q1" s="642"/>
    </row>
    <row r="2" spans="1:17" ht="24" customHeight="1">
      <c r="A2" s="402">
        <v>1</v>
      </c>
      <c r="B2" s="411" t="s">
        <v>4026</v>
      </c>
      <c r="C2" s="411" t="s">
        <v>4027</v>
      </c>
      <c r="D2" s="412" t="s">
        <v>4028</v>
      </c>
      <c r="E2" s="411" t="s">
        <v>4029</v>
      </c>
      <c r="F2" s="412" t="s">
        <v>4030</v>
      </c>
      <c r="G2" s="412" t="s">
        <v>4031</v>
      </c>
      <c r="H2" s="412" t="s">
        <v>4032</v>
      </c>
      <c r="I2" s="410"/>
      <c r="J2" s="410"/>
      <c r="K2" s="410"/>
      <c r="L2" s="410"/>
      <c r="M2" s="410"/>
      <c r="N2" s="410"/>
      <c r="O2" s="410"/>
      <c r="P2" s="642"/>
      <c r="Q2" s="642"/>
    </row>
    <row r="3" spans="1:17" ht="24" customHeight="1">
      <c r="A3" s="402">
        <v>2</v>
      </c>
      <c r="B3" s="411" t="s">
        <v>4033</v>
      </c>
      <c r="C3" s="411" t="s">
        <v>4033</v>
      </c>
      <c r="D3" s="412" t="s">
        <v>4033</v>
      </c>
      <c r="E3" s="411" t="s">
        <v>4033</v>
      </c>
      <c r="F3" s="411" t="s">
        <v>4033</v>
      </c>
      <c r="G3" s="411" t="s">
        <v>4033</v>
      </c>
      <c r="H3" s="411" t="s">
        <v>4033</v>
      </c>
      <c r="I3" s="410"/>
      <c r="J3" s="410"/>
      <c r="K3" s="410"/>
      <c r="L3" s="410"/>
      <c r="M3" s="410"/>
      <c r="N3" s="410"/>
      <c r="O3" s="410"/>
      <c r="P3" s="642"/>
      <c r="Q3" s="642"/>
    </row>
    <row r="4" spans="1:17" ht="24" customHeight="1">
      <c r="A4" s="402">
        <v>3</v>
      </c>
      <c r="B4" s="411" t="s">
        <v>4034</v>
      </c>
      <c r="C4" s="412" t="s">
        <v>4034</v>
      </c>
      <c r="D4" s="412" t="s">
        <v>4034</v>
      </c>
      <c r="E4" s="413" t="s">
        <v>4034</v>
      </c>
      <c r="F4" s="413" t="s">
        <v>4034</v>
      </c>
      <c r="G4" s="413" t="s">
        <v>4034</v>
      </c>
      <c r="H4" s="413" t="s">
        <v>4034</v>
      </c>
      <c r="I4" s="410"/>
      <c r="J4" s="410"/>
      <c r="K4" s="410"/>
      <c r="L4" s="410"/>
      <c r="M4" s="410"/>
      <c r="N4" s="410"/>
      <c r="O4" s="410"/>
      <c r="P4" s="642"/>
      <c r="Q4" s="642"/>
    </row>
    <row r="5" spans="1:17" ht="24" customHeight="1">
      <c r="A5" s="402">
        <v>4</v>
      </c>
      <c r="B5" s="414" t="s">
        <v>4035</v>
      </c>
      <c r="C5" s="414" t="s">
        <v>4036</v>
      </c>
      <c r="D5" s="414" t="s">
        <v>4037</v>
      </c>
      <c r="E5" s="413" t="s">
        <v>4038</v>
      </c>
      <c r="F5" s="413" t="s">
        <v>4039</v>
      </c>
      <c r="G5" s="413" t="s">
        <v>4040</v>
      </c>
      <c r="H5" s="624" t="s">
        <v>4041</v>
      </c>
      <c r="I5" s="410"/>
      <c r="J5" s="410"/>
      <c r="K5" s="410"/>
      <c r="L5" s="410"/>
      <c r="M5" s="410"/>
      <c r="N5" s="410"/>
      <c r="O5" s="410"/>
      <c r="P5" s="642"/>
      <c r="Q5" s="642"/>
    </row>
    <row r="6" spans="1:17" ht="24" customHeight="1">
      <c r="A6" s="415"/>
      <c r="B6" s="416" t="s">
        <v>4042</v>
      </c>
      <c r="C6" s="416" t="s">
        <v>4043</v>
      </c>
      <c r="D6" s="416" t="s">
        <v>4044</v>
      </c>
      <c r="E6" s="417" t="s">
        <v>4045</v>
      </c>
      <c r="F6" s="417" t="s">
        <v>4046</v>
      </c>
      <c r="G6" s="417" t="s">
        <v>4045</v>
      </c>
      <c r="H6" s="417" t="s">
        <v>4047</v>
      </c>
      <c r="I6" s="410"/>
      <c r="J6" s="410"/>
      <c r="K6" s="410"/>
      <c r="L6" s="410"/>
      <c r="M6" s="410"/>
      <c r="N6" s="410"/>
      <c r="O6" s="410"/>
      <c r="P6" s="642"/>
      <c r="Q6" s="642"/>
    </row>
    <row r="7" spans="1:17" ht="24" customHeight="1">
      <c r="A7" s="415"/>
      <c r="B7" s="416" t="s">
        <v>4047</v>
      </c>
      <c r="C7" s="416" t="s">
        <v>4046</v>
      </c>
      <c r="D7" s="416" t="s">
        <v>4042</v>
      </c>
      <c r="E7" s="416" t="s">
        <v>4044</v>
      </c>
      <c r="F7" s="416" t="s">
        <v>4047</v>
      </c>
      <c r="G7" s="416" t="s">
        <v>4042</v>
      </c>
      <c r="H7" s="416" t="s">
        <v>4043</v>
      </c>
      <c r="I7" s="410"/>
      <c r="J7" s="410"/>
      <c r="K7" s="410"/>
      <c r="L7" s="410"/>
      <c r="M7" s="410"/>
      <c r="N7" s="410"/>
      <c r="O7" s="410"/>
      <c r="P7" s="642"/>
      <c r="Q7" s="642"/>
    </row>
    <row r="8" spans="1:17" ht="24" customHeight="1">
      <c r="A8" s="418"/>
      <c r="B8" s="416" t="s">
        <v>4043</v>
      </c>
      <c r="C8" s="416" t="s">
        <v>726</v>
      </c>
      <c r="D8" s="416" t="s">
        <v>726</v>
      </c>
      <c r="E8" s="416" t="s">
        <v>726</v>
      </c>
      <c r="F8" s="416" t="s">
        <v>726</v>
      </c>
      <c r="G8" s="416" t="s">
        <v>726</v>
      </c>
      <c r="H8" s="416" t="s">
        <v>726</v>
      </c>
      <c r="I8" s="410"/>
      <c r="J8" s="410"/>
      <c r="K8" s="410"/>
      <c r="L8" s="410"/>
      <c r="M8" s="410"/>
      <c r="N8" s="410"/>
      <c r="O8" s="410"/>
      <c r="P8" s="642"/>
      <c r="Q8" s="642"/>
    </row>
    <row r="9" spans="1:17" ht="24" customHeight="1">
      <c r="A9" s="415"/>
      <c r="B9" s="416" t="s">
        <v>4045</v>
      </c>
      <c r="C9" s="416" t="s">
        <v>726</v>
      </c>
      <c r="D9" s="416" t="s">
        <v>726</v>
      </c>
      <c r="E9" s="416" t="s">
        <v>726</v>
      </c>
      <c r="F9" s="416" t="s">
        <v>726</v>
      </c>
      <c r="G9" s="416" t="s">
        <v>726</v>
      </c>
      <c r="H9" s="416" t="s">
        <v>726</v>
      </c>
      <c r="I9" s="410"/>
      <c r="J9" s="410"/>
      <c r="K9" s="410"/>
      <c r="L9" s="410"/>
      <c r="M9" s="410"/>
      <c r="N9" s="410"/>
      <c r="O9" s="410"/>
      <c r="P9" s="642"/>
      <c r="Q9" s="642"/>
    </row>
    <row r="10" spans="1:17" ht="24" customHeight="1">
      <c r="A10" s="415"/>
      <c r="B10" s="416" t="s">
        <v>4046</v>
      </c>
      <c r="C10" s="416" t="s">
        <v>726</v>
      </c>
      <c r="D10" s="416" t="s">
        <v>726</v>
      </c>
      <c r="E10" s="416" t="s">
        <v>726</v>
      </c>
      <c r="F10" s="416" t="s">
        <v>726</v>
      </c>
      <c r="G10" s="416" t="s">
        <v>726</v>
      </c>
      <c r="H10" s="416" t="s">
        <v>726</v>
      </c>
      <c r="I10" s="410"/>
      <c r="J10" s="410"/>
      <c r="K10" s="410"/>
      <c r="L10" s="410"/>
      <c r="M10" s="410"/>
      <c r="N10" s="410"/>
      <c r="O10" s="410"/>
      <c r="P10" s="642"/>
      <c r="Q10" s="642"/>
    </row>
    <row r="11" spans="1:17" ht="24" customHeight="1">
      <c r="A11" s="415"/>
      <c r="B11" s="416" t="s">
        <v>4044</v>
      </c>
      <c r="C11" s="416" t="s">
        <v>726</v>
      </c>
      <c r="D11" s="416" t="s">
        <v>726</v>
      </c>
      <c r="E11" s="416" t="s">
        <v>726</v>
      </c>
      <c r="F11" s="416" t="s">
        <v>726</v>
      </c>
      <c r="G11" s="416" t="s">
        <v>726</v>
      </c>
      <c r="H11" s="416" t="s">
        <v>726</v>
      </c>
      <c r="I11" s="410"/>
      <c r="J11" s="410"/>
      <c r="K11" s="410"/>
      <c r="L11" s="410"/>
      <c r="M11" s="410"/>
      <c r="N11" s="410"/>
      <c r="O11" s="410"/>
      <c r="P11" s="642"/>
      <c r="Q11" s="642"/>
    </row>
    <row r="12" spans="1:17" ht="24" customHeight="1">
      <c r="A12" s="402">
        <v>5</v>
      </c>
      <c r="B12" s="420" t="s">
        <v>4048</v>
      </c>
      <c r="C12" s="421" t="s">
        <v>4049</v>
      </c>
      <c r="D12" s="421" t="s">
        <v>4049</v>
      </c>
      <c r="E12" s="420" t="s">
        <v>4049</v>
      </c>
      <c r="F12" s="420" t="s">
        <v>4049</v>
      </c>
      <c r="G12" s="420" t="s">
        <v>4049</v>
      </c>
      <c r="H12" s="420" t="s">
        <v>4049</v>
      </c>
      <c r="I12" s="410"/>
      <c r="J12" s="410"/>
      <c r="K12" s="410"/>
      <c r="L12" s="410"/>
      <c r="M12" s="410"/>
      <c r="N12" s="410"/>
      <c r="O12" s="410"/>
      <c r="P12" s="642"/>
      <c r="Q12" s="642"/>
    </row>
    <row r="13" spans="1:17" ht="24" customHeight="1">
      <c r="A13" s="402">
        <v>6</v>
      </c>
      <c r="B13" s="422" t="s">
        <v>4050</v>
      </c>
      <c r="C13" s="423" t="s">
        <v>4051</v>
      </c>
      <c r="D13" s="424" t="s">
        <v>4052</v>
      </c>
      <c r="E13" s="425" t="s">
        <v>4053</v>
      </c>
      <c r="F13" s="426" t="s">
        <v>4054</v>
      </c>
      <c r="G13" s="427" t="s">
        <v>4055</v>
      </c>
      <c r="H13" s="623" t="s">
        <v>4056</v>
      </c>
      <c r="I13" s="410"/>
      <c r="J13" s="410"/>
      <c r="K13" s="410"/>
      <c r="L13" s="410"/>
      <c r="M13" s="410"/>
      <c r="N13" s="410"/>
      <c r="O13" s="410"/>
      <c r="P13" s="642"/>
      <c r="Q13" s="642"/>
    </row>
    <row r="14" spans="1:17" ht="24" customHeight="1">
      <c r="A14" s="415"/>
      <c r="B14" s="415"/>
      <c r="C14" s="415"/>
      <c r="D14" s="415"/>
      <c r="E14" s="415"/>
      <c r="F14" s="415"/>
      <c r="G14" s="415"/>
      <c r="H14" s="415"/>
      <c r="I14" s="410"/>
      <c r="J14" s="410"/>
      <c r="K14" s="410"/>
      <c r="L14" s="410"/>
      <c r="M14" s="410"/>
      <c r="N14" s="410"/>
      <c r="O14" s="410"/>
      <c r="P14" s="642"/>
      <c r="Q14" s="642"/>
    </row>
    <row r="15" spans="1:17" ht="24" customHeight="1">
      <c r="A15" s="402">
        <v>6</v>
      </c>
      <c r="B15" s="428" t="s">
        <v>4057</v>
      </c>
      <c r="C15" s="429" t="s">
        <v>4058</v>
      </c>
      <c r="D15" s="430" t="s">
        <v>4059</v>
      </c>
      <c r="E15" s="431" t="s">
        <v>4060</v>
      </c>
      <c r="F15" s="432" t="s">
        <v>4061</v>
      </c>
      <c r="G15" s="433" t="s">
        <v>4062</v>
      </c>
      <c r="H15" s="622" t="s">
        <v>4063</v>
      </c>
      <c r="I15" s="410"/>
      <c r="J15" s="410"/>
      <c r="K15" s="410"/>
      <c r="L15" s="410"/>
      <c r="M15" s="410"/>
      <c r="N15" s="410"/>
      <c r="O15" s="410"/>
      <c r="P15" s="642"/>
      <c r="Q15" s="642"/>
    </row>
    <row r="16" spans="1:17" ht="24" customHeight="1">
      <c r="A16" s="402">
        <v>7</v>
      </c>
      <c r="B16" s="434" t="s">
        <v>4064</v>
      </c>
      <c r="C16" s="434" t="s">
        <v>4065</v>
      </c>
      <c r="D16" s="434" t="s">
        <v>4066</v>
      </c>
      <c r="E16" s="435" t="s">
        <v>4067</v>
      </c>
      <c r="F16" s="435" t="s">
        <v>4068</v>
      </c>
      <c r="G16" s="435" t="s">
        <v>4069</v>
      </c>
      <c r="H16" s="435" t="s">
        <v>4070</v>
      </c>
      <c r="I16" s="410"/>
      <c r="J16" s="410"/>
      <c r="K16" s="410"/>
      <c r="L16" s="410"/>
      <c r="M16" s="410"/>
      <c r="N16" s="410"/>
      <c r="O16" s="410"/>
      <c r="P16" s="642"/>
      <c r="Q16" s="642"/>
    </row>
    <row r="17" spans="1:17" ht="24" customHeight="1">
      <c r="A17" s="402">
        <v>8</v>
      </c>
      <c r="B17" s="435" t="s">
        <v>4071</v>
      </c>
      <c r="C17" s="435" t="s">
        <v>4072</v>
      </c>
      <c r="D17" s="435" t="s">
        <v>4073</v>
      </c>
      <c r="E17" s="436" t="s">
        <v>4074</v>
      </c>
      <c r="F17" s="436" t="s">
        <v>4075</v>
      </c>
      <c r="G17" s="436" t="s">
        <v>4076</v>
      </c>
      <c r="H17" s="435" t="s">
        <v>4077</v>
      </c>
      <c r="I17" s="410"/>
      <c r="J17" s="410"/>
      <c r="K17" s="410"/>
      <c r="L17" s="410"/>
      <c r="M17" s="410"/>
      <c r="N17" s="410"/>
      <c r="O17" s="410"/>
      <c r="P17" s="642"/>
      <c r="Q17" s="642"/>
    </row>
    <row r="18" spans="1:17" ht="24" customHeight="1">
      <c r="A18" s="402">
        <v>9</v>
      </c>
      <c r="B18" s="435" t="s">
        <v>4078</v>
      </c>
      <c r="C18" s="435" t="s">
        <v>4079</v>
      </c>
      <c r="D18" s="435" t="s">
        <v>4080</v>
      </c>
      <c r="E18" s="436" t="s">
        <v>4081</v>
      </c>
      <c r="F18" s="436" t="s">
        <v>4082</v>
      </c>
      <c r="G18" s="436" t="s">
        <v>4083</v>
      </c>
      <c r="H18" s="435" t="s">
        <v>4084</v>
      </c>
      <c r="I18" s="410"/>
      <c r="J18" s="410"/>
      <c r="K18" s="410"/>
      <c r="L18" s="410"/>
      <c r="M18" s="410"/>
      <c r="N18" s="410"/>
      <c r="O18" s="410"/>
      <c r="P18" s="642"/>
      <c r="Q18" s="642"/>
    </row>
    <row r="19" spans="1:17" ht="24" customHeight="1">
      <c r="A19" s="402">
        <v>10</v>
      </c>
      <c r="B19" s="435" t="s">
        <v>4085</v>
      </c>
      <c r="C19" s="435" t="s">
        <v>4086</v>
      </c>
      <c r="D19" s="435" t="s">
        <v>4087</v>
      </c>
      <c r="E19" s="436" t="s">
        <v>4088</v>
      </c>
      <c r="F19" s="436" t="s">
        <v>4089</v>
      </c>
      <c r="G19" s="436" t="s">
        <v>4090</v>
      </c>
      <c r="H19" s="435" t="s">
        <v>4091</v>
      </c>
      <c r="I19" s="410"/>
      <c r="J19" s="410"/>
      <c r="K19" s="410"/>
      <c r="L19" s="410"/>
      <c r="M19" s="410"/>
      <c r="N19" s="410"/>
      <c r="O19" s="410"/>
      <c r="P19" s="642"/>
      <c r="Q19" s="642"/>
    </row>
    <row r="20" spans="1:17" ht="24" customHeight="1">
      <c r="A20" s="402">
        <v>11</v>
      </c>
      <c r="B20" s="436" t="s">
        <v>4092</v>
      </c>
      <c r="C20" s="435" t="s">
        <v>4093</v>
      </c>
      <c r="D20" s="435" t="s">
        <v>4094</v>
      </c>
      <c r="E20" s="436" t="s">
        <v>4095</v>
      </c>
      <c r="F20" s="436" t="s">
        <v>4096</v>
      </c>
      <c r="G20" s="436" t="s">
        <v>4097</v>
      </c>
      <c r="H20" s="625" t="s">
        <v>4098</v>
      </c>
      <c r="J20" s="410"/>
      <c r="K20" s="410"/>
      <c r="L20" s="410"/>
      <c r="M20" s="410"/>
      <c r="N20" s="410"/>
      <c r="O20" s="410"/>
      <c r="P20" s="642"/>
      <c r="Q20" s="642"/>
    </row>
    <row r="21" spans="1:17" ht="24" customHeight="1">
      <c r="A21" s="402">
        <v>12</v>
      </c>
      <c r="B21" s="436" t="s">
        <v>4099</v>
      </c>
      <c r="C21" s="435" t="s">
        <v>4100</v>
      </c>
      <c r="D21" s="435" t="s">
        <v>4101</v>
      </c>
      <c r="E21" s="436" t="s">
        <v>4102</v>
      </c>
      <c r="F21" s="436" t="s">
        <v>4103</v>
      </c>
      <c r="G21" s="436" t="s">
        <v>4104</v>
      </c>
      <c r="H21" s="435" t="s">
        <v>4105</v>
      </c>
      <c r="J21" s="410"/>
      <c r="K21" s="410"/>
      <c r="L21" s="410"/>
      <c r="M21" s="410"/>
      <c r="N21" s="410"/>
      <c r="O21" s="410"/>
      <c r="P21" s="642"/>
      <c r="Q21" s="642"/>
    </row>
    <row r="22" spans="1:17" ht="24" customHeight="1">
      <c r="A22" s="402">
        <v>6</v>
      </c>
      <c r="B22" s="428" t="s">
        <v>4106</v>
      </c>
      <c r="C22" s="437" t="s">
        <v>4107</v>
      </c>
      <c r="D22" s="438" t="s">
        <v>4108</v>
      </c>
      <c r="E22" s="439" t="s">
        <v>4109</v>
      </c>
      <c r="F22" s="440" t="s">
        <v>4110</v>
      </c>
      <c r="G22" s="441" t="s">
        <v>4111</v>
      </c>
      <c r="H22" s="622" t="s">
        <v>4112</v>
      </c>
      <c r="J22" s="410"/>
      <c r="K22" s="410"/>
      <c r="L22" s="410"/>
      <c r="M22" s="410"/>
      <c r="N22" s="410"/>
      <c r="O22" s="410"/>
      <c r="P22" s="642"/>
      <c r="Q22" s="642"/>
    </row>
    <row r="23" spans="1:17" ht="24" customHeight="1">
      <c r="A23" s="402">
        <v>7</v>
      </c>
      <c r="B23" s="436" t="s">
        <v>4113</v>
      </c>
      <c r="C23" s="436" t="s">
        <v>4114</v>
      </c>
      <c r="D23" s="436" t="s">
        <v>4115</v>
      </c>
      <c r="E23" s="436" t="s">
        <v>4116</v>
      </c>
      <c r="F23" s="436" t="s">
        <v>4117</v>
      </c>
      <c r="G23" s="436" t="s">
        <v>4118</v>
      </c>
      <c r="H23" s="435" t="s">
        <v>4119</v>
      </c>
      <c r="J23" s="410"/>
      <c r="K23" s="410"/>
      <c r="L23" s="410"/>
      <c r="M23" s="410"/>
      <c r="N23" s="410"/>
      <c r="O23" s="410"/>
      <c r="P23" s="642"/>
      <c r="Q23" s="642"/>
    </row>
    <row r="24" spans="1:17" ht="24" customHeight="1">
      <c r="A24" s="402">
        <v>8</v>
      </c>
      <c r="B24" s="434" t="s">
        <v>4120</v>
      </c>
      <c r="C24" s="434" t="s">
        <v>4121</v>
      </c>
      <c r="D24" s="434" t="s">
        <v>4122</v>
      </c>
      <c r="E24" s="436" t="s">
        <v>4123</v>
      </c>
      <c r="F24" s="436" t="s">
        <v>4124</v>
      </c>
      <c r="G24" s="436" t="s">
        <v>4125</v>
      </c>
      <c r="H24" s="435" t="s">
        <v>4126</v>
      </c>
      <c r="J24" s="410"/>
      <c r="K24" s="410"/>
      <c r="L24" s="410"/>
      <c r="M24" s="410"/>
      <c r="N24" s="410"/>
      <c r="O24" s="410"/>
      <c r="P24" s="642"/>
      <c r="Q24" s="642"/>
    </row>
    <row r="25" spans="1:17" ht="24" customHeight="1">
      <c r="A25" s="402">
        <v>9</v>
      </c>
      <c r="B25" s="435" t="s">
        <v>4127</v>
      </c>
      <c r="C25" s="435" t="s">
        <v>4128</v>
      </c>
      <c r="D25" s="435" t="s">
        <v>4129</v>
      </c>
      <c r="E25" s="436" t="s">
        <v>4130</v>
      </c>
      <c r="F25" s="436" t="s">
        <v>4131</v>
      </c>
      <c r="G25" s="436" t="s">
        <v>4132</v>
      </c>
      <c r="H25" s="435" t="s">
        <v>4133</v>
      </c>
      <c r="J25" s="410"/>
      <c r="K25" s="410"/>
      <c r="L25" s="410"/>
      <c r="M25" s="410"/>
      <c r="N25" s="410"/>
      <c r="O25" s="410"/>
      <c r="P25" s="642"/>
      <c r="Q25" s="642"/>
    </row>
    <row r="26" spans="1:17" ht="24" customHeight="1">
      <c r="A26" s="402">
        <v>10</v>
      </c>
      <c r="B26" s="435" t="s">
        <v>4134</v>
      </c>
      <c r="C26" s="435" t="s">
        <v>4135</v>
      </c>
      <c r="D26" s="435" t="s">
        <v>4136</v>
      </c>
      <c r="E26" s="436" t="s">
        <v>4137</v>
      </c>
      <c r="F26" s="436" t="s">
        <v>4138</v>
      </c>
      <c r="G26" s="436" t="s">
        <v>4139</v>
      </c>
      <c r="H26" s="435" t="s">
        <v>4140</v>
      </c>
      <c r="I26" s="410"/>
      <c r="J26" s="410"/>
      <c r="K26" s="410"/>
      <c r="L26" s="410"/>
      <c r="M26" s="410"/>
      <c r="N26" s="410"/>
      <c r="O26" s="410"/>
      <c r="P26" s="642"/>
      <c r="Q26" s="642"/>
    </row>
    <row r="27" spans="1:17" ht="24" customHeight="1">
      <c r="A27" s="402">
        <v>11</v>
      </c>
      <c r="B27" s="435" t="s">
        <v>4141</v>
      </c>
      <c r="C27" s="435" t="s">
        <v>4142</v>
      </c>
      <c r="D27" s="435" t="s">
        <v>4143</v>
      </c>
      <c r="E27" s="436" t="s">
        <v>4144</v>
      </c>
      <c r="F27" s="436" t="s">
        <v>4145</v>
      </c>
      <c r="G27" s="436" t="s">
        <v>4146</v>
      </c>
      <c r="H27" s="625" t="s">
        <v>4147</v>
      </c>
      <c r="I27" s="410"/>
      <c r="J27" s="410"/>
      <c r="K27" s="410"/>
      <c r="L27" s="410"/>
      <c r="M27" s="410"/>
      <c r="N27" s="410"/>
      <c r="O27" s="410"/>
      <c r="P27" s="642"/>
      <c r="Q27" s="642"/>
    </row>
    <row r="28" spans="1:17" ht="24" customHeight="1">
      <c r="A28" s="402">
        <v>12</v>
      </c>
      <c r="B28" s="436" t="s">
        <v>4148</v>
      </c>
      <c r="C28" s="435" t="s">
        <v>4149</v>
      </c>
      <c r="D28" s="435" t="s">
        <v>4150</v>
      </c>
      <c r="E28" s="436" t="s">
        <v>4151</v>
      </c>
      <c r="F28" s="436" t="s">
        <v>4152</v>
      </c>
      <c r="G28" s="436" t="s">
        <v>4153</v>
      </c>
      <c r="H28" s="435" t="s">
        <v>4154</v>
      </c>
      <c r="I28" s="410"/>
      <c r="J28" s="410"/>
      <c r="K28" s="410"/>
      <c r="L28" s="410"/>
      <c r="M28" s="410"/>
      <c r="N28" s="410"/>
      <c r="O28" s="410"/>
      <c r="P28" s="642"/>
      <c r="Q28" s="642"/>
    </row>
    <row r="29" spans="1:17" ht="24" customHeight="1">
      <c r="A29" s="402">
        <v>6</v>
      </c>
      <c r="B29" s="428" t="s">
        <v>4155</v>
      </c>
      <c r="C29" s="437" t="s">
        <v>4156</v>
      </c>
      <c r="D29" s="438" t="s">
        <v>4157</v>
      </c>
      <c r="E29" s="439" t="s">
        <v>4158</v>
      </c>
      <c r="F29" s="440" t="s">
        <v>4159</v>
      </c>
      <c r="G29" s="441" t="s">
        <v>4160</v>
      </c>
      <c r="H29" s="622" t="s">
        <v>4161</v>
      </c>
      <c r="I29" s="410"/>
      <c r="J29" s="410"/>
      <c r="K29" s="410"/>
      <c r="L29" s="410"/>
      <c r="M29" s="410"/>
      <c r="N29" s="410"/>
      <c r="O29" s="410"/>
      <c r="P29" s="642"/>
      <c r="Q29" s="642"/>
    </row>
    <row r="30" spans="1:17" ht="24" customHeight="1">
      <c r="A30" s="402">
        <v>7</v>
      </c>
      <c r="B30" s="436" t="s">
        <v>4162</v>
      </c>
      <c r="C30" s="435" t="s">
        <v>4163</v>
      </c>
      <c r="D30" s="435" t="s">
        <v>4164</v>
      </c>
      <c r="E30" s="436" t="s">
        <v>4165</v>
      </c>
      <c r="F30" s="436" t="s">
        <v>4166</v>
      </c>
      <c r="G30" s="436" t="s">
        <v>4167</v>
      </c>
      <c r="H30" s="625" t="s">
        <v>4168</v>
      </c>
      <c r="I30" s="410"/>
      <c r="J30" s="410"/>
      <c r="K30" s="410"/>
      <c r="L30" s="410"/>
      <c r="M30" s="410"/>
      <c r="N30" s="410"/>
      <c r="O30" s="410"/>
      <c r="P30" s="642"/>
      <c r="Q30" s="642"/>
    </row>
    <row r="31" spans="1:17" ht="24" customHeight="1">
      <c r="A31" s="402">
        <v>8</v>
      </c>
      <c r="B31" s="436" t="s">
        <v>4169</v>
      </c>
      <c r="C31" s="436" t="s">
        <v>4170</v>
      </c>
      <c r="D31" s="436" t="s">
        <v>4171</v>
      </c>
      <c r="E31" s="436" t="s">
        <v>4172</v>
      </c>
      <c r="F31" s="436" t="s">
        <v>4173</v>
      </c>
      <c r="G31" s="436" t="s">
        <v>4174</v>
      </c>
      <c r="H31" s="625" t="s">
        <v>4175</v>
      </c>
      <c r="I31" s="410"/>
      <c r="J31" s="410"/>
      <c r="K31" s="410"/>
      <c r="L31" s="410"/>
      <c r="M31" s="410"/>
      <c r="N31" s="410"/>
      <c r="O31" s="410"/>
      <c r="P31" s="642"/>
      <c r="Q31" s="642"/>
    </row>
    <row r="32" spans="1:17" ht="24" customHeight="1">
      <c r="A32" s="402">
        <v>9</v>
      </c>
      <c r="B32" s="434" t="s">
        <v>4176</v>
      </c>
      <c r="C32" s="434" t="s">
        <v>4177</v>
      </c>
      <c r="D32" s="434" t="s">
        <v>4178</v>
      </c>
      <c r="E32" s="436" t="s">
        <v>4179</v>
      </c>
      <c r="F32" s="436" t="s">
        <v>4180</v>
      </c>
      <c r="G32" s="436" t="s">
        <v>4181</v>
      </c>
      <c r="H32" s="625" t="s">
        <v>4182</v>
      </c>
      <c r="I32" s="410"/>
      <c r="J32" s="410"/>
      <c r="K32" s="410"/>
      <c r="L32" s="410"/>
      <c r="M32" s="410"/>
      <c r="N32" s="410"/>
      <c r="O32" s="410"/>
      <c r="P32" s="642"/>
      <c r="Q32" s="642"/>
    </row>
    <row r="33" spans="1:17" ht="24" customHeight="1">
      <c r="A33" s="402">
        <v>10</v>
      </c>
      <c r="B33" s="435" t="s">
        <v>4183</v>
      </c>
      <c r="C33" s="435" t="s">
        <v>4184</v>
      </c>
      <c r="D33" s="435" t="s">
        <v>4185</v>
      </c>
      <c r="E33" s="436" t="s">
        <v>4186</v>
      </c>
      <c r="F33" s="436" t="s">
        <v>4187</v>
      </c>
      <c r="G33" s="436" t="s">
        <v>4188</v>
      </c>
      <c r="H33" s="625" t="s">
        <v>4189</v>
      </c>
      <c r="I33" s="410"/>
      <c r="J33" s="410"/>
      <c r="K33" s="410"/>
      <c r="L33" s="410"/>
      <c r="M33" s="410"/>
      <c r="N33" s="410"/>
      <c r="O33" s="410"/>
      <c r="P33" s="642"/>
      <c r="Q33" s="642"/>
    </row>
    <row r="34" spans="1:17" ht="24" customHeight="1">
      <c r="A34" s="402">
        <v>11</v>
      </c>
      <c r="B34" s="435" t="s">
        <v>4190</v>
      </c>
      <c r="C34" s="435" t="s">
        <v>4191</v>
      </c>
      <c r="D34" s="435" t="s">
        <v>4192</v>
      </c>
      <c r="E34" s="436" t="s">
        <v>4193</v>
      </c>
      <c r="F34" s="436" t="s">
        <v>4194</v>
      </c>
      <c r="G34" s="436" t="s">
        <v>4195</v>
      </c>
      <c r="H34" s="625" t="s">
        <v>4196</v>
      </c>
      <c r="I34" s="410"/>
      <c r="J34" s="410"/>
      <c r="K34" s="410"/>
      <c r="L34" s="410"/>
      <c r="M34" s="410"/>
      <c r="N34" s="410"/>
      <c r="O34" s="410"/>
      <c r="P34" s="642"/>
      <c r="Q34" s="642"/>
    </row>
    <row r="35" spans="1:17" ht="24" customHeight="1">
      <c r="A35" s="402">
        <v>12</v>
      </c>
      <c r="B35" s="435" t="s">
        <v>4197</v>
      </c>
      <c r="C35" s="435" t="s">
        <v>4198</v>
      </c>
      <c r="D35" s="435" t="s">
        <v>4199</v>
      </c>
      <c r="E35" s="436" t="s">
        <v>4200</v>
      </c>
      <c r="F35" s="436" t="s">
        <v>4201</v>
      </c>
      <c r="G35" s="626" t="s">
        <v>4202</v>
      </c>
      <c r="H35" s="626" t="s">
        <v>4203</v>
      </c>
      <c r="I35" s="410"/>
      <c r="J35" s="410"/>
      <c r="K35" s="410"/>
      <c r="L35" s="410"/>
      <c r="M35" s="410"/>
      <c r="N35" s="410"/>
      <c r="O35" s="410"/>
      <c r="P35" s="642"/>
      <c r="Q35" s="642"/>
    </row>
    <row r="36" spans="1:17" ht="24" customHeight="1">
      <c r="A36" s="442"/>
      <c r="C36" s="401"/>
      <c r="D36" s="401"/>
      <c r="E36" s="443"/>
      <c r="F36" s="642"/>
      <c r="G36" s="642"/>
      <c r="H36" s="642"/>
      <c r="I36" s="410"/>
      <c r="J36" s="410"/>
      <c r="K36" s="410"/>
      <c r="L36" s="410"/>
      <c r="M36" s="410"/>
      <c r="N36" s="410"/>
      <c r="O36" s="410"/>
      <c r="P36" s="642"/>
      <c r="Q36" s="642"/>
    </row>
    <row r="37" spans="1:17" ht="24" customHeight="1">
      <c r="A37" s="442"/>
      <c r="C37" s="401"/>
      <c r="D37" s="401"/>
      <c r="E37" s="443"/>
      <c r="F37" s="642"/>
      <c r="G37" s="642"/>
      <c r="H37" s="642"/>
      <c r="I37" s="410"/>
      <c r="J37" s="410"/>
      <c r="K37" s="410"/>
      <c r="L37" s="410"/>
      <c r="M37" s="410"/>
      <c r="N37" s="410"/>
      <c r="O37" s="410"/>
      <c r="P37" s="444"/>
      <c r="Q37" s="642"/>
    </row>
    <row r="38" spans="1:17" ht="24" customHeight="1">
      <c r="A38" s="442"/>
      <c r="C38" s="401"/>
      <c r="D38" s="401"/>
      <c r="E38" s="443"/>
      <c r="F38" s="642"/>
      <c r="G38" s="642"/>
      <c r="H38" s="642"/>
      <c r="I38" s="410"/>
      <c r="J38" s="410"/>
      <c r="K38" s="410"/>
      <c r="L38" s="410"/>
      <c r="M38" s="410"/>
      <c r="N38" s="410"/>
      <c r="O38" s="410"/>
      <c r="P38" s="410"/>
      <c r="Q38" s="642"/>
    </row>
    <row r="39" spans="1:17" ht="24" customHeight="1">
      <c r="A39" s="442"/>
      <c r="C39" s="401"/>
      <c r="D39" s="401"/>
      <c r="E39" s="443"/>
      <c r="F39" s="642"/>
      <c r="G39" s="642"/>
      <c r="H39" s="642"/>
      <c r="I39" s="410"/>
      <c r="J39" s="410"/>
      <c r="K39" s="410"/>
      <c r="L39" s="410"/>
      <c r="M39" s="410"/>
      <c r="N39" s="410"/>
      <c r="O39" s="410"/>
      <c r="P39" s="410"/>
      <c r="Q39" s="642"/>
    </row>
    <row r="40" spans="1:17" ht="24" customHeight="1">
      <c r="A40" s="445"/>
      <c r="C40" s="401"/>
      <c r="D40" s="401"/>
      <c r="E40" s="443"/>
      <c r="F40" s="642"/>
      <c r="G40" s="642"/>
      <c r="H40" s="642"/>
      <c r="I40" s="410"/>
      <c r="J40" s="410"/>
      <c r="K40" s="410"/>
      <c r="L40" s="410"/>
      <c r="M40" s="410"/>
      <c r="N40" s="410"/>
      <c r="O40" s="410"/>
      <c r="P40" s="410"/>
      <c r="Q40" s="642"/>
    </row>
    <row r="41" spans="1:17" ht="24" customHeight="1">
      <c r="A41" s="445"/>
      <c r="C41" s="401"/>
      <c r="D41" s="401"/>
      <c r="E41" s="443"/>
      <c r="F41" s="642"/>
      <c r="G41" s="642"/>
      <c r="H41" s="642"/>
      <c r="I41" s="410"/>
      <c r="J41" s="410"/>
      <c r="K41" s="410"/>
      <c r="L41" s="410"/>
      <c r="M41" s="410"/>
      <c r="N41" s="410"/>
      <c r="O41" s="410"/>
      <c r="P41" s="642"/>
      <c r="Q41" s="642"/>
    </row>
    <row r="42" spans="1:17" ht="24" customHeight="1">
      <c r="A42" s="445"/>
      <c r="C42" s="401"/>
      <c r="D42" s="401"/>
      <c r="E42" s="443"/>
      <c r="F42" s="642"/>
      <c r="G42" s="642"/>
      <c r="H42" s="642"/>
      <c r="I42" s="410"/>
      <c r="J42" s="410"/>
      <c r="K42" s="410"/>
      <c r="L42" s="410"/>
      <c r="M42" s="410"/>
      <c r="N42" s="410"/>
      <c r="O42" s="410"/>
      <c r="P42" s="642"/>
      <c r="Q42" s="642"/>
    </row>
    <row r="43" spans="1:17" ht="24" customHeight="1">
      <c r="A43" s="445"/>
      <c r="C43" s="401"/>
      <c r="D43" s="401"/>
      <c r="E43" s="443"/>
      <c r="F43" s="642"/>
      <c r="G43" s="642"/>
      <c r="H43" s="642"/>
      <c r="I43" s="410"/>
      <c r="J43" s="410"/>
      <c r="K43" s="410"/>
      <c r="L43" s="410"/>
      <c r="M43" s="410"/>
      <c r="N43" s="410"/>
      <c r="O43" s="410"/>
      <c r="P43" s="642"/>
      <c r="Q43" s="642"/>
    </row>
    <row r="44" spans="1:17" ht="24" customHeight="1">
      <c r="A44" s="445"/>
      <c r="C44" s="401"/>
      <c r="D44" s="401"/>
      <c r="E44" s="443"/>
      <c r="F44" s="642"/>
      <c r="G44" s="642"/>
      <c r="H44" s="642"/>
      <c r="I44" s="410"/>
      <c r="J44" s="410"/>
      <c r="K44" s="410"/>
      <c r="L44" s="410"/>
      <c r="M44" s="410"/>
      <c r="N44" s="410"/>
      <c r="O44" s="410"/>
      <c r="P44" s="642"/>
      <c r="Q44" s="642"/>
    </row>
    <row r="45" spans="1:17" ht="24" customHeight="1">
      <c r="A45" s="442"/>
      <c r="C45" s="401"/>
      <c r="D45" s="401"/>
      <c r="E45" s="443"/>
      <c r="F45" s="642"/>
      <c r="G45" s="642"/>
      <c r="H45" s="642"/>
      <c r="I45" s="410"/>
      <c r="J45" s="410"/>
      <c r="K45" s="410"/>
      <c r="L45" s="410"/>
      <c r="M45" s="410"/>
      <c r="N45" s="410"/>
      <c r="O45" s="410"/>
      <c r="P45" s="444"/>
      <c r="Q45" s="642"/>
    </row>
    <row r="46" spans="1:17" ht="24" customHeight="1">
      <c r="A46" s="442"/>
      <c r="C46" s="401"/>
      <c r="D46" s="401"/>
      <c r="E46" s="443"/>
      <c r="F46" s="642"/>
      <c r="G46" s="642"/>
      <c r="H46" s="642"/>
      <c r="I46" s="410"/>
      <c r="J46" s="410"/>
      <c r="K46" s="410"/>
      <c r="L46" s="410"/>
      <c r="M46" s="410"/>
      <c r="N46" s="410"/>
      <c r="O46" s="410"/>
      <c r="P46" s="410"/>
      <c r="Q46" s="642"/>
    </row>
    <row r="47" spans="1:17" ht="24" customHeight="1">
      <c r="A47" s="442"/>
      <c r="C47" s="401"/>
      <c r="D47" s="401"/>
      <c r="E47" s="443"/>
      <c r="F47" s="642"/>
      <c r="G47" s="642"/>
      <c r="H47" s="642"/>
      <c r="I47" s="410"/>
      <c r="J47" s="410"/>
      <c r="K47" s="410"/>
      <c r="L47" s="410"/>
      <c r="M47" s="410"/>
      <c r="N47" s="410"/>
      <c r="O47" s="410"/>
      <c r="P47" s="410"/>
      <c r="Q47" s="642"/>
    </row>
    <row r="48" spans="1:17" ht="24" customHeight="1">
      <c r="A48" s="442"/>
      <c r="C48" s="401"/>
      <c r="D48" s="401"/>
      <c r="E48" s="443"/>
      <c r="F48" s="642"/>
      <c r="G48" s="642"/>
      <c r="H48" s="642"/>
      <c r="I48" s="410"/>
      <c r="J48" s="410"/>
      <c r="K48" s="410"/>
      <c r="L48" s="410"/>
      <c r="M48" s="410"/>
      <c r="N48" s="410"/>
      <c r="O48" s="410"/>
      <c r="P48" s="410"/>
      <c r="Q48" s="642"/>
    </row>
    <row r="49" spans="1:17" ht="24" customHeight="1">
      <c r="A49" s="442"/>
      <c r="C49" s="401"/>
      <c r="D49" s="401"/>
      <c r="E49" s="642"/>
      <c r="F49" s="642"/>
      <c r="G49" s="642"/>
      <c r="H49" s="642"/>
      <c r="I49" s="410"/>
      <c r="J49" s="410"/>
      <c r="K49" s="410"/>
      <c r="L49" s="410"/>
      <c r="M49" s="410"/>
      <c r="N49" s="410"/>
      <c r="O49" s="410"/>
      <c r="P49" s="410"/>
      <c r="Q49" s="642"/>
    </row>
    <row r="50" spans="1:17" ht="24" customHeight="1">
      <c r="A50" s="442"/>
      <c r="C50" s="401"/>
      <c r="D50" s="401"/>
      <c r="E50" s="419"/>
      <c r="F50" s="642"/>
      <c r="G50" s="443"/>
      <c r="H50" s="642"/>
      <c r="I50" s="410"/>
      <c r="J50" s="410"/>
      <c r="K50" s="410"/>
      <c r="L50" s="410"/>
      <c r="M50" s="410"/>
      <c r="N50" s="410"/>
      <c r="O50" s="410"/>
      <c r="P50" s="410"/>
      <c r="Q50" s="642"/>
    </row>
    <row r="51" spans="1:17" ht="24" customHeight="1">
      <c r="A51" s="442"/>
      <c r="C51" s="401"/>
      <c r="D51" s="401"/>
      <c r="E51" s="419"/>
      <c r="F51" s="642"/>
      <c r="G51" s="409"/>
      <c r="H51" s="642"/>
      <c r="I51" s="410"/>
      <c r="J51" s="410"/>
      <c r="K51" s="410"/>
      <c r="L51" s="410"/>
      <c r="M51" s="410"/>
      <c r="N51" s="410"/>
      <c r="O51" s="410"/>
      <c r="P51" s="410"/>
      <c r="Q51" s="642"/>
    </row>
    <row r="52" spans="1:17" ht="24" customHeight="1">
      <c r="A52" s="442"/>
      <c r="C52" s="401"/>
      <c r="D52" s="401"/>
      <c r="E52" s="419"/>
      <c r="F52" s="642"/>
      <c r="G52" s="409"/>
      <c r="H52" s="642"/>
      <c r="I52" s="410"/>
      <c r="J52" s="410"/>
      <c r="K52" s="410"/>
      <c r="L52" s="410"/>
      <c r="M52" s="410"/>
      <c r="N52" s="410"/>
      <c r="O52" s="410"/>
      <c r="P52" s="642"/>
      <c r="Q52" s="642"/>
    </row>
    <row r="53" spans="1:17" ht="24" customHeight="1">
      <c r="A53" s="442"/>
      <c r="C53" s="401"/>
      <c r="D53" s="401"/>
      <c r="E53" s="419"/>
      <c r="F53" s="642"/>
      <c r="G53" s="410"/>
      <c r="H53" s="642"/>
      <c r="I53" s="410"/>
      <c r="J53" s="410"/>
      <c r="K53" s="410"/>
      <c r="L53" s="410"/>
      <c r="M53" s="410"/>
      <c r="N53" s="410"/>
      <c r="O53" s="410"/>
      <c r="P53" s="642"/>
      <c r="Q53" s="642"/>
    </row>
    <row r="54" spans="1:17" ht="24" customHeight="1">
      <c r="A54" s="442"/>
      <c r="C54" s="401"/>
      <c r="D54" s="401"/>
      <c r="E54" s="419"/>
      <c r="F54" s="642"/>
      <c r="G54" s="410"/>
      <c r="H54" s="642"/>
      <c r="I54" s="410"/>
      <c r="J54" s="410"/>
      <c r="K54" s="410"/>
      <c r="L54" s="410"/>
      <c r="M54" s="410"/>
      <c r="N54" s="410"/>
      <c r="O54" s="410"/>
      <c r="P54" s="642"/>
      <c r="Q54" s="642"/>
    </row>
    <row r="55" spans="1:17" ht="24" customHeight="1">
      <c r="A55" s="442"/>
      <c r="C55" s="401"/>
      <c r="D55" s="401"/>
      <c r="E55" s="419"/>
      <c r="F55" s="642"/>
      <c r="G55" s="410"/>
      <c r="H55" s="642"/>
      <c r="I55" s="410"/>
      <c r="J55" s="410"/>
      <c r="K55" s="410"/>
      <c r="L55" s="410"/>
      <c r="M55" s="410"/>
      <c r="N55" s="410"/>
      <c r="O55" s="410"/>
      <c r="P55" s="642"/>
      <c r="Q55" s="642"/>
    </row>
    <row r="56" spans="1:17" ht="24" customHeight="1">
      <c r="A56" s="442"/>
      <c r="C56" s="401"/>
      <c r="D56" s="401"/>
      <c r="E56" s="419"/>
      <c r="F56" s="642"/>
      <c r="G56" s="410"/>
      <c r="H56" s="642"/>
      <c r="I56" s="410"/>
      <c r="J56" s="410"/>
      <c r="K56" s="410"/>
      <c r="L56" s="410"/>
      <c r="M56" s="410"/>
      <c r="N56" s="410"/>
      <c r="O56" s="410"/>
      <c r="P56" s="642"/>
      <c r="Q56" s="642"/>
    </row>
    <row r="57" spans="1:17" ht="24" customHeight="1">
      <c r="A57" s="442"/>
      <c r="C57" s="401"/>
      <c r="D57" s="401"/>
      <c r="E57" s="419"/>
      <c r="F57" s="410"/>
      <c r="G57" s="410"/>
      <c r="H57" s="642"/>
      <c r="I57" s="410"/>
      <c r="J57" s="410"/>
      <c r="K57" s="410"/>
      <c r="L57" s="410"/>
      <c r="M57" s="410"/>
      <c r="N57" s="410"/>
      <c r="O57" s="410"/>
      <c r="P57" s="642"/>
      <c r="Q57" s="642"/>
    </row>
    <row r="58" spans="1:17" ht="24" customHeight="1">
      <c r="A58" s="442"/>
      <c r="C58" s="401"/>
      <c r="D58" s="401"/>
      <c r="E58" s="419"/>
      <c r="F58" s="642"/>
      <c r="G58" s="642"/>
      <c r="H58" s="642"/>
      <c r="I58" s="410"/>
      <c r="J58" s="410"/>
      <c r="K58" s="410"/>
      <c r="L58" s="410"/>
      <c r="M58" s="410"/>
      <c r="N58" s="410"/>
      <c r="O58" s="410"/>
      <c r="P58" s="642"/>
      <c r="Q58" s="642"/>
    </row>
    <row r="59" spans="1:17" ht="24" customHeight="1">
      <c r="A59" s="442"/>
      <c r="C59" s="401"/>
      <c r="D59" s="401"/>
      <c r="E59" s="419"/>
      <c r="F59" s="642"/>
      <c r="G59" s="642"/>
      <c r="H59" s="642"/>
      <c r="I59" s="410"/>
      <c r="J59" s="410"/>
      <c r="K59" s="410"/>
      <c r="L59" s="410"/>
      <c r="M59" s="410"/>
      <c r="N59" s="410"/>
      <c r="O59" s="410"/>
      <c r="P59" s="642"/>
      <c r="Q59" s="642"/>
    </row>
    <row r="60" spans="1:17" ht="24" customHeight="1">
      <c r="A60" s="442"/>
      <c r="C60" s="401"/>
      <c r="D60" s="401"/>
      <c r="E60" s="419"/>
      <c r="F60" s="642"/>
      <c r="G60" s="409"/>
      <c r="H60" s="642"/>
      <c r="I60" s="410"/>
      <c r="J60" s="410"/>
      <c r="K60" s="410"/>
      <c r="L60" s="410"/>
      <c r="M60" s="410"/>
      <c r="N60" s="410"/>
      <c r="O60" s="410"/>
      <c r="P60" s="642"/>
      <c r="Q60" s="642"/>
    </row>
    <row r="61" spans="1:17" ht="24" customHeight="1">
      <c r="A61" s="442"/>
      <c r="C61" s="401"/>
      <c r="D61" s="401"/>
      <c r="E61" s="419"/>
      <c r="F61" s="642"/>
      <c r="G61" s="642"/>
      <c r="H61" s="642"/>
      <c r="I61" s="410"/>
      <c r="J61" s="410"/>
      <c r="K61" s="410"/>
      <c r="L61" s="410"/>
      <c r="M61" s="410"/>
      <c r="N61" s="410"/>
      <c r="O61" s="410"/>
      <c r="P61" s="642"/>
      <c r="Q61" s="642"/>
    </row>
    <row r="62" spans="1:17" ht="24" customHeight="1">
      <c r="A62" s="442"/>
      <c r="C62" s="401"/>
      <c r="D62" s="401"/>
      <c r="E62" s="419"/>
      <c r="F62" s="642"/>
      <c r="G62" s="642"/>
      <c r="H62" s="642"/>
      <c r="I62" s="410"/>
      <c r="J62" s="410"/>
      <c r="K62" s="410"/>
      <c r="L62" s="410"/>
      <c r="M62" s="410"/>
      <c r="N62" s="410"/>
      <c r="O62" s="410"/>
      <c r="P62" s="642"/>
      <c r="Q62" s="642"/>
    </row>
    <row r="63" spans="1:17" ht="24" customHeight="1">
      <c r="A63" s="442"/>
      <c r="C63" s="401"/>
      <c r="D63" s="401"/>
      <c r="E63" s="419"/>
      <c r="F63" s="642"/>
      <c r="G63" s="642"/>
      <c r="H63" s="642"/>
      <c r="I63" s="410"/>
      <c r="J63" s="410"/>
      <c r="K63" s="410"/>
      <c r="L63" s="410"/>
      <c r="M63" s="410"/>
      <c r="N63" s="410"/>
      <c r="O63" s="410"/>
      <c r="P63" s="642"/>
      <c r="Q63" s="642"/>
    </row>
    <row r="64" spans="1:17" ht="24" customHeight="1">
      <c r="A64" s="442"/>
      <c r="C64" s="401"/>
      <c r="D64" s="401"/>
      <c r="E64" s="419"/>
      <c r="F64" s="642"/>
      <c r="G64" s="642"/>
      <c r="H64" s="642"/>
      <c r="I64" s="410"/>
      <c r="J64" s="410"/>
      <c r="K64" s="410"/>
      <c r="L64" s="410"/>
      <c r="M64" s="410"/>
      <c r="N64" s="410"/>
      <c r="O64" s="410"/>
      <c r="P64" s="642"/>
      <c r="Q64" s="642"/>
    </row>
    <row r="65" spans="1:17" ht="24" customHeight="1">
      <c r="A65" s="442"/>
      <c r="C65" s="401"/>
      <c r="D65" s="401"/>
      <c r="E65" s="419"/>
      <c r="F65" s="642"/>
      <c r="G65" s="642"/>
      <c r="H65" s="642"/>
      <c r="I65" s="410"/>
      <c r="J65" s="410"/>
      <c r="K65" s="410"/>
      <c r="L65" s="410"/>
      <c r="M65" s="410"/>
      <c r="N65" s="410"/>
      <c r="O65" s="410"/>
      <c r="P65" s="642"/>
      <c r="Q65" s="642"/>
    </row>
    <row r="66" spans="1:17" ht="24" customHeight="1">
      <c r="A66" s="442"/>
      <c r="C66" s="401"/>
      <c r="D66" s="401"/>
      <c r="E66" s="419"/>
      <c r="F66" s="642"/>
      <c r="G66" s="642"/>
      <c r="H66" s="642"/>
      <c r="I66" s="410"/>
      <c r="J66" s="410"/>
      <c r="K66" s="410"/>
      <c r="L66" s="410"/>
      <c r="M66" s="410"/>
      <c r="N66" s="410"/>
      <c r="O66" s="410"/>
      <c r="P66" s="642"/>
      <c r="Q66" s="642"/>
    </row>
    <row r="67" spans="1:17" ht="24" customHeight="1">
      <c r="A67" s="442"/>
      <c r="C67" s="401"/>
      <c r="D67" s="401"/>
      <c r="E67" s="419"/>
      <c r="F67" s="642"/>
      <c r="G67" s="642"/>
      <c r="H67" s="642"/>
      <c r="I67" s="410"/>
      <c r="J67" s="410"/>
      <c r="K67" s="410"/>
      <c r="L67" s="410"/>
      <c r="M67" s="410"/>
      <c r="N67" s="410"/>
      <c r="O67" s="410"/>
      <c r="P67" s="642"/>
      <c r="Q67" s="642"/>
    </row>
    <row r="68" spans="1:17" ht="24" customHeight="1">
      <c r="A68" s="442"/>
      <c r="C68" s="401"/>
      <c r="D68" s="401"/>
      <c r="E68" s="419"/>
      <c r="F68" s="642"/>
      <c r="G68" s="642"/>
      <c r="H68" s="642"/>
      <c r="I68" s="410"/>
      <c r="J68" s="410"/>
      <c r="K68" s="410"/>
      <c r="L68" s="410"/>
      <c r="M68" s="410"/>
      <c r="N68" s="410"/>
      <c r="O68" s="410"/>
      <c r="P68" s="642"/>
      <c r="Q68" s="642"/>
    </row>
    <row r="69" spans="1:17" ht="24" customHeight="1">
      <c r="A69" s="401"/>
      <c r="B69" s="446"/>
      <c r="C69" s="446"/>
      <c r="D69" s="446"/>
      <c r="E69" s="419"/>
      <c r="F69" s="642"/>
      <c r="G69" s="642"/>
      <c r="H69" s="642"/>
      <c r="I69" s="410"/>
      <c r="J69" s="410"/>
      <c r="K69" s="410"/>
      <c r="L69" s="410"/>
      <c r="M69" s="410"/>
      <c r="N69" s="410"/>
      <c r="O69" s="410"/>
      <c r="P69" s="642"/>
      <c r="Q69" s="642"/>
    </row>
    <row r="70" spans="1:17" ht="24" customHeight="1">
      <c r="A70" s="401"/>
      <c r="B70" s="446"/>
      <c r="C70" s="446"/>
      <c r="D70" s="446"/>
      <c r="E70" s="419"/>
      <c r="F70" s="642"/>
      <c r="G70" s="642"/>
      <c r="H70" s="642"/>
      <c r="I70" s="410"/>
      <c r="J70" s="410"/>
      <c r="K70" s="410"/>
      <c r="L70" s="410"/>
      <c r="M70" s="410"/>
      <c r="N70" s="410"/>
      <c r="O70" s="410"/>
      <c r="P70" s="642"/>
      <c r="Q70" s="642"/>
    </row>
    <row r="71" spans="1:17" ht="24" customHeight="1">
      <c r="A71" s="401"/>
      <c r="C71" s="401"/>
      <c r="D71" s="401"/>
      <c r="E71" s="642"/>
      <c r="F71" s="642"/>
      <c r="G71" s="642"/>
      <c r="H71" s="642"/>
      <c r="I71" s="410"/>
      <c r="J71" s="410"/>
      <c r="K71" s="410"/>
      <c r="L71" s="410"/>
      <c r="M71" s="410"/>
      <c r="N71" s="410"/>
      <c r="O71" s="410"/>
      <c r="P71" s="642"/>
      <c r="Q71" s="642"/>
    </row>
    <row r="72" spans="1:17" ht="24" customHeight="1">
      <c r="A72" s="642"/>
      <c r="B72" s="419"/>
      <c r="C72" s="419"/>
      <c r="D72" s="419"/>
      <c r="E72" s="419"/>
      <c r="F72" s="642"/>
      <c r="G72" s="642"/>
      <c r="H72" s="642"/>
      <c r="I72" s="410"/>
      <c r="J72" s="410"/>
      <c r="K72" s="410"/>
      <c r="L72" s="410"/>
      <c r="M72" s="410"/>
      <c r="N72" s="410"/>
      <c r="O72" s="410"/>
      <c r="P72" s="642"/>
      <c r="Q72" s="642"/>
    </row>
    <row r="73" spans="1:17" ht="24" customHeight="1">
      <c r="A73" s="642"/>
      <c r="B73" s="419"/>
      <c r="C73" s="419"/>
      <c r="D73" s="419"/>
      <c r="E73" s="419"/>
      <c r="F73" s="642"/>
      <c r="G73" s="642"/>
      <c r="H73" s="642"/>
      <c r="I73" s="410"/>
      <c r="J73" s="410"/>
      <c r="K73" s="410"/>
      <c r="L73" s="410"/>
      <c r="M73" s="410"/>
      <c r="N73" s="410"/>
      <c r="O73" s="410"/>
      <c r="P73" s="642"/>
      <c r="Q73" s="642"/>
    </row>
    <row r="74" spans="1:17" ht="24" customHeight="1">
      <c r="A74" s="642"/>
      <c r="B74" s="419"/>
      <c r="C74" s="419"/>
      <c r="D74" s="419"/>
      <c r="E74" s="419"/>
      <c r="F74" s="642"/>
      <c r="G74" s="642"/>
      <c r="H74" s="642"/>
      <c r="I74" s="410"/>
      <c r="J74" s="410"/>
      <c r="K74" s="410"/>
      <c r="L74" s="410"/>
      <c r="M74" s="410"/>
      <c r="N74" s="410"/>
      <c r="O74" s="410"/>
      <c r="P74" s="642"/>
      <c r="Q74" s="642"/>
    </row>
    <row r="75" spans="1:17" ht="24" customHeight="1">
      <c r="A75" s="642"/>
      <c r="B75" s="419"/>
      <c r="C75" s="419"/>
      <c r="D75" s="419"/>
      <c r="E75" s="419"/>
      <c r="F75" s="642"/>
      <c r="G75" s="642"/>
      <c r="H75" s="642"/>
      <c r="I75" s="410"/>
      <c r="J75" s="410"/>
      <c r="K75" s="410"/>
      <c r="L75" s="410"/>
      <c r="M75" s="410"/>
      <c r="N75" s="410"/>
      <c r="O75" s="410"/>
      <c r="P75" s="642"/>
      <c r="Q75" s="642"/>
    </row>
    <row r="76" spans="1:17" ht="24" customHeight="1">
      <c r="A76" s="642"/>
      <c r="B76" s="419"/>
      <c r="C76" s="419"/>
      <c r="D76" s="419"/>
      <c r="E76" s="419"/>
      <c r="F76" s="642"/>
      <c r="G76" s="443"/>
      <c r="H76" s="642"/>
      <c r="I76" s="410"/>
      <c r="J76" s="410"/>
      <c r="K76" s="410"/>
      <c r="L76" s="410"/>
      <c r="M76" s="410"/>
      <c r="N76" s="410"/>
      <c r="O76" s="410"/>
      <c r="P76" s="642"/>
      <c r="Q76" s="642"/>
    </row>
    <row r="77" spans="1:17" ht="24" customHeight="1">
      <c r="A77" s="642"/>
      <c r="B77" s="419"/>
      <c r="C77" s="419"/>
      <c r="D77" s="419"/>
      <c r="E77" s="419"/>
      <c r="F77" s="642"/>
      <c r="G77" s="443"/>
      <c r="H77" s="642"/>
      <c r="I77" s="410"/>
      <c r="J77" s="410"/>
      <c r="K77" s="410"/>
      <c r="L77" s="410"/>
      <c r="M77" s="410"/>
      <c r="N77" s="410"/>
      <c r="O77" s="410"/>
      <c r="P77" s="642"/>
      <c r="Q77" s="642"/>
    </row>
    <row r="78" spans="1:17" ht="24" customHeight="1">
      <c r="A78" s="642"/>
      <c r="B78" s="642"/>
      <c r="C78" s="642"/>
      <c r="D78" s="642"/>
      <c r="E78" s="642"/>
      <c r="F78" s="642"/>
      <c r="G78" s="443"/>
      <c r="H78" s="642"/>
      <c r="I78" s="410"/>
      <c r="J78" s="410"/>
      <c r="K78" s="410"/>
      <c r="L78" s="410"/>
      <c r="M78" s="410"/>
      <c r="N78" s="410"/>
      <c r="O78" s="410"/>
      <c r="P78" s="642"/>
      <c r="Q78" s="642"/>
    </row>
    <row r="79" spans="1:17" ht="24" customHeight="1">
      <c r="A79" s="642"/>
      <c r="B79" s="419"/>
      <c r="C79" s="419"/>
      <c r="D79" s="419"/>
      <c r="E79" s="419"/>
      <c r="F79" s="642"/>
      <c r="G79" s="443"/>
      <c r="H79" s="642"/>
      <c r="I79" s="410"/>
      <c r="J79" s="410"/>
      <c r="K79" s="410"/>
      <c r="L79" s="410"/>
      <c r="M79" s="410"/>
      <c r="N79" s="410"/>
      <c r="O79" s="410"/>
      <c r="P79" s="642"/>
      <c r="Q79" s="642"/>
    </row>
    <row r="80" spans="1:17" ht="24" customHeight="1">
      <c r="A80" s="642"/>
      <c r="B80" s="419"/>
      <c r="C80" s="419"/>
      <c r="D80" s="419"/>
      <c r="E80" s="419"/>
      <c r="F80" s="642"/>
      <c r="G80" s="443"/>
      <c r="H80" s="642"/>
      <c r="I80" s="410"/>
      <c r="J80" s="410"/>
      <c r="K80" s="410"/>
      <c r="L80" s="410"/>
      <c r="M80" s="410"/>
      <c r="N80" s="410"/>
      <c r="O80" s="410"/>
      <c r="P80" s="642"/>
      <c r="Q80" s="642"/>
    </row>
    <row r="81" spans="1:17" ht="24" customHeight="1">
      <c r="A81" s="642"/>
      <c r="B81" s="419"/>
      <c r="C81" s="419"/>
      <c r="D81" s="419"/>
      <c r="E81" s="419"/>
      <c r="F81" s="642"/>
      <c r="G81" s="443"/>
      <c r="H81" s="642"/>
      <c r="I81" s="410"/>
      <c r="J81" s="410"/>
      <c r="K81" s="410"/>
      <c r="L81" s="410"/>
      <c r="M81" s="410"/>
      <c r="N81" s="410"/>
      <c r="O81" s="410"/>
      <c r="P81" s="642"/>
      <c r="Q81" s="642"/>
    </row>
    <row r="82" spans="1:17" ht="24" customHeight="1">
      <c r="A82" s="642"/>
      <c r="B82" s="419"/>
      <c r="C82" s="419"/>
      <c r="D82" s="419"/>
      <c r="E82" s="419"/>
      <c r="F82" s="642"/>
      <c r="G82" s="410"/>
      <c r="H82" s="410"/>
      <c r="I82" s="410"/>
      <c r="J82" s="410"/>
      <c r="K82" s="410"/>
      <c r="L82" s="410"/>
      <c r="M82" s="410"/>
      <c r="N82" s="410"/>
      <c r="O82" s="410"/>
      <c r="P82" s="642"/>
      <c r="Q82" s="642"/>
    </row>
    <row r="83" spans="1:17" ht="24" customHeight="1">
      <c r="A83" s="642"/>
      <c r="B83" s="419"/>
      <c r="C83" s="419"/>
      <c r="D83" s="419"/>
      <c r="E83" s="419"/>
      <c r="F83" s="642"/>
      <c r="G83" s="410"/>
      <c r="H83" s="410"/>
      <c r="I83" s="410"/>
      <c r="J83" s="410"/>
      <c r="K83" s="410"/>
      <c r="L83" s="410"/>
      <c r="M83" s="410"/>
      <c r="N83" s="410"/>
      <c r="O83" s="410"/>
      <c r="P83" s="642"/>
      <c r="Q83" s="642"/>
    </row>
    <row r="84" spans="1:17" ht="24" customHeight="1">
      <c r="A84" s="642"/>
      <c r="B84" s="419"/>
      <c r="C84" s="419"/>
      <c r="D84" s="419"/>
      <c r="E84" s="419"/>
      <c r="F84" s="642"/>
      <c r="G84" s="642"/>
      <c r="H84" s="443"/>
      <c r="I84" s="410"/>
      <c r="J84" s="410"/>
      <c r="K84" s="410"/>
      <c r="L84" s="410"/>
      <c r="M84" s="410"/>
      <c r="N84" s="410"/>
      <c r="O84" s="410"/>
      <c r="P84" s="642"/>
      <c r="Q84" s="642"/>
    </row>
    <row r="85" spans="1:17" ht="24" customHeight="1">
      <c r="A85" s="642"/>
      <c r="B85" s="642"/>
      <c r="C85" s="642"/>
      <c r="D85" s="642"/>
      <c r="E85" s="642"/>
      <c r="F85" s="642"/>
      <c r="G85" s="642"/>
      <c r="H85" s="443"/>
      <c r="I85" s="410"/>
      <c r="J85" s="410"/>
      <c r="K85" s="410"/>
      <c r="L85" s="410"/>
      <c r="M85" s="410"/>
      <c r="N85" s="410"/>
      <c r="O85" s="410"/>
      <c r="P85" s="642"/>
      <c r="Q85" s="642"/>
    </row>
    <row r="86" spans="1:17" ht="24" customHeight="1">
      <c r="A86" s="642"/>
      <c r="B86" s="419"/>
      <c r="C86" s="419"/>
      <c r="D86" s="419"/>
      <c r="E86" s="419"/>
      <c r="F86" s="642"/>
      <c r="G86" s="642"/>
      <c r="H86" s="443"/>
      <c r="I86" s="410"/>
      <c r="J86" s="410"/>
      <c r="K86" s="410"/>
      <c r="L86" s="410"/>
      <c r="M86" s="410"/>
      <c r="N86" s="410"/>
      <c r="O86" s="410"/>
      <c r="P86" s="642"/>
      <c r="Q86" s="642"/>
    </row>
    <row r="87" spans="1:17" ht="24" customHeight="1">
      <c r="A87" s="642"/>
      <c r="B87" s="419"/>
      <c r="C87" s="419"/>
      <c r="D87" s="419"/>
      <c r="E87" s="419"/>
      <c r="F87" s="642"/>
      <c r="G87" s="642"/>
      <c r="H87" s="447"/>
      <c r="I87" s="410"/>
      <c r="J87" s="410"/>
      <c r="K87" s="410"/>
      <c r="L87" s="410"/>
      <c r="M87" s="410"/>
      <c r="N87" s="410"/>
      <c r="O87" s="410"/>
      <c r="P87" s="642"/>
      <c r="Q87" s="642"/>
    </row>
    <row r="88" spans="1:17" ht="24" customHeight="1">
      <c r="A88" s="642"/>
      <c r="B88" s="419"/>
      <c r="C88" s="419"/>
      <c r="D88" s="419"/>
      <c r="E88" s="419"/>
      <c r="F88" s="642"/>
      <c r="G88" s="642"/>
      <c r="H88" s="642"/>
      <c r="I88" s="410"/>
      <c r="J88" s="410"/>
      <c r="K88" s="410"/>
      <c r="L88" s="410"/>
      <c r="M88" s="410"/>
      <c r="N88" s="410"/>
      <c r="O88" s="410"/>
      <c r="P88" s="642"/>
      <c r="Q88" s="642"/>
    </row>
    <row r="89" spans="1:17" ht="24" customHeight="1">
      <c r="A89" s="642"/>
      <c r="B89" s="419"/>
      <c r="C89" s="419"/>
      <c r="D89" s="419"/>
      <c r="E89" s="419"/>
      <c r="F89" s="642"/>
      <c r="G89" s="642"/>
      <c r="H89" s="642"/>
      <c r="I89" s="410"/>
      <c r="J89" s="410"/>
      <c r="K89" s="410"/>
      <c r="L89" s="410"/>
      <c r="M89" s="410"/>
      <c r="N89" s="410"/>
      <c r="O89" s="410"/>
      <c r="P89" s="642"/>
      <c r="Q89" s="642"/>
    </row>
    <row r="90" spans="1:17" ht="24" customHeight="1">
      <c r="A90" s="642"/>
      <c r="B90" s="419"/>
      <c r="C90" s="419"/>
      <c r="D90" s="419"/>
      <c r="E90" s="419"/>
      <c r="F90" s="642"/>
      <c r="G90" s="642"/>
      <c r="H90" s="642"/>
      <c r="I90" s="410"/>
      <c r="J90" s="410"/>
      <c r="K90" s="410"/>
      <c r="L90" s="410"/>
      <c r="M90" s="410"/>
      <c r="N90" s="410"/>
      <c r="O90" s="410"/>
      <c r="P90" s="642"/>
      <c r="Q90" s="642"/>
    </row>
    <row r="91" spans="1:17" ht="24" customHeight="1">
      <c r="A91" s="642"/>
      <c r="B91" s="419"/>
      <c r="C91" s="419"/>
      <c r="D91" s="419"/>
      <c r="E91" s="419"/>
      <c r="F91" s="642"/>
      <c r="G91" s="642"/>
      <c r="H91" s="410"/>
      <c r="I91" s="410"/>
      <c r="J91" s="410"/>
      <c r="K91" s="410"/>
      <c r="L91" s="410"/>
      <c r="M91" s="410"/>
      <c r="N91" s="410"/>
      <c r="O91" s="410"/>
      <c r="P91" s="642"/>
      <c r="Q91" s="642"/>
    </row>
    <row r="92" spans="1:17" ht="24" customHeight="1">
      <c r="A92" s="642"/>
      <c r="B92" s="642"/>
      <c r="C92" s="642"/>
      <c r="D92" s="642"/>
      <c r="E92" s="642"/>
      <c r="F92" s="642"/>
      <c r="G92" s="410"/>
      <c r="H92" s="410"/>
      <c r="I92" s="410"/>
      <c r="J92" s="410"/>
      <c r="K92" s="410"/>
      <c r="L92" s="410"/>
      <c r="M92" s="410"/>
      <c r="N92" s="410"/>
      <c r="O92" s="410"/>
      <c r="P92" s="642"/>
      <c r="Q92" s="642"/>
    </row>
    <row r="93" spans="1:17" ht="24" customHeight="1">
      <c r="A93" s="642"/>
      <c r="B93" s="419"/>
      <c r="C93" s="419"/>
      <c r="D93" s="419"/>
      <c r="E93" s="419"/>
      <c r="F93" s="642"/>
      <c r="G93" s="410"/>
      <c r="H93" s="410"/>
      <c r="I93" s="410"/>
      <c r="J93" s="410"/>
      <c r="K93" s="410"/>
      <c r="L93" s="410"/>
      <c r="M93" s="410"/>
      <c r="N93" s="410"/>
      <c r="O93" s="410"/>
      <c r="P93" s="642"/>
      <c r="Q93" s="642"/>
    </row>
    <row r="94" spans="1:17" ht="24" customHeight="1">
      <c r="A94" s="642"/>
      <c r="B94" s="419"/>
      <c r="C94" s="419"/>
      <c r="D94" s="419"/>
      <c r="E94" s="419"/>
      <c r="F94" s="642"/>
      <c r="G94" s="410"/>
      <c r="H94" s="410"/>
      <c r="I94" s="410"/>
      <c r="J94" s="410"/>
      <c r="K94" s="410"/>
      <c r="L94" s="410"/>
      <c r="M94" s="410"/>
      <c r="N94" s="410"/>
      <c r="O94" s="410"/>
      <c r="P94" s="642"/>
      <c r="Q94" s="642"/>
    </row>
    <row r="95" spans="1:17" ht="24" customHeight="1">
      <c r="A95" s="642"/>
      <c r="B95" s="419"/>
      <c r="C95" s="419"/>
      <c r="D95" s="419"/>
      <c r="E95" s="419"/>
      <c r="F95" s="642"/>
      <c r="G95" s="410"/>
      <c r="H95" s="410"/>
      <c r="I95" s="410"/>
      <c r="J95" s="410"/>
      <c r="K95" s="410"/>
      <c r="L95" s="410"/>
      <c r="M95" s="410"/>
      <c r="N95" s="410"/>
      <c r="O95" s="410"/>
      <c r="P95" s="642"/>
      <c r="Q95" s="642"/>
    </row>
    <row r="96" spans="1:17" ht="24" customHeight="1">
      <c r="A96" s="642"/>
      <c r="B96" s="419"/>
      <c r="C96" s="419"/>
      <c r="D96" s="419"/>
      <c r="E96" s="419"/>
      <c r="F96" s="642"/>
      <c r="G96" s="410"/>
      <c r="H96" s="410"/>
      <c r="I96" s="410"/>
      <c r="J96" s="410"/>
      <c r="K96" s="410"/>
      <c r="L96" s="410"/>
      <c r="M96" s="410"/>
      <c r="N96" s="410"/>
      <c r="O96" s="410"/>
      <c r="P96" s="642"/>
      <c r="Q96" s="642"/>
    </row>
    <row r="97" spans="1:17" ht="24" customHeight="1">
      <c r="A97" s="642"/>
      <c r="B97" s="419"/>
      <c r="C97" s="419"/>
      <c r="D97" s="419"/>
      <c r="E97" s="419"/>
      <c r="F97" s="642"/>
      <c r="G97" s="410"/>
      <c r="H97" s="410"/>
      <c r="I97" s="410"/>
      <c r="J97" s="410"/>
      <c r="K97" s="410"/>
      <c r="L97" s="410"/>
      <c r="M97" s="410"/>
      <c r="N97" s="410"/>
      <c r="O97" s="410"/>
      <c r="P97" s="642"/>
      <c r="Q97" s="642"/>
    </row>
    <row r="98" spans="1:17" ht="24" customHeight="1">
      <c r="A98" s="642"/>
      <c r="B98" s="419"/>
      <c r="C98" s="419"/>
      <c r="D98" s="419"/>
      <c r="E98" s="419"/>
      <c r="F98" s="642"/>
      <c r="G98" s="410"/>
      <c r="H98" s="410"/>
      <c r="I98" s="410"/>
      <c r="J98" s="410"/>
      <c r="K98" s="410"/>
      <c r="L98" s="410"/>
      <c r="M98" s="410"/>
      <c r="N98" s="410"/>
      <c r="O98" s="410"/>
      <c r="P98" s="642"/>
      <c r="Q98" s="642"/>
    </row>
    <row r="99" spans="1:17" ht="24" customHeight="1">
      <c r="A99" s="642"/>
      <c r="B99" s="642"/>
      <c r="C99" s="642"/>
      <c r="D99" s="642"/>
      <c r="E99" s="642"/>
      <c r="F99" s="642"/>
      <c r="G99" s="410"/>
      <c r="H99" s="410"/>
      <c r="I99" s="410"/>
      <c r="J99" s="410"/>
      <c r="K99" s="410"/>
      <c r="L99" s="410"/>
      <c r="M99" s="410"/>
      <c r="N99" s="410"/>
      <c r="O99" s="410"/>
      <c r="P99" s="642"/>
      <c r="Q99" s="642"/>
    </row>
    <row r="100" spans="1:17" ht="24" customHeight="1">
      <c r="A100" s="642"/>
      <c r="B100" s="419"/>
      <c r="C100" s="419"/>
      <c r="D100" s="419"/>
      <c r="E100" s="419"/>
      <c r="F100" s="642"/>
      <c r="G100" s="410"/>
      <c r="H100" s="410"/>
      <c r="I100" s="410"/>
      <c r="J100" s="410"/>
      <c r="K100" s="410"/>
      <c r="L100" s="410"/>
      <c r="M100" s="410"/>
      <c r="N100" s="410"/>
      <c r="O100" s="410"/>
      <c r="P100" s="642"/>
      <c r="Q100" s="642"/>
    </row>
    <row r="101" spans="1:17" ht="24" customHeight="1">
      <c r="A101" s="642"/>
      <c r="B101" s="419"/>
      <c r="C101" s="419"/>
      <c r="D101" s="419"/>
      <c r="E101" s="419"/>
      <c r="F101" s="642"/>
      <c r="G101" s="410"/>
      <c r="H101" s="410"/>
      <c r="I101" s="410"/>
      <c r="J101" s="410"/>
      <c r="K101" s="410"/>
      <c r="L101" s="410"/>
      <c r="M101" s="410"/>
      <c r="N101" s="410"/>
      <c r="O101" s="410"/>
      <c r="P101" s="642"/>
      <c r="Q101" s="642"/>
    </row>
    <row r="102" spans="1:17" ht="24" customHeight="1">
      <c r="A102" s="642"/>
      <c r="B102" s="419"/>
      <c r="C102" s="419"/>
      <c r="D102" s="419"/>
      <c r="E102" s="419"/>
      <c r="F102" s="642"/>
      <c r="G102" s="410"/>
      <c r="H102" s="410"/>
      <c r="I102" s="410"/>
      <c r="J102" s="410"/>
      <c r="K102" s="410"/>
      <c r="L102" s="410"/>
      <c r="M102" s="410"/>
      <c r="N102" s="410"/>
      <c r="O102" s="410"/>
      <c r="P102" s="642"/>
      <c r="Q102" s="642"/>
    </row>
    <row r="103" spans="1:17" ht="24" customHeight="1">
      <c r="A103" s="642"/>
      <c r="B103" s="419"/>
      <c r="C103" s="419"/>
      <c r="D103" s="419"/>
      <c r="E103" s="419"/>
      <c r="F103" s="642"/>
      <c r="G103" s="410"/>
      <c r="H103" s="410"/>
      <c r="I103" s="410"/>
      <c r="J103" s="410"/>
      <c r="K103" s="410"/>
      <c r="L103" s="410"/>
      <c r="M103" s="410"/>
      <c r="N103" s="410"/>
      <c r="O103" s="410"/>
      <c r="P103" s="642"/>
      <c r="Q103" s="642"/>
    </row>
    <row r="104" spans="1:17" ht="24" customHeight="1">
      <c r="A104" s="642"/>
      <c r="B104" s="419"/>
      <c r="C104" s="419"/>
      <c r="D104" s="419"/>
      <c r="E104" s="419"/>
      <c r="F104" s="642"/>
      <c r="G104" s="410"/>
      <c r="H104" s="410"/>
      <c r="I104" s="410"/>
      <c r="J104" s="410"/>
      <c r="K104" s="410"/>
      <c r="L104" s="410"/>
      <c r="M104" s="410"/>
      <c r="N104" s="410"/>
      <c r="O104" s="410"/>
      <c r="P104" s="642"/>
      <c r="Q104" s="642"/>
    </row>
    <row r="105" spans="1:17" ht="24" customHeight="1">
      <c r="A105" s="642"/>
      <c r="B105" s="419"/>
      <c r="C105" s="419"/>
      <c r="D105" s="419"/>
      <c r="E105" s="419"/>
      <c r="F105" s="642"/>
      <c r="G105" s="410"/>
      <c r="H105" s="410"/>
      <c r="I105" s="410"/>
      <c r="J105" s="410"/>
      <c r="K105" s="410"/>
      <c r="L105" s="410"/>
      <c r="M105" s="410"/>
      <c r="N105" s="410"/>
      <c r="O105" s="410"/>
      <c r="P105" s="642"/>
      <c r="Q105" s="642"/>
    </row>
    <row r="106" spans="1:17" ht="24" customHeight="1">
      <c r="A106" s="642"/>
      <c r="B106" s="642"/>
      <c r="C106" s="642"/>
      <c r="D106" s="642"/>
      <c r="E106" s="642"/>
      <c r="F106" s="642"/>
      <c r="G106" s="410"/>
      <c r="H106" s="410"/>
      <c r="I106" s="410"/>
      <c r="J106" s="410"/>
      <c r="K106" s="410"/>
      <c r="L106" s="410"/>
      <c r="M106" s="410"/>
      <c r="N106" s="410"/>
      <c r="O106" s="410"/>
      <c r="P106" s="642"/>
      <c r="Q106" s="642"/>
    </row>
    <row r="107" spans="1:17" ht="24" customHeight="1">
      <c r="A107" s="642"/>
      <c r="B107" s="419"/>
      <c r="C107" s="419"/>
      <c r="D107" s="419"/>
      <c r="E107" s="419"/>
      <c r="F107" s="642"/>
      <c r="G107" s="410"/>
      <c r="H107" s="410"/>
      <c r="I107" s="410"/>
      <c r="J107" s="410"/>
      <c r="K107" s="410"/>
      <c r="L107" s="410"/>
      <c r="M107" s="410"/>
      <c r="N107" s="410"/>
      <c r="O107" s="410"/>
      <c r="P107" s="642"/>
      <c r="Q107" s="642"/>
    </row>
    <row r="108" spans="1:17" ht="24" customHeight="1">
      <c r="A108" s="642"/>
      <c r="B108" s="419"/>
      <c r="C108" s="419"/>
      <c r="D108" s="419"/>
      <c r="E108" s="419"/>
      <c r="F108" s="642"/>
      <c r="G108" s="410"/>
      <c r="H108" s="410"/>
      <c r="I108" s="410"/>
      <c r="J108" s="410"/>
      <c r="K108" s="410"/>
      <c r="L108" s="410"/>
      <c r="M108" s="410"/>
      <c r="N108" s="410"/>
      <c r="O108" s="410"/>
      <c r="P108" s="642"/>
      <c r="Q108" s="642"/>
    </row>
    <row r="109" spans="1:17" ht="24" customHeight="1">
      <c r="A109" s="642"/>
      <c r="B109" s="419"/>
      <c r="C109" s="419"/>
      <c r="D109" s="419"/>
      <c r="E109" s="419"/>
      <c r="F109" s="642"/>
      <c r="G109" s="410"/>
      <c r="H109" s="410"/>
      <c r="I109" s="410"/>
      <c r="J109" s="410"/>
      <c r="K109" s="410"/>
      <c r="L109" s="410"/>
      <c r="M109" s="410"/>
      <c r="N109" s="410"/>
      <c r="O109" s="410"/>
      <c r="P109" s="642"/>
      <c r="Q109" s="642"/>
    </row>
    <row r="110" spans="1:17" ht="24" customHeight="1">
      <c r="A110" s="642"/>
      <c r="B110" s="419"/>
      <c r="C110" s="419"/>
      <c r="D110" s="419"/>
      <c r="E110" s="419"/>
      <c r="F110" s="642"/>
      <c r="G110" s="410"/>
      <c r="H110" s="410"/>
      <c r="I110" s="410"/>
      <c r="J110" s="410"/>
      <c r="K110" s="410"/>
      <c r="L110" s="410"/>
      <c r="M110" s="410"/>
      <c r="N110" s="410"/>
      <c r="O110" s="410"/>
      <c r="P110" s="642"/>
      <c r="Q110" s="642"/>
    </row>
    <row r="111" spans="1:17" ht="24" customHeight="1">
      <c r="A111" s="642"/>
      <c r="B111" s="419"/>
      <c r="C111" s="419"/>
      <c r="D111" s="419"/>
      <c r="E111" s="419"/>
      <c r="F111" s="642"/>
      <c r="G111" s="410"/>
      <c r="H111" s="410"/>
      <c r="I111" s="410"/>
      <c r="J111" s="410"/>
      <c r="K111" s="410"/>
      <c r="L111" s="410"/>
      <c r="M111" s="410"/>
      <c r="N111" s="410"/>
      <c r="O111" s="410"/>
      <c r="P111" s="642"/>
      <c r="Q111" s="642"/>
    </row>
    <row r="112" spans="1:17" ht="24" customHeight="1">
      <c r="A112" s="642"/>
      <c r="B112" s="419"/>
      <c r="C112" s="419"/>
      <c r="D112" s="419"/>
      <c r="E112" s="419"/>
      <c r="F112" s="642"/>
      <c r="G112" s="410"/>
      <c r="H112" s="410"/>
      <c r="I112" s="410"/>
      <c r="J112" s="410"/>
      <c r="K112" s="410"/>
      <c r="L112" s="410"/>
      <c r="M112" s="410"/>
      <c r="N112" s="410"/>
      <c r="O112" s="410"/>
      <c r="P112" s="642"/>
      <c r="Q112" s="642"/>
    </row>
    <row r="113" spans="1:17" ht="24" customHeight="1">
      <c r="A113" s="642"/>
      <c r="B113" s="642"/>
      <c r="C113" s="642"/>
      <c r="D113" s="642"/>
      <c r="E113" s="642"/>
      <c r="F113" s="642"/>
      <c r="G113" s="410"/>
      <c r="H113" s="410"/>
      <c r="I113" s="410"/>
      <c r="J113" s="410"/>
      <c r="K113" s="410"/>
      <c r="L113" s="410"/>
      <c r="M113" s="410"/>
      <c r="N113" s="410"/>
      <c r="O113" s="410"/>
      <c r="P113" s="642"/>
      <c r="Q113" s="642"/>
    </row>
    <row r="114" spans="1:17" ht="24" customHeight="1">
      <c r="A114" s="642"/>
      <c r="B114" s="419"/>
      <c r="C114" s="419"/>
      <c r="D114" s="419"/>
      <c r="E114" s="419"/>
      <c r="F114" s="642"/>
      <c r="G114" s="410"/>
      <c r="H114" s="410"/>
      <c r="I114" s="410"/>
      <c r="J114" s="410"/>
      <c r="K114" s="410"/>
      <c r="L114" s="410"/>
      <c r="M114" s="410"/>
      <c r="N114" s="410"/>
      <c r="O114" s="410"/>
      <c r="P114" s="642"/>
      <c r="Q114" s="642"/>
    </row>
    <row r="115" spans="1:17" ht="24" customHeight="1">
      <c r="A115" s="642"/>
      <c r="B115" s="419"/>
      <c r="C115" s="419"/>
      <c r="D115" s="419"/>
      <c r="E115" s="419"/>
      <c r="F115" s="642"/>
      <c r="G115" s="410"/>
      <c r="H115" s="410"/>
      <c r="I115" s="410"/>
      <c r="J115" s="410"/>
      <c r="K115" s="410"/>
      <c r="L115" s="410"/>
      <c r="M115" s="410"/>
      <c r="N115" s="410"/>
      <c r="O115" s="410"/>
      <c r="P115" s="642"/>
      <c r="Q115" s="642"/>
    </row>
    <row r="116" spans="1:17" ht="24" customHeight="1">
      <c r="A116" s="642"/>
      <c r="B116" s="419"/>
      <c r="C116" s="419"/>
      <c r="D116" s="419"/>
      <c r="E116" s="419"/>
      <c r="F116" s="642"/>
      <c r="G116" s="410"/>
      <c r="H116" s="410"/>
      <c r="I116" s="410"/>
      <c r="J116" s="410"/>
      <c r="K116" s="410"/>
      <c r="L116" s="410"/>
      <c r="M116" s="410"/>
      <c r="N116" s="410"/>
      <c r="O116" s="410"/>
      <c r="P116" s="642"/>
      <c r="Q116" s="642"/>
    </row>
    <row r="117" spans="1:17" ht="24" customHeight="1">
      <c r="A117" s="642"/>
      <c r="B117" s="419"/>
      <c r="C117" s="419"/>
      <c r="D117" s="419"/>
      <c r="E117" s="419"/>
      <c r="F117" s="642"/>
      <c r="G117" s="410"/>
      <c r="H117" s="410"/>
      <c r="I117" s="410"/>
      <c r="J117" s="410"/>
      <c r="K117" s="410"/>
      <c r="L117" s="410"/>
      <c r="M117" s="410"/>
      <c r="N117" s="410"/>
      <c r="O117" s="410"/>
      <c r="P117" s="642"/>
      <c r="Q117" s="642"/>
    </row>
    <row r="118" spans="1:17" ht="24" customHeight="1">
      <c r="A118" s="642"/>
      <c r="B118" s="419"/>
      <c r="C118" s="419"/>
      <c r="D118" s="419"/>
      <c r="E118" s="419"/>
      <c r="F118" s="642"/>
      <c r="G118" s="410"/>
      <c r="H118" s="410"/>
      <c r="I118" s="410"/>
      <c r="J118" s="410"/>
      <c r="K118" s="410"/>
      <c r="L118" s="410"/>
      <c r="M118" s="410"/>
      <c r="N118" s="410"/>
      <c r="O118" s="410"/>
      <c r="P118" s="642"/>
      <c r="Q118" s="642"/>
    </row>
    <row r="119" spans="1:17" ht="24" customHeight="1">
      <c r="A119" s="642"/>
      <c r="B119" s="419"/>
      <c r="C119" s="419"/>
      <c r="D119" s="419"/>
      <c r="E119" s="419"/>
      <c r="F119" s="642"/>
      <c r="G119" s="410"/>
      <c r="H119" s="410"/>
      <c r="I119" s="410"/>
      <c r="J119" s="410"/>
      <c r="K119" s="410"/>
      <c r="L119" s="410"/>
      <c r="M119" s="410"/>
      <c r="N119" s="410"/>
      <c r="O119" s="410"/>
      <c r="P119" s="642"/>
      <c r="Q119" s="642"/>
    </row>
    <row r="120" spans="1:17" ht="24" customHeight="1">
      <c r="A120" s="642"/>
      <c r="B120" s="642"/>
      <c r="C120" s="642"/>
      <c r="D120" s="642"/>
      <c r="E120" s="642"/>
      <c r="F120" s="642"/>
      <c r="G120" s="410"/>
      <c r="H120" s="410"/>
      <c r="I120" s="410"/>
      <c r="J120" s="410"/>
      <c r="K120" s="410"/>
      <c r="L120" s="410"/>
      <c r="M120" s="410"/>
      <c r="N120" s="410"/>
      <c r="O120" s="410"/>
      <c r="P120" s="642"/>
      <c r="Q120" s="642"/>
    </row>
    <row r="121" spans="1:17" ht="24" customHeight="1">
      <c r="A121" s="642"/>
      <c r="B121" s="419"/>
      <c r="C121" s="419"/>
      <c r="D121" s="419"/>
      <c r="E121" s="419"/>
      <c r="F121" s="642"/>
      <c r="G121" s="410"/>
      <c r="H121" s="410"/>
      <c r="I121" s="410"/>
      <c r="J121" s="410"/>
      <c r="K121" s="410"/>
      <c r="L121" s="410"/>
      <c r="M121" s="410"/>
      <c r="N121" s="410"/>
      <c r="O121" s="410"/>
      <c r="P121" s="642"/>
      <c r="Q121" s="642"/>
    </row>
    <row r="122" spans="1:17" ht="24" customHeight="1">
      <c r="A122" s="642"/>
      <c r="B122" s="419"/>
      <c r="C122" s="419"/>
      <c r="D122" s="419"/>
      <c r="E122" s="419"/>
      <c r="F122" s="642"/>
      <c r="G122" s="410"/>
      <c r="H122" s="410"/>
      <c r="I122" s="410"/>
      <c r="J122" s="410"/>
      <c r="K122" s="410"/>
      <c r="L122" s="410"/>
      <c r="M122" s="410"/>
      <c r="N122" s="410"/>
      <c r="O122" s="410"/>
      <c r="P122" s="642"/>
      <c r="Q122" s="642"/>
    </row>
    <row r="123" spans="1:17" ht="24" customHeight="1">
      <c r="A123" s="642"/>
      <c r="B123" s="419"/>
      <c r="C123" s="419"/>
      <c r="D123" s="419"/>
      <c r="E123" s="419"/>
      <c r="F123" s="642"/>
      <c r="G123" s="410"/>
      <c r="H123" s="410"/>
      <c r="I123" s="410"/>
      <c r="J123" s="410"/>
      <c r="K123" s="410"/>
      <c r="L123" s="410"/>
      <c r="M123" s="410"/>
      <c r="N123" s="410"/>
      <c r="O123" s="410"/>
      <c r="P123" s="642"/>
      <c r="Q123" s="642"/>
    </row>
    <row r="124" spans="1:17" ht="24" customHeight="1">
      <c r="A124" s="642"/>
      <c r="B124" s="419"/>
      <c r="C124" s="419"/>
      <c r="D124" s="419"/>
      <c r="E124" s="419"/>
      <c r="F124" s="642"/>
      <c r="G124" s="410"/>
      <c r="H124" s="410"/>
      <c r="I124" s="410"/>
      <c r="J124" s="410"/>
      <c r="K124" s="410"/>
      <c r="L124" s="410"/>
      <c r="M124" s="410"/>
      <c r="N124" s="410"/>
      <c r="O124" s="410"/>
      <c r="P124" s="642"/>
      <c r="Q124" s="642"/>
    </row>
    <row r="125" spans="1:17" ht="24" customHeight="1">
      <c r="A125" s="642"/>
      <c r="B125" s="419"/>
      <c r="C125" s="419"/>
      <c r="D125" s="419"/>
      <c r="E125" s="419"/>
      <c r="F125" s="642"/>
      <c r="G125" s="410"/>
      <c r="H125" s="410"/>
      <c r="I125" s="410"/>
      <c r="J125" s="410"/>
      <c r="K125" s="410"/>
      <c r="L125" s="410"/>
      <c r="M125" s="410"/>
      <c r="N125" s="410"/>
      <c r="O125" s="410"/>
      <c r="P125" s="642"/>
      <c r="Q125" s="642"/>
    </row>
    <row r="126" spans="1:17" ht="24" customHeight="1">
      <c r="A126" s="642"/>
      <c r="B126" s="419"/>
      <c r="C126" s="419"/>
      <c r="D126" s="419"/>
      <c r="E126" s="419"/>
      <c r="F126" s="642"/>
      <c r="G126" s="410"/>
      <c r="H126" s="410"/>
      <c r="I126" s="410"/>
      <c r="J126" s="410"/>
      <c r="K126" s="410"/>
      <c r="L126" s="410"/>
      <c r="M126" s="410"/>
      <c r="N126" s="410"/>
      <c r="O126" s="410"/>
      <c r="P126" s="642"/>
      <c r="Q126" s="642"/>
    </row>
    <row r="127" spans="1:17" ht="24" customHeight="1">
      <c r="A127" s="642"/>
      <c r="B127" s="642"/>
      <c r="C127" s="642"/>
      <c r="D127" s="642"/>
      <c r="E127" s="642"/>
      <c r="F127" s="642"/>
      <c r="G127" s="410"/>
      <c r="H127" s="410"/>
      <c r="I127" s="410"/>
      <c r="J127" s="410"/>
      <c r="K127" s="410"/>
      <c r="L127" s="410"/>
      <c r="M127" s="410"/>
      <c r="N127" s="410"/>
      <c r="O127" s="410"/>
      <c r="P127" s="642"/>
      <c r="Q127" s="642"/>
    </row>
    <row r="128" spans="1:17" ht="24" customHeight="1">
      <c r="A128" s="642"/>
      <c r="B128" s="419"/>
      <c r="C128" s="419"/>
      <c r="D128" s="419"/>
      <c r="E128" s="419"/>
      <c r="F128" s="642"/>
      <c r="G128" s="410"/>
      <c r="H128" s="410"/>
      <c r="I128" s="410"/>
      <c r="J128" s="410"/>
      <c r="K128" s="410"/>
      <c r="L128" s="410"/>
      <c r="M128" s="410"/>
      <c r="N128" s="410"/>
      <c r="O128" s="410"/>
      <c r="P128" s="642"/>
      <c r="Q128" s="642"/>
    </row>
    <row r="129" spans="1:17" ht="24" customHeight="1">
      <c r="A129" s="642"/>
      <c r="B129" s="419"/>
      <c r="C129" s="419"/>
      <c r="D129" s="419"/>
      <c r="E129" s="419"/>
      <c r="F129" s="642"/>
      <c r="G129" s="410"/>
      <c r="H129" s="410"/>
      <c r="I129" s="410"/>
      <c r="J129" s="410"/>
      <c r="K129" s="410"/>
      <c r="L129" s="410"/>
      <c r="M129" s="410"/>
      <c r="N129" s="410"/>
      <c r="O129" s="410"/>
      <c r="P129" s="642"/>
      <c r="Q129" s="642"/>
    </row>
    <row r="130" spans="1:17" ht="24" customHeight="1">
      <c r="A130" s="642"/>
      <c r="B130" s="419"/>
      <c r="C130" s="419"/>
      <c r="D130" s="419"/>
      <c r="E130" s="419"/>
      <c r="F130" s="642"/>
      <c r="G130" s="410"/>
      <c r="H130" s="410"/>
      <c r="I130" s="410"/>
      <c r="J130" s="410"/>
      <c r="K130" s="410"/>
      <c r="L130" s="410"/>
      <c r="M130" s="410"/>
      <c r="N130" s="410"/>
      <c r="O130" s="410"/>
      <c r="P130" s="642"/>
      <c r="Q130" s="642"/>
    </row>
    <row r="131" spans="1:17" ht="24" customHeight="1">
      <c r="A131" s="642"/>
      <c r="B131" s="419"/>
      <c r="C131" s="419"/>
      <c r="D131" s="419"/>
      <c r="E131" s="419"/>
      <c r="F131" s="642"/>
      <c r="G131" s="410"/>
      <c r="H131" s="410"/>
      <c r="I131" s="410"/>
      <c r="J131" s="410"/>
      <c r="K131" s="410"/>
      <c r="L131" s="410"/>
      <c r="M131" s="410"/>
      <c r="N131" s="410"/>
      <c r="O131" s="410"/>
      <c r="P131" s="642"/>
      <c r="Q131" s="642"/>
    </row>
    <row r="132" spans="1:17" ht="24" customHeight="1">
      <c r="A132" s="642"/>
      <c r="B132" s="419"/>
      <c r="C132" s="419"/>
      <c r="D132" s="419"/>
      <c r="E132" s="419"/>
      <c r="F132" s="642"/>
      <c r="G132" s="410"/>
      <c r="H132" s="410"/>
      <c r="I132" s="410"/>
      <c r="J132" s="410"/>
      <c r="K132" s="410"/>
      <c r="L132" s="410"/>
      <c r="M132" s="410"/>
      <c r="N132" s="410"/>
      <c r="O132" s="410"/>
      <c r="P132" s="642"/>
      <c r="Q132" s="642"/>
    </row>
    <row r="133" spans="1:17" ht="30.75" customHeight="1">
      <c r="A133" s="642"/>
      <c r="B133" s="419"/>
      <c r="C133" s="419"/>
      <c r="D133" s="419"/>
      <c r="E133" s="419"/>
      <c r="F133" s="642"/>
      <c r="G133" s="410"/>
      <c r="H133" s="410"/>
      <c r="I133" s="410"/>
      <c r="J133" s="410"/>
      <c r="K133" s="410"/>
      <c r="L133" s="410"/>
      <c r="M133" s="410"/>
      <c r="N133" s="410"/>
      <c r="O133" s="410"/>
      <c r="P133" s="642"/>
      <c r="Q133" s="642"/>
    </row>
    <row r="134" spans="1:17" ht="30.75" customHeight="1">
      <c r="A134" s="642"/>
      <c r="B134" s="642"/>
      <c r="C134" s="642"/>
      <c r="D134" s="642"/>
      <c r="E134" s="642"/>
      <c r="F134" s="642"/>
      <c r="G134" s="410"/>
      <c r="H134" s="410"/>
      <c r="I134" s="410"/>
      <c r="J134" s="410"/>
      <c r="K134" s="410"/>
      <c r="L134" s="410"/>
      <c r="M134" s="410"/>
      <c r="N134" s="410"/>
      <c r="O134" s="410"/>
      <c r="P134" s="642"/>
      <c r="Q134" s="642"/>
    </row>
    <row r="135" spans="1:17" ht="30.75" customHeight="1">
      <c r="A135" s="642"/>
      <c r="B135" s="419"/>
      <c r="C135" s="419"/>
      <c r="D135" s="419"/>
      <c r="E135" s="419"/>
      <c r="F135" s="642"/>
      <c r="G135" s="410"/>
      <c r="H135" s="410"/>
      <c r="I135" s="410"/>
      <c r="J135" s="410"/>
      <c r="K135" s="410"/>
      <c r="L135" s="410"/>
      <c r="M135" s="410"/>
      <c r="N135" s="410"/>
      <c r="O135" s="410"/>
      <c r="P135" s="642"/>
      <c r="Q135" s="642"/>
    </row>
    <row r="136" spans="1:17" ht="30.75" customHeight="1">
      <c r="A136" s="642"/>
      <c r="B136" s="419"/>
      <c r="C136" s="419"/>
      <c r="D136" s="419"/>
      <c r="E136" s="419"/>
      <c r="F136" s="642"/>
      <c r="G136" s="410"/>
      <c r="H136" s="410"/>
      <c r="I136" s="410"/>
      <c r="J136" s="410"/>
      <c r="K136" s="410"/>
      <c r="L136" s="410"/>
      <c r="M136" s="410"/>
      <c r="N136" s="410"/>
      <c r="O136" s="410"/>
      <c r="P136" s="642"/>
      <c r="Q136" s="642"/>
    </row>
    <row r="137" spans="1:17" ht="30.75" customHeight="1">
      <c r="A137" s="642"/>
      <c r="B137" s="419"/>
      <c r="C137" s="419"/>
      <c r="D137" s="419"/>
      <c r="E137" s="419"/>
      <c r="F137" s="642"/>
      <c r="G137" s="410"/>
      <c r="H137" s="410"/>
      <c r="I137" s="410"/>
      <c r="J137" s="410"/>
      <c r="K137" s="410"/>
      <c r="L137" s="410"/>
      <c r="M137" s="410"/>
      <c r="N137" s="410"/>
      <c r="O137" s="410"/>
      <c r="P137" s="642"/>
      <c r="Q137" s="642"/>
    </row>
    <row r="138" spans="1:17" ht="30.75" customHeight="1">
      <c r="A138" s="642"/>
      <c r="B138" s="419"/>
      <c r="C138" s="419"/>
      <c r="D138" s="419"/>
      <c r="E138" s="419"/>
      <c r="F138" s="642"/>
      <c r="G138" s="410"/>
      <c r="H138" s="410"/>
      <c r="I138" s="410"/>
      <c r="J138" s="410"/>
      <c r="K138" s="410"/>
      <c r="L138" s="410"/>
      <c r="M138" s="410"/>
      <c r="N138" s="410"/>
      <c r="O138" s="410"/>
      <c r="P138" s="642"/>
      <c r="Q138" s="642"/>
    </row>
    <row r="139" spans="1:17" ht="30.75" customHeight="1">
      <c r="A139" s="642"/>
      <c r="B139" s="419"/>
      <c r="C139" s="419"/>
      <c r="D139" s="419"/>
      <c r="E139" s="419"/>
      <c r="F139" s="642"/>
      <c r="G139" s="410"/>
      <c r="H139" s="410"/>
      <c r="I139" s="410"/>
      <c r="J139" s="410"/>
      <c r="K139" s="410"/>
      <c r="L139" s="410"/>
      <c r="M139" s="410"/>
      <c r="N139" s="410"/>
      <c r="O139" s="410"/>
      <c r="P139" s="642"/>
      <c r="Q139" s="642"/>
    </row>
    <row r="140" spans="1:17" ht="30.75" customHeight="1">
      <c r="A140" s="642"/>
      <c r="B140" s="419"/>
      <c r="C140" s="419"/>
      <c r="D140" s="419"/>
      <c r="E140" s="419"/>
      <c r="F140" s="642"/>
      <c r="G140" s="410"/>
      <c r="H140" s="410"/>
      <c r="I140" s="410"/>
      <c r="J140" s="410"/>
      <c r="K140" s="410"/>
      <c r="L140" s="410"/>
      <c r="M140" s="410"/>
      <c r="N140" s="410"/>
      <c r="O140" s="410"/>
      <c r="P140" s="642"/>
      <c r="Q140" s="642"/>
    </row>
    <row r="141" spans="1:17" ht="30.75" customHeight="1">
      <c r="A141" s="642"/>
      <c r="B141" s="642"/>
      <c r="C141" s="642"/>
      <c r="D141" s="642"/>
      <c r="E141" s="642"/>
      <c r="F141" s="642"/>
      <c r="G141" s="410"/>
      <c r="H141" s="410"/>
      <c r="I141" s="410"/>
      <c r="J141" s="410"/>
      <c r="K141" s="410"/>
      <c r="L141" s="410"/>
      <c r="M141" s="410"/>
      <c r="N141" s="410"/>
      <c r="O141" s="410"/>
      <c r="P141" s="642"/>
      <c r="Q141" s="642"/>
    </row>
    <row r="142" spans="1:17" ht="30.75" customHeight="1">
      <c r="A142" s="642"/>
      <c r="B142" s="419"/>
      <c r="C142" s="419"/>
      <c r="D142" s="419"/>
      <c r="E142" s="419"/>
      <c r="F142" s="642"/>
      <c r="G142" s="410"/>
      <c r="H142" s="410"/>
      <c r="I142" s="410"/>
      <c r="J142" s="410"/>
      <c r="K142" s="410"/>
      <c r="L142" s="410"/>
      <c r="M142" s="410"/>
      <c r="N142" s="410"/>
      <c r="O142" s="410"/>
      <c r="P142" s="642"/>
      <c r="Q142" s="642"/>
    </row>
    <row r="143" spans="1:17" ht="30.75" customHeight="1">
      <c r="A143" s="642"/>
      <c r="B143" s="419"/>
      <c r="C143" s="419"/>
      <c r="D143" s="419"/>
      <c r="E143" s="419"/>
      <c r="F143" s="642"/>
      <c r="G143" s="410"/>
      <c r="H143" s="410"/>
      <c r="I143" s="410"/>
      <c r="J143" s="410"/>
      <c r="K143" s="410"/>
      <c r="L143" s="410"/>
      <c r="M143" s="410"/>
      <c r="N143" s="410"/>
      <c r="O143" s="410"/>
      <c r="P143" s="642"/>
      <c r="Q143" s="642"/>
    </row>
    <row r="144" spans="1:17" ht="30.75" customHeight="1">
      <c r="A144" s="642"/>
      <c r="B144" s="419"/>
      <c r="C144" s="419"/>
      <c r="D144" s="419"/>
      <c r="E144" s="419"/>
      <c r="F144" s="642"/>
      <c r="G144" s="410"/>
      <c r="H144" s="410"/>
      <c r="I144" s="410"/>
      <c r="J144" s="410"/>
      <c r="K144" s="410"/>
      <c r="L144" s="410"/>
      <c r="M144" s="410"/>
      <c r="N144" s="410"/>
      <c r="O144" s="410"/>
      <c r="P144" s="642"/>
      <c r="Q144" s="642"/>
    </row>
    <row r="145" spans="1:17" ht="30.75" customHeight="1">
      <c r="A145" s="642"/>
      <c r="B145" s="419"/>
      <c r="C145" s="419"/>
      <c r="D145" s="419"/>
      <c r="E145" s="419"/>
      <c r="F145" s="642"/>
      <c r="G145" s="410"/>
      <c r="H145" s="410"/>
      <c r="I145" s="410"/>
      <c r="J145" s="410"/>
      <c r="K145" s="410"/>
      <c r="L145" s="410"/>
      <c r="M145" s="410"/>
      <c r="N145" s="410"/>
      <c r="O145" s="410"/>
      <c r="P145" s="642"/>
      <c r="Q145" s="642"/>
    </row>
    <row r="146" spans="1:17" ht="30.75" customHeight="1">
      <c r="A146" s="642"/>
      <c r="B146" s="419"/>
      <c r="C146" s="419"/>
      <c r="D146" s="419"/>
      <c r="E146" s="419"/>
      <c r="F146" s="642"/>
      <c r="G146" s="410"/>
      <c r="H146" s="410"/>
      <c r="I146" s="410"/>
      <c r="J146" s="410"/>
      <c r="K146" s="410"/>
      <c r="L146" s="410"/>
      <c r="M146" s="410"/>
      <c r="N146" s="410"/>
      <c r="O146" s="410"/>
      <c r="P146" s="642"/>
      <c r="Q146" s="642"/>
    </row>
    <row r="147" spans="1:17" ht="30.75" customHeight="1">
      <c r="A147" s="642"/>
      <c r="B147" s="419"/>
      <c r="C147" s="419"/>
      <c r="D147" s="419"/>
      <c r="E147" s="419"/>
      <c r="F147" s="642"/>
      <c r="G147" s="410"/>
      <c r="H147" s="410"/>
      <c r="I147" s="410"/>
      <c r="J147" s="410"/>
      <c r="K147" s="410"/>
      <c r="L147" s="410"/>
      <c r="M147" s="410"/>
      <c r="N147" s="410"/>
      <c r="O147" s="410"/>
      <c r="P147" s="642"/>
      <c r="Q147" s="642"/>
    </row>
    <row r="148" spans="1:17" ht="24" customHeight="1">
      <c r="A148" s="642"/>
      <c r="B148" s="642"/>
      <c r="C148" s="642"/>
      <c r="D148" s="642"/>
      <c r="E148" s="642"/>
      <c r="F148" s="642"/>
      <c r="G148" s="410"/>
      <c r="H148" s="410"/>
      <c r="I148" s="410"/>
      <c r="J148" s="410"/>
      <c r="K148" s="410"/>
      <c r="L148" s="410"/>
      <c r="M148" s="410"/>
      <c r="N148" s="410"/>
      <c r="O148" s="410"/>
      <c r="P148" s="642"/>
      <c r="Q148" s="642"/>
    </row>
    <row r="149" spans="1:17" ht="24" customHeight="1">
      <c r="A149" s="642"/>
      <c r="B149" s="419"/>
      <c r="C149" s="419"/>
      <c r="D149" s="419"/>
      <c r="E149" s="419"/>
      <c r="F149" s="642"/>
      <c r="G149" s="410"/>
      <c r="H149" s="410"/>
      <c r="I149" s="410"/>
      <c r="J149" s="410"/>
      <c r="K149" s="410"/>
      <c r="L149" s="410"/>
      <c r="M149" s="410"/>
      <c r="N149" s="410"/>
      <c r="O149" s="410"/>
      <c r="P149" s="642"/>
      <c r="Q149" s="642"/>
    </row>
    <row r="150" spans="1:17" ht="24" customHeight="1">
      <c r="A150" s="642"/>
      <c r="B150" s="419"/>
      <c r="C150" s="419"/>
      <c r="D150" s="419"/>
      <c r="E150" s="419"/>
      <c r="F150" s="642"/>
      <c r="G150" s="410"/>
      <c r="H150" s="410"/>
      <c r="I150" s="410"/>
      <c r="J150" s="410"/>
      <c r="K150" s="410"/>
      <c r="L150" s="410"/>
      <c r="M150" s="410"/>
      <c r="N150" s="410"/>
      <c r="O150" s="410"/>
      <c r="P150" s="642"/>
      <c r="Q150" s="642"/>
    </row>
    <row r="151" spans="1:17" ht="24" customHeight="1">
      <c r="A151" s="642"/>
      <c r="B151" s="419"/>
      <c r="C151" s="419"/>
      <c r="D151" s="419"/>
      <c r="E151" s="419"/>
      <c r="F151" s="642"/>
      <c r="G151" s="410"/>
      <c r="H151" s="410"/>
      <c r="I151" s="410"/>
      <c r="J151" s="410"/>
      <c r="K151" s="410"/>
      <c r="L151" s="410"/>
      <c r="M151" s="410"/>
      <c r="N151" s="410"/>
      <c r="O151" s="410"/>
      <c r="P151" s="642"/>
      <c r="Q151" s="642"/>
    </row>
    <row r="152" spans="1:17" ht="24" customHeight="1">
      <c r="A152" s="642"/>
      <c r="B152" s="419"/>
      <c r="C152" s="419"/>
      <c r="D152" s="419"/>
      <c r="E152" s="419"/>
      <c r="F152" s="642"/>
      <c r="G152" s="642"/>
      <c r="H152" s="642"/>
      <c r="I152" s="642"/>
      <c r="J152" s="642"/>
      <c r="K152" s="642"/>
      <c r="L152" s="642"/>
      <c r="M152" s="642"/>
      <c r="N152" s="642"/>
      <c r="O152" s="642"/>
      <c r="P152" s="642"/>
      <c r="Q152" s="642"/>
    </row>
    <row r="153" spans="1:17" ht="24" customHeight="1">
      <c r="A153" s="642"/>
      <c r="B153" s="419"/>
      <c r="C153" s="419"/>
      <c r="D153" s="419"/>
      <c r="E153" s="419"/>
      <c r="F153" s="642"/>
      <c r="G153" s="642"/>
      <c r="H153" s="642"/>
      <c r="I153" s="642"/>
      <c r="J153" s="642"/>
      <c r="K153" s="642"/>
      <c r="L153" s="642"/>
      <c r="M153" s="642"/>
      <c r="N153" s="642"/>
      <c r="O153" s="642"/>
      <c r="P153" s="642"/>
      <c r="Q153" s="642"/>
    </row>
    <row r="154" spans="1:17" ht="24" customHeight="1">
      <c r="A154" s="642"/>
      <c r="B154" s="419"/>
      <c r="C154" s="419"/>
      <c r="D154" s="419"/>
      <c r="E154" s="419"/>
      <c r="F154" s="642"/>
      <c r="G154" s="642"/>
      <c r="H154" s="642"/>
      <c r="I154" s="642"/>
      <c r="J154" s="642"/>
      <c r="K154" s="642"/>
      <c r="L154" s="642"/>
      <c r="M154" s="642"/>
      <c r="N154" s="642"/>
      <c r="O154" s="642"/>
      <c r="P154" s="642"/>
      <c r="Q154" s="642"/>
    </row>
    <row r="155" spans="1:17" ht="24" customHeight="1">
      <c r="A155" s="642"/>
      <c r="B155" s="642"/>
      <c r="C155" s="642"/>
      <c r="D155" s="642"/>
      <c r="E155" s="642"/>
      <c r="F155" s="642"/>
      <c r="G155" s="642"/>
      <c r="H155" s="642"/>
      <c r="I155" s="642"/>
      <c r="J155" s="642"/>
      <c r="K155" s="642"/>
      <c r="L155" s="642"/>
      <c r="M155" s="642"/>
      <c r="N155" s="642"/>
      <c r="O155" s="642"/>
      <c r="P155" s="642"/>
      <c r="Q155" s="642"/>
    </row>
    <row r="156" spans="1:17" ht="24" customHeight="1">
      <c r="A156" s="642"/>
      <c r="B156" s="419"/>
      <c r="C156" s="419"/>
      <c r="D156" s="419"/>
      <c r="E156" s="419"/>
      <c r="F156" s="642"/>
      <c r="G156" s="642"/>
      <c r="H156" s="642"/>
      <c r="I156" s="642"/>
      <c r="J156" s="642"/>
      <c r="K156" s="642"/>
      <c r="L156" s="642"/>
      <c r="M156" s="642"/>
      <c r="N156" s="642"/>
      <c r="O156" s="642"/>
      <c r="P156" s="642"/>
      <c r="Q156" s="642"/>
    </row>
    <row r="157" spans="1:17" ht="24" customHeight="1">
      <c r="A157" s="642"/>
      <c r="B157" s="419"/>
      <c r="C157" s="419"/>
      <c r="D157" s="419"/>
      <c r="E157" s="419"/>
      <c r="F157" s="642"/>
      <c r="G157" s="642"/>
      <c r="H157" s="642"/>
      <c r="I157" s="642"/>
      <c r="J157" s="642"/>
      <c r="K157" s="642"/>
      <c r="L157" s="642"/>
      <c r="M157" s="642"/>
      <c r="N157" s="642"/>
      <c r="O157" s="642"/>
      <c r="P157" s="642"/>
      <c r="Q157" s="642"/>
    </row>
    <row r="158" spans="1:17" ht="24" customHeight="1">
      <c r="A158" s="642"/>
      <c r="B158" s="419"/>
      <c r="C158" s="419"/>
      <c r="D158" s="419"/>
      <c r="E158" s="419"/>
      <c r="F158" s="642"/>
      <c r="G158" s="642"/>
      <c r="H158" s="642"/>
      <c r="I158" s="642"/>
      <c r="J158" s="642"/>
      <c r="K158" s="642"/>
      <c r="L158" s="642"/>
      <c r="M158" s="642"/>
      <c r="N158" s="642"/>
      <c r="O158" s="642"/>
      <c r="P158" s="642"/>
      <c r="Q158" s="642"/>
    </row>
    <row r="159" spans="1:17" ht="24" customHeight="1">
      <c r="A159" s="642"/>
      <c r="B159" s="419"/>
      <c r="C159" s="419"/>
      <c r="D159" s="419"/>
      <c r="E159" s="419"/>
      <c r="F159" s="642"/>
      <c r="G159" s="642"/>
      <c r="H159" s="642"/>
      <c r="I159" s="642"/>
      <c r="J159" s="642"/>
      <c r="K159" s="642"/>
      <c r="L159" s="642"/>
      <c r="M159" s="642"/>
      <c r="N159" s="642"/>
      <c r="O159" s="642"/>
      <c r="P159" s="642"/>
      <c r="Q159" s="642"/>
    </row>
    <row r="160" spans="1:17" ht="24" customHeight="1">
      <c r="A160" s="642"/>
      <c r="B160" s="419"/>
      <c r="C160" s="419"/>
      <c r="D160" s="419"/>
      <c r="E160" s="419"/>
      <c r="F160" s="642"/>
      <c r="G160" s="642"/>
      <c r="H160" s="642"/>
      <c r="I160" s="642"/>
      <c r="J160" s="642"/>
      <c r="K160" s="642"/>
      <c r="L160" s="642"/>
      <c r="M160" s="642"/>
      <c r="N160" s="642"/>
      <c r="O160" s="642"/>
      <c r="P160" s="642"/>
      <c r="Q160" s="642"/>
    </row>
    <row r="161" spans="1:17" ht="24" customHeight="1">
      <c r="A161" s="642"/>
      <c r="B161" s="419"/>
      <c r="C161" s="419"/>
      <c r="D161" s="419"/>
      <c r="E161" s="419"/>
      <c r="F161" s="642"/>
      <c r="G161" s="642"/>
      <c r="H161" s="642"/>
      <c r="I161" s="642"/>
      <c r="J161" s="642"/>
      <c r="K161" s="642"/>
      <c r="L161" s="642"/>
      <c r="M161" s="642"/>
      <c r="N161" s="642"/>
      <c r="O161" s="642"/>
      <c r="P161" s="642"/>
      <c r="Q161" s="642"/>
    </row>
    <row r="162" spans="1:17" ht="24" customHeight="1">
      <c r="A162" s="642"/>
      <c r="B162" s="642"/>
      <c r="C162" s="642"/>
      <c r="D162" s="642"/>
      <c r="E162" s="642"/>
      <c r="F162" s="642"/>
      <c r="G162" s="642"/>
      <c r="H162" s="642"/>
      <c r="I162" s="642"/>
      <c r="J162" s="642"/>
      <c r="K162" s="642"/>
      <c r="L162" s="642"/>
      <c r="M162" s="642"/>
      <c r="N162" s="642"/>
      <c r="O162" s="642"/>
      <c r="P162" s="642"/>
      <c r="Q162" s="642"/>
    </row>
    <row r="163" spans="1:17" ht="24" customHeight="1">
      <c r="A163" s="642"/>
      <c r="B163" s="419"/>
      <c r="C163" s="419"/>
      <c r="D163" s="419"/>
      <c r="E163" s="419"/>
      <c r="F163" s="642"/>
      <c r="G163" s="642"/>
      <c r="H163" s="642"/>
      <c r="I163" s="642"/>
      <c r="J163" s="642"/>
      <c r="K163" s="642"/>
      <c r="L163" s="642"/>
      <c r="M163" s="642"/>
      <c r="N163" s="642"/>
      <c r="O163" s="642"/>
      <c r="P163" s="642"/>
      <c r="Q163" s="642"/>
    </row>
    <row r="164" spans="1:17" ht="24" customHeight="1">
      <c r="A164" s="642"/>
      <c r="B164" s="419"/>
      <c r="C164" s="419"/>
      <c r="D164" s="419"/>
      <c r="E164" s="419"/>
      <c r="F164" s="642"/>
      <c r="G164" s="642"/>
      <c r="H164" s="642"/>
      <c r="I164" s="642"/>
      <c r="J164" s="642"/>
      <c r="K164" s="642"/>
      <c r="L164" s="642"/>
      <c r="M164" s="642"/>
      <c r="N164" s="642"/>
      <c r="O164" s="642"/>
      <c r="P164" s="642"/>
      <c r="Q164" s="642"/>
    </row>
    <row r="165" spans="1:17" ht="24" customHeight="1">
      <c r="A165" s="642"/>
      <c r="B165" s="419"/>
      <c r="C165" s="419"/>
      <c r="D165" s="419"/>
      <c r="E165" s="419"/>
      <c r="F165" s="642"/>
      <c r="G165" s="642"/>
      <c r="H165" s="642"/>
      <c r="I165" s="642"/>
      <c r="J165" s="642"/>
      <c r="K165" s="642"/>
      <c r="L165" s="642"/>
      <c r="M165" s="642"/>
      <c r="N165" s="642"/>
      <c r="O165" s="642"/>
      <c r="P165" s="642"/>
      <c r="Q165" s="642"/>
    </row>
    <row r="166" spans="1:17" ht="24" customHeight="1">
      <c r="A166" s="642"/>
      <c r="B166" s="419"/>
      <c r="C166" s="419"/>
      <c r="D166" s="419"/>
      <c r="E166" s="419"/>
      <c r="F166" s="642"/>
      <c r="G166" s="642"/>
      <c r="H166" s="642"/>
      <c r="I166" s="642"/>
      <c r="J166" s="642"/>
      <c r="K166" s="642"/>
      <c r="L166" s="642"/>
      <c r="M166" s="642"/>
      <c r="N166" s="642"/>
      <c r="O166" s="642"/>
      <c r="P166" s="642"/>
      <c r="Q166" s="642"/>
    </row>
    <row r="167" spans="1:17" ht="24" customHeight="1">
      <c r="A167" s="642"/>
      <c r="B167" s="419"/>
      <c r="C167" s="419"/>
      <c r="D167" s="419"/>
      <c r="E167" s="419"/>
      <c r="F167" s="642"/>
      <c r="G167" s="642"/>
      <c r="H167" s="642"/>
      <c r="I167" s="642"/>
      <c r="J167" s="642"/>
      <c r="K167" s="642"/>
      <c r="L167" s="642"/>
      <c r="M167" s="642"/>
      <c r="N167" s="642"/>
      <c r="O167" s="642"/>
      <c r="P167" s="642"/>
      <c r="Q167" s="642"/>
    </row>
    <row r="168" spans="1:17" ht="24" customHeight="1">
      <c r="A168" s="642"/>
      <c r="B168" s="419"/>
      <c r="C168" s="419"/>
      <c r="D168" s="419"/>
      <c r="E168" s="419"/>
      <c r="F168" s="642"/>
      <c r="G168" s="642"/>
      <c r="H168" s="642"/>
      <c r="I168" s="642"/>
      <c r="J168" s="642"/>
      <c r="K168" s="642"/>
      <c r="L168" s="642"/>
      <c r="M168" s="642"/>
      <c r="N168" s="642"/>
      <c r="O168" s="642"/>
      <c r="P168" s="642"/>
      <c r="Q168" s="642"/>
    </row>
    <row r="169" spans="1:17" ht="24" customHeight="1">
      <c r="A169" s="642"/>
      <c r="B169" s="642"/>
      <c r="C169" s="642"/>
      <c r="D169" s="642"/>
      <c r="E169" s="642"/>
      <c r="F169" s="642"/>
      <c r="G169" s="642"/>
      <c r="H169" s="642"/>
      <c r="I169" s="642"/>
      <c r="J169" s="642"/>
      <c r="K169" s="642"/>
      <c r="L169" s="642"/>
      <c r="M169" s="642"/>
      <c r="N169" s="642"/>
      <c r="O169" s="642"/>
      <c r="P169" s="642"/>
      <c r="Q169" s="642"/>
    </row>
    <row r="170" spans="1:17" ht="24" customHeight="1">
      <c r="A170" s="642"/>
      <c r="B170" s="419"/>
      <c r="C170" s="419"/>
      <c r="D170" s="419"/>
      <c r="E170" s="419"/>
      <c r="F170" s="642"/>
      <c r="G170" s="642"/>
      <c r="H170" s="642"/>
      <c r="I170" s="642"/>
      <c r="J170" s="642"/>
      <c r="K170" s="642"/>
      <c r="L170" s="642"/>
      <c r="M170" s="642"/>
      <c r="N170" s="642"/>
      <c r="O170" s="642"/>
      <c r="P170" s="642"/>
      <c r="Q170" s="642"/>
    </row>
    <row r="171" spans="1:17" ht="24" customHeight="1">
      <c r="A171" s="642"/>
      <c r="B171" s="419"/>
      <c r="C171" s="419"/>
      <c r="D171" s="419"/>
      <c r="E171" s="419"/>
      <c r="F171" s="642"/>
      <c r="G171" s="642"/>
      <c r="H171" s="642"/>
      <c r="I171" s="642"/>
      <c r="J171" s="642"/>
      <c r="K171" s="642"/>
      <c r="L171" s="642"/>
      <c r="M171" s="642"/>
      <c r="N171" s="642"/>
      <c r="O171" s="642"/>
      <c r="P171" s="642"/>
      <c r="Q171" s="642"/>
    </row>
    <row r="172" spans="1:17" ht="24" customHeight="1">
      <c r="A172" s="642"/>
      <c r="B172" s="419"/>
      <c r="C172" s="419"/>
      <c r="D172" s="419"/>
      <c r="E172" s="419"/>
      <c r="F172" s="642"/>
      <c r="G172" s="642"/>
      <c r="H172" s="642"/>
      <c r="I172" s="642"/>
      <c r="J172" s="642"/>
      <c r="K172" s="642"/>
      <c r="L172" s="642"/>
      <c r="M172" s="642"/>
      <c r="N172" s="642"/>
      <c r="O172" s="642"/>
      <c r="P172" s="642"/>
      <c r="Q172" s="642"/>
    </row>
    <row r="173" spans="1:17" ht="24" customHeight="1">
      <c r="A173" s="642"/>
      <c r="B173" s="419"/>
      <c r="C173" s="419"/>
      <c r="D173" s="419"/>
      <c r="E173" s="419"/>
      <c r="F173" s="642"/>
      <c r="G173" s="642"/>
      <c r="H173" s="642"/>
      <c r="I173" s="642"/>
      <c r="J173" s="642"/>
      <c r="K173" s="642"/>
      <c r="L173" s="642"/>
      <c r="M173" s="642"/>
      <c r="N173" s="642"/>
      <c r="O173" s="642"/>
      <c r="P173" s="642"/>
      <c r="Q173" s="642"/>
    </row>
    <row r="174" spans="1:17" ht="24" customHeight="1">
      <c r="A174" s="642"/>
      <c r="B174" s="419"/>
      <c r="C174" s="419"/>
      <c r="D174" s="419"/>
      <c r="E174" s="419"/>
      <c r="F174" s="642"/>
      <c r="G174" s="642"/>
      <c r="H174" s="642"/>
      <c r="I174" s="642"/>
      <c r="J174" s="642"/>
      <c r="K174" s="642"/>
      <c r="L174" s="642"/>
      <c r="M174" s="642"/>
      <c r="N174" s="642"/>
      <c r="O174" s="642"/>
      <c r="P174" s="642"/>
      <c r="Q174" s="642"/>
    </row>
    <row r="175" spans="1:17" ht="24" customHeight="1">
      <c r="A175" s="642"/>
      <c r="B175" s="419"/>
      <c r="C175" s="419"/>
      <c r="D175" s="419"/>
      <c r="E175" s="419"/>
      <c r="F175" s="642"/>
      <c r="G175" s="642"/>
      <c r="H175" s="642"/>
      <c r="I175" s="642"/>
      <c r="J175" s="642"/>
      <c r="K175" s="642"/>
      <c r="L175" s="642"/>
      <c r="M175" s="642"/>
      <c r="N175" s="642"/>
      <c r="O175" s="642"/>
      <c r="P175" s="642"/>
      <c r="Q175" s="642"/>
    </row>
    <row r="176" spans="1:17" ht="24" customHeight="1">
      <c r="A176" s="642"/>
      <c r="B176" s="642"/>
      <c r="C176" s="642"/>
      <c r="D176" s="642"/>
      <c r="E176" s="642"/>
      <c r="F176" s="642"/>
      <c r="G176" s="642"/>
      <c r="H176" s="642"/>
      <c r="I176" s="642"/>
      <c r="J176" s="642"/>
      <c r="K176" s="642"/>
      <c r="L176" s="642"/>
      <c r="M176" s="642"/>
      <c r="N176" s="642"/>
      <c r="O176" s="642"/>
      <c r="P176" s="642"/>
      <c r="Q176" s="642"/>
    </row>
    <row r="177" spans="1:17" ht="24" customHeight="1">
      <c r="A177" s="642"/>
      <c r="B177" s="642"/>
      <c r="C177" s="642"/>
      <c r="D177" s="642"/>
      <c r="E177" s="642"/>
      <c r="F177" s="642"/>
      <c r="G177" s="642"/>
      <c r="H177" s="642"/>
      <c r="I177" s="642"/>
      <c r="J177" s="642"/>
      <c r="K177" s="642"/>
      <c r="L177" s="642"/>
      <c r="M177" s="642"/>
      <c r="N177" s="642"/>
      <c r="O177" s="642"/>
      <c r="P177" s="642"/>
      <c r="Q177" s="642"/>
    </row>
    <row r="178" spans="1:17" ht="24" customHeight="1">
      <c r="A178" s="642"/>
      <c r="B178" s="642"/>
      <c r="C178" s="642"/>
      <c r="D178" s="642"/>
      <c r="E178" s="642"/>
      <c r="F178" s="642"/>
      <c r="G178" s="642"/>
      <c r="H178" s="642"/>
      <c r="I178" s="642"/>
      <c r="J178" s="642"/>
      <c r="K178" s="642"/>
      <c r="L178" s="642"/>
      <c r="M178" s="642"/>
      <c r="N178" s="642"/>
      <c r="O178" s="642"/>
      <c r="P178" s="642"/>
      <c r="Q178" s="642"/>
    </row>
    <row r="179" spans="1:17" ht="24" customHeight="1">
      <c r="A179" s="642"/>
      <c r="B179" s="127"/>
      <c r="C179" s="409"/>
      <c r="D179" s="642"/>
      <c r="E179" s="642"/>
      <c r="F179" s="642"/>
      <c r="G179" s="642"/>
      <c r="H179" s="642"/>
      <c r="I179" s="642"/>
      <c r="J179" s="642"/>
      <c r="K179" s="642"/>
      <c r="L179" s="642"/>
      <c r="M179" s="642"/>
      <c r="N179" s="642"/>
      <c r="O179" s="642"/>
      <c r="P179" s="642"/>
      <c r="Q179" s="642"/>
    </row>
    <row r="180" spans="1:17" ht="24" customHeight="1">
      <c r="A180" s="642"/>
      <c r="B180" s="127"/>
      <c r="C180" s="409"/>
      <c r="D180" s="642"/>
      <c r="E180" s="642"/>
      <c r="F180" s="642"/>
      <c r="G180" s="642"/>
      <c r="H180" s="642"/>
      <c r="I180" s="642"/>
      <c r="J180" s="642"/>
      <c r="K180" s="642"/>
      <c r="L180" s="642"/>
      <c r="M180" s="642"/>
      <c r="N180" s="642"/>
      <c r="O180" s="642"/>
      <c r="P180" s="642"/>
      <c r="Q180" s="642"/>
    </row>
    <row r="181" spans="1:17" ht="24" customHeight="1">
      <c r="A181" s="642"/>
      <c r="B181" s="409"/>
      <c r="C181" s="409"/>
      <c r="D181" s="642"/>
      <c r="E181" s="642"/>
      <c r="F181" s="642"/>
      <c r="G181" s="642"/>
      <c r="H181" s="642"/>
      <c r="I181" s="642"/>
      <c r="J181" s="642"/>
      <c r="K181" s="642"/>
      <c r="L181" s="642"/>
      <c r="M181" s="642"/>
      <c r="N181" s="642"/>
      <c r="O181" s="642"/>
      <c r="P181" s="642"/>
      <c r="Q181" s="642"/>
    </row>
    <row r="182" spans="1:17" ht="24" customHeight="1">
      <c r="A182" s="642"/>
      <c r="B182" s="409"/>
      <c r="C182" s="409"/>
      <c r="D182" s="642"/>
      <c r="E182" s="642"/>
      <c r="F182" s="642"/>
      <c r="G182" s="642"/>
      <c r="H182" s="642"/>
      <c r="I182" s="642"/>
      <c r="J182" s="642"/>
      <c r="K182" s="642"/>
      <c r="L182" s="642"/>
      <c r="M182" s="642"/>
      <c r="N182" s="642"/>
      <c r="O182" s="642"/>
      <c r="P182" s="642"/>
      <c r="Q182" s="642"/>
    </row>
    <row r="183" spans="1:17" ht="24" customHeight="1">
      <c r="A183" s="642"/>
      <c r="B183" s="409"/>
      <c r="C183" s="409"/>
      <c r="D183" s="642"/>
      <c r="E183" s="642"/>
      <c r="F183" s="642"/>
      <c r="G183" s="642"/>
      <c r="H183" s="642"/>
      <c r="I183" s="642"/>
      <c r="J183" s="642"/>
      <c r="K183" s="642"/>
      <c r="L183" s="642"/>
      <c r="M183" s="642"/>
      <c r="N183" s="642"/>
      <c r="O183" s="642"/>
      <c r="P183" s="642"/>
      <c r="Q183" s="642"/>
    </row>
    <row r="184" spans="1:17" ht="24" customHeight="1">
      <c r="A184" s="642"/>
      <c r="B184" s="409"/>
      <c r="C184" s="409"/>
      <c r="D184" s="642"/>
      <c r="E184" s="642"/>
      <c r="F184" s="642"/>
      <c r="G184" s="642"/>
      <c r="H184" s="642"/>
      <c r="I184" s="642"/>
      <c r="J184" s="642"/>
      <c r="K184" s="642"/>
      <c r="L184" s="642"/>
      <c r="M184" s="642"/>
      <c r="N184" s="642"/>
      <c r="O184" s="642"/>
      <c r="P184" s="642"/>
      <c r="Q184" s="642"/>
    </row>
    <row r="185" spans="1:17" ht="24" customHeight="1">
      <c r="A185" s="642"/>
      <c r="B185" s="409"/>
      <c r="C185" s="409"/>
      <c r="D185" s="642"/>
      <c r="E185" s="642"/>
      <c r="F185" s="642"/>
      <c r="G185" s="642"/>
      <c r="H185" s="642"/>
      <c r="I185" s="642"/>
      <c r="J185" s="642"/>
      <c r="K185" s="642"/>
      <c r="L185" s="642"/>
      <c r="M185" s="642"/>
      <c r="N185" s="642"/>
      <c r="O185" s="642"/>
      <c r="P185" s="642"/>
      <c r="Q185" s="642"/>
    </row>
    <row r="186" spans="1:17" ht="24" customHeight="1">
      <c r="A186" s="642"/>
      <c r="B186" s="409"/>
      <c r="C186" s="410"/>
      <c r="D186" s="642"/>
      <c r="E186" s="642"/>
      <c r="F186" s="642"/>
      <c r="G186" s="642"/>
      <c r="H186" s="642"/>
      <c r="I186" s="642"/>
      <c r="J186" s="642"/>
      <c r="K186" s="642"/>
      <c r="L186" s="642"/>
      <c r="M186" s="642"/>
      <c r="N186" s="642"/>
      <c r="O186" s="642"/>
      <c r="P186" s="642"/>
      <c r="Q186" s="642"/>
    </row>
    <row r="187" spans="1:17" ht="24" customHeight="1">
      <c r="A187" s="642"/>
      <c r="B187" s="409"/>
      <c r="C187" s="410"/>
      <c r="D187" s="410"/>
      <c r="E187" s="642"/>
      <c r="F187" s="642"/>
      <c r="G187" s="642"/>
      <c r="H187" s="642"/>
      <c r="I187" s="642"/>
      <c r="J187" s="642"/>
      <c r="K187" s="642"/>
      <c r="L187" s="642"/>
      <c r="M187" s="642"/>
      <c r="N187" s="642"/>
      <c r="O187" s="642"/>
      <c r="P187" s="642"/>
      <c r="Q187" s="642"/>
    </row>
    <row r="188" spans="1:17" ht="24" customHeight="1">
      <c r="A188" s="642"/>
      <c r="B188" s="409"/>
      <c r="C188" s="410"/>
      <c r="D188" s="410"/>
      <c r="E188" s="642"/>
      <c r="F188" s="642"/>
      <c r="G188" s="642"/>
      <c r="H188" s="642"/>
      <c r="I188" s="642"/>
      <c r="J188" s="642"/>
      <c r="K188" s="642"/>
      <c r="L188" s="642"/>
      <c r="M188" s="642"/>
      <c r="N188" s="642"/>
      <c r="O188" s="642"/>
      <c r="P188" s="642"/>
      <c r="Q188" s="642"/>
    </row>
    <row r="189" spans="1:17" ht="24" customHeight="1">
      <c r="A189" s="642"/>
      <c r="B189" s="409"/>
      <c r="C189" s="410"/>
      <c r="D189" s="410"/>
      <c r="E189" s="642"/>
      <c r="F189" s="642"/>
      <c r="G189" s="642"/>
      <c r="H189" s="642"/>
      <c r="I189" s="642"/>
      <c r="J189" s="642"/>
      <c r="K189" s="642"/>
      <c r="L189" s="642"/>
      <c r="M189" s="642"/>
      <c r="N189" s="642"/>
      <c r="O189" s="642"/>
      <c r="P189" s="642"/>
      <c r="Q189" s="642"/>
    </row>
    <row r="190" spans="1:17" ht="24" customHeight="1">
      <c r="A190" s="642"/>
      <c r="B190" s="409"/>
      <c r="C190" s="410"/>
      <c r="D190" s="410"/>
      <c r="E190" s="642"/>
      <c r="F190" s="642"/>
      <c r="G190" s="642"/>
      <c r="H190" s="642"/>
      <c r="I190" s="642"/>
      <c r="J190" s="642"/>
      <c r="K190" s="642"/>
      <c r="L190" s="642"/>
      <c r="M190" s="642"/>
      <c r="N190" s="642"/>
      <c r="O190" s="642"/>
      <c r="P190" s="642"/>
      <c r="Q190" s="642"/>
    </row>
    <row r="191" spans="1:17" ht="24" customHeight="1">
      <c r="A191" s="642"/>
      <c r="B191" s="409"/>
      <c r="C191" s="410"/>
      <c r="D191" s="410"/>
      <c r="E191" s="642"/>
      <c r="F191" s="642"/>
      <c r="G191" s="642"/>
      <c r="H191" s="642"/>
      <c r="I191" s="642"/>
      <c r="J191" s="642"/>
      <c r="K191" s="642"/>
      <c r="L191" s="642"/>
      <c r="M191" s="642"/>
      <c r="N191" s="642"/>
      <c r="O191" s="642"/>
      <c r="P191" s="642"/>
      <c r="Q191" s="642"/>
    </row>
    <row r="192" spans="1:17" ht="24" customHeight="1">
      <c r="A192" s="642"/>
      <c r="B192" s="409"/>
      <c r="C192" s="410"/>
      <c r="D192" s="410"/>
      <c r="E192" s="642"/>
      <c r="F192" s="642"/>
      <c r="G192" s="642"/>
      <c r="H192" s="642"/>
      <c r="I192" s="642"/>
      <c r="J192" s="642"/>
      <c r="K192" s="642"/>
      <c r="L192" s="642"/>
      <c r="M192" s="642"/>
      <c r="N192" s="642"/>
      <c r="O192" s="642"/>
      <c r="P192" s="642"/>
      <c r="Q192" s="642"/>
    </row>
    <row r="193" spans="1:17" ht="24" customHeight="1">
      <c r="A193" s="642"/>
      <c r="B193" s="409"/>
      <c r="C193" s="410"/>
      <c r="D193" s="410"/>
      <c r="E193" s="642"/>
      <c r="F193" s="642"/>
      <c r="G193" s="642"/>
      <c r="H193" s="642"/>
      <c r="I193" s="642"/>
      <c r="J193" s="642"/>
      <c r="K193" s="642"/>
      <c r="L193" s="642"/>
      <c r="M193" s="642"/>
      <c r="N193" s="642"/>
      <c r="O193" s="642"/>
      <c r="P193" s="642"/>
      <c r="Q193" s="642"/>
    </row>
    <row r="194" spans="1:17" ht="24" customHeight="1">
      <c r="A194" s="642"/>
      <c r="B194" s="409"/>
      <c r="C194" s="410"/>
      <c r="D194" s="410"/>
      <c r="E194" s="642"/>
      <c r="F194" s="642"/>
      <c r="G194" s="642"/>
      <c r="H194" s="642"/>
      <c r="I194" s="642"/>
      <c r="J194" s="642"/>
      <c r="K194" s="642"/>
      <c r="L194" s="642"/>
      <c r="M194" s="642"/>
      <c r="N194" s="642"/>
      <c r="O194" s="642"/>
      <c r="P194" s="642"/>
      <c r="Q194" s="642"/>
    </row>
    <row r="195" spans="1:17" ht="24" customHeight="1">
      <c r="A195" s="642"/>
      <c r="B195" s="409"/>
      <c r="C195" s="410"/>
      <c r="D195" s="410"/>
      <c r="E195" s="642"/>
      <c r="F195" s="642"/>
      <c r="G195" s="642"/>
      <c r="H195" s="642"/>
      <c r="I195" s="642"/>
      <c r="J195" s="642"/>
      <c r="K195" s="642"/>
      <c r="L195" s="642"/>
      <c r="M195" s="642"/>
      <c r="N195" s="642"/>
      <c r="O195" s="642"/>
      <c r="P195" s="642"/>
      <c r="Q195" s="642"/>
    </row>
    <row r="196" spans="1:17" ht="24" customHeight="1">
      <c r="A196" s="642"/>
      <c r="B196" s="409"/>
      <c r="C196" s="410"/>
      <c r="D196" s="410"/>
      <c r="E196" s="642"/>
      <c r="F196" s="642"/>
      <c r="G196" s="642"/>
      <c r="H196" s="642"/>
      <c r="I196" s="642"/>
      <c r="J196" s="642"/>
      <c r="K196" s="642"/>
      <c r="L196" s="642"/>
      <c r="M196" s="642"/>
      <c r="N196" s="642"/>
      <c r="O196" s="642"/>
      <c r="P196" s="642"/>
      <c r="Q196" s="642"/>
    </row>
    <row r="197" spans="1:17" ht="24" customHeight="1">
      <c r="A197" s="642"/>
      <c r="B197" s="409"/>
      <c r="C197" s="410"/>
      <c r="D197" s="410"/>
      <c r="E197" s="642"/>
      <c r="F197" s="642"/>
      <c r="G197" s="642"/>
      <c r="H197" s="642"/>
      <c r="I197" s="642"/>
      <c r="J197" s="642"/>
      <c r="K197" s="642"/>
      <c r="L197" s="642"/>
      <c r="M197" s="642"/>
      <c r="N197" s="642"/>
      <c r="O197" s="642"/>
      <c r="P197" s="642"/>
      <c r="Q197" s="642"/>
    </row>
    <row r="198" spans="1:17" ht="24" customHeight="1">
      <c r="A198" s="642"/>
      <c r="B198" s="409"/>
      <c r="C198" s="410"/>
      <c r="D198" s="410"/>
      <c r="E198" s="642"/>
      <c r="F198" s="642"/>
      <c r="G198" s="642"/>
      <c r="H198" s="642"/>
      <c r="I198" s="642"/>
      <c r="J198" s="642"/>
      <c r="K198" s="642"/>
      <c r="L198" s="642"/>
      <c r="M198" s="642"/>
      <c r="N198" s="642"/>
      <c r="O198" s="642"/>
      <c r="P198" s="642"/>
      <c r="Q198" s="642"/>
    </row>
    <row r="199" spans="1:17" ht="24" customHeight="1">
      <c r="A199" s="642"/>
      <c r="B199" s="409"/>
      <c r="C199" s="410"/>
      <c r="D199" s="410"/>
      <c r="E199" s="642"/>
      <c r="F199" s="642"/>
      <c r="G199" s="642"/>
      <c r="H199" s="642"/>
      <c r="I199" s="642"/>
      <c r="J199" s="642"/>
      <c r="K199" s="642"/>
      <c r="L199" s="642"/>
      <c r="M199" s="642"/>
      <c r="N199" s="642"/>
      <c r="O199" s="642"/>
      <c r="P199" s="642"/>
      <c r="Q199" s="642"/>
    </row>
    <row r="200" spans="1:17" ht="24" customHeight="1">
      <c r="A200" s="642"/>
      <c r="B200" s="409"/>
      <c r="C200" s="410"/>
      <c r="D200" s="410"/>
      <c r="E200" s="642"/>
      <c r="F200" s="642"/>
      <c r="G200" s="642"/>
      <c r="H200" s="642"/>
      <c r="I200" s="642"/>
      <c r="J200" s="642"/>
      <c r="K200" s="642"/>
      <c r="L200" s="642"/>
      <c r="M200" s="642"/>
      <c r="N200" s="642"/>
      <c r="O200" s="642"/>
      <c r="P200" s="642"/>
      <c r="Q200" s="642"/>
    </row>
    <row r="201" spans="1:17" ht="24" customHeight="1">
      <c r="A201" s="642"/>
      <c r="B201" s="409"/>
      <c r="C201" s="410"/>
      <c r="D201" s="410"/>
      <c r="E201" s="642"/>
      <c r="F201" s="642"/>
      <c r="G201" s="642"/>
      <c r="H201" s="642"/>
      <c r="I201" s="642"/>
      <c r="J201" s="642"/>
      <c r="K201" s="642"/>
      <c r="L201" s="642"/>
      <c r="M201" s="642"/>
      <c r="N201" s="642"/>
      <c r="O201" s="642"/>
      <c r="P201" s="642"/>
      <c r="Q201" s="642"/>
    </row>
    <row r="202" spans="1:17" ht="24" customHeight="1">
      <c r="A202" s="642"/>
      <c r="B202" s="409"/>
      <c r="C202" s="410"/>
      <c r="D202" s="410"/>
      <c r="E202" s="642"/>
      <c r="F202" s="642"/>
      <c r="G202" s="642"/>
      <c r="H202" s="642"/>
      <c r="I202" s="642"/>
      <c r="J202" s="642"/>
      <c r="K202" s="642"/>
      <c r="L202" s="642"/>
      <c r="M202" s="642"/>
      <c r="N202" s="642"/>
      <c r="O202" s="642"/>
      <c r="P202" s="642"/>
      <c r="Q202" s="642"/>
    </row>
    <row r="203" spans="1:17" ht="24" customHeight="1">
      <c r="A203" s="642"/>
      <c r="B203" s="409"/>
      <c r="C203" s="410"/>
      <c r="D203" s="642"/>
      <c r="E203" s="642"/>
      <c r="F203" s="642"/>
      <c r="G203" s="642"/>
      <c r="H203" s="642"/>
      <c r="I203" s="642"/>
      <c r="J203" s="642"/>
      <c r="K203" s="642"/>
      <c r="L203" s="642"/>
      <c r="M203" s="642"/>
      <c r="N203" s="642"/>
      <c r="O203" s="642"/>
      <c r="P203" s="642"/>
      <c r="Q203" s="642"/>
    </row>
    <row r="204" spans="1:17" ht="24" customHeight="1">
      <c r="A204" s="642"/>
      <c r="B204" s="409"/>
      <c r="C204" s="410"/>
      <c r="D204" s="642"/>
      <c r="E204" s="642"/>
      <c r="F204" s="642"/>
      <c r="G204" s="642"/>
      <c r="H204" s="642"/>
      <c r="I204" s="642"/>
      <c r="J204" s="642"/>
      <c r="K204" s="642"/>
      <c r="L204" s="642"/>
      <c r="M204" s="642"/>
      <c r="N204" s="642"/>
      <c r="O204" s="642"/>
      <c r="P204" s="642"/>
      <c r="Q204" s="642"/>
    </row>
    <row r="205" spans="1:17" ht="24" customHeight="1">
      <c r="A205" s="642"/>
      <c r="B205" s="409"/>
      <c r="C205" s="410"/>
      <c r="D205" s="642"/>
      <c r="E205" s="642"/>
      <c r="F205" s="642"/>
      <c r="G205" s="642"/>
      <c r="H205" s="642"/>
      <c r="I205" s="642"/>
      <c r="J205" s="642"/>
      <c r="K205" s="642"/>
      <c r="L205" s="642"/>
      <c r="M205" s="642"/>
      <c r="N205" s="642"/>
      <c r="O205" s="642"/>
      <c r="P205" s="642"/>
      <c r="Q205" s="642"/>
    </row>
    <row r="206" spans="1:17" ht="24" customHeight="1">
      <c r="A206" s="642"/>
      <c r="B206" s="409"/>
      <c r="C206" s="410"/>
      <c r="D206" s="642"/>
      <c r="E206" s="642"/>
      <c r="F206" s="642"/>
      <c r="G206" s="642"/>
      <c r="H206" s="642"/>
      <c r="I206" s="642"/>
      <c r="J206" s="642"/>
      <c r="K206" s="642"/>
      <c r="L206" s="642"/>
      <c r="M206" s="642"/>
      <c r="N206" s="642"/>
      <c r="O206" s="642"/>
      <c r="P206" s="642"/>
      <c r="Q206" s="642"/>
    </row>
    <row r="207" spans="1:17" ht="24" customHeight="1">
      <c r="A207" s="642"/>
      <c r="B207" s="409"/>
      <c r="C207" s="410"/>
      <c r="D207" s="642"/>
      <c r="E207" s="642"/>
      <c r="F207" s="642"/>
      <c r="G207" s="642"/>
      <c r="H207" s="642"/>
      <c r="I207" s="642"/>
      <c r="J207" s="642"/>
      <c r="K207" s="642"/>
      <c r="L207" s="642"/>
      <c r="M207" s="642"/>
      <c r="N207" s="642"/>
      <c r="O207" s="642"/>
      <c r="P207" s="642"/>
      <c r="Q207" s="642"/>
    </row>
    <row r="208" spans="1:17" ht="24" customHeight="1">
      <c r="A208" s="642"/>
      <c r="B208" s="409"/>
      <c r="C208" s="410"/>
      <c r="D208" s="642"/>
      <c r="E208" s="642"/>
      <c r="F208" s="642"/>
      <c r="G208" s="642"/>
      <c r="H208" s="642"/>
      <c r="I208" s="642"/>
      <c r="J208" s="642"/>
      <c r="K208" s="642"/>
      <c r="L208" s="642"/>
      <c r="M208" s="642"/>
      <c r="N208" s="642"/>
      <c r="O208" s="642"/>
      <c r="P208" s="642"/>
      <c r="Q208" s="642"/>
    </row>
    <row r="209" spans="1:17" ht="24" customHeight="1">
      <c r="A209" s="642"/>
      <c r="B209" s="409"/>
      <c r="C209" s="410"/>
      <c r="D209" s="410"/>
      <c r="E209" s="642"/>
      <c r="F209" s="642"/>
      <c r="G209" s="642"/>
      <c r="H209" s="642"/>
      <c r="I209" s="642"/>
      <c r="J209" s="642"/>
      <c r="K209" s="642"/>
      <c r="L209" s="642"/>
      <c r="M209" s="642"/>
      <c r="N209" s="642"/>
      <c r="O209" s="642"/>
      <c r="P209" s="642"/>
      <c r="Q209" s="642"/>
    </row>
    <row r="210" spans="1:17" ht="24" customHeight="1">
      <c r="A210" s="642"/>
      <c r="B210" s="409"/>
      <c r="C210" s="410"/>
      <c r="D210" s="410"/>
      <c r="E210" s="642"/>
      <c r="F210" s="642"/>
      <c r="G210" s="642"/>
      <c r="H210" s="642"/>
      <c r="I210" s="642"/>
      <c r="J210" s="642"/>
      <c r="K210" s="642"/>
      <c r="L210" s="642"/>
      <c r="M210" s="642"/>
      <c r="N210" s="642"/>
      <c r="O210" s="642"/>
      <c r="P210" s="642"/>
      <c r="Q210" s="642"/>
    </row>
    <row r="211" spans="1:17" ht="24" customHeight="1">
      <c r="A211" s="642"/>
      <c r="B211" s="409"/>
      <c r="C211" s="410"/>
      <c r="D211" s="410"/>
      <c r="E211" s="642"/>
      <c r="F211" s="642"/>
      <c r="G211" s="642"/>
      <c r="H211" s="642"/>
      <c r="I211" s="642"/>
      <c r="J211" s="642"/>
      <c r="K211" s="642"/>
      <c r="L211" s="642"/>
      <c r="M211" s="642"/>
      <c r="N211" s="642"/>
      <c r="O211" s="642"/>
      <c r="P211" s="642"/>
      <c r="Q211" s="642"/>
    </row>
    <row r="212" spans="1:17" ht="24" customHeight="1">
      <c r="A212" s="642"/>
      <c r="B212" s="409"/>
      <c r="C212" s="410"/>
      <c r="D212" s="410"/>
      <c r="E212" s="642"/>
      <c r="F212" s="642"/>
      <c r="G212" s="642"/>
      <c r="H212" s="642"/>
      <c r="I212" s="642"/>
      <c r="J212" s="642"/>
      <c r="K212" s="642"/>
      <c r="L212" s="642"/>
      <c r="M212" s="642"/>
      <c r="N212" s="642"/>
      <c r="O212" s="642"/>
      <c r="P212" s="642"/>
      <c r="Q212" s="642"/>
    </row>
    <row r="213" spans="1:17" ht="24" customHeight="1">
      <c r="A213" s="642"/>
      <c r="B213" s="409"/>
      <c r="C213" s="410"/>
      <c r="D213" s="410"/>
      <c r="E213" s="642"/>
      <c r="F213" s="642"/>
      <c r="G213" s="642"/>
      <c r="H213" s="642"/>
      <c r="I213" s="642"/>
      <c r="J213" s="642"/>
      <c r="K213" s="642"/>
      <c r="L213" s="642"/>
      <c r="M213" s="642"/>
      <c r="N213" s="642"/>
      <c r="O213" s="642"/>
      <c r="P213" s="642"/>
      <c r="Q213" s="642"/>
    </row>
    <row r="214" spans="1:17" ht="24" customHeight="1">
      <c r="A214" s="642"/>
      <c r="B214" s="409"/>
      <c r="C214" s="410"/>
      <c r="D214" s="410"/>
      <c r="E214" s="642"/>
      <c r="F214" s="642"/>
      <c r="G214" s="642"/>
      <c r="H214" s="642"/>
      <c r="I214" s="642"/>
      <c r="J214" s="642"/>
      <c r="K214" s="642"/>
      <c r="L214" s="642"/>
      <c r="M214" s="642"/>
      <c r="N214" s="642"/>
      <c r="O214" s="642"/>
      <c r="P214" s="642"/>
      <c r="Q214" s="642"/>
    </row>
    <row r="215" spans="1:17" ht="24" customHeight="1">
      <c r="A215" s="642"/>
      <c r="B215" s="409"/>
      <c r="C215" s="410"/>
      <c r="D215" s="410"/>
      <c r="E215" s="642"/>
      <c r="F215" s="642"/>
      <c r="G215" s="642"/>
      <c r="H215" s="642"/>
      <c r="I215" s="642"/>
      <c r="J215" s="642"/>
      <c r="K215" s="642"/>
      <c r="L215" s="642"/>
      <c r="M215" s="642"/>
      <c r="N215" s="642"/>
      <c r="O215" s="642"/>
      <c r="P215" s="642"/>
      <c r="Q215" s="642"/>
    </row>
    <row r="216" spans="1:17" ht="24" customHeight="1">
      <c r="A216" s="642"/>
      <c r="B216" s="409"/>
      <c r="C216" s="410"/>
      <c r="D216" s="410"/>
      <c r="E216" s="642"/>
      <c r="F216" s="642"/>
      <c r="G216" s="642"/>
      <c r="H216" s="642"/>
      <c r="I216" s="642"/>
      <c r="J216" s="642"/>
      <c r="K216" s="642"/>
      <c r="L216" s="642"/>
      <c r="M216" s="642"/>
      <c r="N216" s="642"/>
      <c r="O216" s="642"/>
      <c r="P216" s="642"/>
      <c r="Q216" s="642"/>
    </row>
    <row r="217" spans="1:17" ht="24" customHeight="1">
      <c r="A217" s="642"/>
      <c r="B217" s="409"/>
      <c r="C217" s="410"/>
      <c r="D217" s="410"/>
      <c r="E217" s="642"/>
      <c r="F217" s="642"/>
      <c r="G217" s="642"/>
      <c r="H217" s="642"/>
      <c r="I217" s="642"/>
      <c r="J217" s="642"/>
      <c r="K217" s="642"/>
      <c r="L217" s="642"/>
      <c r="M217" s="642"/>
      <c r="N217" s="642"/>
      <c r="O217" s="642"/>
      <c r="P217" s="642"/>
      <c r="Q217" s="642"/>
    </row>
    <row r="218" spans="1:17" ht="24" customHeight="1">
      <c r="A218" s="642"/>
      <c r="B218" s="409"/>
      <c r="C218" s="410"/>
      <c r="D218" s="410"/>
      <c r="E218" s="642"/>
      <c r="F218" s="642"/>
      <c r="G218" s="642"/>
      <c r="H218" s="642"/>
      <c r="I218" s="642"/>
      <c r="J218" s="642"/>
      <c r="K218" s="642"/>
      <c r="L218" s="642"/>
      <c r="M218" s="642"/>
      <c r="N218" s="642"/>
      <c r="O218" s="642"/>
      <c r="P218" s="642"/>
      <c r="Q218" s="642"/>
    </row>
    <row r="219" spans="1:17" ht="24" customHeight="1">
      <c r="A219" s="642"/>
      <c r="B219" s="409"/>
      <c r="C219" s="410"/>
      <c r="D219" s="410"/>
      <c r="E219" s="642"/>
      <c r="F219" s="642"/>
      <c r="G219" s="642"/>
      <c r="H219" s="642"/>
      <c r="I219" s="642"/>
      <c r="J219" s="642"/>
      <c r="K219" s="642"/>
      <c r="L219" s="642"/>
      <c r="M219" s="642"/>
      <c r="N219" s="642"/>
      <c r="O219" s="642"/>
      <c r="P219" s="642"/>
      <c r="Q219" s="642"/>
    </row>
    <row r="220" spans="1:17" ht="24" customHeight="1">
      <c r="A220" s="642"/>
      <c r="B220" s="409"/>
      <c r="C220" s="410"/>
      <c r="D220" s="410"/>
      <c r="E220" s="642"/>
      <c r="F220" s="642"/>
      <c r="G220" s="642"/>
      <c r="H220" s="642"/>
      <c r="I220" s="642"/>
      <c r="J220" s="642"/>
      <c r="K220" s="642"/>
      <c r="L220" s="642"/>
      <c r="M220" s="642"/>
      <c r="N220" s="642"/>
      <c r="O220" s="642"/>
      <c r="P220" s="642"/>
      <c r="Q220" s="642"/>
    </row>
    <row r="221" spans="1:17" ht="24" customHeight="1">
      <c r="A221" s="642"/>
      <c r="B221" s="409"/>
      <c r="C221" s="410"/>
      <c r="D221" s="410"/>
      <c r="E221" s="642"/>
      <c r="F221" s="642"/>
      <c r="G221" s="642"/>
      <c r="H221" s="642"/>
      <c r="I221" s="642"/>
      <c r="J221" s="642"/>
      <c r="K221" s="642"/>
      <c r="L221" s="642"/>
      <c r="M221" s="642"/>
      <c r="N221" s="642"/>
      <c r="O221" s="642"/>
      <c r="P221" s="642"/>
      <c r="Q221" s="642"/>
    </row>
    <row r="222" spans="1:17" ht="24" customHeight="1">
      <c r="A222" s="642"/>
      <c r="B222" s="409"/>
      <c r="C222" s="410"/>
      <c r="D222" s="410"/>
      <c r="E222" s="642"/>
      <c r="F222" s="642"/>
      <c r="G222" s="642"/>
      <c r="H222" s="642"/>
      <c r="I222" s="642"/>
      <c r="J222" s="642"/>
      <c r="K222" s="642"/>
      <c r="L222" s="642"/>
      <c r="M222" s="642"/>
      <c r="N222" s="642"/>
      <c r="O222" s="642"/>
      <c r="P222" s="642"/>
      <c r="Q222" s="642"/>
    </row>
    <row r="223" spans="1:17" ht="24" customHeight="1">
      <c r="A223" s="642"/>
      <c r="B223" s="409"/>
      <c r="C223" s="410"/>
      <c r="D223" s="410"/>
      <c r="E223" s="642"/>
      <c r="F223" s="642"/>
      <c r="G223" s="642"/>
      <c r="H223" s="642"/>
      <c r="I223" s="642"/>
      <c r="J223" s="642"/>
      <c r="K223" s="642"/>
      <c r="L223" s="642"/>
      <c r="M223" s="642"/>
      <c r="N223" s="642"/>
      <c r="O223" s="642"/>
      <c r="P223" s="642"/>
      <c r="Q223" s="642"/>
    </row>
    <row r="224" spans="1:17" ht="24" customHeight="1">
      <c r="A224" s="642"/>
      <c r="B224" s="409"/>
      <c r="C224" s="410"/>
      <c r="D224" s="410"/>
      <c r="E224" s="642"/>
      <c r="F224" s="642"/>
      <c r="G224" s="642"/>
      <c r="H224" s="642"/>
      <c r="I224" s="642"/>
      <c r="J224" s="642"/>
      <c r="K224" s="642"/>
      <c r="L224" s="642"/>
      <c r="M224" s="642"/>
      <c r="N224" s="642"/>
      <c r="O224" s="642"/>
      <c r="P224" s="642"/>
      <c r="Q224" s="642"/>
    </row>
    <row r="225" spans="1:17" ht="24" customHeight="1">
      <c r="A225" s="642"/>
      <c r="B225" s="409"/>
      <c r="C225" s="410"/>
      <c r="D225" s="410"/>
      <c r="E225" s="642"/>
      <c r="F225" s="642"/>
      <c r="G225" s="642"/>
      <c r="H225" s="642"/>
      <c r="I225" s="642"/>
      <c r="J225" s="642"/>
      <c r="K225" s="642"/>
      <c r="L225" s="642"/>
      <c r="M225" s="642"/>
      <c r="N225" s="642"/>
      <c r="O225" s="642"/>
      <c r="P225" s="642"/>
      <c r="Q225" s="642"/>
    </row>
    <row r="226" spans="1:17" ht="24" customHeight="1">
      <c r="A226" s="642"/>
      <c r="B226" s="409"/>
      <c r="C226" s="410"/>
      <c r="D226" s="410"/>
      <c r="E226" s="642"/>
      <c r="F226" s="642"/>
      <c r="G226" s="642"/>
      <c r="H226" s="642"/>
      <c r="I226" s="642"/>
      <c r="J226" s="642"/>
      <c r="K226" s="642"/>
      <c r="L226" s="642"/>
      <c r="M226" s="642"/>
      <c r="N226" s="642"/>
      <c r="O226" s="642"/>
      <c r="P226" s="642"/>
      <c r="Q226" s="642"/>
    </row>
    <row r="227" spans="1:17" ht="24" customHeight="1">
      <c r="A227" s="642"/>
      <c r="B227" s="409"/>
      <c r="C227" s="410"/>
      <c r="D227" s="410"/>
      <c r="E227" s="642"/>
      <c r="F227" s="642"/>
      <c r="G227" s="642"/>
      <c r="H227" s="642"/>
      <c r="I227" s="642"/>
      <c r="J227" s="642"/>
      <c r="K227" s="642"/>
      <c r="L227" s="642"/>
      <c r="M227" s="642"/>
      <c r="N227" s="642"/>
      <c r="O227" s="642"/>
      <c r="P227" s="642"/>
      <c r="Q227" s="642"/>
    </row>
    <row r="228" spans="1:17" ht="24" customHeight="1">
      <c r="A228" s="642"/>
      <c r="B228" s="409"/>
      <c r="C228" s="410"/>
      <c r="D228" s="410"/>
      <c r="E228" s="642"/>
      <c r="F228" s="642"/>
      <c r="G228" s="642"/>
      <c r="H228" s="642"/>
      <c r="I228" s="642"/>
      <c r="J228" s="642"/>
      <c r="K228" s="642"/>
      <c r="L228" s="642"/>
      <c r="M228" s="642"/>
      <c r="N228" s="642"/>
      <c r="O228" s="642"/>
      <c r="P228" s="642"/>
      <c r="Q228" s="642"/>
    </row>
    <row r="229" spans="1:17" ht="24" customHeight="1">
      <c r="A229" s="642"/>
      <c r="B229" s="409"/>
      <c r="C229" s="410"/>
      <c r="D229" s="410"/>
      <c r="E229" s="642"/>
      <c r="F229" s="642"/>
      <c r="G229" s="642"/>
      <c r="H229" s="642"/>
      <c r="I229" s="642"/>
      <c r="J229" s="642"/>
      <c r="K229" s="642"/>
      <c r="L229" s="642"/>
      <c r="M229" s="642"/>
      <c r="N229" s="642"/>
      <c r="O229" s="642"/>
      <c r="P229" s="642"/>
      <c r="Q229" s="642"/>
    </row>
    <row r="230" spans="1:17" ht="24" customHeight="1">
      <c r="A230" s="642"/>
      <c r="B230" s="409"/>
      <c r="C230" s="410"/>
      <c r="D230" s="410"/>
      <c r="E230" s="642"/>
      <c r="F230" s="642"/>
      <c r="G230" s="642"/>
      <c r="H230" s="642"/>
      <c r="I230" s="642"/>
      <c r="J230" s="642"/>
      <c r="K230" s="642"/>
      <c r="L230" s="642"/>
      <c r="M230" s="642"/>
      <c r="N230" s="642"/>
      <c r="O230" s="642"/>
      <c r="P230" s="642"/>
      <c r="Q230" s="642"/>
    </row>
    <row r="231" spans="1:17" ht="24" customHeight="1">
      <c r="A231" s="642"/>
      <c r="B231" s="409"/>
      <c r="C231" s="410"/>
      <c r="D231" s="410"/>
      <c r="E231" s="642"/>
      <c r="F231" s="642"/>
      <c r="G231" s="642"/>
      <c r="H231" s="642"/>
      <c r="I231" s="642"/>
      <c r="J231" s="642"/>
      <c r="K231" s="642"/>
      <c r="L231" s="642"/>
      <c r="M231" s="642"/>
      <c r="N231" s="642"/>
      <c r="O231" s="642"/>
      <c r="P231" s="642"/>
      <c r="Q231" s="642"/>
    </row>
    <row r="232" spans="1:17" ht="24" customHeight="1">
      <c r="A232" s="642"/>
      <c r="B232" s="409"/>
      <c r="C232" s="410"/>
      <c r="D232" s="410"/>
      <c r="E232" s="642"/>
      <c r="F232" s="642"/>
      <c r="G232" s="642"/>
      <c r="H232" s="642"/>
      <c r="I232" s="642"/>
      <c r="J232" s="642"/>
      <c r="K232" s="642"/>
      <c r="L232" s="642"/>
      <c r="M232" s="642"/>
      <c r="N232" s="642"/>
      <c r="O232" s="642"/>
      <c r="P232" s="642"/>
      <c r="Q232" s="642"/>
    </row>
    <row r="233" spans="1:17" ht="24" customHeight="1">
      <c r="A233" s="642"/>
      <c r="B233" s="409"/>
      <c r="C233" s="410"/>
      <c r="D233" s="410"/>
      <c r="E233" s="642"/>
      <c r="F233" s="642"/>
      <c r="G233" s="642"/>
      <c r="H233" s="642"/>
      <c r="I233" s="642"/>
      <c r="J233" s="642"/>
      <c r="K233" s="642"/>
      <c r="L233" s="642"/>
      <c r="M233" s="642"/>
      <c r="N233" s="642"/>
      <c r="O233" s="642"/>
      <c r="P233" s="642"/>
      <c r="Q233" s="642"/>
    </row>
    <row r="234" spans="1:17" ht="24" customHeight="1">
      <c r="A234" s="642"/>
      <c r="B234" s="409"/>
      <c r="C234" s="410"/>
      <c r="D234" s="410"/>
      <c r="E234" s="642"/>
      <c r="F234" s="642"/>
      <c r="G234" s="642"/>
      <c r="H234" s="642"/>
      <c r="I234" s="642"/>
      <c r="J234" s="642"/>
      <c r="K234" s="642"/>
      <c r="L234" s="642"/>
      <c r="M234" s="642"/>
      <c r="N234" s="642"/>
      <c r="O234" s="642"/>
      <c r="P234" s="642"/>
      <c r="Q234" s="642"/>
    </row>
    <row r="235" spans="1:17" ht="24" customHeight="1">
      <c r="A235" s="642"/>
      <c r="B235" s="409"/>
      <c r="C235" s="410"/>
      <c r="D235" s="410"/>
      <c r="E235" s="642"/>
      <c r="F235" s="642"/>
      <c r="G235" s="642"/>
      <c r="H235" s="642"/>
      <c r="I235" s="642"/>
      <c r="J235" s="642"/>
      <c r="K235" s="642"/>
      <c r="L235" s="642"/>
      <c r="M235" s="642"/>
      <c r="N235" s="642"/>
      <c r="O235" s="642"/>
      <c r="P235" s="642"/>
      <c r="Q235" s="642"/>
    </row>
    <row r="236" spans="1:17" ht="24" customHeight="1">
      <c r="A236" s="642"/>
      <c r="B236" s="409"/>
      <c r="C236" s="410"/>
      <c r="D236" s="410"/>
      <c r="E236" s="642"/>
      <c r="F236" s="642"/>
      <c r="G236" s="642"/>
      <c r="H236" s="642"/>
      <c r="I236" s="642"/>
      <c r="J236" s="642"/>
      <c r="K236" s="642"/>
      <c r="L236" s="642"/>
      <c r="M236" s="642"/>
      <c r="N236" s="642"/>
      <c r="O236" s="642"/>
      <c r="P236" s="642"/>
      <c r="Q236" s="642"/>
    </row>
    <row r="237" spans="1:17" ht="24" customHeight="1">
      <c r="A237" s="642"/>
      <c r="B237" s="409"/>
      <c r="C237" s="410"/>
      <c r="D237" s="410"/>
      <c r="E237" s="642"/>
      <c r="F237" s="642"/>
      <c r="G237" s="642"/>
      <c r="H237" s="642"/>
      <c r="I237" s="642"/>
      <c r="J237" s="642"/>
      <c r="K237" s="642"/>
      <c r="L237" s="642"/>
      <c r="M237" s="642"/>
      <c r="N237" s="642"/>
      <c r="O237" s="642"/>
      <c r="P237" s="642"/>
      <c r="Q237" s="642"/>
    </row>
    <row r="238" spans="1:17" ht="24" customHeight="1">
      <c r="A238" s="642"/>
      <c r="B238" s="409"/>
      <c r="C238" s="410"/>
      <c r="D238" s="410"/>
      <c r="E238" s="642"/>
      <c r="F238" s="642"/>
      <c r="G238" s="642"/>
      <c r="H238" s="642"/>
      <c r="I238" s="642"/>
      <c r="J238" s="642"/>
      <c r="K238" s="642"/>
      <c r="L238" s="642"/>
      <c r="M238" s="642"/>
      <c r="N238" s="642"/>
      <c r="O238" s="642"/>
      <c r="P238" s="642"/>
      <c r="Q238" s="642"/>
    </row>
    <row r="239" spans="1:17" ht="24" customHeight="1">
      <c r="A239" s="642"/>
      <c r="B239" s="409"/>
      <c r="C239" s="410"/>
      <c r="D239" s="410"/>
      <c r="E239" s="642"/>
      <c r="F239" s="642"/>
      <c r="G239" s="642"/>
      <c r="H239" s="642"/>
      <c r="I239" s="642"/>
      <c r="J239" s="642"/>
      <c r="K239" s="642"/>
      <c r="L239" s="642"/>
      <c r="M239" s="642"/>
      <c r="N239" s="642"/>
      <c r="O239" s="642"/>
      <c r="P239" s="642"/>
      <c r="Q239" s="642"/>
    </row>
    <row r="240" spans="1:17" ht="24" customHeight="1">
      <c r="A240" s="642"/>
      <c r="B240" s="409"/>
      <c r="C240" s="410"/>
      <c r="D240" s="410"/>
      <c r="E240" s="642"/>
      <c r="F240" s="642"/>
      <c r="G240" s="642"/>
      <c r="H240" s="642"/>
      <c r="I240" s="642"/>
      <c r="J240" s="642"/>
      <c r="K240" s="642"/>
      <c r="L240" s="642"/>
      <c r="M240" s="642"/>
      <c r="N240" s="642"/>
      <c r="O240" s="642"/>
      <c r="P240" s="642"/>
      <c r="Q240" s="642"/>
    </row>
    <row r="241" spans="1:17" ht="24" customHeight="1">
      <c r="A241" s="642"/>
      <c r="B241" s="409"/>
      <c r="C241" s="410"/>
      <c r="D241" s="410"/>
      <c r="E241" s="642"/>
      <c r="F241" s="642"/>
      <c r="G241" s="642"/>
      <c r="H241" s="642"/>
      <c r="I241" s="642"/>
      <c r="J241" s="642"/>
      <c r="K241" s="642"/>
      <c r="L241" s="642"/>
      <c r="M241" s="642"/>
      <c r="N241" s="642"/>
      <c r="O241" s="642"/>
      <c r="P241" s="642"/>
      <c r="Q241" s="642"/>
    </row>
    <row r="242" spans="1:17" ht="24" customHeight="1">
      <c r="A242" s="642"/>
      <c r="B242" s="409"/>
      <c r="C242" s="410"/>
      <c r="D242" s="410"/>
      <c r="E242" s="642"/>
      <c r="F242" s="642"/>
      <c r="G242" s="642"/>
      <c r="H242" s="642"/>
      <c r="I242" s="642"/>
      <c r="J242" s="642"/>
      <c r="K242" s="642"/>
      <c r="L242" s="642"/>
      <c r="M242" s="642"/>
      <c r="N242" s="642"/>
      <c r="O242" s="642"/>
      <c r="P242" s="642"/>
      <c r="Q242" s="642"/>
    </row>
    <row r="243" spans="1:17" ht="24" customHeight="1">
      <c r="A243" s="642"/>
      <c r="B243" s="409"/>
      <c r="C243" s="410"/>
      <c r="D243" s="410"/>
      <c r="E243" s="642"/>
      <c r="F243" s="642"/>
      <c r="G243" s="642"/>
      <c r="H243" s="642"/>
      <c r="I243" s="642"/>
      <c r="J243" s="642"/>
      <c r="K243" s="642"/>
      <c r="L243" s="642"/>
      <c r="M243" s="642"/>
      <c r="N243" s="642"/>
      <c r="O243" s="642"/>
      <c r="P243" s="642"/>
      <c r="Q243" s="642"/>
    </row>
    <row r="244" spans="1:17" ht="24" customHeight="1">
      <c r="A244" s="642"/>
      <c r="B244" s="409"/>
      <c r="C244" s="410"/>
      <c r="D244" s="410"/>
      <c r="E244" s="642"/>
      <c r="F244" s="642"/>
      <c r="G244" s="642"/>
      <c r="H244" s="642"/>
      <c r="I244" s="642"/>
      <c r="J244" s="642"/>
      <c r="K244" s="642"/>
      <c r="L244" s="642"/>
      <c r="M244" s="642"/>
      <c r="N244" s="642"/>
      <c r="O244" s="642"/>
      <c r="P244" s="642"/>
      <c r="Q244" s="642"/>
    </row>
    <row r="245" spans="1:17" ht="24" customHeight="1">
      <c r="A245" s="642"/>
      <c r="B245" s="409"/>
      <c r="C245" s="410"/>
      <c r="D245" s="410"/>
      <c r="E245" s="642"/>
      <c r="F245" s="642"/>
      <c r="G245" s="642"/>
      <c r="H245" s="642"/>
      <c r="I245" s="642"/>
      <c r="J245" s="642"/>
      <c r="K245" s="642"/>
      <c r="L245" s="642"/>
      <c r="M245" s="642"/>
      <c r="N245" s="642"/>
      <c r="O245" s="642"/>
      <c r="P245" s="642"/>
      <c r="Q245" s="642"/>
    </row>
    <row r="246" spans="1:17" ht="24" customHeight="1">
      <c r="A246" s="642"/>
      <c r="B246" s="409"/>
      <c r="C246" s="410"/>
      <c r="D246" s="410"/>
      <c r="E246" s="642"/>
      <c r="F246" s="642"/>
      <c r="G246" s="642"/>
      <c r="H246" s="642"/>
      <c r="I246" s="642"/>
      <c r="J246" s="642"/>
      <c r="K246" s="642"/>
      <c r="L246" s="642"/>
      <c r="M246" s="642"/>
      <c r="N246" s="642"/>
      <c r="O246" s="642"/>
      <c r="P246" s="642"/>
      <c r="Q246" s="642"/>
    </row>
    <row r="247" spans="1:17" ht="24" customHeight="1">
      <c r="A247" s="642"/>
      <c r="B247" s="409"/>
      <c r="C247" s="410"/>
      <c r="D247" s="410"/>
      <c r="E247" s="642"/>
      <c r="F247" s="642"/>
      <c r="G247" s="642"/>
      <c r="H247" s="642"/>
      <c r="I247" s="642"/>
      <c r="J247" s="642"/>
      <c r="K247" s="642"/>
      <c r="L247" s="642"/>
      <c r="M247" s="642"/>
      <c r="N247" s="642"/>
      <c r="O247" s="642"/>
      <c r="P247" s="642"/>
      <c r="Q247" s="642"/>
    </row>
    <row r="248" spans="1:17" ht="24" customHeight="1">
      <c r="A248" s="642"/>
      <c r="B248" s="409"/>
      <c r="C248" s="410"/>
      <c r="D248" s="410"/>
      <c r="E248" s="642"/>
      <c r="F248" s="642"/>
      <c r="G248" s="642"/>
      <c r="H248" s="642"/>
      <c r="I248" s="642"/>
      <c r="J248" s="642"/>
      <c r="K248" s="642"/>
      <c r="L248" s="642"/>
      <c r="M248" s="642"/>
      <c r="N248" s="642"/>
      <c r="O248" s="642"/>
      <c r="P248" s="642"/>
      <c r="Q248" s="642"/>
    </row>
    <row r="249" spans="1:17" ht="24" customHeight="1">
      <c r="A249" s="642"/>
      <c r="B249" s="409"/>
      <c r="C249" s="410"/>
      <c r="D249" s="410"/>
      <c r="E249" s="642"/>
      <c r="F249" s="642"/>
      <c r="G249" s="642"/>
      <c r="H249" s="642"/>
      <c r="I249" s="642"/>
      <c r="J249" s="642"/>
      <c r="K249" s="642"/>
      <c r="L249" s="642"/>
      <c r="M249" s="642"/>
      <c r="N249" s="642"/>
      <c r="O249" s="642"/>
      <c r="P249" s="642"/>
      <c r="Q249" s="642"/>
    </row>
    <row r="250" spans="1:17" ht="24" customHeight="1">
      <c r="A250" s="642"/>
      <c r="B250" s="409"/>
      <c r="C250" s="410"/>
      <c r="D250" s="410"/>
      <c r="E250" s="642"/>
      <c r="F250" s="642"/>
      <c r="G250" s="642"/>
      <c r="H250" s="642"/>
      <c r="I250" s="642"/>
      <c r="J250" s="642"/>
      <c r="K250" s="642"/>
      <c r="L250" s="642"/>
      <c r="M250" s="642"/>
      <c r="N250" s="642"/>
      <c r="O250" s="642"/>
      <c r="P250" s="642"/>
      <c r="Q250" s="642"/>
    </row>
    <row r="251" spans="1:17" ht="24" customHeight="1">
      <c r="A251" s="642"/>
      <c r="B251" s="409"/>
      <c r="C251" s="410"/>
      <c r="D251" s="410"/>
      <c r="E251" s="642"/>
      <c r="F251" s="642"/>
      <c r="G251" s="642"/>
      <c r="H251" s="642"/>
      <c r="I251" s="642"/>
      <c r="J251" s="642"/>
      <c r="K251" s="642"/>
      <c r="L251" s="642"/>
      <c r="M251" s="642"/>
      <c r="N251" s="642"/>
      <c r="O251" s="642"/>
      <c r="P251" s="642"/>
      <c r="Q251" s="642"/>
    </row>
    <row r="252" spans="1:17" ht="24" customHeight="1">
      <c r="A252" s="642"/>
      <c r="B252" s="409"/>
      <c r="C252" s="410"/>
      <c r="D252" s="410"/>
      <c r="E252" s="642"/>
      <c r="F252" s="642"/>
      <c r="G252" s="642"/>
      <c r="H252" s="642"/>
      <c r="I252" s="642"/>
      <c r="J252" s="642"/>
      <c r="K252" s="642"/>
      <c r="L252" s="642"/>
      <c r="M252" s="642"/>
      <c r="N252" s="642"/>
      <c r="O252" s="642"/>
      <c r="P252" s="642"/>
      <c r="Q252" s="642"/>
    </row>
    <row r="253" spans="1:17" ht="24" customHeight="1">
      <c r="A253" s="642"/>
      <c r="B253" s="409"/>
      <c r="C253" s="410"/>
      <c r="D253" s="410"/>
      <c r="E253" s="642"/>
      <c r="F253" s="642"/>
      <c r="G253" s="642"/>
      <c r="H253" s="642"/>
      <c r="I253" s="642"/>
      <c r="J253" s="642"/>
      <c r="K253" s="642"/>
      <c r="L253" s="642"/>
      <c r="M253" s="642"/>
      <c r="N253" s="642"/>
      <c r="O253" s="642"/>
      <c r="P253" s="642"/>
      <c r="Q253" s="642"/>
    </row>
    <row r="254" spans="1:17" ht="24" customHeight="1">
      <c r="A254" s="642"/>
      <c r="B254" s="409"/>
      <c r="C254" s="410"/>
      <c r="D254" s="410"/>
      <c r="E254" s="642"/>
      <c r="F254" s="642"/>
      <c r="G254" s="642"/>
      <c r="H254" s="642"/>
      <c r="I254" s="642"/>
      <c r="J254" s="642"/>
      <c r="K254" s="642"/>
      <c r="L254" s="642"/>
      <c r="M254" s="642"/>
      <c r="N254" s="642"/>
      <c r="O254" s="642"/>
      <c r="P254" s="642"/>
      <c r="Q254" s="642"/>
    </row>
    <row r="255" spans="1:17" ht="24" customHeight="1">
      <c r="A255" s="642"/>
      <c r="B255" s="409"/>
      <c r="C255" s="410"/>
      <c r="D255" s="410"/>
      <c r="E255" s="642"/>
      <c r="F255" s="642"/>
      <c r="G255" s="642"/>
      <c r="H255" s="642"/>
      <c r="I255" s="642"/>
      <c r="J255" s="642"/>
      <c r="K255" s="642"/>
      <c r="L255" s="642"/>
      <c r="M255" s="642"/>
      <c r="N255" s="642"/>
      <c r="O255" s="642"/>
      <c r="P255" s="642"/>
      <c r="Q255" s="642"/>
    </row>
    <row r="256" spans="1:17" ht="24" customHeight="1">
      <c r="A256" s="642"/>
      <c r="B256" s="409"/>
      <c r="C256" s="410"/>
      <c r="D256" s="410"/>
      <c r="E256" s="642"/>
      <c r="F256" s="642"/>
      <c r="G256" s="642"/>
      <c r="H256" s="642"/>
      <c r="I256" s="642"/>
      <c r="J256" s="642"/>
      <c r="K256" s="642"/>
      <c r="L256" s="642"/>
      <c r="M256" s="642"/>
      <c r="N256" s="642"/>
      <c r="O256" s="642"/>
      <c r="P256" s="642"/>
      <c r="Q256" s="642"/>
    </row>
    <row r="257" spans="1:17" ht="24" customHeight="1">
      <c r="A257" s="642"/>
      <c r="B257" s="409"/>
      <c r="C257" s="410"/>
      <c r="D257" s="410"/>
      <c r="E257" s="642"/>
      <c r="F257" s="642"/>
      <c r="G257" s="642"/>
      <c r="H257" s="642"/>
      <c r="I257" s="642"/>
      <c r="J257" s="642"/>
      <c r="K257" s="642"/>
      <c r="L257" s="642"/>
      <c r="M257" s="642"/>
      <c r="N257" s="642"/>
      <c r="O257" s="642"/>
      <c r="P257" s="642"/>
      <c r="Q257" s="642"/>
    </row>
    <row r="258" spans="1:17" ht="24" customHeight="1">
      <c r="A258" s="642"/>
      <c r="B258" s="409"/>
      <c r="C258" s="410"/>
      <c r="D258" s="410"/>
      <c r="E258" s="642"/>
      <c r="F258" s="642"/>
      <c r="G258" s="642"/>
      <c r="H258" s="642"/>
      <c r="I258" s="642"/>
      <c r="J258" s="642"/>
      <c r="K258" s="642"/>
      <c r="L258" s="642"/>
      <c r="M258" s="642"/>
      <c r="N258" s="642"/>
      <c r="O258" s="642"/>
      <c r="P258" s="642"/>
      <c r="Q258" s="642"/>
    </row>
    <row r="259" spans="1:17" ht="24" customHeight="1">
      <c r="A259" s="642"/>
      <c r="B259" s="409"/>
      <c r="C259" s="410"/>
      <c r="D259" s="410"/>
      <c r="E259" s="642"/>
      <c r="F259" s="642"/>
      <c r="G259" s="642"/>
      <c r="H259" s="642"/>
      <c r="I259" s="642"/>
      <c r="J259" s="642"/>
      <c r="K259" s="642"/>
      <c r="L259" s="642"/>
      <c r="M259" s="642"/>
      <c r="N259" s="642"/>
      <c r="O259" s="642"/>
      <c r="P259" s="642"/>
      <c r="Q259" s="642"/>
    </row>
    <row r="260" spans="1:17" ht="24" customHeight="1">
      <c r="A260" s="642"/>
      <c r="B260" s="409"/>
      <c r="C260" s="410"/>
      <c r="D260" s="410"/>
      <c r="E260" s="642"/>
      <c r="F260" s="642"/>
      <c r="G260" s="642"/>
      <c r="H260" s="642"/>
      <c r="I260" s="642"/>
      <c r="J260" s="642"/>
      <c r="K260" s="642"/>
      <c r="L260" s="642"/>
      <c r="M260" s="642"/>
      <c r="N260" s="642"/>
      <c r="O260" s="642"/>
      <c r="P260" s="642"/>
      <c r="Q260" s="642"/>
    </row>
    <row r="261" spans="1:17" ht="24" customHeight="1">
      <c r="A261" s="642"/>
      <c r="B261" s="409"/>
      <c r="C261" s="410"/>
      <c r="D261" s="410"/>
      <c r="E261" s="640"/>
      <c r="F261" s="640"/>
      <c r="G261" s="642"/>
      <c r="H261" s="642"/>
      <c r="I261" s="642"/>
      <c r="J261" s="642"/>
      <c r="K261" s="642"/>
      <c r="L261" s="642"/>
      <c r="M261" s="642"/>
      <c r="N261" s="642"/>
      <c r="O261" s="642"/>
      <c r="P261" s="642"/>
      <c r="Q261" s="642"/>
    </row>
    <row r="262" spans="1:17" ht="24" customHeight="1">
      <c r="A262" s="642"/>
      <c r="B262" s="409"/>
      <c r="C262" s="410"/>
      <c r="D262" s="410"/>
      <c r="E262" s="640"/>
      <c r="F262" s="640"/>
      <c r="G262" s="642"/>
      <c r="H262" s="642"/>
      <c r="I262" s="642"/>
      <c r="J262" s="642"/>
      <c r="K262" s="642"/>
      <c r="L262" s="642"/>
      <c r="M262" s="642"/>
      <c r="N262" s="642"/>
      <c r="O262" s="642"/>
      <c r="P262" s="642"/>
      <c r="Q262" s="642"/>
    </row>
    <row r="263" spans="1:17" ht="24" customHeight="1">
      <c r="A263" s="642"/>
      <c r="B263" s="409"/>
      <c r="C263" s="410"/>
      <c r="D263" s="410"/>
      <c r="E263" s="642"/>
      <c r="F263" s="642"/>
      <c r="G263" s="642"/>
      <c r="H263" s="642"/>
      <c r="I263" s="642"/>
      <c r="J263" s="642"/>
      <c r="K263" s="642"/>
      <c r="L263" s="642"/>
      <c r="M263" s="642"/>
      <c r="N263" s="642"/>
      <c r="O263" s="642"/>
      <c r="P263" s="642"/>
      <c r="Q263" s="642"/>
    </row>
    <row r="264" spans="1:17" ht="24" customHeight="1">
      <c r="A264" s="642"/>
      <c r="B264" s="409"/>
      <c r="C264" s="410"/>
      <c r="D264" s="410"/>
      <c r="E264" s="642"/>
      <c r="F264" s="642"/>
      <c r="G264" s="642"/>
      <c r="H264" s="642"/>
      <c r="I264" s="642"/>
      <c r="J264" s="642"/>
      <c r="K264" s="642"/>
      <c r="L264" s="642"/>
      <c r="M264" s="642"/>
      <c r="N264" s="642"/>
      <c r="O264" s="642"/>
      <c r="P264" s="642"/>
      <c r="Q264" s="642"/>
    </row>
    <row r="265" spans="1:17" ht="24" customHeight="1">
      <c r="A265" s="642"/>
      <c r="B265" s="409"/>
      <c r="C265" s="410"/>
      <c r="D265" s="410"/>
      <c r="E265" s="642"/>
      <c r="F265" s="642"/>
      <c r="G265" s="642"/>
      <c r="H265" s="642"/>
      <c r="I265" s="642"/>
      <c r="J265" s="642"/>
      <c r="K265" s="642"/>
      <c r="L265" s="642"/>
      <c r="M265" s="642"/>
      <c r="N265" s="642"/>
      <c r="O265" s="642"/>
      <c r="P265" s="642"/>
      <c r="Q265" s="642"/>
    </row>
    <row r="266" spans="1:17" ht="24" customHeight="1">
      <c r="A266" s="642"/>
      <c r="B266" s="409"/>
      <c r="C266" s="410"/>
      <c r="D266" s="410"/>
      <c r="E266" s="642"/>
      <c r="F266" s="642"/>
      <c r="G266" s="642"/>
      <c r="H266" s="642"/>
      <c r="I266" s="642"/>
      <c r="J266" s="642"/>
      <c r="K266" s="642"/>
      <c r="L266" s="642"/>
      <c r="M266" s="642"/>
      <c r="N266" s="642"/>
      <c r="O266" s="642"/>
      <c r="P266" s="642"/>
      <c r="Q266" s="642"/>
    </row>
    <row r="267" spans="1:17" ht="24" customHeight="1">
      <c r="A267" s="642"/>
      <c r="B267" s="409"/>
      <c r="C267" s="410"/>
      <c r="D267" s="410"/>
      <c r="E267" s="642"/>
      <c r="F267" s="642"/>
      <c r="G267" s="642"/>
      <c r="H267" s="642"/>
      <c r="I267" s="642"/>
      <c r="J267" s="642"/>
      <c r="K267" s="642"/>
      <c r="L267" s="642"/>
      <c r="M267" s="642"/>
      <c r="N267" s="642"/>
      <c r="O267" s="642"/>
      <c r="P267" s="642"/>
      <c r="Q267" s="642"/>
    </row>
    <row r="268" spans="1:17" ht="24" customHeight="1">
      <c r="A268" s="642"/>
      <c r="B268" s="409"/>
      <c r="C268" s="410"/>
      <c r="D268" s="410"/>
      <c r="E268" s="642"/>
      <c r="F268" s="642"/>
      <c r="G268" s="642"/>
      <c r="H268" s="642"/>
      <c r="I268" s="642"/>
      <c r="J268" s="642"/>
      <c r="K268" s="642"/>
      <c r="L268" s="642"/>
      <c r="M268" s="642"/>
      <c r="N268" s="642"/>
      <c r="O268" s="642"/>
      <c r="P268" s="642"/>
      <c r="Q268" s="642"/>
    </row>
    <row r="269" spans="1:17" ht="24" customHeight="1">
      <c r="A269" s="642"/>
      <c r="B269" s="409"/>
      <c r="C269" s="410"/>
      <c r="D269" s="410"/>
      <c r="E269" s="642"/>
      <c r="F269" s="642"/>
      <c r="G269" s="642"/>
      <c r="H269" s="642"/>
      <c r="I269" s="642"/>
      <c r="J269" s="642"/>
      <c r="K269" s="642"/>
      <c r="L269" s="642"/>
      <c r="M269" s="642"/>
      <c r="N269" s="642"/>
      <c r="O269" s="642"/>
      <c r="P269" s="642"/>
      <c r="Q269" s="642"/>
    </row>
    <row r="270" spans="1:17" ht="24" customHeight="1">
      <c r="A270" s="642"/>
      <c r="B270" s="409"/>
      <c r="C270" s="410"/>
      <c r="D270" s="410"/>
      <c r="E270" s="642"/>
      <c r="F270" s="642"/>
      <c r="G270" s="642"/>
      <c r="H270" s="642"/>
      <c r="I270" s="642"/>
      <c r="J270" s="642"/>
      <c r="K270" s="642"/>
      <c r="L270" s="642"/>
      <c r="M270" s="642"/>
      <c r="N270" s="642"/>
      <c r="O270" s="642"/>
      <c r="P270" s="642"/>
      <c r="Q270" s="642"/>
    </row>
    <row r="271" spans="1:17" ht="24" customHeight="1">
      <c r="A271" s="642"/>
      <c r="B271" s="409"/>
      <c r="C271" s="410"/>
      <c r="D271" s="410"/>
      <c r="E271" s="642"/>
      <c r="F271" s="642"/>
      <c r="G271" s="642"/>
      <c r="H271" s="642"/>
      <c r="I271" s="642"/>
      <c r="J271" s="642"/>
      <c r="K271" s="642"/>
      <c r="L271" s="642"/>
      <c r="M271" s="642"/>
      <c r="N271" s="642"/>
      <c r="O271" s="642"/>
      <c r="P271" s="642"/>
      <c r="Q271" s="642"/>
    </row>
    <row r="272" spans="1:17" ht="24" customHeight="1">
      <c r="A272" s="642"/>
      <c r="B272" s="409"/>
      <c r="C272" s="410"/>
      <c r="D272" s="410"/>
      <c r="E272" s="642"/>
      <c r="F272" s="642"/>
      <c r="G272" s="642"/>
      <c r="H272" s="642"/>
      <c r="I272" s="642"/>
      <c r="J272" s="642"/>
      <c r="K272" s="642"/>
      <c r="L272" s="642"/>
      <c r="M272" s="642"/>
      <c r="N272" s="642"/>
      <c r="O272" s="642"/>
      <c r="P272" s="642"/>
      <c r="Q272" s="642"/>
    </row>
    <row r="273" spans="1:17" ht="24" customHeight="1">
      <c r="A273" s="642"/>
      <c r="B273" s="409"/>
      <c r="C273" s="410"/>
      <c r="D273" s="410"/>
      <c r="E273" s="642"/>
      <c r="F273" s="642"/>
      <c r="G273" s="642"/>
      <c r="H273" s="642"/>
      <c r="I273" s="642"/>
      <c r="J273" s="642"/>
      <c r="K273" s="642"/>
      <c r="L273" s="642"/>
      <c r="M273" s="642"/>
      <c r="N273" s="642"/>
      <c r="O273" s="642"/>
      <c r="P273" s="642"/>
      <c r="Q273" s="642"/>
    </row>
    <row r="274" spans="1:17" ht="24" customHeight="1">
      <c r="A274" s="642"/>
      <c r="B274" s="409"/>
      <c r="C274" s="410"/>
      <c r="D274" s="410"/>
      <c r="E274" s="642"/>
      <c r="F274" s="642"/>
      <c r="G274" s="642"/>
      <c r="H274" s="642"/>
      <c r="I274" s="642"/>
      <c r="J274" s="642"/>
      <c r="K274" s="642"/>
      <c r="L274" s="642"/>
      <c r="M274" s="642"/>
      <c r="N274" s="642"/>
      <c r="O274" s="642"/>
      <c r="P274" s="642"/>
      <c r="Q274" s="642"/>
    </row>
    <row r="275" spans="1:17" ht="24" customHeight="1">
      <c r="A275" s="642"/>
      <c r="B275" s="409"/>
      <c r="C275" s="410"/>
      <c r="D275" s="410"/>
      <c r="E275" s="642"/>
      <c r="F275" s="642"/>
      <c r="G275" s="642"/>
      <c r="H275" s="642"/>
      <c r="I275" s="642"/>
      <c r="J275" s="642"/>
      <c r="K275" s="642"/>
      <c r="L275" s="642"/>
      <c r="M275" s="642"/>
      <c r="N275" s="642"/>
      <c r="O275" s="642"/>
      <c r="P275" s="642"/>
      <c r="Q275" s="642"/>
    </row>
    <row r="276" spans="1:17" ht="24" customHeight="1">
      <c r="A276" s="642"/>
      <c r="B276" s="409"/>
      <c r="C276" s="410"/>
      <c r="D276" s="410"/>
      <c r="E276" s="642"/>
      <c r="F276" s="642"/>
      <c r="G276" s="642"/>
      <c r="H276" s="642"/>
      <c r="I276" s="642"/>
      <c r="J276" s="642"/>
      <c r="K276" s="642"/>
      <c r="L276" s="642"/>
      <c r="M276" s="642"/>
      <c r="N276" s="642"/>
      <c r="O276" s="642"/>
      <c r="P276" s="642"/>
      <c r="Q276" s="642"/>
    </row>
    <row r="277" spans="1:17" ht="24" customHeight="1">
      <c r="A277" s="642"/>
      <c r="B277" s="409"/>
      <c r="C277" s="410"/>
      <c r="D277" s="410"/>
      <c r="E277" s="642"/>
      <c r="F277" s="642"/>
      <c r="G277" s="642"/>
      <c r="H277" s="642"/>
      <c r="I277" s="642"/>
      <c r="J277" s="642"/>
      <c r="K277" s="642"/>
      <c r="L277" s="642"/>
      <c r="M277" s="642"/>
      <c r="N277" s="642"/>
      <c r="O277" s="642"/>
      <c r="P277" s="642"/>
      <c r="Q277" s="642"/>
    </row>
    <row r="278" spans="1:17" ht="24" customHeight="1">
      <c r="A278" s="642"/>
      <c r="B278" s="409"/>
      <c r="C278" s="410"/>
      <c r="D278" s="410"/>
      <c r="E278" s="642"/>
      <c r="F278" s="642"/>
      <c r="G278" s="642"/>
      <c r="H278" s="642"/>
      <c r="I278" s="642"/>
      <c r="J278" s="642"/>
      <c r="K278" s="642"/>
      <c r="L278" s="642"/>
      <c r="M278" s="642"/>
      <c r="N278" s="642"/>
      <c r="O278" s="642"/>
      <c r="P278" s="642"/>
      <c r="Q278" s="642"/>
    </row>
    <row r="279" spans="1:17" ht="24" customHeight="1">
      <c r="A279" s="642"/>
      <c r="B279" s="409"/>
      <c r="C279" s="410"/>
      <c r="D279" s="410"/>
      <c r="E279" s="642"/>
      <c r="F279" s="642"/>
      <c r="G279" s="642"/>
      <c r="H279" s="642"/>
      <c r="I279" s="642"/>
      <c r="J279" s="642"/>
      <c r="K279" s="642"/>
      <c r="L279" s="642"/>
      <c r="M279" s="642"/>
      <c r="N279" s="642"/>
      <c r="O279" s="642"/>
      <c r="P279" s="642"/>
      <c r="Q279" s="642"/>
    </row>
    <row r="280" spans="1:17" ht="24" customHeight="1">
      <c r="A280" s="642"/>
      <c r="B280" s="409"/>
      <c r="C280" s="410"/>
      <c r="D280" s="410"/>
      <c r="E280" s="642"/>
      <c r="F280" s="642"/>
      <c r="G280" s="642"/>
      <c r="H280" s="642"/>
      <c r="I280" s="642"/>
      <c r="J280" s="642"/>
      <c r="K280" s="642"/>
      <c r="L280" s="642"/>
      <c r="M280" s="642"/>
      <c r="N280" s="642"/>
      <c r="O280" s="642"/>
      <c r="P280" s="642"/>
      <c r="Q280" s="642"/>
    </row>
    <row r="281" spans="1:17" ht="24" customHeight="1">
      <c r="A281" s="642"/>
      <c r="B281" s="409"/>
      <c r="C281" s="410"/>
      <c r="D281" s="410"/>
      <c r="E281" s="642"/>
      <c r="F281" s="642"/>
      <c r="G281" s="642"/>
      <c r="H281" s="642"/>
      <c r="I281" s="642"/>
      <c r="J281" s="642"/>
      <c r="K281" s="642"/>
      <c r="L281" s="642"/>
      <c r="M281" s="642"/>
      <c r="N281" s="642"/>
      <c r="O281" s="642"/>
      <c r="P281" s="642"/>
      <c r="Q281" s="642"/>
    </row>
    <row r="282" spans="1:17" ht="24" customHeight="1">
      <c r="A282" s="642"/>
      <c r="B282" s="409"/>
      <c r="C282" s="410"/>
      <c r="D282" s="410"/>
      <c r="E282" s="642"/>
      <c r="F282" s="642"/>
      <c r="G282" s="642"/>
      <c r="H282" s="642"/>
      <c r="I282" s="642"/>
      <c r="J282" s="642"/>
      <c r="K282" s="642"/>
      <c r="L282" s="642"/>
      <c r="M282" s="642"/>
      <c r="N282" s="642"/>
      <c r="O282" s="642"/>
      <c r="P282" s="642"/>
      <c r="Q282" s="642"/>
    </row>
    <row r="283" spans="1:17" ht="24" customHeight="1">
      <c r="A283" s="642"/>
      <c r="B283" s="409"/>
      <c r="C283" s="410"/>
      <c r="D283" s="410"/>
      <c r="E283" s="642"/>
      <c r="F283" s="642"/>
      <c r="G283" s="642"/>
      <c r="H283" s="642"/>
      <c r="I283" s="642"/>
      <c r="J283" s="642"/>
      <c r="K283" s="642"/>
      <c r="L283" s="642"/>
      <c r="M283" s="642"/>
      <c r="N283" s="642"/>
      <c r="O283" s="642"/>
      <c r="P283" s="642"/>
      <c r="Q283" s="642"/>
    </row>
    <row r="284" spans="1:17" ht="24" customHeight="1">
      <c r="A284" s="642"/>
      <c r="B284" s="409"/>
      <c r="C284" s="410"/>
      <c r="D284" s="410"/>
      <c r="E284" s="642"/>
      <c r="F284" s="642"/>
      <c r="G284" s="642"/>
      <c r="H284" s="642"/>
      <c r="I284" s="642"/>
      <c r="J284" s="642"/>
      <c r="K284" s="642"/>
      <c r="L284" s="642"/>
      <c r="M284" s="642"/>
      <c r="N284" s="642"/>
      <c r="O284" s="642"/>
      <c r="P284" s="642"/>
      <c r="Q284" s="642"/>
    </row>
    <row r="285" spans="1:17" ht="24" customHeight="1">
      <c r="A285" s="642"/>
      <c r="B285" s="409"/>
      <c r="C285" s="410"/>
      <c r="D285" s="410"/>
      <c r="E285" s="642"/>
      <c r="F285" s="642"/>
      <c r="G285" s="642"/>
      <c r="H285" s="642"/>
      <c r="I285" s="642"/>
      <c r="J285" s="642"/>
      <c r="K285" s="642"/>
      <c r="L285" s="642"/>
      <c r="M285" s="642"/>
      <c r="N285" s="642"/>
      <c r="O285" s="642"/>
      <c r="P285" s="642"/>
      <c r="Q285" s="642"/>
    </row>
    <row r="286" spans="1:17" ht="24" customHeight="1">
      <c r="A286" s="642"/>
      <c r="B286" s="409"/>
      <c r="C286" s="410"/>
      <c r="D286" s="410"/>
      <c r="E286" s="642"/>
      <c r="F286" s="642"/>
      <c r="G286" s="642"/>
      <c r="H286" s="642"/>
      <c r="I286" s="642"/>
      <c r="J286" s="642"/>
      <c r="K286" s="642"/>
      <c r="L286" s="642"/>
      <c r="M286" s="642"/>
      <c r="N286" s="642"/>
      <c r="O286" s="642"/>
      <c r="P286" s="642"/>
      <c r="Q286" s="642"/>
    </row>
    <row r="287" spans="1:17" ht="24" customHeight="1">
      <c r="A287" s="642"/>
      <c r="B287" s="409"/>
      <c r="C287" s="410"/>
      <c r="D287" s="410"/>
      <c r="E287" s="642"/>
      <c r="F287" s="642"/>
      <c r="G287" s="642"/>
      <c r="H287" s="642"/>
      <c r="I287" s="642"/>
      <c r="J287" s="642"/>
      <c r="K287" s="642"/>
      <c r="L287" s="642"/>
      <c r="M287" s="642"/>
      <c r="N287" s="642"/>
      <c r="O287" s="642"/>
      <c r="P287" s="642"/>
      <c r="Q287" s="642"/>
    </row>
    <row r="288" spans="1:17" ht="24" customHeight="1">
      <c r="A288" s="642"/>
      <c r="B288" s="409"/>
      <c r="C288" s="410"/>
      <c r="D288" s="410"/>
      <c r="E288" s="642"/>
      <c r="F288" s="642"/>
      <c r="G288" s="642"/>
      <c r="H288" s="642"/>
      <c r="I288" s="642"/>
      <c r="J288" s="642"/>
      <c r="K288" s="642"/>
      <c r="L288" s="642"/>
      <c r="M288" s="642"/>
      <c r="N288" s="642"/>
      <c r="O288" s="642"/>
      <c r="P288" s="642"/>
      <c r="Q288" s="642"/>
    </row>
    <row r="289" spans="1:17" ht="24" customHeight="1">
      <c r="A289" s="642"/>
      <c r="B289" s="409"/>
      <c r="C289" s="410"/>
      <c r="D289" s="410"/>
      <c r="E289" s="642"/>
      <c r="F289" s="642"/>
      <c r="G289" s="642"/>
      <c r="H289" s="642"/>
      <c r="I289" s="642"/>
      <c r="J289" s="642"/>
      <c r="K289" s="642"/>
      <c r="L289" s="642"/>
      <c r="M289" s="642"/>
      <c r="N289" s="642"/>
      <c r="O289" s="642"/>
      <c r="P289" s="642"/>
      <c r="Q289" s="642"/>
    </row>
    <row r="290" spans="1:17" ht="24" customHeight="1">
      <c r="A290" s="642"/>
      <c r="B290" s="409"/>
      <c r="C290" s="410"/>
      <c r="D290" s="410"/>
      <c r="E290" s="642"/>
      <c r="F290" s="642"/>
      <c r="G290" s="642"/>
      <c r="H290" s="642"/>
      <c r="I290" s="642"/>
      <c r="J290" s="642"/>
      <c r="K290" s="642"/>
      <c r="L290" s="642"/>
      <c r="M290" s="642"/>
      <c r="N290" s="642"/>
      <c r="O290" s="642"/>
      <c r="P290" s="642"/>
      <c r="Q290" s="642"/>
    </row>
    <row r="291" spans="1:17" ht="24" customHeight="1">
      <c r="A291" s="642"/>
      <c r="B291" s="409"/>
      <c r="C291" s="410"/>
      <c r="D291" s="410"/>
      <c r="E291" s="642"/>
      <c r="F291" s="642"/>
      <c r="G291" s="642"/>
      <c r="H291" s="642"/>
      <c r="I291" s="642"/>
      <c r="J291" s="642"/>
      <c r="K291" s="642"/>
      <c r="L291" s="642"/>
      <c r="M291" s="642"/>
      <c r="N291" s="642"/>
      <c r="O291" s="642"/>
      <c r="P291" s="642"/>
      <c r="Q291" s="642"/>
    </row>
    <row r="292" spans="1:17" ht="24" customHeight="1">
      <c r="A292" s="642"/>
      <c r="B292" s="409"/>
      <c r="C292" s="410"/>
      <c r="D292" s="410"/>
      <c r="E292" s="642"/>
      <c r="F292" s="642"/>
      <c r="G292" s="642"/>
      <c r="H292" s="642"/>
      <c r="I292" s="642"/>
      <c r="J292" s="642"/>
      <c r="K292" s="642"/>
      <c r="L292" s="642"/>
      <c r="M292" s="642"/>
      <c r="N292" s="642"/>
      <c r="O292" s="642"/>
      <c r="P292" s="642"/>
      <c r="Q292" s="642"/>
    </row>
    <row r="293" spans="1:17" ht="24" customHeight="1">
      <c r="A293" s="642"/>
      <c r="B293" s="409"/>
      <c r="C293" s="410"/>
      <c r="D293" s="410"/>
      <c r="E293" s="642"/>
      <c r="F293" s="642"/>
      <c r="G293" s="642"/>
      <c r="H293" s="642"/>
      <c r="I293" s="642"/>
      <c r="J293" s="642"/>
      <c r="K293" s="642"/>
      <c r="L293" s="642"/>
      <c r="M293" s="642"/>
      <c r="N293" s="642"/>
      <c r="O293" s="642"/>
      <c r="P293" s="642"/>
      <c r="Q293" s="642"/>
    </row>
    <row r="294" spans="1:17" ht="24" customHeight="1">
      <c r="A294" s="642"/>
      <c r="B294" s="409"/>
      <c r="C294" s="410"/>
      <c r="D294" s="410"/>
      <c r="E294" s="642"/>
      <c r="F294" s="642"/>
      <c r="G294" s="642"/>
      <c r="H294" s="642"/>
      <c r="I294" s="642"/>
      <c r="J294" s="642"/>
      <c r="K294" s="642"/>
      <c r="L294" s="642"/>
      <c r="M294" s="642"/>
      <c r="N294" s="642"/>
      <c r="O294" s="642"/>
      <c r="P294" s="642"/>
      <c r="Q294" s="642"/>
    </row>
    <row r="295" spans="1:17" ht="24" customHeight="1">
      <c r="A295" s="642"/>
      <c r="B295" s="409"/>
      <c r="C295" s="410"/>
      <c r="D295" s="410"/>
      <c r="E295" s="642"/>
      <c r="F295" s="642"/>
      <c r="G295" s="642"/>
      <c r="H295" s="642"/>
      <c r="I295" s="642"/>
      <c r="J295" s="642"/>
      <c r="K295" s="642"/>
      <c r="L295" s="642"/>
      <c r="M295" s="642"/>
      <c r="N295" s="642"/>
      <c r="O295" s="642"/>
      <c r="P295" s="642"/>
      <c r="Q295" s="642"/>
    </row>
    <row r="296" spans="1:17" ht="24" customHeight="1">
      <c r="A296" s="642"/>
      <c r="B296" s="409"/>
      <c r="C296" s="410"/>
      <c r="D296" s="410"/>
      <c r="E296" s="642"/>
      <c r="F296" s="642"/>
      <c r="G296" s="642"/>
      <c r="H296" s="642"/>
      <c r="I296" s="642"/>
      <c r="J296" s="642"/>
      <c r="K296" s="642"/>
      <c r="L296" s="642"/>
      <c r="M296" s="642"/>
      <c r="N296" s="642"/>
      <c r="O296" s="642"/>
      <c r="P296" s="642"/>
      <c r="Q296" s="642"/>
    </row>
    <row r="297" spans="1:17" ht="24" customHeight="1">
      <c r="A297" s="642"/>
      <c r="B297" s="409"/>
      <c r="C297" s="410"/>
      <c r="D297" s="410"/>
      <c r="E297" s="642"/>
      <c r="F297" s="642"/>
      <c r="G297" s="642"/>
      <c r="H297" s="642"/>
      <c r="I297" s="642"/>
      <c r="J297" s="642"/>
      <c r="K297" s="642"/>
      <c r="L297" s="642"/>
      <c r="M297" s="642"/>
      <c r="N297" s="642"/>
      <c r="O297" s="642"/>
      <c r="P297" s="642"/>
      <c r="Q297" s="642"/>
    </row>
    <row r="298" spans="1:17" ht="24" customHeight="1">
      <c r="A298" s="642"/>
      <c r="B298" s="409"/>
      <c r="C298" s="410"/>
      <c r="D298" s="410"/>
      <c r="E298" s="642"/>
      <c r="F298" s="642"/>
      <c r="G298" s="642"/>
      <c r="H298" s="642"/>
      <c r="I298" s="642"/>
      <c r="J298" s="642"/>
      <c r="K298" s="642"/>
      <c r="L298" s="642"/>
      <c r="M298" s="642"/>
      <c r="N298" s="642"/>
      <c r="O298" s="642"/>
      <c r="P298" s="642"/>
      <c r="Q298" s="642"/>
    </row>
    <row r="299" spans="1:17" ht="24" customHeight="1">
      <c r="A299" s="642"/>
      <c r="B299" s="409"/>
      <c r="C299" s="410"/>
      <c r="D299" s="410"/>
      <c r="E299" s="642"/>
      <c r="F299" s="642"/>
      <c r="G299" s="642"/>
      <c r="H299" s="642"/>
      <c r="I299" s="642"/>
      <c r="J299" s="642"/>
      <c r="K299" s="642"/>
      <c r="L299" s="642"/>
      <c r="M299" s="642"/>
      <c r="N299" s="642"/>
      <c r="O299" s="642"/>
      <c r="P299" s="642"/>
      <c r="Q299" s="642"/>
    </row>
    <row r="300" spans="1:17" ht="24" customHeight="1">
      <c r="A300" s="642"/>
      <c r="B300" s="409"/>
      <c r="C300" s="410"/>
      <c r="D300" s="410"/>
      <c r="E300" s="642"/>
      <c r="F300" s="642"/>
      <c r="G300" s="642"/>
      <c r="H300" s="642"/>
      <c r="I300" s="642"/>
      <c r="J300" s="642"/>
      <c r="K300" s="642"/>
      <c r="L300" s="642"/>
      <c r="M300" s="642"/>
      <c r="N300" s="642"/>
      <c r="O300" s="642"/>
      <c r="P300" s="642"/>
      <c r="Q300" s="642"/>
    </row>
    <row r="301" spans="1:17" ht="24" customHeight="1">
      <c r="A301" s="642"/>
      <c r="B301" s="409"/>
      <c r="C301" s="410"/>
      <c r="D301" s="410"/>
      <c r="E301" s="642"/>
      <c r="F301" s="642"/>
      <c r="G301" s="642"/>
      <c r="H301" s="642"/>
      <c r="I301" s="642"/>
      <c r="J301" s="642"/>
      <c r="K301" s="642"/>
      <c r="L301" s="642"/>
      <c r="M301" s="642"/>
      <c r="N301" s="642"/>
      <c r="O301" s="642"/>
      <c r="P301" s="642"/>
      <c r="Q301" s="642"/>
    </row>
    <row r="302" spans="1:17" ht="24" customHeight="1">
      <c r="A302" s="642"/>
      <c r="B302" s="409"/>
      <c r="C302" s="410"/>
      <c r="D302" s="410"/>
      <c r="E302" s="642"/>
      <c r="F302" s="642"/>
      <c r="G302" s="642"/>
      <c r="H302" s="642"/>
      <c r="I302" s="642"/>
      <c r="J302" s="642"/>
      <c r="K302" s="642"/>
      <c r="L302" s="642"/>
      <c r="M302" s="642"/>
      <c r="N302" s="642"/>
      <c r="O302" s="642"/>
      <c r="P302" s="642"/>
      <c r="Q302" s="642"/>
    </row>
    <row r="303" spans="1:17" ht="24" customHeight="1">
      <c r="A303" s="642"/>
      <c r="B303" s="409"/>
      <c r="C303" s="410"/>
      <c r="D303" s="410"/>
      <c r="E303" s="642"/>
      <c r="F303" s="642"/>
      <c r="G303" s="642"/>
      <c r="H303" s="642"/>
      <c r="I303" s="642"/>
      <c r="J303" s="642"/>
      <c r="K303" s="642"/>
      <c r="L303" s="642"/>
      <c r="M303" s="642"/>
      <c r="N303" s="642"/>
      <c r="O303" s="642"/>
      <c r="P303" s="642"/>
      <c r="Q303" s="642"/>
    </row>
    <row r="304" spans="1:17" ht="24" customHeight="1">
      <c r="A304" s="642"/>
      <c r="B304" s="409"/>
      <c r="C304" s="410"/>
      <c r="D304" s="410"/>
      <c r="E304" s="642"/>
      <c r="F304" s="642"/>
      <c r="G304" s="642"/>
      <c r="H304" s="642"/>
      <c r="I304" s="642"/>
      <c r="J304" s="642"/>
      <c r="K304" s="642"/>
      <c r="L304" s="642"/>
      <c r="M304" s="642"/>
      <c r="N304" s="642"/>
      <c r="O304" s="642"/>
      <c r="P304" s="642"/>
      <c r="Q304" s="642"/>
    </row>
    <row r="305" spans="1:17" ht="24" customHeight="1">
      <c r="A305" s="642"/>
      <c r="B305" s="409"/>
      <c r="C305" s="410"/>
      <c r="D305" s="410"/>
      <c r="E305" s="642"/>
      <c r="F305" s="642"/>
      <c r="G305" s="642"/>
      <c r="H305" s="642"/>
      <c r="I305" s="642"/>
      <c r="J305" s="642"/>
      <c r="K305" s="642"/>
      <c r="L305" s="642"/>
      <c r="M305" s="642"/>
      <c r="N305" s="642"/>
      <c r="O305" s="642"/>
      <c r="P305" s="642"/>
      <c r="Q305" s="642"/>
    </row>
    <row r="306" spans="1:17" ht="24" customHeight="1">
      <c r="A306" s="642"/>
      <c r="B306" s="409"/>
      <c r="C306" s="410"/>
      <c r="D306" s="410"/>
      <c r="E306" s="642"/>
      <c r="F306" s="642"/>
      <c r="G306" s="642"/>
      <c r="H306" s="642"/>
      <c r="I306" s="642"/>
      <c r="J306" s="642"/>
      <c r="K306" s="642"/>
      <c r="L306" s="642"/>
      <c r="M306" s="642"/>
      <c r="N306" s="642"/>
      <c r="O306" s="642"/>
      <c r="P306" s="642"/>
      <c r="Q306" s="642"/>
    </row>
    <row r="307" spans="1:17" ht="24" customHeight="1">
      <c r="A307" s="642"/>
      <c r="B307" s="409"/>
      <c r="C307" s="410"/>
      <c r="D307" s="410"/>
      <c r="E307" s="642"/>
      <c r="F307" s="642"/>
      <c r="G307" s="642"/>
      <c r="H307" s="642"/>
      <c r="I307" s="642"/>
      <c r="J307" s="642"/>
      <c r="K307" s="642"/>
      <c r="L307" s="642"/>
      <c r="M307" s="642"/>
      <c r="N307" s="642"/>
      <c r="O307" s="642"/>
      <c r="P307" s="642"/>
      <c r="Q307" s="642"/>
    </row>
    <row r="308" spans="1:17" ht="24" customHeight="1">
      <c r="A308" s="642"/>
      <c r="B308" s="409"/>
      <c r="C308" s="410"/>
      <c r="D308" s="410"/>
      <c r="E308" s="642"/>
      <c r="F308" s="642"/>
      <c r="G308" s="642"/>
      <c r="H308" s="642"/>
      <c r="I308" s="642"/>
      <c r="J308" s="642"/>
      <c r="K308" s="642"/>
      <c r="L308" s="642"/>
      <c r="M308" s="642"/>
      <c r="N308" s="642"/>
      <c r="O308" s="642"/>
      <c r="P308" s="642"/>
      <c r="Q308" s="642"/>
    </row>
    <row r="309" spans="1:17" ht="24" customHeight="1">
      <c r="A309" s="642"/>
      <c r="B309" s="409"/>
      <c r="C309" s="410"/>
      <c r="D309" s="410"/>
      <c r="E309" s="642"/>
      <c r="F309" s="642"/>
      <c r="G309" s="642"/>
      <c r="H309" s="642"/>
      <c r="I309" s="642"/>
      <c r="J309" s="642"/>
      <c r="K309" s="642"/>
      <c r="L309" s="642"/>
      <c r="M309" s="642"/>
      <c r="N309" s="642"/>
      <c r="O309" s="642"/>
      <c r="P309" s="642"/>
      <c r="Q309" s="642"/>
    </row>
    <row r="310" spans="1:17" ht="24" customHeight="1">
      <c r="A310" s="642"/>
      <c r="B310" s="409"/>
      <c r="C310" s="410"/>
      <c r="D310" s="410"/>
      <c r="E310" s="642"/>
      <c r="F310" s="642"/>
      <c r="G310" s="642"/>
      <c r="H310" s="642"/>
      <c r="I310" s="642"/>
      <c r="J310" s="642"/>
      <c r="K310" s="642"/>
      <c r="L310" s="642"/>
      <c r="M310" s="642"/>
      <c r="N310" s="642"/>
      <c r="O310" s="642"/>
      <c r="P310" s="642"/>
      <c r="Q310" s="642"/>
    </row>
    <row r="311" spans="1:17" ht="24" customHeight="1">
      <c r="A311" s="642"/>
      <c r="B311" s="409"/>
      <c r="C311" s="410"/>
      <c r="D311" s="410"/>
      <c r="E311" s="642"/>
      <c r="F311" s="642"/>
      <c r="G311" s="642"/>
      <c r="H311" s="642"/>
      <c r="I311" s="642"/>
      <c r="J311" s="642"/>
      <c r="K311" s="642"/>
      <c r="L311" s="642"/>
      <c r="M311" s="642"/>
      <c r="N311" s="642"/>
      <c r="O311" s="642"/>
      <c r="P311" s="642"/>
      <c r="Q311" s="642"/>
    </row>
    <row r="312" spans="1:17" ht="24" customHeight="1">
      <c r="A312" s="642"/>
      <c r="B312" s="409"/>
      <c r="C312" s="410"/>
      <c r="D312" s="410"/>
      <c r="E312" s="642"/>
      <c r="F312" s="642"/>
      <c r="G312" s="642"/>
      <c r="H312" s="642"/>
      <c r="I312" s="642"/>
      <c r="J312" s="642"/>
      <c r="K312" s="642"/>
      <c r="L312" s="642"/>
      <c r="M312" s="642"/>
      <c r="N312" s="642"/>
      <c r="O312" s="642"/>
      <c r="P312" s="642"/>
      <c r="Q312" s="642"/>
    </row>
    <row r="313" spans="1:17" ht="24" customHeight="1">
      <c r="A313" s="642"/>
      <c r="B313" s="409"/>
      <c r="C313" s="410"/>
      <c r="D313" s="410"/>
      <c r="E313" s="642"/>
      <c r="F313" s="642"/>
      <c r="G313" s="642"/>
      <c r="H313" s="642"/>
      <c r="I313" s="642"/>
      <c r="J313" s="642"/>
      <c r="K313" s="642"/>
      <c r="L313" s="642"/>
      <c r="M313" s="642"/>
      <c r="N313" s="642"/>
      <c r="O313" s="642"/>
      <c r="P313" s="642"/>
      <c r="Q313" s="642"/>
    </row>
    <row r="314" spans="1:17" ht="24" customHeight="1">
      <c r="A314" s="642"/>
      <c r="B314" s="409"/>
      <c r="C314" s="410"/>
      <c r="D314" s="410"/>
      <c r="E314" s="642"/>
      <c r="F314" s="642"/>
      <c r="G314" s="642"/>
      <c r="H314" s="642"/>
      <c r="I314" s="642"/>
      <c r="J314" s="642"/>
      <c r="K314" s="642"/>
      <c r="L314" s="642"/>
      <c r="M314" s="642"/>
      <c r="N314" s="642"/>
      <c r="O314" s="642"/>
      <c r="P314" s="642"/>
      <c r="Q314" s="642"/>
    </row>
    <row r="315" spans="1:17" ht="24" customHeight="1">
      <c r="A315" s="642"/>
      <c r="B315" s="409"/>
      <c r="C315" s="410"/>
      <c r="D315" s="410"/>
      <c r="E315" s="642"/>
      <c r="F315" s="642"/>
      <c r="G315" s="642"/>
      <c r="H315" s="642"/>
      <c r="I315" s="642"/>
      <c r="J315" s="642"/>
      <c r="K315" s="642"/>
      <c r="L315" s="642"/>
      <c r="M315" s="642"/>
      <c r="N315" s="642"/>
      <c r="O315" s="642"/>
      <c r="P315" s="642"/>
      <c r="Q315" s="642"/>
    </row>
    <row r="316" spans="1:17" ht="24" customHeight="1">
      <c r="A316" s="642"/>
      <c r="B316" s="409"/>
      <c r="C316" s="410"/>
      <c r="D316" s="410"/>
      <c r="E316" s="642"/>
      <c r="F316" s="642"/>
      <c r="G316" s="642"/>
      <c r="H316" s="642"/>
      <c r="I316" s="642"/>
      <c r="J316" s="642"/>
      <c r="K316" s="642"/>
      <c r="L316" s="642"/>
      <c r="M316" s="642"/>
      <c r="N316" s="642"/>
      <c r="O316" s="642"/>
      <c r="P316" s="642"/>
      <c r="Q316" s="642"/>
    </row>
    <row r="317" spans="1:17" ht="24" customHeight="1">
      <c r="A317" s="642"/>
      <c r="B317" s="409"/>
      <c r="C317" s="410"/>
      <c r="D317" s="410"/>
      <c r="E317" s="642"/>
      <c r="F317" s="642"/>
      <c r="G317" s="642"/>
      <c r="H317" s="642"/>
      <c r="I317" s="642"/>
      <c r="J317" s="642"/>
      <c r="K317" s="642"/>
      <c r="L317" s="642"/>
      <c r="M317" s="642"/>
      <c r="N317" s="642"/>
      <c r="O317" s="642"/>
      <c r="P317" s="642"/>
      <c r="Q317" s="642"/>
    </row>
    <row r="318" spans="1:17" ht="24" customHeight="1">
      <c r="A318" s="642"/>
      <c r="B318" s="409"/>
      <c r="C318" s="410"/>
      <c r="D318" s="410"/>
      <c r="E318" s="642"/>
      <c r="F318" s="642"/>
      <c r="G318" s="642"/>
      <c r="H318" s="642"/>
      <c r="I318" s="642"/>
      <c r="J318" s="642"/>
      <c r="K318" s="642"/>
      <c r="L318" s="642"/>
      <c r="M318" s="642"/>
      <c r="N318" s="642"/>
      <c r="O318" s="642"/>
      <c r="P318" s="642"/>
      <c r="Q318" s="642"/>
    </row>
    <row r="319" spans="1:17" ht="24" customHeight="1">
      <c r="A319" s="642"/>
      <c r="B319" s="409"/>
      <c r="C319" s="410"/>
      <c r="D319" s="410"/>
      <c r="E319" s="642"/>
      <c r="F319" s="642"/>
      <c r="G319" s="642"/>
      <c r="H319" s="642"/>
      <c r="I319" s="642"/>
      <c r="J319" s="642"/>
      <c r="K319" s="642"/>
      <c r="L319" s="642"/>
      <c r="M319" s="642"/>
      <c r="N319" s="642"/>
      <c r="O319" s="642"/>
      <c r="P319" s="642"/>
      <c r="Q319" s="642"/>
    </row>
    <row r="320" spans="1:17" ht="24" customHeight="1">
      <c r="A320" s="642"/>
      <c r="B320" s="409"/>
      <c r="C320" s="410"/>
      <c r="D320" s="410"/>
      <c r="E320" s="642"/>
      <c r="F320" s="642"/>
      <c r="G320" s="642"/>
      <c r="H320" s="642"/>
      <c r="I320" s="642"/>
      <c r="J320" s="642"/>
      <c r="K320" s="642"/>
      <c r="L320" s="642"/>
      <c r="M320" s="642"/>
      <c r="N320" s="642"/>
      <c r="O320" s="642"/>
      <c r="P320" s="642"/>
      <c r="Q320" s="642"/>
    </row>
    <row r="321" spans="1:17" ht="24" customHeight="1">
      <c r="A321" s="642"/>
      <c r="B321" s="409"/>
      <c r="C321" s="410"/>
      <c r="D321" s="410"/>
      <c r="E321" s="642"/>
      <c r="F321" s="642"/>
      <c r="G321" s="642"/>
      <c r="H321" s="642"/>
      <c r="I321" s="642"/>
      <c r="J321" s="642"/>
      <c r="K321" s="642"/>
      <c r="L321" s="642"/>
      <c r="M321" s="642"/>
      <c r="N321" s="642"/>
      <c r="O321" s="642"/>
      <c r="P321" s="642"/>
      <c r="Q321" s="642"/>
    </row>
    <row r="322" spans="1:17" ht="24" customHeight="1">
      <c r="A322" s="642"/>
      <c r="B322" s="409"/>
      <c r="C322" s="410"/>
      <c r="D322" s="410"/>
      <c r="E322" s="642"/>
      <c r="F322" s="642"/>
      <c r="G322" s="642"/>
      <c r="H322" s="642"/>
      <c r="I322" s="642"/>
      <c r="J322" s="642"/>
      <c r="K322" s="642"/>
      <c r="L322" s="642"/>
      <c r="M322" s="642"/>
      <c r="N322" s="642"/>
      <c r="O322" s="642"/>
      <c r="P322" s="642"/>
      <c r="Q322" s="642"/>
    </row>
    <row r="323" spans="1:17" ht="24" customHeight="1">
      <c r="A323" s="642"/>
      <c r="B323" s="409"/>
      <c r="C323" s="410"/>
      <c r="D323" s="410"/>
      <c r="E323" s="642"/>
      <c r="F323" s="642"/>
      <c r="G323" s="642"/>
      <c r="H323" s="642"/>
      <c r="I323" s="642"/>
      <c r="J323" s="642"/>
      <c r="K323" s="642"/>
      <c r="L323" s="642"/>
      <c r="M323" s="642"/>
      <c r="N323" s="642"/>
      <c r="O323" s="642"/>
      <c r="P323" s="642"/>
      <c r="Q323" s="642"/>
    </row>
    <row r="324" spans="1:17" ht="24" customHeight="1">
      <c r="A324" s="642"/>
      <c r="B324" s="409"/>
      <c r="C324" s="410"/>
      <c r="D324" s="410"/>
      <c r="E324" s="642"/>
      <c r="F324" s="642"/>
      <c r="G324" s="642"/>
      <c r="H324" s="642"/>
      <c r="I324" s="642"/>
      <c r="J324" s="642"/>
      <c r="K324" s="642"/>
      <c r="L324" s="642"/>
      <c r="M324" s="642"/>
      <c r="N324" s="642"/>
      <c r="O324" s="642"/>
      <c r="P324" s="642"/>
      <c r="Q324" s="642"/>
    </row>
    <row r="325" spans="1:17" ht="24" customHeight="1">
      <c r="A325" s="642"/>
      <c r="B325" s="409"/>
      <c r="C325" s="410"/>
      <c r="D325" s="410"/>
      <c r="E325" s="642"/>
      <c r="F325" s="642"/>
      <c r="G325" s="642"/>
      <c r="H325" s="642"/>
      <c r="I325" s="642"/>
      <c r="J325" s="642"/>
      <c r="K325" s="642"/>
      <c r="L325" s="642"/>
      <c r="M325" s="642"/>
      <c r="N325" s="642"/>
      <c r="O325" s="642"/>
      <c r="P325" s="642"/>
      <c r="Q325" s="642"/>
    </row>
    <row r="326" spans="1:17" ht="24" customHeight="1">
      <c r="A326" s="642"/>
      <c r="B326" s="409"/>
      <c r="C326" s="410"/>
      <c r="D326" s="410"/>
      <c r="E326" s="642"/>
      <c r="F326" s="642"/>
      <c r="G326" s="642"/>
      <c r="H326" s="642"/>
      <c r="I326" s="642"/>
      <c r="J326" s="642"/>
      <c r="K326" s="642"/>
      <c r="L326" s="642"/>
      <c r="M326" s="642"/>
      <c r="N326" s="642"/>
      <c r="O326" s="642"/>
      <c r="P326" s="642"/>
      <c r="Q326" s="642"/>
    </row>
    <row r="327" spans="1:17" ht="24" customHeight="1">
      <c r="A327" s="642"/>
      <c r="B327" s="409"/>
      <c r="C327" s="410"/>
      <c r="D327" s="410"/>
      <c r="E327" s="642"/>
      <c r="F327" s="642"/>
      <c r="G327" s="642"/>
      <c r="H327" s="642"/>
      <c r="I327" s="642"/>
      <c r="J327" s="642"/>
      <c r="K327" s="642"/>
      <c r="L327" s="642"/>
      <c r="M327" s="642"/>
      <c r="N327" s="642"/>
      <c r="O327" s="642"/>
      <c r="P327" s="642"/>
      <c r="Q327" s="642"/>
    </row>
    <row r="328" spans="1:17" ht="24" customHeight="1">
      <c r="A328" s="642"/>
      <c r="B328" s="409"/>
      <c r="C328" s="410"/>
      <c r="D328" s="410"/>
      <c r="E328" s="642"/>
      <c r="F328" s="642"/>
      <c r="G328" s="642"/>
      <c r="H328" s="642"/>
      <c r="I328" s="642"/>
      <c r="J328" s="642"/>
      <c r="K328" s="642"/>
      <c r="L328" s="642"/>
      <c r="M328" s="642"/>
      <c r="N328" s="642"/>
      <c r="O328" s="642"/>
      <c r="P328" s="642"/>
      <c r="Q328" s="642"/>
    </row>
    <row r="329" spans="1:17" ht="24" customHeight="1">
      <c r="A329" s="642"/>
      <c r="B329" s="409"/>
      <c r="C329" s="410"/>
      <c r="D329" s="410"/>
      <c r="E329" s="642"/>
      <c r="F329" s="642"/>
      <c r="G329" s="642"/>
      <c r="H329" s="642"/>
      <c r="I329" s="642"/>
      <c r="J329" s="642"/>
      <c r="K329" s="642"/>
      <c r="L329" s="642"/>
      <c r="M329" s="642"/>
      <c r="N329" s="642"/>
      <c r="O329" s="642"/>
      <c r="P329" s="642"/>
      <c r="Q329" s="642"/>
    </row>
    <row r="330" spans="1:17" ht="24" customHeight="1">
      <c r="A330" s="642"/>
      <c r="B330" s="409"/>
      <c r="C330" s="410"/>
      <c r="D330" s="410"/>
      <c r="E330" s="642"/>
      <c r="F330" s="642"/>
      <c r="G330" s="642"/>
      <c r="H330" s="642"/>
      <c r="I330" s="642"/>
      <c r="J330" s="642"/>
      <c r="K330" s="642"/>
      <c r="L330" s="642"/>
      <c r="M330" s="642"/>
      <c r="N330" s="642"/>
      <c r="O330" s="642"/>
      <c r="P330" s="642"/>
      <c r="Q330" s="642"/>
    </row>
    <row r="331" spans="1:17" ht="24" customHeight="1">
      <c r="A331" s="642"/>
      <c r="B331" s="409"/>
      <c r="C331" s="410"/>
      <c r="D331" s="410"/>
      <c r="E331" s="642"/>
      <c r="F331" s="642"/>
      <c r="G331" s="642"/>
      <c r="H331" s="642"/>
      <c r="I331" s="642"/>
      <c r="J331" s="642"/>
      <c r="K331" s="642"/>
      <c r="L331" s="642"/>
      <c r="M331" s="642"/>
      <c r="N331" s="642"/>
      <c r="O331" s="642"/>
      <c r="P331" s="642"/>
      <c r="Q331" s="642"/>
    </row>
    <row r="332" spans="1:17" ht="24" customHeight="1">
      <c r="A332" s="642"/>
      <c r="B332" s="409"/>
      <c r="C332" s="410"/>
      <c r="D332" s="410"/>
      <c r="E332" s="642"/>
      <c r="F332" s="642"/>
      <c r="G332" s="642"/>
      <c r="H332" s="642"/>
      <c r="I332" s="642"/>
      <c r="J332" s="642"/>
      <c r="K332" s="642"/>
      <c r="L332" s="642"/>
      <c r="M332" s="642"/>
      <c r="N332" s="642"/>
      <c r="O332" s="642"/>
      <c r="P332" s="642"/>
      <c r="Q332" s="642"/>
    </row>
    <row r="333" spans="1:17" ht="24" customHeight="1">
      <c r="A333" s="642"/>
      <c r="B333" s="409"/>
      <c r="C333" s="410"/>
      <c r="D333" s="410"/>
      <c r="E333" s="642"/>
      <c r="F333" s="642"/>
      <c r="G333" s="642"/>
      <c r="H333" s="642"/>
      <c r="I333" s="642"/>
      <c r="J333" s="642"/>
      <c r="K333" s="642"/>
      <c r="L333" s="642"/>
      <c r="M333" s="642"/>
      <c r="N333" s="642"/>
      <c r="O333" s="642"/>
      <c r="P333" s="642"/>
      <c r="Q333" s="642"/>
    </row>
    <row r="334" spans="1:17" ht="24" customHeight="1">
      <c r="A334" s="642"/>
      <c r="B334" s="409"/>
      <c r="C334" s="410"/>
      <c r="D334" s="410"/>
      <c r="E334" s="642"/>
      <c r="F334" s="642"/>
      <c r="G334" s="642"/>
      <c r="H334" s="642"/>
      <c r="I334" s="642"/>
      <c r="J334" s="642"/>
      <c r="K334" s="642"/>
      <c r="L334" s="642"/>
      <c r="M334" s="642"/>
      <c r="N334" s="642"/>
      <c r="O334" s="642"/>
      <c r="P334" s="642"/>
      <c r="Q334" s="642"/>
    </row>
    <row r="335" spans="1:17" ht="24" customHeight="1">
      <c r="A335" s="642"/>
      <c r="B335" s="409"/>
      <c r="C335" s="410"/>
      <c r="D335" s="410"/>
      <c r="E335" s="642"/>
      <c r="F335" s="642"/>
      <c r="G335" s="642"/>
      <c r="H335" s="642"/>
      <c r="I335" s="642"/>
      <c r="J335" s="642"/>
      <c r="K335" s="642"/>
      <c r="L335" s="642"/>
      <c r="M335" s="642"/>
      <c r="N335" s="642"/>
      <c r="O335" s="642"/>
      <c r="P335" s="642"/>
      <c r="Q335" s="642"/>
    </row>
    <row r="336" spans="1:17" ht="24" customHeight="1">
      <c r="A336" s="642"/>
      <c r="B336" s="409"/>
      <c r="C336" s="410"/>
      <c r="D336" s="410"/>
      <c r="E336" s="642"/>
      <c r="F336" s="642"/>
      <c r="G336" s="642"/>
      <c r="H336" s="642"/>
      <c r="I336" s="642"/>
      <c r="J336" s="642"/>
      <c r="K336" s="642"/>
      <c r="L336" s="642"/>
      <c r="M336" s="642"/>
      <c r="N336" s="642"/>
      <c r="O336" s="642"/>
      <c r="P336" s="642"/>
      <c r="Q336" s="642"/>
    </row>
    <row r="337" spans="1:17" ht="24" customHeight="1">
      <c r="A337" s="642"/>
      <c r="B337" s="409"/>
      <c r="C337" s="410"/>
      <c r="D337" s="410"/>
      <c r="E337" s="642"/>
      <c r="F337" s="642"/>
      <c r="G337" s="642"/>
      <c r="H337" s="642"/>
      <c r="I337" s="642"/>
      <c r="J337" s="642"/>
      <c r="K337" s="642"/>
      <c r="L337" s="642"/>
      <c r="M337" s="642"/>
      <c r="N337" s="642"/>
      <c r="O337" s="642"/>
      <c r="P337" s="642"/>
      <c r="Q337" s="642"/>
    </row>
    <row r="338" spans="1:17" ht="24" customHeight="1">
      <c r="A338" s="642"/>
      <c r="B338" s="409"/>
      <c r="C338" s="410"/>
      <c r="D338" s="410"/>
      <c r="E338" s="642"/>
      <c r="F338" s="642"/>
      <c r="G338" s="642"/>
      <c r="H338" s="642"/>
      <c r="I338" s="642"/>
      <c r="J338" s="642"/>
      <c r="K338" s="642"/>
      <c r="L338" s="642"/>
      <c r="M338" s="642"/>
      <c r="N338" s="642"/>
      <c r="O338" s="642"/>
      <c r="P338" s="642"/>
      <c r="Q338" s="642"/>
    </row>
    <row r="339" spans="1:17" ht="24" customHeight="1">
      <c r="A339" s="642"/>
      <c r="B339" s="409"/>
      <c r="C339" s="410"/>
      <c r="D339" s="410"/>
      <c r="E339" s="642"/>
      <c r="F339" s="642"/>
      <c r="G339" s="642"/>
      <c r="H339" s="642"/>
      <c r="I339" s="642"/>
      <c r="J339" s="642"/>
      <c r="K339" s="642"/>
      <c r="L339" s="642"/>
      <c r="M339" s="642"/>
      <c r="N339" s="642"/>
      <c r="O339" s="642"/>
      <c r="P339" s="642"/>
      <c r="Q339" s="642"/>
    </row>
    <row r="340" spans="1:17" ht="24" customHeight="1">
      <c r="A340" s="642"/>
      <c r="B340" s="409"/>
      <c r="C340" s="410"/>
      <c r="D340" s="410"/>
      <c r="E340" s="642"/>
      <c r="F340" s="642"/>
      <c r="G340" s="642"/>
      <c r="H340" s="642"/>
      <c r="I340" s="642"/>
      <c r="J340" s="642"/>
      <c r="K340" s="642"/>
      <c r="L340" s="642"/>
      <c r="M340" s="642"/>
      <c r="N340" s="642"/>
      <c r="O340" s="642"/>
      <c r="P340" s="642"/>
      <c r="Q340" s="642"/>
    </row>
    <row r="341" spans="1:17" ht="24" customHeight="1">
      <c r="A341" s="642"/>
      <c r="B341" s="409"/>
      <c r="C341" s="410"/>
      <c r="D341" s="410"/>
      <c r="E341" s="642"/>
      <c r="F341" s="642"/>
      <c r="G341" s="642"/>
      <c r="H341" s="642"/>
      <c r="I341" s="642"/>
      <c r="J341" s="642"/>
      <c r="K341" s="642"/>
      <c r="L341" s="642"/>
      <c r="M341" s="642"/>
      <c r="N341" s="642"/>
      <c r="O341" s="642"/>
      <c r="P341" s="642"/>
      <c r="Q341" s="642"/>
    </row>
    <row r="342" spans="1:17" ht="24" customHeight="1">
      <c r="A342" s="642"/>
      <c r="B342" s="409"/>
      <c r="C342" s="410"/>
      <c r="D342" s="410"/>
      <c r="E342" s="642"/>
      <c r="F342" s="642"/>
      <c r="G342" s="642"/>
      <c r="H342" s="642"/>
      <c r="I342" s="642"/>
      <c r="J342" s="642"/>
      <c r="K342" s="642"/>
      <c r="L342" s="642"/>
      <c r="M342" s="642"/>
      <c r="N342" s="642"/>
      <c r="O342" s="642"/>
      <c r="P342" s="642"/>
      <c r="Q342" s="642"/>
    </row>
    <row r="343" spans="1:17" ht="24" customHeight="1">
      <c r="A343" s="642"/>
      <c r="B343" s="409"/>
      <c r="C343" s="410"/>
      <c r="D343" s="410"/>
      <c r="E343" s="642"/>
      <c r="F343" s="642"/>
      <c r="G343" s="642"/>
      <c r="H343" s="642"/>
      <c r="I343" s="642"/>
      <c r="J343" s="642"/>
      <c r="K343" s="642"/>
      <c r="L343" s="642"/>
      <c r="M343" s="642"/>
      <c r="N343" s="642"/>
      <c r="O343" s="642"/>
      <c r="P343" s="642"/>
      <c r="Q343" s="642"/>
    </row>
    <row r="344" spans="1:17" ht="24" customHeight="1">
      <c r="A344" s="642"/>
      <c r="B344" s="409"/>
      <c r="C344" s="410"/>
      <c r="D344" s="410"/>
      <c r="E344" s="642"/>
      <c r="F344" s="642"/>
      <c r="G344" s="642"/>
      <c r="H344" s="642"/>
      <c r="I344" s="642"/>
      <c r="J344" s="642"/>
      <c r="K344" s="642"/>
      <c r="L344" s="642"/>
      <c r="M344" s="642"/>
      <c r="N344" s="642"/>
      <c r="O344" s="642"/>
      <c r="P344" s="642"/>
      <c r="Q344" s="642"/>
    </row>
    <row r="345" spans="1:17" ht="24" customHeight="1">
      <c r="A345" s="642"/>
      <c r="B345" s="409"/>
      <c r="C345" s="410"/>
      <c r="D345" s="410"/>
      <c r="E345" s="642"/>
      <c r="F345" s="642"/>
      <c r="G345" s="642"/>
      <c r="H345" s="642"/>
      <c r="I345" s="642"/>
      <c r="J345" s="642"/>
      <c r="K345" s="642"/>
      <c r="L345" s="642"/>
      <c r="M345" s="642"/>
      <c r="N345" s="642"/>
      <c r="O345" s="642"/>
      <c r="P345" s="642"/>
      <c r="Q345" s="642"/>
    </row>
    <row r="346" spans="1:17" ht="24" customHeight="1">
      <c r="A346" s="642"/>
      <c r="B346" s="409"/>
      <c r="C346" s="410"/>
      <c r="D346" s="410"/>
      <c r="E346" s="642"/>
      <c r="F346" s="642"/>
      <c r="G346" s="642"/>
      <c r="H346" s="642"/>
      <c r="I346" s="642"/>
      <c r="J346" s="642"/>
      <c r="K346" s="642"/>
      <c r="L346" s="642"/>
      <c r="M346" s="642"/>
      <c r="N346" s="642"/>
      <c r="O346" s="642"/>
      <c r="P346" s="642"/>
      <c r="Q346" s="642"/>
    </row>
    <row r="347" spans="1:17" ht="24" customHeight="1">
      <c r="A347" s="642"/>
      <c r="B347" s="409"/>
      <c r="C347" s="410"/>
      <c r="D347" s="410"/>
      <c r="E347" s="642"/>
      <c r="F347" s="642"/>
      <c r="G347" s="642"/>
      <c r="H347" s="642"/>
      <c r="I347" s="642"/>
      <c r="J347" s="642"/>
      <c r="K347" s="642"/>
      <c r="L347" s="642"/>
      <c r="M347" s="642"/>
      <c r="N347" s="642"/>
      <c r="O347" s="642"/>
      <c r="P347" s="642"/>
      <c r="Q347" s="642"/>
    </row>
    <row r="348" spans="1:17" ht="24" customHeight="1">
      <c r="A348" s="642"/>
      <c r="B348" s="409"/>
      <c r="C348" s="410"/>
      <c r="D348" s="410"/>
      <c r="E348" s="642"/>
      <c r="F348" s="642"/>
      <c r="G348" s="642"/>
      <c r="H348" s="642"/>
      <c r="I348" s="642"/>
      <c r="J348" s="642"/>
      <c r="K348" s="642"/>
      <c r="L348" s="642"/>
      <c r="M348" s="642"/>
      <c r="N348" s="642"/>
      <c r="O348" s="642"/>
      <c r="P348" s="642"/>
      <c r="Q348" s="642"/>
    </row>
    <row r="349" spans="1:17" ht="24" customHeight="1">
      <c r="A349" s="642"/>
      <c r="B349" s="409"/>
      <c r="C349" s="410"/>
      <c r="D349" s="410"/>
      <c r="E349" s="642"/>
      <c r="F349" s="642"/>
      <c r="G349" s="642"/>
      <c r="H349" s="642"/>
      <c r="I349" s="642"/>
      <c r="J349" s="642"/>
      <c r="K349" s="642"/>
      <c r="L349" s="642"/>
      <c r="M349" s="642"/>
      <c r="N349" s="642"/>
      <c r="O349" s="642"/>
      <c r="P349" s="642"/>
      <c r="Q349" s="642"/>
    </row>
    <row r="350" spans="1:17" ht="24" customHeight="1">
      <c r="A350" s="642"/>
      <c r="B350" s="409"/>
      <c r="C350" s="410"/>
      <c r="D350" s="410"/>
      <c r="E350" s="642"/>
      <c r="F350" s="642"/>
      <c r="G350" s="642"/>
      <c r="H350" s="642"/>
      <c r="I350" s="642"/>
      <c r="J350" s="642"/>
      <c r="K350" s="642"/>
      <c r="L350" s="642"/>
      <c r="M350" s="642"/>
      <c r="N350" s="642"/>
      <c r="O350" s="642"/>
      <c r="P350" s="642"/>
      <c r="Q350" s="642"/>
    </row>
    <row r="351" spans="1:17" ht="24" customHeight="1">
      <c r="A351" s="642"/>
      <c r="B351" s="409"/>
      <c r="C351" s="410"/>
      <c r="D351" s="410"/>
      <c r="E351" s="642"/>
      <c r="F351" s="642"/>
      <c r="G351" s="642"/>
      <c r="H351" s="642"/>
      <c r="I351" s="642"/>
      <c r="J351" s="642"/>
      <c r="K351" s="642"/>
      <c r="L351" s="642"/>
      <c r="M351" s="642"/>
      <c r="N351" s="642"/>
      <c r="O351" s="642"/>
      <c r="P351" s="642"/>
      <c r="Q351" s="642"/>
    </row>
    <row r="352" spans="1:17" ht="24" customHeight="1">
      <c r="A352" s="642"/>
      <c r="B352" s="409"/>
      <c r="C352" s="410"/>
      <c r="D352" s="410"/>
      <c r="E352" s="642"/>
      <c r="F352" s="642"/>
      <c r="G352" s="642"/>
      <c r="H352" s="642"/>
      <c r="I352" s="642"/>
      <c r="J352" s="642"/>
      <c r="K352" s="642"/>
      <c r="L352" s="642"/>
      <c r="M352" s="642"/>
      <c r="N352" s="642"/>
      <c r="O352" s="642"/>
      <c r="P352" s="642"/>
      <c r="Q352" s="642"/>
    </row>
    <row r="353" spans="1:17" ht="24" customHeight="1">
      <c r="A353" s="642"/>
      <c r="B353" s="409"/>
      <c r="C353" s="410"/>
      <c r="D353" s="410"/>
      <c r="E353" s="642"/>
      <c r="F353" s="642"/>
      <c r="G353" s="642"/>
      <c r="H353" s="642"/>
      <c r="I353" s="642"/>
      <c r="J353" s="642"/>
      <c r="K353" s="642"/>
      <c r="L353" s="642"/>
      <c r="M353" s="642"/>
      <c r="N353" s="642"/>
      <c r="O353" s="642"/>
      <c r="P353" s="642"/>
      <c r="Q353" s="642"/>
    </row>
    <row r="354" spans="1:17" ht="24" customHeight="1">
      <c r="A354" s="642"/>
      <c r="B354" s="409"/>
      <c r="C354" s="410"/>
      <c r="D354" s="410"/>
      <c r="E354" s="642"/>
      <c r="F354" s="642"/>
      <c r="G354" s="642"/>
      <c r="H354" s="642"/>
      <c r="I354" s="642"/>
      <c r="J354" s="642"/>
      <c r="K354" s="642"/>
      <c r="L354" s="642"/>
      <c r="M354" s="642"/>
      <c r="N354" s="642"/>
      <c r="O354" s="642"/>
      <c r="P354" s="642"/>
      <c r="Q354" s="642"/>
    </row>
    <row r="355" spans="1:17" ht="24" customHeight="1">
      <c r="A355" s="642"/>
      <c r="B355" s="409"/>
      <c r="C355" s="410"/>
      <c r="D355" s="410"/>
      <c r="E355" s="642"/>
      <c r="F355" s="642"/>
      <c r="G355" s="642"/>
      <c r="H355" s="642"/>
      <c r="I355" s="642"/>
      <c r="J355" s="642"/>
      <c r="K355" s="642"/>
      <c r="L355" s="642"/>
      <c r="M355" s="642"/>
      <c r="N355" s="642"/>
      <c r="O355" s="642"/>
      <c r="P355" s="642"/>
      <c r="Q355" s="642"/>
    </row>
    <row r="356" spans="1:17" ht="24" customHeight="1">
      <c r="A356" s="642"/>
      <c r="B356" s="409"/>
      <c r="C356" s="410"/>
      <c r="D356" s="410"/>
      <c r="E356" s="642"/>
      <c r="F356" s="642"/>
      <c r="G356" s="642"/>
      <c r="H356" s="642"/>
      <c r="I356" s="642"/>
      <c r="J356" s="642"/>
      <c r="K356" s="642"/>
      <c r="L356" s="642"/>
      <c r="M356" s="642"/>
      <c r="N356" s="642"/>
      <c r="O356" s="642"/>
      <c r="P356" s="642"/>
      <c r="Q356" s="642"/>
    </row>
    <row r="357" spans="1:17" ht="24" customHeight="1">
      <c r="A357" s="642"/>
      <c r="B357" s="409"/>
      <c r="C357" s="410"/>
      <c r="D357" s="410"/>
      <c r="E357" s="642"/>
      <c r="F357" s="642"/>
      <c r="G357" s="642"/>
      <c r="H357" s="642"/>
      <c r="I357" s="642"/>
      <c r="J357" s="642"/>
      <c r="K357" s="642"/>
      <c r="L357" s="642"/>
      <c r="M357" s="642"/>
      <c r="N357" s="642"/>
      <c r="O357" s="642"/>
      <c r="P357" s="642"/>
      <c r="Q357" s="642"/>
    </row>
    <row r="358" spans="1:17" ht="24" customHeight="1">
      <c r="A358" s="642"/>
      <c r="B358" s="409"/>
      <c r="C358" s="410"/>
      <c r="D358" s="410"/>
      <c r="E358" s="642"/>
      <c r="F358" s="642"/>
      <c r="G358" s="642"/>
      <c r="H358" s="642"/>
      <c r="I358" s="642"/>
      <c r="J358" s="642"/>
      <c r="K358" s="642"/>
      <c r="L358" s="642"/>
      <c r="M358" s="642"/>
      <c r="N358" s="642"/>
      <c r="O358" s="642"/>
      <c r="P358" s="642"/>
      <c r="Q358" s="642"/>
    </row>
    <row r="359" spans="1:17" ht="24" customHeight="1">
      <c r="A359" s="642"/>
      <c r="B359" s="409"/>
      <c r="C359" s="410"/>
      <c r="D359" s="410"/>
      <c r="E359" s="642"/>
      <c r="F359" s="642"/>
      <c r="G359" s="642"/>
      <c r="H359" s="642"/>
      <c r="I359" s="642"/>
      <c r="J359" s="642"/>
      <c r="K359" s="642"/>
      <c r="L359" s="642"/>
      <c r="M359" s="642"/>
      <c r="N359" s="642"/>
      <c r="O359" s="642"/>
      <c r="P359" s="642"/>
      <c r="Q359" s="642"/>
    </row>
    <row r="360" spans="1:17" ht="24" customHeight="1">
      <c r="A360" s="642"/>
      <c r="B360" s="409"/>
      <c r="C360" s="410"/>
      <c r="D360" s="410"/>
      <c r="E360" s="642"/>
      <c r="F360" s="642"/>
      <c r="G360" s="642"/>
      <c r="H360" s="642"/>
      <c r="I360" s="642"/>
      <c r="J360" s="642"/>
      <c r="K360" s="642"/>
      <c r="L360" s="642"/>
      <c r="M360" s="642"/>
      <c r="N360" s="642"/>
      <c r="O360" s="642"/>
      <c r="P360" s="642"/>
      <c r="Q360" s="642"/>
    </row>
  </sheetData>
  <pageMargins left="0.7" right="0.7" top="0.75" bottom="0.75" header="0.3" footer="0.3"/>
  <pageSetup paperSize="9" orientation="portrai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D3ACE8"/>
  </sheetPr>
  <dimension ref="A1:G322"/>
  <sheetViews>
    <sheetView zoomScale="70" zoomScaleNormal="70" workbookViewId="0">
      <selection activeCell="A56" sqref="A56"/>
    </sheetView>
  </sheetViews>
  <sheetFormatPr defaultRowHeight="14.15"/>
  <cols>
    <col min="1" max="1" width="120.5" style="580" customWidth="1"/>
    <col min="2" max="2" width="98" style="580" customWidth="1"/>
    <col min="3" max="3" width="67.7109375" style="580" customWidth="1"/>
    <col min="4" max="4" width="67.640625" style="580" customWidth="1"/>
    <col min="5" max="6" width="90.140625" style="580" customWidth="1"/>
    <col min="7" max="7" width="129.140625" style="580" customWidth="1"/>
  </cols>
  <sheetData>
    <row r="1" spans="1:7" ht="14.25" customHeight="1">
      <c r="A1" s="830" t="s">
        <v>4204</v>
      </c>
      <c r="B1" s="812"/>
      <c r="C1" s="812"/>
      <c r="D1" s="812"/>
      <c r="E1" s="812"/>
      <c r="F1" s="812"/>
      <c r="G1" s="812"/>
    </row>
    <row r="2" spans="1:7" ht="16.5" customHeight="1">
      <c r="A2" s="812"/>
      <c r="B2" s="812"/>
      <c r="C2" s="812"/>
      <c r="D2" s="812"/>
      <c r="E2" s="812"/>
      <c r="F2" s="812"/>
      <c r="G2" s="812"/>
    </row>
    <row r="3" spans="1:7" ht="16.5" customHeight="1">
      <c r="A3" s="812"/>
      <c r="B3" s="812"/>
      <c r="C3" s="812"/>
      <c r="D3" s="812"/>
      <c r="E3" s="812"/>
      <c r="F3" s="812"/>
      <c r="G3" s="812"/>
    </row>
    <row r="4" spans="1:7" ht="16.5" customHeight="1">
      <c r="A4" s="812"/>
      <c r="B4" s="812"/>
      <c r="C4" s="812"/>
      <c r="D4" s="812"/>
      <c r="E4" s="812"/>
      <c r="F4" s="812"/>
      <c r="G4" s="812"/>
    </row>
    <row r="5" spans="1:7" ht="16.5" customHeight="1">
      <c r="A5" s="812"/>
      <c r="B5" s="812"/>
      <c r="C5" s="812"/>
      <c r="D5" s="812"/>
      <c r="E5" s="812"/>
      <c r="F5" s="812"/>
      <c r="G5" s="812"/>
    </row>
    <row r="6" spans="1:7" ht="16.5" customHeight="1">
      <c r="A6" s="812"/>
      <c r="B6" s="812"/>
      <c r="C6" s="812"/>
      <c r="D6" s="812"/>
      <c r="E6" s="812"/>
      <c r="F6" s="812"/>
      <c r="G6" s="812"/>
    </row>
    <row r="7" spans="1:7" ht="14.25" customHeight="1">
      <c r="A7" s="812"/>
      <c r="B7" s="812"/>
      <c r="C7" s="812"/>
      <c r="D7" s="812"/>
      <c r="E7" s="812"/>
      <c r="F7" s="812"/>
      <c r="G7" s="812"/>
    </row>
    <row r="8" spans="1:7" ht="18.45" customHeight="1">
      <c r="A8" s="448" t="s">
        <v>4205</v>
      </c>
      <c r="B8" s="449" t="s">
        <v>4206</v>
      </c>
      <c r="C8" s="450" t="s">
        <v>4207</v>
      </c>
      <c r="D8" s="450" t="s">
        <v>4208</v>
      </c>
      <c r="E8" s="450" t="s">
        <v>4209</v>
      </c>
      <c r="F8" s="450" t="s">
        <v>4210</v>
      </c>
      <c r="G8" s="451" t="s">
        <v>4211</v>
      </c>
    </row>
    <row r="9" spans="1:7" ht="15.9" customHeight="1">
      <c r="A9" s="324" t="s">
        <v>4212</v>
      </c>
      <c r="B9" s="324" t="s">
        <v>4213</v>
      </c>
      <c r="C9" s="324" t="s">
        <v>4214</v>
      </c>
      <c r="D9" s="324" t="s">
        <v>4212</v>
      </c>
      <c r="E9" s="324" t="s">
        <v>4212</v>
      </c>
      <c r="F9" s="324" t="s">
        <v>4212</v>
      </c>
      <c r="G9" s="324" t="s">
        <v>4212</v>
      </c>
    </row>
    <row r="10" spans="1:7" ht="15.9" customHeight="1">
      <c r="A10" s="324" t="s">
        <v>4215</v>
      </c>
      <c r="B10" s="324" t="s">
        <v>4216</v>
      </c>
      <c r="C10" s="324" t="s">
        <v>4217</v>
      </c>
      <c r="D10" s="324" t="s">
        <v>4218</v>
      </c>
      <c r="E10" s="324" t="s">
        <v>4219</v>
      </c>
      <c r="F10" s="324" t="s">
        <v>4220</v>
      </c>
      <c r="G10" s="324" t="s">
        <v>4221</v>
      </c>
    </row>
    <row r="11" spans="1:7" ht="15.9" customHeight="1">
      <c r="A11" s="324" t="s">
        <v>4222</v>
      </c>
      <c r="B11" s="324" t="s">
        <v>4223</v>
      </c>
      <c r="C11" s="324" t="s">
        <v>4224</v>
      </c>
      <c r="D11" s="324" t="s">
        <v>4225</v>
      </c>
      <c r="E11" s="324" t="s">
        <v>4226</v>
      </c>
      <c r="F11" s="324" t="s">
        <v>4227</v>
      </c>
      <c r="G11" s="324" t="s">
        <v>4228</v>
      </c>
    </row>
    <row r="12" spans="1:7" ht="15.9" customHeight="1">
      <c r="A12" s="452" t="s">
        <v>4229</v>
      </c>
      <c r="B12" s="452" t="s">
        <v>4230</v>
      </c>
      <c r="C12" s="452" t="s">
        <v>4229</v>
      </c>
      <c r="D12" s="452" t="s">
        <v>4229</v>
      </c>
      <c r="E12" s="452" t="s">
        <v>4229</v>
      </c>
      <c r="F12" s="452" t="s">
        <v>4229</v>
      </c>
      <c r="G12" s="452" t="s">
        <v>4231</v>
      </c>
    </row>
    <row r="13" spans="1:7" ht="15.9" customHeight="1">
      <c r="A13" s="453" t="s">
        <v>4232</v>
      </c>
      <c r="B13" s="453" t="s">
        <v>4233</v>
      </c>
      <c r="C13" s="453" t="s">
        <v>4232</v>
      </c>
      <c r="D13" s="453" t="s">
        <v>4232</v>
      </c>
      <c r="E13" s="453" t="s">
        <v>4232</v>
      </c>
      <c r="F13" s="453" t="s">
        <v>4232</v>
      </c>
      <c r="G13" s="453" t="s">
        <v>4234</v>
      </c>
    </row>
    <row r="14" spans="1:7" ht="15.9" customHeight="1">
      <c r="A14" s="454" t="s">
        <v>4235</v>
      </c>
      <c r="B14" s="454" t="s">
        <v>4235</v>
      </c>
      <c r="C14" s="454" t="s">
        <v>4235</v>
      </c>
      <c r="D14" s="454" t="s">
        <v>4235</v>
      </c>
      <c r="E14" s="454" t="s">
        <v>4235</v>
      </c>
      <c r="F14" s="454" t="s">
        <v>4235</v>
      </c>
      <c r="G14" s="454" t="s">
        <v>4235</v>
      </c>
    </row>
    <row r="15" spans="1:7" ht="15.9" customHeight="1">
      <c r="A15" s="455" t="s">
        <v>4236</v>
      </c>
      <c r="B15" s="455" t="s">
        <v>4237</v>
      </c>
      <c r="C15" s="455" t="s">
        <v>4236</v>
      </c>
      <c r="D15" s="455" t="s">
        <v>4236</v>
      </c>
      <c r="E15" s="455" t="s">
        <v>4236</v>
      </c>
      <c r="F15" s="455" t="s">
        <v>4236</v>
      </c>
      <c r="G15" s="455" t="s">
        <v>4236</v>
      </c>
    </row>
    <row r="16" spans="1:7" ht="15.9" customHeight="1">
      <c r="A16" s="456" t="s">
        <v>4238</v>
      </c>
      <c r="B16" s="456" t="s">
        <v>4239</v>
      </c>
      <c r="C16" s="456" t="s">
        <v>4238</v>
      </c>
      <c r="D16" s="456" t="s">
        <v>4238</v>
      </c>
      <c r="E16" s="456" t="s">
        <v>4238</v>
      </c>
      <c r="F16" s="456" t="s">
        <v>4238</v>
      </c>
      <c r="G16" s="456" t="s">
        <v>4240</v>
      </c>
    </row>
    <row r="17" spans="1:7" ht="15.9" customHeight="1">
      <c r="A17" s="457" t="s">
        <v>4241</v>
      </c>
      <c r="B17" s="457" t="s">
        <v>4242</v>
      </c>
      <c r="C17" s="457" t="s">
        <v>4241</v>
      </c>
      <c r="D17" s="457" t="s">
        <v>4241</v>
      </c>
      <c r="E17" s="457" t="s">
        <v>4241</v>
      </c>
      <c r="F17" s="457" t="s">
        <v>4241</v>
      </c>
      <c r="G17" s="457" t="s">
        <v>4242</v>
      </c>
    </row>
    <row r="18" spans="1:7" ht="16.5" customHeight="1">
      <c r="A18" s="458" t="s">
        <v>4243</v>
      </c>
      <c r="B18" s="458" t="s">
        <v>4244</v>
      </c>
      <c r="C18" s="458" t="s">
        <v>4243</v>
      </c>
      <c r="D18" s="458" t="s">
        <v>4243</v>
      </c>
      <c r="E18" s="458" t="s">
        <v>4243</v>
      </c>
      <c r="F18" s="458" t="s">
        <v>4243</v>
      </c>
      <c r="G18" s="458" t="s">
        <v>4245</v>
      </c>
    </row>
    <row r="19" spans="1:7" ht="16.5" customHeight="1">
      <c r="A19" s="459" t="s">
        <v>4246</v>
      </c>
      <c r="B19" s="459" t="s">
        <v>4247</v>
      </c>
      <c r="C19" s="459" t="s">
        <v>4246</v>
      </c>
      <c r="D19" s="459" t="s">
        <v>4246</v>
      </c>
      <c r="E19" s="459" t="s">
        <v>4246</v>
      </c>
      <c r="F19" s="459" t="s">
        <v>4246</v>
      </c>
      <c r="G19" s="459" t="s">
        <v>4248</v>
      </c>
    </row>
    <row r="20" spans="1:7" ht="15.9" customHeight="1">
      <c r="A20" s="302" t="s">
        <v>4249</v>
      </c>
      <c r="B20" s="302" t="s">
        <v>4249</v>
      </c>
      <c r="C20" s="302" t="s">
        <v>4249</v>
      </c>
      <c r="D20" s="302" t="s">
        <v>4249</v>
      </c>
      <c r="E20" s="302" t="s">
        <v>4249</v>
      </c>
      <c r="F20" s="302" t="s">
        <v>4249</v>
      </c>
      <c r="G20" s="302" t="s">
        <v>4250</v>
      </c>
    </row>
    <row r="21" spans="1:7" ht="15.9" customHeight="1">
      <c r="A21" s="460" t="s">
        <v>4251</v>
      </c>
      <c r="B21" s="460" t="s">
        <v>4252</v>
      </c>
      <c r="C21" s="460" t="s">
        <v>4251</v>
      </c>
      <c r="D21" s="460" t="s">
        <v>4251</v>
      </c>
      <c r="E21" s="460" t="s">
        <v>4251</v>
      </c>
      <c r="F21" s="460" t="s">
        <v>4251</v>
      </c>
      <c r="G21" s="460" t="s">
        <v>4251</v>
      </c>
    </row>
    <row r="22" spans="1:7" ht="15.9" customHeight="1">
      <c r="A22" s="461" t="s">
        <v>4253</v>
      </c>
      <c r="B22" s="461" t="s">
        <v>4254</v>
      </c>
      <c r="C22" s="461" t="s">
        <v>4253</v>
      </c>
      <c r="D22" s="461" t="s">
        <v>4253</v>
      </c>
      <c r="E22" s="461" t="s">
        <v>4253</v>
      </c>
      <c r="F22" s="461" t="s">
        <v>4253</v>
      </c>
      <c r="G22" s="461" t="s">
        <v>4255</v>
      </c>
    </row>
    <row r="23" spans="1:7" ht="15.9" customHeight="1">
      <c r="A23" s="462" t="s">
        <v>4256</v>
      </c>
      <c r="B23" s="462" t="s">
        <v>4257</v>
      </c>
      <c r="C23" s="462" t="s">
        <v>4256</v>
      </c>
      <c r="D23" s="462" t="s">
        <v>4256</v>
      </c>
      <c r="E23" s="462" t="s">
        <v>4256</v>
      </c>
      <c r="F23" s="462" t="s">
        <v>4256</v>
      </c>
      <c r="G23" s="462" t="s">
        <v>4258</v>
      </c>
    </row>
    <row r="24" spans="1:7" ht="15.9" customHeight="1">
      <c r="A24" s="463" t="s">
        <v>4259</v>
      </c>
      <c r="B24" s="463" t="s">
        <v>4260</v>
      </c>
      <c r="C24" s="463" t="s">
        <v>4259</v>
      </c>
      <c r="D24" s="463" t="s">
        <v>4259</v>
      </c>
      <c r="E24" s="463" t="s">
        <v>4259</v>
      </c>
      <c r="F24" s="463" t="s">
        <v>4259</v>
      </c>
      <c r="G24" s="463" t="s">
        <v>4261</v>
      </c>
    </row>
    <row r="25" spans="1:7" ht="15.9" customHeight="1">
      <c r="A25" s="464" t="s">
        <v>4262</v>
      </c>
      <c r="B25" s="464" t="s">
        <v>4263</v>
      </c>
      <c r="C25" s="464" t="s">
        <v>4264</v>
      </c>
      <c r="D25" s="464" t="s">
        <v>4264</v>
      </c>
      <c r="E25" s="464" t="s">
        <v>4264</v>
      </c>
      <c r="F25" s="464" t="s">
        <v>4264</v>
      </c>
      <c r="G25" s="464" t="s">
        <v>4262</v>
      </c>
    </row>
    <row r="26" spans="1:7" ht="15.9" customHeight="1">
      <c r="A26" s="457" t="s">
        <v>4265</v>
      </c>
      <c r="B26" s="457" t="s">
        <v>4266</v>
      </c>
      <c r="C26" s="457" t="s">
        <v>4267</v>
      </c>
      <c r="D26" s="457" t="s">
        <v>4267</v>
      </c>
      <c r="E26" s="457" t="s">
        <v>4267</v>
      </c>
      <c r="F26" s="457" t="s">
        <v>4267</v>
      </c>
      <c r="G26" s="457" t="s">
        <v>4268</v>
      </c>
    </row>
    <row r="27" spans="1:7" ht="15.9" customHeight="1">
      <c r="A27" s="465" t="s">
        <v>4269</v>
      </c>
      <c r="B27" s="465" t="s">
        <v>4270</v>
      </c>
      <c r="C27" s="465" t="s">
        <v>4269</v>
      </c>
      <c r="D27" s="465" t="s">
        <v>4269</v>
      </c>
      <c r="E27" s="465" t="s">
        <v>4269</v>
      </c>
      <c r="F27" s="465" t="s">
        <v>4269</v>
      </c>
      <c r="G27" s="465" t="s">
        <v>4269</v>
      </c>
    </row>
    <row r="28" spans="1:7" ht="15.9" customHeight="1">
      <c r="A28" s="466" t="s">
        <v>4271</v>
      </c>
      <c r="B28" s="466" t="s">
        <v>4271</v>
      </c>
      <c r="C28" s="466" t="s">
        <v>4271</v>
      </c>
      <c r="D28" s="466" t="s">
        <v>4271</v>
      </c>
      <c r="E28" s="466" t="s">
        <v>4271</v>
      </c>
      <c r="F28" s="466" t="s">
        <v>4271</v>
      </c>
      <c r="G28" s="466" t="s">
        <v>4272</v>
      </c>
    </row>
    <row r="29" spans="1:7" ht="16.5" customHeight="1">
      <c r="A29" s="330" t="s">
        <v>4273</v>
      </c>
      <c r="B29" s="330" t="s">
        <v>4274</v>
      </c>
      <c r="C29" s="330" t="s">
        <v>4273</v>
      </c>
      <c r="D29" s="330" t="s">
        <v>4273</v>
      </c>
      <c r="E29" s="330" t="s">
        <v>4273</v>
      </c>
      <c r="F29" s="330" t="s">
        <v>4273</v>
      </c>
      <c r="G29" s="330" t="s">
        <v>4275</v>
      </c>
    </row>
    <row r="30" spans="1:7" ht="16.5" customHeight="1">
      <c r="A30" s="467" t="s">
        <v>4276</v>
      </c>
      <c r="B30" s="467" t="s">
        <v>4276</v>
      </c>
      <c r="C30" s="467" t="s">
        <v>4276</v>
      </c>
      <c r="D30" s="467" t="s">
        <v>4276</v>
      </c>
      <c r="E30" s="467" t="s">
        <v>4276</v>
      </c>
      <c r="F30" s="467" t="s">
        <v>4276</v>
      </c>
      <c r="G30" s="467" t="s">
        <v>4276</v>
      </c>
    </row>
    <row r="31" spans="1:7" ht="16.5" customHeight="1">
      <c r="A31" s="468" t="s">
        <v>4277</v>
      </c>
      <c r="B31" s="468" t="s">
        <v>4278</v>
      </c>
      <c r="C31" s="468" t="s">
        <v>4279</v>
      </c>
      <c r="D31" s="468" t="s">
        <v>4279</v>
      </c>
      <c r="E31" s="468" t="s">
        <v>4279</v>
      </c>
      <c r="F31" s="468" t="s">
        <v>4279</v>
      </c>
      <c r="G31" s="468" t="s">
        <v>4277</v>
      </c>
    </row>
    <row r="32" spans="1:7" ht="16.5" customHeight="1">
      <c r="A32" s="468" t="s">
        <v>4280</v>
      </c>
      <c r="B32" s="468" t="s">
        <v>4281</v>
      </c>
      <c r="C32" s="468" t="s">
        <v>4280</v>
      </c>
      <c r="D32" s="468" t="s">
        <v>4280</v>
      </c>
      <c r="E32" s="468" t="s">
        <v>4280</v>
      </c>
      <c r="F32" s="468" t="s">
        <v>4280</v>
      </c>
      <c r="G32" s="468" t="s">
        <v>4281</v>
      </c>
    </row>
    <row r="33" spans="1:7" ht="16.5" customHeight="1">
      <c r="A33" s="469" t="s">
        <v>4282</v>
      </c>
      <c r="B33" s="469" t="s">
        <v>4282</v>
      </c>
      <c r="C33" s="469" t="s">
        <v>2471</v>
      </c>
      <c r="D33" s="469" t="s">
        <v>4282</v>
      </c>
      <c r="E33" s="469" t="s">
        <v>4282</v>
      </c>
      <c r="F33" s="469" t="s">
        <v>4282</v>
      </c>
      <c r="G33" s="469" t="s">
        <v>4282</v>
      </c>
    </row>
    <row r="34" spans="1:7" ht="16.5" customHeight="1">
      <c r="A34" s="470" t="s">
        <v>4283</v>
      </c>
      <c r="B34" s="470" t="s">
        <v>4284</v>
      </c>
      <c r="C34" s="470" t="s">
        <v>4283</v>
      </c>
      <c r="D34" s="470" t="s">
        <v>4283</v>
      </c>
      <c r="E34" s="470" t="s">
        <v>4283</v>
      </c>
      <c r="F34" s="470" t="s">
        <v>4283</v>
      </c>
      <c r="G34" s="470" t="s">
        <v>4285</v>
      </c>
    </row>
    <row r="35" spans="1:7" ht="16.5" customHeight="1">
      <c r="A35" s="470" t="s">
        <v>4286</v>
      </c>
      <c r="B35" s="470" t="s">
        <v>4287</v>
      </c>
      <c r="C35" s="470" t="s">
        <v>4288</v>
      </c>
      <c r="D35" s="470" t="s">
        <v>4288</v>
      </c>
      <c r="E35" s="470" t="s">
        <v>4288</v>
      </c>
      <c r="F35" s="470" t="s">
        <v>4288</v>
      </c>
      <c r="G35" s="470" t="s">
        <v>4289</v>
      </c>
    </row>
    <row r="36" spans="1:7" ht="16.5" customHeight="1">
      <c r="A36" s="470" t="s">
        <v>4290</v>
      </c>
      <c r="B36" s="470" t="s">
        <v>4291</v>
      </c>
      <c r="C36" s="470" t="s">
        <v>4290</v>
      </c>
      <c r="D36" s="470" t="s">
        <v>4290</v>
      </c>
      <c r="E36" s="470" t="s">
        <v>4290</v>
      </c>
      <c r="F36" s="470" t="s">
        <v>4290</v>
      </c>
      <c r="G36" s="470" t="s">
        <v>4292</v>
      </c>
    </row>
    <row r="37" spans="1:7" ht="16.5" customHeight="1">
      <c r="A37" s="470" t="s">
        <v>4293</v>
      </c>
      <c r="B37" s="470" t="s">
        <v>4294</v>
      </c>
      <c r="C37" s="470" t="s">
        <v>4293</v>
      </c>
      <c r="D37" s="470" t="s">
        <v>4293</v>
      </c>
      <c r="E37" s="470" t="s">
        <v>4293</v>
      </c>
      <c r="F37" s="470" t="s">
        <v>4293</v>
      </c>
      <c r="G37" s="470" t="s">
        <v>4295</v>
      </c>
    </row>
    <row r="38" spans="1:7" ht="16.5" customHeight="1">
      <c r="A38" s="470" t="s">
        <v>4296</v>
      </c>
      <c r="B38" s="470" t="s">
        <v>4297</v>
      </c>
      <c r="C38" s="470" t="s">
        <v>4296</v>
      </c>
      <c r="D38" s="470" t="s">
        <v>4296</v>
      </c>
      <c r="E38" s="470" t="s">
        <v>4296</v>
      </c>
      <c r="F38" s="470" t="s">
        <v>4296</v>
      </c>
      <c r="G38" s="470" t="s">
        <v>4298</v>
      </c>
    </row>
    <row r="39" spans="1:7" ht="16.5" customHeight="1">
      <c r="A39" s="468" t="s">
        <v>4299</v>
      </c>
      <c r="B39" s="468" t="s">
        <v>4299</v>
      </c>
      <c r="C39" s="468" t="s">
        <v>4299</v>
      </c>
      <c r="D39" s="468" t="s">
        <v>4299</v>
      </c>
      <c r="E39" s="468" t="s">
        <v>4299</v>
      </c>
      <c r="F39" s="468" t="s">
        <v>4299</v>
      </c>
      <c r="G39" s="468" t="s">
        <v>4300</v>
      </c>
    </row>
    <row r="40" spans="1:7" ht="16.5" customHeight="1">
      <c r="A40" s="468" t="s">
        <v>4301</v>
      </c>
      <c r="B40" s="468" t="s">
        <v>4301</v>
      </c>
      <c r="C40" s="468" t="s">
        <v>4301</v>
      </c>
      <c r="D40" s="468" t="s">
        <v>4301</v>
      </c>
      <c r="E40" s="468" t="s">
        <v>4301</v>
      </c>
      <c r="F40" s="468" t="s">
        <v>4301</v>
      </c>
      <c r="G40" s="468" t="s">
        <v>4301</v>
      </c>
    </row>
    <row r="41" spans="1:7" ht="15.9" customHeight="1">
      <c r="A41" s="468" t="s">
        <v>4302</v>
      </c>
      <c r="B41" s="468" t="s">
        <v>4302</v>
      </c>
      <c r="C41" s="468" t="s">
        <v>4302</v>
      </c>
      <c r="D41" s="468" t="s">
        <v>4302</v>
      </c>
      <c r="E41" s="468" t="s">
        <v>4302</v>
      </c>
      <c r="F41" s="468" t="s">
        <v>4302</v>
      </c>
      <c r="G41" s="468" t="s">
        <v>4302</v>
      </c>
    </row>
    <row r="42" spans="1:7" ht="15.9" customHeight="1">
      <c r="A42" s="468" t="s">
        <v>4303</v>
      </c>
      <c r="B42" s="468" t="s">
        <v>4303</v>
      </c>
      <c r="C42" s="468" t="s">
        <v>4303</v>
      </c>
      <c r="D42" s="468" t="s">
        <v>4303</v>
      </c>
      <c r="E42" s="468" t="s">
        <v>4303</v>
      </c>
      <c r="F42" s="468" t="s">
        <v>4303</v>
      </c>
      <c r="G42" s="468" t="s">
        <v>4303</v>
      </c>
    </row>
    <row r="43" spans="1:7" ht="15.9" customHeight="1">
      <c r="A43" s="468" t="s">
        <v>4304</v>
      </c>
      <c r="B43" s="468" t="s">
        <v>4304</v>
      </c>
      <c r="C43" s="468" t="s">
        <v>4304</v>
      </c>
      <c r="D43" s="468" t="s">
        <v>4304</v>
      </c>
      <c r="E43" s="468" t="s">
        <v>4304</v>
      </c>
      <c r="F43" s="468" t="s">
        <v>4304</v>
      </c>
      <c r="G43" s="468" t="s">
        <v>4304</v>
      </c>
    </row>
    <row r="44" spans="1:7" ht="15.9" customHeight="1">
      <c r="A44" s="468" t="s">
        <v>4305</v>
      </c>
      <c r="B44" s="468" t="s">
        <v>4305</v>
      </c>
      <c r="C44" s="468" t="s">
        <v>4305</v>
      </c>
      <c r="D44" s="468" t="s">
        <v>4305</v>
      </c>
      <c r="E44" s="468" t="s">
        <v>4305</v>
      </c>
      <c r="F44" s="468" t="s">
        <v>4305</v>
      </c>
      <c r="G44" s="468" t="s">
        <v>4305</v>
      </c>
    </row>
    <row r="45" spans="1:7" ht="15.9" customHeight="1">
      <c r="A45" s="468" t="s">
        <v>4306</v>
      </c>
      <c r="B45" s="468" t="s">
        <v>4306</v>
      </c>
      <c r="C45" s="468" t="s">
        <v>4306</v>
      </c>
      <c r="D45" s="468" t="s">
        <v>4306</v>
      </c>
      <c r="E45" s="468" t="s">
        <v>4306</v>
      </c>
      <c r="F45" s="468" t="s">
        <v>4306</v>
      </c>
      <c r="G45" s="468" t="s">
        <v>4306</v>
      </c>
    </row>
    <row r="46" spans="1:7" ht="15.9" customHeight="1">
      <c r="A46" s="468" t="s">
        <v>4307</v>
      </c>
      <c r="B46" s="468" t="s">
        <v>4307</v>
      </c>
      <c r="C46" s="468" t="s">
        <v>4307</v>
      </c>
      <c r="D46" s="468" t="s">
        <v>4307</v>
      </c>
      <c r="E46" s="468" t="s">
        <v>4307</v>
      </c>
      <c r="F46" s="468" t="s">
        <v>4307</v>
      </c>
      <c r="G46" s="468" t="s">
        <v>4307</v>
      </c>
    </row>
    <row r="47" spans="1:7" ht="15.9" customHeight="1">
      <c r="A47" s="468" t="s">
        <v>4308</v>
      </c>
      <c r="B47" s="468" t="s">
        <v>4308</v>
      </c>
      <c r="C47" s="468" t="s">
        <v>4308</v>
      </c>
      <c r="D47" s="468" t="s">
        <v>4308</v>
      </c>
      <c r="E47" s="468" t="s">
        <v>4308</v>
      </c>
      <c r="F47" s="468" t="s">
        <v>4308</v>
      </c>
      <c r="G47" s="468" t="s">
        <v>4308</v>
      </c>
    </row>
    <row r="48" spans="1:7" ht="15.9" customHeight="1">
      <c r="A48" s="468" t="s">
        <v>4309</v>
      </c>
      <c r="B48" s="468" t="s">
        <v>4309</v>
      </c>
      <c r="C48" s="468" t="s">
        <v>4309</v>
      </c>
      <c r="D48" s="468" t="s">
        <v>4309</v>
      </c>
      <c r="E48" s="468" t="s">
        <v>4309</v>
      </c>
      <c r="F48" s="468" t="s">
        <v>4309</v>
      </c>
      <c r="G48" s="468" t="s">
        <v>4309</v>
      </c>
    </row>
    <row r="49" spans="1:7" ht="15.9" customHeight="1">
      <c r="A49" s="468" t="s">
        <v>4310</v>
      </c>
      <c r="B49" s="468" t="s">
        <v>4310</v>
      </c>
      <c r="C49" s="468" t="s">
        <v>4310</v>
      </c>
      <c r="D49" s="468" t="s">
        <v>4310</v>
      </c>
      <c r="E49" s="468" t="s">
        <v>4310</v>
      </c>
      <c r="F49" s="468" t="s">
        <v>4310</v>
      </c>
      <c r="G49" s="468" t="s">
        <v>4310</v>
      </c>
    </row>
    <row r="50" spans="1:7" ht="15.9" customHeight="1">
      <c r="A50" s="468" t="s">
        <v>4311</v>
      </c>
      <c r="B50" s="468" t="s">
        <v>4311</v>
      </c>
      <c r="C50" s="468" t="s">
        <v>4311</v>
      </c>
      <c r="D50" s="468" t="s">
        <v>4311</v>
      </c>
      <c r="E50" s="468" t="s">
        <v>4311</v>
      </c>
      <c r="F50" s="468" t="s">
        <v>4311</v>
      </c>
      <c r="G50" s="468" t="s">
        <v>4311</v>
      </c>
    </row>
    <row r="51" spans="1:7" ht="15.9" customHeight="1">
      <c r="A51" s="468" t="s">
        <v>4312</v>
      </c>
      <c r="B51" s="468" t="s">
        <v>4312</v>
      </c>
      <c r="C51" s="468" t="s">
        <v>4313</v>
      </c>
      <c r="D51" s="468" t="s">
        <v>4313</v>
      </c>
      <c r="E51" s="468" t="s">
        <v>4313</v>
      </c>
      <c r="F51" s="468" t="s">
        <v>4313</v>
      </c>
      <c r="G51" s="468" t="s">
        <v>4313</v>
      </c>
    </row>
    <row r="52" spans="1:7" ht="18.45" customHeight="1">
      <c r="A52" s="471" t="s">
        <v>4314</v>
      </c>
      <c r="B52" s="472" t="s">
        <v>4315</v>
      </c>
      <c r="C52" s="450" t="s">
        <v>4316</v>
      </c>
      <c r="D52" s="450" t="s">
        <v>4317</v>
      </c>
    </row>
    <row r="53" spans="1:7" ht="15.9" customHeight="1">
      <c r="A53" s="324" t="s">
        <v>4212</v>
      </c>
      <c r="B53" s="324" t="s">
        <v>4213</v>
      </c>
      <c r="C53" s="324" t="s">
        <v>4318</v>
      </c>
      <c r="D53" s="324" t="s">
        <v>4212</v>
      </c>
    </row>
    <row r="54" spans="1:7" ht="15.9" customHeight="1">
      <c r="A54" s="324" t="s">
        <v>4319</v>
      </c>
      <c r="B54" s="324" t="s">
        <v>4320</v>
      </c>
      <c r="C54" s="324" t="s">
        <v>4215</v>
      </c>
      <c r="D54" s="324" t="s">
        <v>4321</v>
      </c>
    </row>
    <row r="55" spans="1:7" ht="15.9" customHeight="1">
      <c r="A55" s="324" t="s">
        <v>4322</v>
      </c>
      <c r="B55" s="324" t="s">
        <v>4323</v>
      </c>
      <c r="C55" s="324" t="s">
        <v>4322</v>
      </c>
      <c r="D55" s="324" t="s">
        <v>4322</v>
      </c>
    </row>
    <row r="56" spans="1:7" ht="15.9" customHeight="1">
      <c r="A56" s="452" t="s">
        <v>4231</v>
      </c>
      <c r="B56" s="452" t="s">
        <v>4324</v>
      </c>
      <c r="C56" s="452" t="s">
        <v>4229</v>
      </c>
      <c r="D56" s="452" t="s">
        <v>4325</v>
      </c>
    </row>
    <row r="57" spans="1:7" ht="15.9" customHeight="1">
      <c r="A57" s="453" t="s">
        <v>4232</v>
      </c>
      <c r="B57" s="453" t="s">
        <v>4326</v>
      </c>
      <c r="C57" s="453" t="s">
        <v>4232</v>
      </c>
      <c r="D57" s="453" t="s">
        <v>4327</v>
      </c>
    </row>
    <row r="58" spans="1:7" ht="15.9" customHeight="1">
      <c r="A58" s="454" t="s">
        <v>4235</v>
      </c>
      <c r="B58" s="454" t="s">
        <v>4328</v>
      </c>
      <c r="C58" s="454" t="s">
        <v>4235</v>
      </c>
      <c r="D58" s="454" t="s">
        <v>4235</v>
      </c>
    </row>
    <row r="59" spans="1:7" ht="15.9" customHeight="1">
      <c r="A59" s="455" t="s">
        <v>4236</v>
      </c>
      <c r="B59" s="455" t="s">
        <v>4329</v>
      </c>
      <c r="C59" s="455" t="s">
        <v>4236</v>
      </c>
      <c r="D59" s="455" t="s">
        <v>4236</v>
      </c>
    </row>
    <row r="60" spans="1:7" ht="15.9" customHeight="1">
      <c r="A60" s="456" t="s">
        <v>4240</v>
      </c>
      <c r="B60" s="456" t="s">
        <v>4330</v>
      </c>
      <c r="C60" s="456" t="s">
        <v>4238</v>
      </c>
      <c r="D60" s="456" t="s">
        <v>4331</v>
      </c>
    </row>
    <row r="61" spans="1:7" ht="15.9" customHeight="1">
      <c r="A61" s="457" t="s">
        <v>4332</v>
      </c>
      <c r="B61" s="457" t="s">
        <v>4242</v>
      </c>
      <c r="C61" s="457" t="s">
        <v>4241</v>
      </c>
      <c r="D61" s="457" t="s">
        <v>4333</v>
      </c>
    </row>
    <row r="62" spans="1:7" ht="15.9" customHeight="1">
      <c r="A62" s="458" t="s">
        <v>4334</v>
      </c>
      <c r="B62" s="458" t="s">
        <v>4335</v>
      </c>
      <c r="C62" s="458" t="s">
        <v>4243</v>
      </c>
      <c r="D62" s="458" t="s">
        <v>4336</v>
      </c>
    </row>
    <row r="63" spans="1:7" ht="15.9" customHeight="1">
      <c r="A63" s="459" t="s">
        <v>4337</v>
      </c>
      <c r="B63" s="459" t="s">
        <v>4337</v>
      </c>
      <c r="C63" s="459" t="s">
        <v>4246</v>
      </c>
      <c r="D63" s="459" t="s">
        <v>4338</v>
      </c>
    </row>
    <row r="64" spans="1:7" ht="15.9" customHeight="1">
      <c r="A64" s="302" t="s">
        <v>4339</v>
      </c>
      <c r="B64" s="302" t="s">
        <v>4339</v>
      </c>
      <c r="C64" s="302" t="s">
        <v>4249</v>
      </c>
      <c r="D64" s="302" t="s">
        <v>4340</v>
      </c>
    </row>
    <row r="65" spans="1:4" ht="15.9" customHeight="1">
      <c r="A65" s="460" t="s">
        <v>4251</v>
      </c>
      <c r="B65" s="460" t="s">
        <v>4341</v>
      </c>
      <c r="C65" s="460" t="s">
        <v>4251</v>
      </c>
      <c r="D65" s="460" t="s">
        <v>4342</v>
      </c>
    </row>
    <row r="66" spans="1:4" ht="15.9" customHeight="1">
      <c r="A66" s="461" t="s">
        <v>4343</v>
      </c>
      <c r="B66" s="461" t="s">
        <v>4344</v>
      </c>
      <c r="C66" s="461" t="s">
        <v>4253</v>
      </c>
      <c r="D66" s="461" t="s">
        <v>4343</v>
      </c>
    </row>
    <row r="67" spans="1:4" ht="15.9" customHeight="1">
      <c r="A67" s="462" t="s">
        <v>4345</v>
      </c>
      <c r="B67" s="462" t="s">
        <v>4346</v>
      </c>
      <c r="C67" s="462" t="s">
        <v>4256</v>
      </c>
      <c r="D67" s="462" t="s">
        <v>4258</v>
      </c>
    </row>
    <row r="68" spans="1:4" ht="15.9" customHeight="1">
      <c r="A68" s="463" t="s">
        <v>4347</v>
      </c>
      <c r="B68" s="463" t="s">
        <v>4348</v>
      </c>
      <c r="C68" s="463" t="s">
        <v>4259</v>
      </c>
      <c r="D68" s="463" t="s">
        <v>4261</v>
      </c>
    </row>
    <row r="69" spans="1:4" ht="15.9" customHeight="1">
      <c r="A69" s="464" t="s">
        <v>4263</v>
      </c>
      <c r="B69" s="464" t="s">
        <v>4349</v>
      </c>
      <c r="C69" s="464" t="s">
        <v>4264</v>
      </c>
      <c r="D69" s="464" t="s">
        <v>4264</v>
      </c>
    </row>
    <row r="70" spans="1:4" ht="15.9" customHeight="1">
      <c r="A70" s="457" t="s">
        <v>4267</v>
      </c>
      <c r="B70" s="457" t="s">
        <v>4350</v>
      </c>
      <c r="C70" s="457" t="s">
        <v>4267</v>
      </c>
      <c r="D70" s="457" t="s">
        <v>4267</v>
      </c>
    </row>
    <row r="71" spans="1:4" ht="15.9" customHeight="1">
      <c r="A71" s="465" t="s">
        <v>4351</v>
      </c>
      <c r="B71" s="465" t="s">
        <v>4352</v>
      </c>
      <c r="C71" s="465" t="s">
        <v>4269</v>
      </c>
      <c r="D71" s="465" t="s">
        <v>4269</v>
      </c>
    </row>
    <row r="72" spans="1:4" ht="15.9" customHeight="1">
      <c r="A72" s="466" t="s">
        <v>4271</v>
      </c>
      <c r="B72" s="466" t="s">
        <v>4353</v>
      </c>
      <c r="C72" s="466" t="s">
        <v>4271</v>
      </c>
      <c r="D72" s="466" t="s">
        <v>4354</v>
      </c>
    </row>
    <row r="73" spans="1:4" ht="15.9" customHeight="1">
      <c r="A73" s="330" t="s">
        <v>4355</v>
      </c>
      <c r="B73" s="330" t="s">
        <v>4356</v>
      </c>
      <c r="C73" s="330" t="s">
        <v>4273</v>
      </c>
      <c r="D73" s="330" t="s">
        <v>4357</v>
      </c>
    </row>
    <row r="74" spans="1:4" ht="15.9" customHeight="1">
      <c r="A74" s="467" t="s">
        <v>4276</v>
      </c>
      <c r="B74" s="467" t="s">
        <v>4358</v>
      </c>
      <c r="C74" s="467" t="s">
        <v>4276</v>
      </c>
      <c r="D74" s="467" t="s">
        <v>4276</v>
      </c>
    </row>
    <row r="75" spans="1:4" ht="15.9" customHeight="1">
      <c r="A75" s="468" t="s">
        <v>4279</v>
      </c>
      <c r="B75" s="468" t="s">
        <v>4277</v>
      </c>
      <c r="C75" s="468" t="s">
        <v>4279</v>
      </c>
      <c r="D75" s="468" t="s">
        <v>4279</v>
      </c>
    </row>
    <row r="76" spans="1:4" ht="15.9" customHeight="1">
      <c r="A76" s="469" t="s">
        <v>4282</v>
      </c>
      <c r="B76" s="469" t="s">
        <v>4282</v>
      </c>
      <c r="C76" s="469" t="s">
        <v>4282</v>
      </c>
      <c r="D76" s="469" t="s">
        <v>4282</v>
      </c>
    </row>
    <row r="77" spans="1:4" ht="15.9" customHeight="1">
      <c r="A77" s="470" t="s">
        <v>4359</v>
      </c>
      <c r="B77" s="470" t="s">
        <v>4360</v>
      </c>
      <c r="C77" s="470" t="s">
        <v>4283</v>
      </c>
      <c r="D77" s="470" t="s">
        <v>4361</v>
      </c>
    </row>
    <row r="78" spans="1:4" ht="15.9" customHeight="1">
      <c r="A78" s="470" t="s">
        <v>4362</v>
      </c>
      <c r="B78" s="470" t="s">
        <v>4363</v>
      </c>
      <c r="C78" s="470" t="s">
        <v>4288</v>
      </c>
      <c r="D78" s="470" t="s">
        <v>4364</v>
      </c>
    </row>
    <row r="79" spans="1:4" ht="15.9" customHeight="1">
      <c r="A79" s="470" t="s">
        <v>4365</v>
      </c>
      <c r="B79" s="470" t="s">
        <v>4366</v>
      </c>
      <c r="C79" s="470" t="s">
        <v>4290</v>
      </c>
      <c r="D79" s="470" t="s">
        <v>4367</v>
      </c>
    </row>
    <row r="80" spans="1:4" ht="31.75" customHeight="1">
      <c r="A80" s="473" t="s">
        <v>4368</v>
      </c>
      <c r="B80" s="470" t="s">
        <v>4369</v>
      </c>
      <c r="C80" s="470" t="s">
        <v>4293</v>
      </c>
      <c r="D80" s="470" t="s">
        <v>4370</v>
      </c>
    </row>
    <row r="81" spans="1:7" ht="31.75" customHeight="1">
      <c r="A81" s="473" t="s">
        <v>4371</v>
      </c>
      <c r="B81" s="470" t="s">
        <v>4372</v>
      </c>
      <c r="C81" s="470" t="s">
        <v>4296</v>
      </c>
      <c r="D81" s="470" t="s">
        <v>4373</v>
      </c>
    </row>
    <row r="82" spans="1:7" ht="15.9" customHeight="1">
      <c r="A82" s="468" t="s">
        <v>4299</v>
      </c>
      <c r="B82" s="468" t="s">
        <v>4299</v>
      </c>
      <c r="C82" s="468" t="s">
        <v>4299</v>
      </c>
      <c r="D82" s="468" t="s">
        <v>4299</v>
      </c>
    </row>
    <row r="83" spans="1:7" ht="15.9" customHeight="1">
      <c r="A83" s="468" t="s">
        <v>4301</v>
      </c>
      <c r="B83" s="468" t="s">
        <v>4301</v>
      </c>
      <c r="C83" s="468" t="s">
        <v>4301</v>
      </c>
      <c r="D83" s="468" t="s">
        <v>4301</v>
      </c>
    </row>
    <row r="84" spans="1:7" ht="15.9" customHeight="1">
      <c r="A84" s="468" t="s">
        <v>4302</v>
      </c>
      <c r="B84" s="468" t="s">
        <v>4302</v>
      </c>
      <c r="C84" s="468" t="s">
        <v>4302</v>
      </c>
      <c r="D84" s="468" t="s">
        <v>4302</v>
      </c>
    </row>
    <row r="85" spans="1:7" ht="15.9" customHeight="1">
      <c r="A85" s="468" t="s">
        <v>4303</v>
      </c>
      <c r="B85" s="468" t="s">
        <v>4303</v>
      </c>
      <c r="C85" s="468" t="s">
        <v>4303</v>
      </c>
      <c r="D85" s="468" t="s">
        <v>4303</v>
      </c>
    </row>
    <row r="86" spans="1:7" ht="15.9" customHeight="1">
      <c r="A86" s="468" t="s">
        <v>4304</v>
      </c>
      <c r="B86" s="468" t="s">
        <v>4304</v>
      </c>
      <c r="C86" s="468" t="s">
        <v>4304</v>
      </c>
      <c r="D86" s="468" t="s">
        <v>4304</v>
      </c>
    </row>
    <row r="87" spans="1:7" ht="15.9" customHeight="1">
      <c r="A87" s="468" t="s">
        <v>4305</v>
      </c>
      <c r="B87" s="468" t="s">
        <v>4305</v>
      </c>
      <c r="C87" s="468" t="s">
        <v>4305</v>
      </c>
      <c r="D87" s="468" t="s">
        <v>4305</v>
      </c>
    </row>
    <row r="88" spans="1:7" ht="15.9" customHeight="1">
      <c r="A88" s="468" t="s">
        <v>4306</v>
      </c>
      <c r="B88" s="468" t="s">
        <v>4306</v>
      </c>
      <c r="C88" s="468" t="s">
        <v>4306</v>
      </c>
      <c r="D88" s="468" t="s">
        <v>4306</v>
      </c>
    </row>
    <row r="89" spans="1:7" ht="15.9" customHeight="1">
      <c r="A89" s="468" t="s">
        <v>4307</v>
      </c>
      <c r="B89" s="468" t="s">
        <v>4307</v>
      </c>
      <c r="C89" s="468" t="s">
        <v>4307</v>
      </c>
      <c r="D89" s="468" t="s">
        <v>4307</v>
      </c>
    </row>
    <row r="90" spans="1:7" ht="15.9" customHeight="1">
      <c r="A90" s="468" t="s">
        <v>4308</v>
      </c>
      <c r="B90" s="468" t="s">
        <v>4308</v>
      </c>
      <c r="C90" s="468" t="s">
        <v>4308</v>
      </c>
      <c r="D90" s="468" t="s">
        <v>4308</v>
      </c>
    </row>
    <row r="91" spans="1:7" ht="15.9" customHeight="1">
      <c r="A91" s="468" t="s">
        <v>4309</v>
      </c>
      <c r="B91" s="468" t="s">
        <v>4309</v>
      </c>
      <c r="C91" s="468" t="s">
        <v>4309</v>
      </c>
      <c r="D91" s="468" t="s">
        <v>4309</v>
      </c>
    </row>
    <row r="92" spans="1:7" ht="15.9" customHeight="1">
      <c r="A92" s="468" t="s">
        <v>4310</v>
      </c>
      <c r="B92" s="468" t="s">
        <v>4310</v>
      </c>
      <c r="C92" s="468" t="s">
        <v>4310</v>
      </c>
      <c r="D92" s="468" t="s">
        <v>4310</v>
      </c>
    </row>
    <row r="93" spans="1:7" ht="15.9" customHeight="1">
      <c r="A93" s="468" t="s">
        <v>4311</v>
      </c>
      <c r="B93" s="468" t="s">
        <v>4311</v>
      </c>
      <c r="C93" s="468" t="s">
        <v>4311</v>
      </c>
      <c r="D93" s="468" t="s">
        <v>4311</v>
      </c>
    </row>
    <row r="94" spans="1:7" ht="15.9" customHeight="1">
      <c r="A94" s="468" t="s">
        <v>4374</v>
      </c>
      <c r="B94" s="468" t="s">
        <v>4374</v>
      </c>
      <c r="C94" s="468" t="s">
        <v>4374</v>
      </c>
      <c r="D94" s="468" t="s">
        <v>4374</v>
      </c>
    </row>
    <row r="95" spans="1:7">
      <c r="A95" s="829" t="s">
        <v>4375</v>
      </c>
      <c r="B95" s="812"/>
      <c r="C95" s="812"/>
      <c r="D95" s="812"/>
      <c r="E95" s="812"/>
      <c r="F95" s="812"/>
      <c r="G95" s="812"/>
    </row>
    <row r="96" spans="1:7">
      <c r="A96" s="812"/>
      <c r="B96" s="812"/>
      <c r="C96" s="812"/>
      <c r="D96" s="812"/>
      <c r="E96" s="812"/>
      <c r="F96" s="812"/>
      <c r="G96" s="812"/>
    </row>
    <row r="97" spans="1:7">
      <c r="A97" s="812"/>
      <c r="B97" s="812"/>
      <c r="C97" s="812"/>
      <c r="D97" s="812"/>
      <c r="E97" s="812"/>
      <c r="F97" s="812"/>
      <c r="G97" s="812"/>
    </row>
    <row r="98" spans="1:7">
      <c r="A98" s="812"/>
      <c r="B98" s="812"/>
      <c r="C98" s="812"/>
      <c r="D98" s="812"/>
      <c r="E98" s="812"/>
      <c r="F98" s="812"/>
      <c r="G98" s="812"/>
    </row>
    <row r="99" spans="1:7">
      <c r="A99" s="812"/>
      <c r="B99" s="812"/>
      <c r="C99" s="812"/>
      <c r="D99" s="812"/>
      <c r="E99" s="812"/>
      <c r="F99" s="812"/>
      <c r="G99" s="812"/>
    </row>
    <row r="100" spans="1:7">
      <c r="A100" s="812"/>
      <c r="B100" s="812"/>
      <c r="C100" s="812"/>
      <c r="D100" s="812"/>
      <c r="E100" s="812"/>
      <c r="F100" s="812"/>
      <c r="G100" s="812"/>
    </row>
    <row r="101" spans="1:7">
      <c r="A101" s="812"/>
      <c r="B101" s="812"/>
      <c r="C101" s="812"/>
      <c r="D101" s="812"/>
      <c r="E101" s="812"/>
      <c r="F101" s="812"/>
      <c r="G101" s="812"/>
    </row>
    <row r="102" spans="1:7" ht="18.45" customHeight="1">
      <c r="A102" s="472" t="s">
        <v>4376</v>
      </c>
      <c r="B102" s="472" t="s">
        <v>4377</v>
      </c>
      <c r="C102" s="472" t="s">
        <v>4378</v>
      </c>
      <c r="D102" s="472" t="s">
        <v>4379</v>
      </c>
      <c r="E102" s="472" t="s">
        <v>4380</v>
      </c>
      <c r="F102" s="472" t="s">
        <v>4381</v>
      </c>
      <c r="G102" s="472" t="s">
        <v>4382</v>
      </c>
    </row>
    <row r="103" spans="1:7" ht="15.9" customHeight="1">
      <c r="A103" s="324" t="s">
        <v>4383</v>
      </c>
      <c r="B103" s="324" t="s">
        <v>4383</v>
      </c>
      <c r="C103" s="324" t="s">
        <v>4383</v>
      </c>
      <c r="D103" s="324" t="s">
        <v>4383</v>
      </c>
      <c r="E103" s="324" t="s">
        <v>4383</v>
      </c>
      <c r="F103" s="324" t="s">
        <v>4383</v>
      </c>
      <c r="G103" s="324" t="s">
        <v>4383</v>
      </c>
    </row>
    <row r="104" spans="1:7" ht="15.9" customHeight="1">
      <c r="A104" s="324" t="s">
        <v>4384</v>
      </c>
      <c r="B104" s="324" t="s">
        <v>4384</v>
      </c>
      <c r="C104" s="324" t="s">
        <v>4384</v>
      </c>
      <c r="D104" s="324" t="s">
        <v>4384</v>
      </c>
      <c r="E104" s="324" t="s">
        <v>4384</v>
      </c>
      <c r="F104" s="324" t="s">
        <v>4384</v>
      </c>
      <c r="G104" s="324" t="s">
        <v>4384</v>
      </c>
    </row>
    <row r="105" spans="1:7" ht="15.9" customHeight="1">
      <c r="A105" s="324" t="s">
        <v>4322</v>
      </c>
      <c r="B105" s="324" t="s">
        <v>4322</v>
      </c>
      <c r="C105" s="324" t="s">
        <v>4322</v>
      </c>
      <c r="D105" s="324" t="s">
        <v>4322</v>
      </c>
      <c r="E105" s="324" t="s">
        <v>4322</v>
      </c>
      <c r="F105" s="324" t="s">
        <v>4322</v>
      </c>
      <c r="G105" s="324" t="s">
        <v>4322</v>
      </c>
    </row>
    <row r="106" spans="1:7" ht="15.9" customHeight="1">
      <c r="A106" s="452" t="s">
        <v>4385</v>
      </c>
      <c r="B106" s="452" t="s">
        <v>4385</v>
      </c>
      <c r="C106" s="452" t="s">
        <v>4386</v>
      </c>
      <c r="D106" s="452" t="s">
        <v>4385</v>
      </c>
      <c r="E106" s="452" t="s">
        <v>4385</v>
      </c>
      <c r="F106" s="452" t="s">
        <v>4385</v>
      </c>
      <c r="G106" s="452" t="s">
        <v>4385</v>
      </c>
    </row>
    <row r="107" spans="1:7" ht="15.9" customHeight="1">
      <c r="A107" s="453" t="s">
        <v>4387</v>
      </c>
      <c r="B107" s="453" t="s">
        <v>4387</v>
      </c>
      <c r="C107" s="453" t="s">
        <v>4388</v>
      </c>
      <c r="D107" s="453" t="s">
        <v>4387</v>
      </c>
      <c r="E107" s="453" t="s">
        <v>4387</v>
      </c>
      <c r="F107" s="453" t="s">
        <v>4387</v>
      </c>
      <c r="G107" s="453" t="s">
        <v>4387</v>
      </c>
    </row>
    <row r="108" spans="1:7" ht="15.9" customHeight="1">
      <c r="A108" s="454" t="s">
        <v>4389</v>
      </c>
      <c r="B108" s="454" t="s">
        <v>4389</v>
      </c>
      <c r="C108" s="454" t="s">
        <v>4390</v>
      </c>
      <c r="D108" s="454" t="s">
        <v>4389</v>
      </c>
      <c r="E108" s="454" t="s">
        <v>4389</v>
      </c>
      <c r="F108" s="454" t="s">
        <v>4389</v>
      </c>
      <c r="G108" s="454" t="s">
        <v>4389</v>
      </c>
    </row>
    <row r="109" spans="1:7" ht="15.9" customHeight="1">
      <c r="A109" s="455" t="s">
        <v>4391</v>
      </c>
      <c r="B109" s="455" t="s">
        <v>4391</v>
      </c>
      <c r="C109" s="455" t="s">
        <v>4392</v>
      </c>
      <c r="D109" s="455" t="s">
        <v>4391</v>
      </c>
      <c r="E109" s="455" t="s">
        <v>4391</v>
      </c>
      <c r="F109" s="455" t="s">
        <v>4391</v>
      </c>
      <c r="G109" s="455" t="s">
        <v>4391</v>
      </c>
    </row>
    <row r="110" spans="1:7" ht="15.9" customHeight="1">
      <c r="A110" s="456" t="s">
        <v>4393</v>
      </c>
      <c r="B110" s="456" t="s">
        <v>4393</v>
      </c>
      <c r="C110" s="456" t="s">
        <v>5864</v>
      </c>
      <c r="D110" s="456" t="s">
        <v>4393</v>
      </c>
      <c r="E110" s="456" t="s">
        <v>4393</v>
      </c>
      <c r="F110" s="456" t="s">
        <v>4393</v>
      </c>
      <c r="G110" s="456" t="s">
        <v>4393</v>
      </c>
    </row>
    <row r="111" spans="1:7" ht="15.9" customHeight="1">
      <c r="A111" s="457" t="s">
        <v>4332</v>
      </c>
      <c r="B111" s="457" t="s">
        <v>4332</v>
      </c>
      <c r="C111" s="457" t="s">
        <v>4332</v>
      </c>
      <c r="D111" s="457" t="s">
        <v>4332</v>
      </c>
      <c r="E111" s="457" t="s">
        <v>4332</v>
      </c>
      <c r="F111" s="457" t="s">
        <v>4332</v>
      </c>
      <c r="G111" s="457" t="s">
        <v>4332</v>
      </c>
    </row>
    <row r="112" spans="1:7" ht="15.9" customHeight="1">
      <c r="A112" s="458" t="s">
        <v>4243</v>
      </c>
      <c r="B112" s="458" t="s">
        <v>4243</v>
      </c>
      <c r="C112" s="458" t="s">
        <v>4243</v>
      </c>
      <c r="D112" s="458" t="s">
        <v>4243</v>
      </c>
      <c r="E112" s="458" t="s">
        <v>4243</v>
      </c>
      <c r="F112" s="458" t="s">
        <v>4243</v>
      </c>
      <c r="G112" s="458" t="s">
        <v>4243</v>
      </c>
    </row>
    <row r="113" spans="1:7" ht="15.9" customHeight="1">
      <c r="A113" s="459" t="s">
        <v>4394</v>
      </c>
      <c r="B113" s="459" t="s">
        <v>4394</v>
      </c>
      <c r="C113" s="459" t="s">
        <v>4395</v>
      </c>
      <c r="D113" s="459" t="s">
        <v>4394</v>
      </c>
      <c r="E113" s="459" t="s">
        <v>4394</v>
      </c>
      <c r="F113" s="459" t="s">
        <v>4394</v>
      </c>
      <c r="G113" s="459" t="s">
        <v>4394</v>
      </c>
    </row>
    <row r="114" spans="1:7" ht="15.9" customHeight="1">
      <c r="A114" s="302" t="s">
        <v>4396</v>
      </c>
      <c r="B114" s="302" t="s">
        <v>4396</v>
      </c>
      <c r="C114" s="302" t="s">
        <v>4397</v>
      </c>
      <c r="D114" s="302" t="s">
        <v>4396</v>
      </c>
      <c r="E114" s="302" t="s">
        <v>4396</v>
      </c>
      <c r="F114" s="302" t="s">
        <v>4396</v>
      </c>
      <c r="G114" s="302" t="s">
        <v>4396</v>
      </c>
    </row>
    <row r="115" spans="1:7" ht="15.9" customHeight="1">
      <c r="A115" s="460" t="s">
        <v>4398</v>
      </c>
      <c r="B115" s="460" t="s">
        <v>4398</v>
      </c>
      <c r="C115" s="460" t="s">
        <v>4399</v>
      </c>
      <c r="D115" s="460" t="s">
        <v>4398</v>
      </c>
      <c r="E115" s="460" t="s">
        <v>4398</v>
      </c>
      <c r="F115" s="460" t="s">
        <v>4398</v>
      </c>
      <c r="G115" s="460" t="s">
        <v>4398</v>
      </c>
    </row>
    <row r="116" spans="1:7" ht="15.9" customHeight="1">
      <c r="A116" s="461" t="s">
        <v>4400</v>
      </c>
      <c r="B116" s="461" t="s">
        <v>4400</v>
      </c>
      <c r="C116" s="461" t="s">
        <v>4401</v>
      </c>
      <c r="D116" s="461" t="s">
        <v>4400</v>
      </c>
      <c r="E116" s="461" t="s">
        <v>4400</v>
      </c>
      <c r="F116" s="461" t="s">
        <v>4400</v>
      </c>
      <c r="G116" s="461" t="s">
        <v>4400</v>
      </c>
    </row>
    <row r="117" spans="1:7" ht="15.9" customHeight="1">
      <c r="A117" s="462" t="s">
        <v>4402</v>
      </c>
      <c r="B117" s="462" t="s">
        <v>4402</v>
      </c>
      <c r="C117" s="462" t="s">
        <v>4403</v>
      </c>
      <c r="D117" s="462" t="s">
        <v>4402</v>
      </c>
      <c r="E117" s="462" t="s">
        <v>4402</v>
      </c>
      <c r="F117" s="462" t="s">
        <v>4402</v>
      </c>
      <c r="G117" s="462" t="s">
        <v>4402</v>
      </c>
    </row>
    <row r="118" spans="1:7" ht="15.9" customHeight="1">
      <c r="A118" s="463" t="s">
        <v>4404</v>
      </c>
      <c r="B118" s="463" t="s">
        <v>4404</v>
      </c>
      <c r="C118" s="463" t="s">
        <v>4405</v>
      </c>
      <c r="D118" s="463" t="s">
        <v>4404</v>
      </c>
      <c r="E118" s="463" t="s">
        <v>4404</v>
      </c>
      <c r="F118" s="463" t="s">
        <v>4404</v>
      </c>
      <c r="G118" s="463" t="s">
        <v>4404</v>
      </c>
    </row>
    <row r="119" spans="1:7" ht="15.9" customHeight="1">
      <c r="A119" s="464" t="s">
        <v>4406</v>
      </c>
      <c r="B119" s="464" t="s">
        <v>4406</v>
      </c>
      <c r="C119" s="464" t="s">
        <v>4407</v>
      </c>
      <c r="D119" s="464" t="s">
        <v>4406</v>
      </c>
      <c r="E119" s="464" t="s">
        <v>4406</v>
      </c>
      <c r="F119" s="464" t="s">
        <v>4406</v>
      </c>
      <c r="G119" s="464" t="s">
        <v>4406</v>
      </c>
    </row>
    <row r="120" spans="1:7" ht="15.9" customHeight="1">
      <c r="A120" s="457" t="s">
        <v>4408</v>
      </c>
      <c r="B120" s="457" t="s">
        <v>4408</v>
      </c>
      <c r="C120" s="457" t="s">
        <v>4409</v>
      </c>
      <c r="D120" s="457" t="s">
        <v>4408</v>
      </c>
      <c r="E120" s="457" t="s">
        <v>4408</v>
      </c>
      <c r="F120" s="457" t="s">
        <v>4408</v>
      </c>
      <c r="G120" s="457" t="s">
        <v>4408</v>
      </c>
    </row>
    <row r="121" spans="1:7" ht="15.9" customHeight="1">
      <c r="A121" s="465" t="s">
        <v>4270</v>
      </c>
      <c r="B121" s="465" t="s">
        <v>4270</v>
      </c>
      <c r="C121" s="465" t="s">
        <v>4410</v>
      </c>
      <c r="D121" s="465" t="s">
        <v>4270</v>
      </c>
      <c r="E121" s="465" t="s">
        <v>4270</v>
      </c>
      <c r="F121" s="465" t="s">
        <v>4270</v>
      </c>
      <c r="G121" s="465" t="s">
        <v>4270</v>
      </c>
    </row>
    <row r="122" spans="1:7" ht="15.9" customHeight="1">
      <c r="A122" s="466" t="s">
        <v>4411</v>
      </c>
      <c r="B122" s="466" t="s">
        <v>4411</v>
      </c>
      <c r="C122" s="466" t="s">
        <v>5863</v>
      </c>
      <c r="D122" s="466" t="s">
        <v>4411</v>
      </c>
      <c r="E122" s="466" t="s">
        <v>4411</v>
      </c>
      <c r="F122" s="466" t="s">
        <v>4411</v>
      </c>
      <c r="G122" s="466" t="s">
        <v>4411</v>
      </c>
    </row>
    <row r="123" spans="1:7" ht="15.9" customHeight="1">
      <c r="A123" s="330" t="s">
        <v>4412</v>
      </c>
      <c r="B123" s="330" t="s">
        <v>4412</v>
      </c>
      <c r="C123" s="330" t="s">
        <v>4413</v>
      </c>
      <c r="D123" s="330" t="s">
        <v>4412</v>
      </c>
      <c r="E123" s="330" t="s">
        <v>4412</v>
      </c>
      <c r="F123" s="330" t="s">
        <v>4412</v>
      </c>
      <c r="G123" s="330" t="s">
        <v>4412</v>
      </c>
    </row>
    <row r="124" spans="1:7" ht="15.9" customHeight="1">
      <c r="A124" s="467" t="s">
        <v>4414</v>
      </c>
      <c r="B124" s="467" t="s">
        <v>4414</v>
      </c>
      <c r="C124" s="467" t="s">
        <v>4415</v>
      </c>
      <c r="D124" s="467" t="s">
        <v>4414</v>
      </c>
      <c r="E124" s="467" t="s">
        <v>4414</v>
      </c>
      <c r="F124" s="467" t="s">
        <v>4414</v>
      </c>
      <c r="G124" s="467" t="s">
        <v>4414</v>
      </c>
    </row>
    <row r="125" spans="1:7" ht="15.9" customHeight="1">
      <c r="A125" s="468" t="s">
        <v>4278</v>
      </c>
      <c r="B125" s="468" t="s">
        <v>4278</v>
      </c>
      <c r="C125" s="468" t="s">
        <v>4416</v>
      </c>
      <c r="D125" s="468" t="s">
        <v>4278</v>
      </c>
      <c r="E125" s="468" t="s">
        <v>4278</v>
      </c>
      <c r="F125" s="468" t="s">
        <v>4278</v>
      </c>
      <c r="G125" s="468" t="s">
        <v>4278</v>
      </c>
    </row>
    <row r="126" spans="1:7" ht="15.9" customHeight="1">
      <c r="A126" s="469" t="s">
        <v>4282</v>
      </c>
      <c r="B126" s="469" t="s">
        <v>4282</v>
      </c>
      <c r="C126" s="469" t="s">
        <v>4417</v>
      </c>
      <c r="D126" s="469" t="s">
        <v>4282</v>
      </c>
      <c r="E126" s="469" t="s">
        <v>4282</v>
      </c>
      <c r="F126" s="469" t="s">
        <v>4282</v>
      </c>
      <c r="G126" s="469" t="s">
        <v>4282</v>
      </c>
    </row>
    <row r="127" spans="1:7" ht="15.9" customHeight="1">
      <c r="A127" s="470" t="s">
        <v>4418</v>
      </c>
      <c r="B127" s="470" t="s">
        <v>4418</v>
      </c>
      <c r="C127" s="470" t="s">
        <v>726</v>
      </c>
      <c r="D127" s="470" t="s">
        <v>4418</v>
      </c>
      <c r="E127" s="470" t="s">
        <v>4418</v>
      </c>
      <c r="F127" s="470" t="s">
        <v>4418</v>
      </c>
      <c r="G127" s="470" t="s">
        <v>4418</v>
      </c>
    </row>
    <row r="128" spans="1:7" ht="31.75" customHeight="1">
      <c r="A128" s="473" t="s">
        <v>4419</v>
      </c>
      <c r="B128" s="473" t="s">
        <v>4419</v>
      </c>
      <c r="C128" s="470" t="s">
        <v>726</v>
      </c>
      <c r="D128" s="470" t="s">
        <v>4419</v>
      </c>
      <c r="E128" s="470" t="s">
        <v>4419</v>
      </c>
      <c r="F128" s="470" t="s">
        <v>4419</v>
      </c>
      <c r="G128" s="470" t="s">
        <v>4419</v>
      </c>
    </row>
    <row r="129" spans="1:7" ht="15.9" customHeight="1">
      <c r="A129" s="470" t="s">
        <v>4420</v>
      </c>
      <c r="B129" s="470" t="s">
        <v>4420</v>
      </c>
      <c r="C129" s="470" t="s">
        <v>726</v>
      </c>
      <c r="D129" s="470" t="s">
        <v>4420</v>
      </c>
      <c r="E129" s="470" t="s">
        <v>4420</v>
      </c>
      <c r="F129" s="470" t="s">
        <v>4420</v>
      </c>
      <c r="G129" s="470" t="s">
        <v>4420</v>
      </c>
    </row>
    <row r="130" spans="1:7" ht="31.75" customHeight="1">
      <c r="A130" s="473" t="s">
        <v>4421</v>
      </c>
      <c r="B130" s="470" t="s">
        <v>4421</v>
      </c>
      <c r="C130" s="470" t="s">
        <v>726</v>
      </c>
      <c r="D130" s="470" t="s">
        <v>4421</v>
      </c>
      <c r="E130" s="470" t="s">
        <v>4421</v>
      </c>
      <c r="F130" s="470" t="s">
        <v>4421</v>
      </c>
      <c r="G130" s="470" t="s">
        <v>4421</v>
      </c>
    </row>
    <row r="131" spans="1:7" ht="31.75" customHeight="1">
      <c r="A131" s="473" t="s">
        <v>4422</v>
      </c>
      <c r="B131" s="470" t="s">
        <v>4422</v>
      </c>
      <c r="C131" s="470" t="s">
        <v>726</v>
      </c>
      <c r="D131" s="470" t="s">
        <v>4422</v>
      </c>
      <c r="E131" s="470" t="s">
        <v>4422</v>
      </c>
      <c r="F131" s="470" t="s">
        <v>4422</v>
      </c>
      <c r="G131" s="470" t="s">
        <v>4422</v>
      </c>
    </row>
    <row r="132" spans="1:7" ht="18" customHeight="1">
      <c r="A132" s="468" t="s">
        <v>4423</v>
      </c>
      <c r="B132" s="468" t="s">
        <v>4423</v>
      </c>
      <c r="C132" s="468" t="s">
        <v>4299</v>
      </c>
      <c r="D132" s="468" t="s">
        <v>4423</v>
      </c>
      <c r="E132" s="468" t="s">
        <v>4423</v>
      </c>
      <c r="F132" s="468" t="s">
        <v>4423</v>
      </c>
      <c r="G132" s="468" t="s">
        <v>4423</v>
      </c>
    </row>
    <row r="133" spans="1:7" ht="15.9" customHeight="1">
      <c r="A133" s="468" t="s">
        <v>4301</v>
      </c>
      <c r="B133" s="468" t="s">
        <v>4301</v>
      </c>
      <c r="C133" s="468" t="s">
        <v>4301</v>
      </c>
      <c r="D133" s="468" t="s">
        <v>4301</v>
      </c>
      <c r="E133" s="468" t="s">
        <v>4301</v>
      </c>
      <c r="F133" s="468" t="s">
        <v>4301</v>
      </c>
      <c r="G133" s="468" t="s">
        <v>4301</v>
      </c>
    </row>
    <row r="134" spans="1:7" ht="15.9" customHeight="1">
      <c r="A134" s="468" t="s">
        <v>4302</v>
      </c>
      <c r="B134" s="468" t="s">
        <v>4302</v>
      </c>
      <c r="C134" s="468" t="s">
        <v>4302</v>
      </c>
      <c r="D134" s="468" t="s">
        <v>4302</v>
      </c>
      <c r="E134" s="468" t="s">
        <v>4302</v>
      </c>
      <c r="F134" s="468" t="s">
        <v>4302</v>
      </c>
      <c r="G134" s="468" t="s">
        <v>4302</v>
      </c>
    </row>
    <row r="135" spans="1:7" ht="16.5" customHeight="1">
      <c r="A135" s="468" t="s">
        <v>4424</v>
      </c>
      <c r="B135" s="468" t="s">
        <v>4424</v>
      </c>
      <c r="C135" s="468" t="s">
        <v>4303</v>
      </c>
      <c r="D135" s="468" t="s">
        <v>4424</v>
      </c>
      <c r="E135" s="468" t="s">
        <v>4424</v>
      </c>
      <c r="F135" s="468" t="s">
        <v>4424</v>
      </c>
      <c r="G135" s="468" t="s">
        <v>4424</v>
      </c>
    </row>
    <row r="136" spans="1:7" ht="15.9" customHeight="1">
      <c r="A136" s="468" t="s">
        <v>4304</v>
      </c>
      <c r="B136" s="468" t="s">
        <v>4304</v>
      </c>
      <c r="C136" s="468" t="s">
        <v>4304</v>
      </c>
      <c r="D136" s="468" t="s">
        <v>4304</v>
      </c>
      <c r="E136" s="468" t="s">
        <v>4304</v>
      </c>
      <c r="F136" s="468" t="s">
        <v>4304</v>
      </c>
      <c r="G136" s="468" t="s">
        <v>4304</v>
      </c>
    </row>
    <row r="137" spans="1:7" ht="15.9" customHeight="1">
      <c r="A137" s="468" t="s">
        <v>4305</v>
      </c>
      <c r="B137" s="468" t="s">
        <v>4305</v>
      </c>
      <c r="C137" s="468" t="s">
        <v>4305</v>
      </c>
      <c r="D137" s="468" t="s">
        <v>4305</v>
      </c>
      <c r="E137" s="468" t="s">
        <v>4305</v>
      </c>
      <c r="F137" s="468" t="s">
        <v>4305</v>
      </c>
      <c r="G137" s="468" t="s">
        <v>4305</v>
      </c>
    </row>
    <row r="138" spans="1:7" ht="15.9" customHeight="1">
      <c r="A138" s="468" t="s">
        <v>4306</v>
      </c>
      <c r="B138" s="468" t="s">
        <v>4306</v>
      </c>
      <c r="C138" s="468" t="s">
        <v>4306</v>
      </c>
      <c r="D138" s="468" t="s">
        <v>4306</v>
      </c>
      <c r="E138" s="468" t="s">
        <v>4306</v>
      </c>
      <c r="F138" s="468" t="s">
        <v>4306</v>
      </c>
      <c r="G138" s="468" t="s">
        <v>4306</v>
      </c>
    </row>
    <row r="139" spans="1:7" ht="15.9" customHeight="1">
      <c r="A139" s="468" t="s">
        <v>4307</v>
      </c>
      <c r="B139" s="468" t="s">
        <v>4307</v>
      </c>
      <c r="C139" s="468" t="s">
        <v>4307</v>
      </c>
      <c r="D139" s="468" t="s">
        <v>4307</v>
      </c>
      <c r="E139" s="468" t="s">
        <v>4307</v>
      </c>
      <c r="F139" s="468" t="s">
        <v>4307</v>
      </c>
      <c r="G139" s="468" t="s">
        <v>4307</v>
      </c>
    </row>
    <row r="140" spans="1:7" ht="15.9" customHeight="1">
      <c r="A140" s="468" t="s">
        <v>4308</v>
      </c>
      <c r="B140" s="468" t="s">
        <v>4308</v>
      </c>
      <c r="C140" s="468" t="s">
        <v>4308</v>
      </c>
      <c r="D140" s="468" t="s">
        <v>4308</v>
      </c>
      <c r="E140" s="468" t="s">
        <v>4308</v>
      </c>
      <c r="F140" s="468" t="s">
        <v>4308</v>
      </c>
      <c r="G140" s="468" t="s">
        <v>4308</v>
      </c>
    </row>
    <row r="141" spans="1:7" ht="15.9" customHeight="1">
      <c r="A141" s="468" t="s">
        <v>4309</v>
      </c>
      <c r="B141" s="468" t="s">
        <v>4309</v>
      </c>
      <c r="C141" s="468" t="s">
        <v>4309</v>
      </c>
      <c r="D141" s="468" t="s">
        <v>4309</v>
      </c>
      <c r="E141" s="468" t="s">
        <v>4309</v>
      </c>
      <c r="F141" s="468" t="s">
        <v>4309</v>
      </c>
      <c r="G141" s="468" t="s">
        <v>4309</v>
      </c>
    </row>
    <row r="142" spans="1:7" ht="16.5" customHeight="1">
      <c r="A142" s="468" t="s">
        <v>4425</v>
      </c>
      <c r="B142" s="468" t="s">
        <v>4426</v>
      </c>
      <c r="C142" s="468" t="s">
        <v>4310</v>
      </c>
      <c r="D142" s="468" t="s">
        <v>4426</v>
      </c>
      <c r="E142" s="468" t="s">
        <v>4426</v>
      </c>
      <c r="F142" s="468" t="s">
        <v>4426</v>
      </c>
      <c r="G142" s="468" t="s">
        <v>4426</v>
      </c>
    </row>
    <row r="143" spans="1:7" ht="15.9" customHeight="1">
      <c r="A143" s="468" t="s">
        <v>4311</v>
      </c>
      <c r="B143" s="468" t="s">
        <v>4311</v>
      </c>
      <c r="C143" s="468" t="s">
        <v>4311</v>
      </c>
      <c r="D143" s="468" t="s">
        <v>4311</v>
      </c>
      <c r="E143" s="468" t="s">
        <v>4311</v>
      </c>
      <c r="F143" s="468" t="s">
        <v>4311</v>
      </c>
      <c r="G143" s="468" t="s">
        <v>4311</v>
      </c>
    </row>
    <row r="144" spans="1:7" ht="15.9" customHeight="1">
      <c r="A144" s="468" t="s">
        <v>4374</v>
      </c>
      <c r="B144" s="468" t="s">
        <v>4374</v>
      </c>
      <c r="C144" s="468" t="s">
        <v>4374</v>
      </c>
      <c r="D144" s="468" t="s">
        <v>4374</v>
      </c>
      <c r="E144" s="468" t="s">
        <v>4374</v>
      </c>
      <c r="F144" s="468" t="s">
        <v>4374</v>
      </c>
      <c r="G144" s="468" t="s">
        <v>4374</v>
      </c>
    </row>
    <row r="145" spans="1:7">
      <c r="A145" s="828" t="s">
        <v>4427</v>
      </c>
      <c r="B145" s="812"/>
      <c r="C145" s="812"/>
      <c r="D145" s="812"/>
      <c r="E145" s="812"/>
      <c r="F145" s="812"/>
      <c r="G145" s="812"/>
    </row>
    <row r="146" spans="1:7">
      <c r="A146" s="812"/>
      <c r="B146" s="812"/>
      <c r="C146" s="812"/>
      <c r="D146" s="812"/>
      <c r="E146" s="812"/>
      <c r="F146" s="812"/>
      <c r="G146" s="812"/>
    </row>
    <row r="147" spans="1:7">
      <c r="A147" s="812"/>
      <c r="B147" s="812"/>
      <c r="C147" s="812"/>
      <c r="D147" s="812"/>
      <c r="E147" s="812"/>
      <c r="F147" s="812"/>
      <c r="G147" s="812"/>
    </row>
    <row r="148" spans="1:7">
      <c r="A148" s="812"/>
      <c r="B148" s="812"/>
      <c r="C148" s="812"/>
      <c r="D148" s="812"/>
      <c r="E148" s="812"/>
      <c r="F148" s="812"/>
      <c r="G148" s="812"/>
    </row>
    <row r="149" spans="1:7">
      <c r="A149" s="812"/>
      <c r="B149" s="812"/>
      <c r="C149" s="812"/>
      <c r="D149" s="812"/>
      <c r="E149" s="812"/>
      <c r="F149" s="812"/>
      <c r="G149" s="812"/>
    </row>
    <row r="150" spans="1:7">
      <c r="A150" s="812"/>
      <c r="B150" s="812"/>
      <c r="C150" s="812"/>
      <c r="D150" s="812"/>
      <c r="E150" s="812"/>
      <c r="F150" s="812"/>
      <c r="G150" s="812"/>
    </row>
    <row r="151" spans="1:7" ht="14.6" customHeight="1" thickBot="1">
      <c r="A151" s="812"/>
      <c r="B151" s="812"/>
      <c r="C151" s="812"/>
      <c r="D151" s="812"/>
      <c r="E151" s="812"/>
      <c r="F151" s="812"/>
      <c r="G151" s="812"/>
    </row>
    <row r="152" spans="1:7" ht="19.3" customHeight="1" thickTop="1" thickBot="1">
      <c r="A152" s="474" t="s">
        <v>4428</v>
      </c>
      <c r="B152" s="474" t="s">
        <v>4429</v>
      </c>
      <c r="C152" s="474" t="s">
        <v>4430</v>
      </c>
      <c r="D152" s="474" t="s">
        <v>4431</v>
      </c>
    </row>
    <row r="153" spans="1:7" ht="16.3" customHeight="1" thickTop="1">
      <c r="A153" s="324" t="s">
        <v>4432</v>
      </c>
      <c r="B153" s="324" t="s">
        <v>4433</v>
      </c>
      <c r="C153" s="324" t="s">
        <v>4432</v>
      </c>
      <c r="D153" s="324" t="s">
        <v>4433</v>
      </c>
    </row>
    <row r="154" spans="1:7" ht="15.9" customHeight="1">
      <c r="A154" s="324" t="s">
        <v>4384</v>
      </c>
      <c r="B154" s="324" t="s">
        <v>4384</v>
      </c>
      <c r="C154" s="324" t="s">
        <v>4384</v>
      </c>
      <c r="D154" s="324" t="s">
        <v>4384</v>
      </c>
    </row>
    <row r="155" spans="1:7" ht="15.9" customHeight="1">
      <c r="A155" s="324" t="s">
        <v>4322</v>
      </c>
      <c r="B155" s="324" t="s">
        <v>4322</v>
      </c>
      <c r="C155" s="324" t="s">
        <v>4322</v>
      </c>
      <c r="D155" s="324" t="s">
        <v>4322</v>
      </c>
    </row>
    <row r="156" spans="1:7" ht="15.9" customHeight="1">
      <c r="A156" s="452" t="s">
        <v>4434</v>
      </c>
      <c r="B156" s="452" t="s">
        <v>4435</v>
      </c>
      <c r="C156" s="452" t="s">
        <v>4434</v>
      </c>
      <c r="D156" s="452" t="s">
        <v>4436</v>
      </c>
    </row>
    <row r="157" spans="1:7" ht="15.9" customHeight="1">
      <c r="A157" s="453" t="s">
        <v>4437</v>
      </c>
      <c r="B157" s="453" t="s">
        <v>4438</v>
      </c>
      <c r="C157" s="453" t="s">
        <v>4437</v>
      </c>
      <c r="D157" s="453" t="s">
        <v>4439</v>
      </c>
    </row>
    <row r="158" spans="1:7" ht="15.9" customHeight="1">
      <c r="A158" s="454" t="s">
        <v>4389</v>
      </c>
      <c r="B158" s="454" t="s">
        <v>4235</v>
      </c>
      <c r="C158" s="454" t="s">
        <v>4440</v>
      </c>
      <c r="D158" s="454" t="s">
        <v>4389</v>
      </c>
    </row>
    <row r="159" spans="1:7" ht="15.9" customHeight="1">
      <c r="A159" s="455" t="s">
        <v>4391</v>
      </c>
      <c r="B159" s="455" t="s">
        <v>4391</v>
      </c>
      <c r="C159" s="455" t="s">
        <v>4441</v>
      </c>
      <c r="D159" s="455" t="s">
        <v>4442</v>
      </c>
    </row>
    <row r="160" spans="1:7" ht="15.9" customHeight="1">
      <c r="A160" s="456" t="s">
        <v>4443</v>
      </c>
      <c r="B160" s="456" t="s">
        <v>4444</v>
      </c>
      <c r="C160" s="456" t="s">
        <v>4445</v>
      </c>
      <c r="D160" s="456" t="s">
        <v>4446</v>
      </c>
    </row>
    <row r="161" spans="1:4" ht="15.9" customHeight="1">
      <c r="A161" s="457" t="s">
        <v>4447</v>
      </c>
      <c r="B161" s="457" t="s">
        <v>4448</v>
      </c>
      <c r="C161" s="457" t="s">
        <v>4449</v>
      </c>
      <c r="D161" s="457" t="s">
        <v>4450</v>
      </c>
    </row>
    <row r="162" spans="1:4" ht="15.9" customHeight="1">
      <c r="A162" s="458" t="s">
        <v>4451</v>
      </c>
      <c r="B162" s="458" t="s">
        <v>4452</v>
      </c>
      <c r="C162" s="458" t="s">
        <v>4245</v>
      </c>
      <c r="D162" s="458" t="s">
        <v>4453</v>
      </c>
    </row>
    <row r="163" spans="1:4" ht="15.9" customHeight="1">
      <c r="A163" s="459" t="s">
        <v>4454</v>
      </c>
      <c r="B163" s="459" t="s">
        <v>4455</v>
      </c>
      <c r="C163" s="459" t="s">
        <v>4248</v>
      </c>
      <c r="D163" s="459" t="s">
        <v>4456</v>
      </c>
    </row>
    <row r="164" spans="1:4" ht="15.9" customHeight="1">
      <c r="A164" s="302" t="s">
        <v>4457</v>
      </c>
      <c r="B164" s="302" t="s">
        <v>4458</v>
      </c>
      <c r="C164" s="302" t="s">
        <v>4250</v>
      </c>
      <c r="D164" s="302" t="s">
        <v>4459</v>
      </c>
    </row>
    <row r="165" spans="1:4" ht="15.9" customHeight="1">
      <c r="A165" s="460" t="s">
        <v>4460</v>
      </c>
      <c r="B165" s="460" t="s">
        <v>4461</v>
      </c>
      <c r="C165" s="460" t="s">
        <v>4462</v>
      </c>
      <c r="D165" s="460" t="s">
        <v>4463</v>
      </c>
    </row>
    <row r="166" spans="1:4" ht="15.9" customHeight="1">
      <c r="A166" s="461" t="s">
        <v>4464</v>
      </c>
      <c r="B166" s="461" t="s">
        <v>4465</v>
      </c>
      <c r="C166" s="461" t="s">
        <v>4466</v>
      </c>
      <c r="D166" s="461" t="s">
        <v>4467</v>
      </c>
    </row>
    <row r="167" spans="1:4" ht="15.9" customHeight="1">
      <c r="A167" s="462" t="s">
        <v>4468</v>
      </c>
      <c r="B167" s="462" t="s">
        <v>4469</v>
      </c>
      <c r="C167" s="462" t="s">
        <v>4346</v>
      </c>
      <c r="D167" s="462" t="s">
        <v>4470</v>
      </c>
    </row>
    <row r="168" spans="1:4" ht="15.9" customHeight="1">
      <c r="A168" s="463" t="s">
        <v>4471</v>
      </c>
      <c r="B168" s="463" t="s">
        <v>4472</v>
      </c>
      <c r="C168" s="463" t="s">
        <v>4348</v>
      </c>
      <c r="D168" s="463" t="s">
        <v>4473</v>
      </c>
    </row>
    <row r="169" spans="1:4" ht="15.9" customHeight="1">
      <c r="A169" s="464" t="s">
        <v>4474</v>
      </c>
      <c r="B169" s="464" t="s">
        <v>4264</v>
      </c>
      <c r="C169" s="464" t="s">
        <v>4264</v>
      </c>
      <c r="D169" s="464" t="s">
        <v>4475</v>
      </c>
    </row>
    <row r="170" spans="1:4" ht="15.9" customHeight="1">
      <c r="A170" s="457" t="s">
        <v>4408</v>
      </c>
      <c r="B170" s="457" t="s">
        <v>4267</v>
      </c>
      <c r="C170" s="457" t="s">
        <v>4476</v>
      </c>
      <c r="D170" s="457" t="s">
        <v>4268</v>
      </c>
    </row>
    <row r="171" spans="1:4" ht="15.9" customHeight="1">
      <c r="A171" s="465" t="s">
        <v>4477</v>
      </c>
      <c r="B171" s="465" t="s">
        <v>4478</v>
      </c>
      <c r="C171" s="465" t="s">
        <v>4479</v>
      </c>
      <c r="D171" s="465" t="s">
        <v>4480</v>
      </c>
    </row>
    <row r="172" spans="1:4" ht="15.9" customHeight="1">
      <c r="A172" s="466" t="s">
        <v>4272</v>
      </c>
      <c r="B172" s="466" t="s">
        <v>4271</v>
      </c>
      <c r="C172" s="466" t="s">
        <v>4354</v>
      </c>
      <c r="D172" s="466" t="s">
        <v>4271</v>
      </c>
    </row>
    <row r="173" spans="1:4" ht="15.9" customHeight="1">
      <c r="A173" s="330" t="s">
        <v>4481</v>
      </c>
      <c r="B173" s="330" t="s">
        <v>4482</v>
      </c>
      <c r="C173" s="330" t="s">
        <v>4483</v>
      </c>
      <c r="D173" s="330" t="s">
        <v>4484</v>
      </c>
    </row>
    <row r="174" spans="1:4" ht="15.9" customHeight="1">
      <c r="A174" s="467" t="s">
        <v>4485</v>
      </c>
      <c r="B174" s="467" t="s">
        <v>4485</v>
      </c>
      <c r="C174" s="467" t="s">
        <v>4485</v>
      </c>
      <c r="D174" s="467" t="s">
        <v>4486</v>
      </c>
    </row>
    <row r="175" spans="1:4" ht="15.9" customHeight="1">
      <c r="A175" s="468" t="s">
        <v>4277</v>
      </c>
      <c r="B175" s="468" t="s">
        <v>4277</v>
      </c>
      <c r="C175" s="468" t="s">
        <v>4277</v>
      </c>
      <c r="D175" s="468" t="s">
        <v>4487</v>
      </c>
    </row>
    <row r="176" spans="1:4" ht="15.9" customHeight="1">
      <c r="A176" s="469" t="s">
        <v>4282</v>
      </c>
      <c r="B176" s="469" t="s">
        <v>4282</v>
      </c>
      <c r="C176" s="469" t="s">
        <v>4282</v>
      </c>
      <c r="D176" s="469" t="s">
        <v>4282</v>
      </c>
    </row>
    <row r="177" spans="1:4" ht="47.6" customHeight="1">
      <c r="A177" s="330" t="s">
        <v>4488</v>
      </c>
      <c r="B177" s="330" t="s">
        <v>4489</v>
      </c>
      <c r="C177" s="330" t="s">
        <v>4490</v>
      </c>
      <c r="D177" s="330" t="s">
        <v>4491</v>
      </c>
    </row>
    <row r="178" spans="1:4" ht="31.75" customHeight="1">
      <c r="A178" s="330" t="s">
        <v>4492</v>
      </c>
      <c r="B178" s="330" t="s">
        <v>4493</v>
      </c>
      <c r="C178" s="627" t="s">
        <v>5792</v>
      </c>
      <c r="D178" s="330" t="s">
        <v>4494</v>
      </c>
    </row>
    <row r="179" spans="1:4" ht="31.75" customHeight="1">
      <c r="A179" s="330" t="s">
        <v>4495</v>
      </c>
      <c r="B179" s="330" t="s">
        <v>4496</v>
      </c>
      <c r="C179" s="627" t="s">
        <v>5791</v>
      </c>
      <c r="D179" s="330" t="s">
        <v>4496</v>
      </c>
    </row>
    <row r="180" spans="1:4" ht="31.75" customHeight="1">
      <c r="A180" s="330" t="s">
        <v>4497</v>
      </c>
      <c r="B180" s="330" t="s">
        <v>4498</v>
      </c>
      <c r="C180" s="627" t="s">
        <v>4499</v>
      </c>
      <c r="D180" s="330" t="s">
        <v>4500</v>
      </c>
    </row>
    <row r="181" spans="1:4" ht="47.6" customHeight="1">
      <c r="A181" s="330" t="s">
        <v>4501</v>
      </c>
      <c r="B181" s="330" t="s">
        <v>4502</v>
      </c>
      <c r="C181" s="627" t="s">
        <v>4503</v>
      </c>
      <c r="D181" s="330" t="s">
        <v>4504</v>
      </c>
    </row>
    <row r="194" ht="16.5" customHeight="1"/>
    <row r="293" spans="1:1" ht="18.45" customHeight="1">
      <c r="A293" s="474" t="s">
        <v>4505</v>
      </c>
    </row>
    <row r="294" spans="1:1" ht="15.9" customHeight="1">
      <c r="A294" s="324" t="s">
        <v>4432</v>
      </c>
    </row>
    <row r="295" spans="1:1" ht="15.9" customHeight="1">
      <c r="A295" s="324" t="s">
        <v>4384</v>
      </c>
    </row>
    <row r="296" spans="1:1" ht="15.9" customHeight="1">
      <c r="A296" s="324" t="s">
        <v>4322</v>
      </c>
    </row>
    <row r="297" spans="1:1" ht="15.9" customHeight="1">
      <c r="A297" s="452" t="s">
        <v>4506</v>
      </c>
    </row>
    <row r="298" spans="1:1" ht="15.9" customHeight="1">
      <c r="A298" s="453" t="s">
        <v>4437</v>
      </c>
    </row>
    <row r="299" spans="1:1" ht="15.9" customHeight="1">
      <c r="A299" s="454" t="s">
        <v>4507</v>
      </c>
    </row>
    <row r="300" spans="1:1" ht="15.9" customHeight="1">
      <c r="A300" s="455" t="s">
        <v>4442</v>
      </c>
    </row>
    <row r="301" spans="1:1" ht="15.9" customHeight="1">
      <c r="A301" s="456" t="s">
        <v>4443</v>
      </c>
    </row>
    <row r="302" spans="1:1" ht="15.9" customHeight="1">
      <c r="A302" s="457" t="s">
        <v>4447</v>
      </c>
    </row>
    <row r="303" spans="1:1" ht="15.9" customHeight="1">
      <c r="A303" s="458" t="s">
        <v>4451</v>
      </c>
    </row>
    <row r="304" spans="1:1" ht="15.9" customHeight="1">
      <c r="A304" s="459" t="s">
        <v>4454</v>
      </c>
    </row>
    <row r="305" spans="1:1" ht="15.9" customHeight="1">
      <c r="A305" s="302" t="s">
        <v>4457</v>
      </c>
    </row>
    <row r="306" spans="1:1" ht="15.9" customHeight="1">
      <c r="A306" s="460" t="s">
        <v>4460</v>
      </c>
    </row>
    <row r="307" spans="1:1" ht="15.9" customHeight="1">
      <c r="A307" s="461" t="s">
        <v>4464</v>
      </c>
    </row>
    <row r="308" spans="1:1" ht="15.9" customHeight="1">
      <c r="A308" s="462" t="s">
        <v>4468</v>
      </c>
    </row>
    <row r="309" spans="1:1" ht="15.9" customHeight="1">
      <c r="A309" s="463" t="s">
        <v>4471</v>
      </c>
    </row>
    <row r="310" spans="1:1" ht="15.9" customHeight="1">
      <c r="A310" s="464" t="s">
        <v>4474</v>
      </c>
    </row>
    <row r="311" spans="1:1" ht="15.9" customHeight="1">
      <c r="A311" s="457" t="s">
        <v>4408</v>
      </c>
    </row>
    <row r="312" spans="1:1" ht="15.9" customHeight="1">
      <c r="A312" s="465" t="s">
        <v>4477</v>
      </c>
    </row>
    <row r="313" spans="1:1" ht="15.9" customHeight="1">
      <c r="A313" s="466" t="s">
        <v>4272</v>
      </c>
    </row>
    <row r="314" spans="1:1" ht="15.9" customHeight="1">
      <c r="A314" s="330" t="s">
        <v>4508</v>
      </c>
    </row>
    <row r="315" spans="1:1" ht="15.9" customHeight="1">
      <c r="A315" s="467" t="s">
        <v>4485</v>
      </c>
    </row>
    <row r="316" spans="1:1" ht="15.9" customHeight="1">
      <c r="A316" s="468" t="s">
        <v>4277</v>
      </c>
    </row>
    <row r="317" spans="1:1" ht="15.9" customHeight="1">
      <c r="A317" s="469" t="s">
        <v>4282</v>
      </c>
    </row>
    <row r="318" spans="1:1" ht="31.75" customHeight="1">
      <c r="A318" s="330" t="s">
        <v>4488</v>
      </c>
    </row>
    <row r="319" spans="1:1" ht="15.9" customHeight="1">
      <c r="A319" s="330" t="s">
        <v>4509</v>
      </c>
    </row>
    <row r="320" spans="1:1" ht="15.9" customHeight="1">
      <c r="A320" s="330" t="s">
        <v>4495</v>
      </c>
    </row>
    <row r="321" spans="1:1" ht="15.9" customHeight="1">
      <c r="A321" s="330" t="s">
        <v>4497</v>
      </c>
    </row>
    <row r="322" spans="1:1" ht="31.75" customHeight="1">
      <c r="A322" s="330" t="s">
        <v>4501</v>
      </c>
    </row>
  </sheetData>
  <mergeCells count="3">
    <mergeCell ref="A145:G151"/>
    <mergeCell ref="A95:G101"/>
    <mergeCell ref="A1:G7"/>
  </mergeCells>
  <pageMargins left="0.7" right="0.7" top="0.75" bottom="0.75" header="0.3" footer="0.3"/>
  <pageSetup paperSize="9" orientation="portrai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D3ACE8"/>
  </sheetPr>
  <dimension ref="A1:M52"/>
  <sheetViews>
    <sheetView topLeftCell="A34" zoomScale="85" zoomScaleNormal="85" workbookViewId="0">
      <selection activeCell="A21" sqref="A21"/>
    </sheetView>
  </sheetViews>
  <sheetFormatPr defaultColWidth="9" defaultRowHeight="14.15"/>
  <cols>
    <col min="1" max="1" width="155.85546875" style="18" bestFit="1" customWidth="1"/>
    <col min="2" max="2" width="208.5" style="18" bestFit="1" customWidth="1"/>
    <col min="3" max="3" width="192" style="18" customWidth="1"/>
    <col min="4" max="4" width="212" style="18" customWidth="1"/>
    <col min="5" max="12" width="9" style="18" customWidth="1"/>
    <col min="13" max="13" width="9" customWidth="1"/>
    <col min="14" max="14" width="9" style="18" customWidth="1"/>
    <col min="15" max="16384" width="9" style="18"/>
  </cols>
  <sheetData>
    <row r="1" spans="1:4" ht="17.600000000000001" customHeight="1">
      <c r="A1" s="478" t="s">
        <v>4510</v>
      </c>
      <c r="B1" s="477" t="s">
        <v>4511</v>
      </c>
      <c r="C1" s="475" t="s">
        <v>4512</v>
      </c>
      <c r="D1" s="476" t="s">
        <v>4513</v>
      </c>
    </row>
    <row r="2" spans="1:4" ht="14.25" customHeight="1">
      <c r="A2" s="480" t="s">
        <v>4514</v>
      </c>
      <c r="B2" s="480" t="s">
        <v>4515</v>
      </c>
      <c r="C2" s="479" t="s">
        <v>4516</v>
      </c>
      <c r="D2" s="565" t="s">
        <v>4517</v>
      </c>
    </row>
    <row r="3" spans="1:4" ht="15.45" customHeight="1">
      <c r="A3" s="480" t="s">
        <v>4518</v>
      </c>
      <c r="B3" s="480" t="s">
        <v>4519</v>
      </c>
      <c r="C3" s="479" t="s">
        <v>4520</v>
      </c>
      <c r="D3" s="565" t="s">
        <v>4521</v>
      </c>
    </row>
    <row r="4" spans="1:4" ht="15.45" customHeight="1">
      <c r="A4" s="480" t="s">
        <v>4522</v>
      </c>
      <c r="B4" s="480" t="s">
        <v>4523</v>
      </c>
      <c r="C4" s="479" t="s">
        <v>4524</v>
      </c>
      <c r="D4" s="480" t="s">
        <v>4525</v>
      </c>
    </row>
    <row r="5" spans="1:4" ht="15.45" customHeight="1">
      <c r="A5" s="480" t="s">
        <v>4526</v>
      </c>
      <c r="B5" s="480" t="s">
        <v>4527</v>
      </c>
      <c r="C5" s="479" t="s">
        <v>4528</v>
      </c>
      <c r="D5" s="480" t="s">
        <v>4529</v>
      </c>
    </row>
    <row r="6" spans="1:4" ht="15.45" customHeight="1">
      <c r="A6" s="480" t="s">
        <v>4530</v>
      </c>
      <c r="B6" s="480" t="s">
        <v>4531</v>
      </c>
      <c r="C6" s="479" t="s">
        <v>4532</v>
      </c>
      <c r="D6" s="480" t="s">
        <v>4533</v>
      </c>
    </row>
    <row r="7" spans="1:4" ht="15.45" customHeight="1">
      <c r="A7" s="480" t="s">
        <v>4534</v>
      </c>
      <c r="B7" s="480" t="s">
        <v>4535</v>
      </c>
      <c r="C7" s="479" t="s">
        <v>4536</v>
      </c>
      <c r="D7" s="565" t="s">
        <v>4537</v>
      </c>
    </row>
    <row r="8" spans="1:4" ht="15.45" customHeight="1">
      <c r="A8" s="480" t="s">
        <v>4538</v>
      </c>
      <c r="B8" s="480" t="s">
        <v>4539</v>
      </c>
      <c r="C8" s="479" t="s">
        <v>4540</v>
      </c>
      <c r="D8" s="565" t="s">
        <v>4541</v>
      </c>
    </row>
    <row r="9" spans="1:4" ht="15.45" customHeight="1">
      <c r="A9" s="480" t="s">
        <v>4542</v>
      </c>
      <c r="B9" s="480" t="s">
        <v>4543</v>
      </c>
      <c r="C9" s="479" t="s">
        <v>4544</v>
      </c>
      <c r="D9" s="480" t="s">
        <v>4545</v>
      </c>
    </row>
    <row r="10" spans="1:4" ht="15.45" customHeight="1">
      <c r="A10" s="480" t="s">
        <v>4546</v>
      </c>
      <c r="B10" s="480" t="s">
        <v>4547</v>
      </c>
      <c r="C10" s="479" t="s">
        <v>4548</v>
      </c>
      <c r="D10" s="480" t="s">
        <v>4549</v>
      </c>
    </row>
    <row r="11" spans="1:4" ht="15.45" customHeight="1">
      <c r="A11" s="480" t="s">
        <v>4550</v>
      </c>
      <c r="B11" s="480" t="s">
        <v>4551</v>
      </c>
      <c r="C11" s="479" t="s">
        <v>4552</v>
      </c>
      <c r="D11" s="480" t="s">
        <v>4553</v>
      </c>
    </row>
    <row r="12" spans="1:4" ht="30.9" customHeight="1">
      <c r="A12" s="480" t="s">
        <v>4554</v>
      </c>
      <c r="B12" s="480" t="s">
        <v>4555</v>
      </c>
      <c r="C12" s="479" t="s">
        <v>4556</v>
      </c>
      <c r="D12" s="565" t="s">
        <v>4557</v>
      </c>
    </row>
    <row r="13" spans="1:4" ht="15.45" customHeight="1">
      <c r="A13" s="480" t="s">
        <v>4558</v>
      </c>
      <c r="B13" s="480" t="s">
        <v>4559</v>
      </c>
      <c r="C13" s="479" t="s">
        <v>4560</v>
      </c>
      <c r="D13" s="565" t="s">
        <v>4561</v>
      </c>
    </row>
    <row r="14" spans="1:4" ht="15.45" customHeight="1">
      <c r="A14" s="480" t="s">
        <v>4562</v>
      </c>
      <c r="B14" s="480" t="s">
        <v>4563</v>
      </c>
      <c r="C14" s="479" t="s">
        <v>4564</v>
      </c>
      <c r="D14" s="10"/>
    </row>
    <row r="15" spans="1:4" ht="15.45" customHeight="1">
      <c r="A15" s="480" t="s">
        <v>4565</v>
      </c>
      <c r="B15" s="480" t="s">
        <v>4566</v>
      </c>
      <c r="C15" s="479" t="s">
        <v>4567</v>
      </c>
    </row>
    <row r="16" spans="1:4" ht="15.45" customHeight="1">
      <c r="A16" s="480" t="s">
        <v>4568</v>
      </c>
      <c r="B16" s="480" t="s">
        <v>4569</v>
      </c>
      <c r="C16" s="479" t="s">
        <v>4570</v>
      </c>
    </row>
    <row r="17" spans="1:3" ht="15.45" customHeight="1">
      <c r="A17" s="480" t="s">
        <v>4571</v>
      </c>
      <c r="B17" s="480" t="s">
        <v>4572</v>
      </c>
      <c r="C17" s="479" t="s">
        <v>4573</v>
      </c>
    </row>
    <row r="18" spans="1:3" ht="15.45" customHeight="1">
      <c r="A18" s="480" t="s">
        <v>4574</v>
      </c>
      <c r="B18" s="480" t="s">
        <v>4575</v>
      </c>
      <c r="C18" s="479" t="s">
        <v>4576</v>
      </c>
    </row>
    <row r="19" spans="1:3" ht="15.45" customHeight="1">
      <c r="A19" s="480" t="s">
        <v>4577</v>
      </c>
      <c r="B19" s="480" t="s">
        <v>4578</v>
      </c>
      <c r="C19" s="479" t="s">
        <v>4579</v>
      </c>
    </row>
    <row r="20" spans="1:3" ht="15.45" customHeight="1">
      <c r="A20" s="480" t="s">
        <v>4580</v>
      </c>
      <c r="B20" s="480" t="s">
        <v>4581</v>
      </c>
      <c r="C20" s="479" t="s">
        <v>4582</v>
      </c>
    </row>
    <row r="21" spans="1:3" ht="15.45" customHeight="1">
      <c r="A21" s="480" t="s">
        <v>4583</v>
      </c>
      <c r="B21" s="480" t="s">
        <v>4584</v>
      </c>
      <c r="C21" s="479" t="s">
        <v>4585</v>
      </c>
    </row>
    <row r="22" spans="1:3" ht="15.45" customHeight="1">
      <c r="A22" s="480" t="s">
        <v>4586</v>
      </c>
      <c r="B22" s="480" t="s">
        <v>4587</v>
      </c>
      <c r="C22" s="479" t="s">
        <v>4588</v>
      </c>
    </row>
    <row r="23" spans="1:3" ht="15.45" customHeight="1">
      <c r="A23" s="480" t="s">
        <v>4589</v>
      </c>
      <c r="B23" s="480" t="s">
        <v>4590</v>
      </c>
      <c r="C23" s="479" t="s">
        <v>4591</v>
      </c>
    </row>
    <row r="24" spans="1:3" ht="15.45" customHeight="1">
      <c r="A24" s="480" t="s">
        <v>4592</v>
      </c>
      <c r="B24" s="480" t="s">
        <v>4593</v>
      </c>
      <c r="C24" s="479" t="s">
        <v>4594</v>
      </c>
    </row>
    <row r="25" spans="1:3" ht="15.45" customHeight="1">
      <c r="A25" s="480" t="s">
        <v>4595</v>
      </c>
      <c r="B25" s="480" t="s">
        <v>4596</v>
      </c>
      <c r="C25" s="479" t="s">
        <v>4597</v>
      </c>
    </row>
    <row r="26" spans="1:3" ht="15.45" customHeight="1">
      <c r="A26" s="480" t="s">
        <v>4598</v>
      </c>
      <c r="B26" s="480" t="s">
        <v>4599</v>
      </c>
      <c r="C26" s="479" t="s">
        <v>4600</v>
      </c>
    </row>
    <row r="27" spans="1:3" ht="15.45" customHeight="1">
      <c r="A27" s="480" t="s">
        <v>4601</v>
      </c>
      <c r="B27" s="565" t="s">
        <v>4602</v>
      </c>
      <c r="C27" s="479" t="s">
        <v>4603</v>
      </c>
    </row>
    <row r="28" spans="1:3" ht="15.45" customHeight="1">
      <c r="A28" s="480" t="s">
        <v>4604</v>
      </c>
      <c r="B28" s="480" t="s">
        <v>4605</v>
      </c>
    </row>
    <row r="29" spans="1:3" ht="15.45" customHeight="1">
      <c r="A29" s="480" t="s">
        <v>4606</v>
      </c>
      <c r="B29" s="480" t="s">
        <v>4607</v>
      </c>
    </row>
    <row r="30" spans="1:3" ht="15.45" customHeight="1">
      <c r="A30" s="480" t="s">
        <v>4608</v>
      </c>
      <c r="B30" s="480" t="s">
        <v>4609</v>
      </c>
    </row>
    <row r="31" spans="1:3" ht="30.9" customHeight="1">
      <c r="A31" s="480" t="s">
        <v>4610</v>
      </c>
      <c r="B31" s="565" t="s">
        <v>4611</v>
      </c>
    </row>
    <row r="32" spans="1:3" ht="15.45" customHeight="1">
      <c r="A32" s="480" t="s">
        <v>4612</v>
      </c>
      <c r="B32" s="480" t="s">
        <v>4613</v>
      </c>
    </row>
    <row r="33" spans="1:2" ht="30.9" customHeight="1">
      <c r="A33" s="480" t="s">
        <v>4614</v>
      </c>
      <c r="B33" s="565" t="s">
        <v>4615</v>
      </c>
    </row>
    <row r="34" spans="1:2" ht="15.45" customHeight="1">
      <c r="A34" s="480" t="s">
        <v>4616</v>
      </c>
      <c r="B34" s="480" t="s">
        <v>4617</v>
      </c>
    </row>
    <row r="35" spans="1:2" ht="15.45" customHeight="1">
      <c r="A35" s="480" t="s">
        <v>4618</v>
      </c>
      <c r="B35" s="480" t="s">
        <v>4619</v>
      </c>
    </row>
    <row r="36" spans="1:2" ht="15.45" customHeight="1">
      <c r="A36" s="480" t="s">
        <v>4620</v>
      </c>
      <c r="B36" s="480" t="s">
        <v>4621</v>
      </c>
    </row>
    <row r="37" spans="1:2" ht="15.45" customHeight="1">
      <c r="A37" s="480" t="s">
        <v>4622</v>
      </c>
      <c r="B37" s="480" t="s">
        <v>4623</v>
      </c>
    </row>
    <row r="38" spans="1:2" ht="15.45" customHeight="1">
      <c r="A38" s="480" t="s">
        <v>4624</v>
      </c>
      <c r="B38" s="480" t="s">
        <v>4625</v>
      </c>
    </row>
    <row r="39" spans="1:2" ht="15.45" customHeight="1">
      <c r="A39" s="480" t="s">
        <v>4626</v>
      </c>
      <c r="B39" s="480" t="s">
        <v>4627</v>
      </c>
    </row>
    <row r="40" spans="1:2" ht="15.45" customHeight="1">
      <c r="A40" s="480" t="s">
        <v>4628</v>
      </c>
      <c r="B40" s="480" t="s">
        <v>4629</v>
      </c>
    </row>
    <row r="41" spans="1:2" ht="15.45" customHeight="1">
      <c r="A41" s="480" t="s">
        <v>4630</v>
      </c>
      <c r="B41" s="480"/>
    </row>
    <row r="42" spans="1:2" ht="15.45" customHeight="1">
      <c r="A42" s="480" t="s">
        <v>4631</v>
      </c>
      <c r="B42" s="480" t="s">
        <v>4632</v>
      </c>
    </row>
    <row r="43" spans="1:2" ht="15.45" customHeight="1">
      <c r="A43" s="480" t="s">
        <v>4633</v>
      </c>
      <c r="B43" s="480" t="s">
        <v>4634</v>
      </c>
    </row>
    <row r="44" spans="1:2" ht="15.45" customHeight="1">
      <c r="A44" s="565" t="s">
        <v>4635</v>
      </c>
      <c r="B44" s="480" t="s">
        <v>4636</v>
      </c>
    </row>
    <row r="45" spans="1:2" ht="15.45" customHeight="1">
      <c r="A45" s="565" t="s">
        <v>4637</v>
      </c>
      <c r="B45" s="480" t="s">
        <v>4638</v>
      </c>
    </row>
    <row r="46" spans="1:2" ht="15.45" customHeight="1">
      <c r="A46" s="480" t="s">
        <v>4639</v>
      </c>
      <c r="B46" s="480" t="s">
        <v>4640</v>
      </c>
    </row>
    <row r="47" spans="1:2" ht="15.45" customHeight="1">
      <c r="A47" s="565" t="s">
        <v>4641</v>
      </c>
      <c r="B47" s="480" t="s">
        <v>4642</v>
      </c>
    </row>
    <row r="48" spans="1:2" ht="15.45" customHeight="1">
      <c r="A48" s="565" t="s">
        <v>4643</v>
      </c>
      <c r="B48" s="480" t="s">
        <v>4644</v>
      </c>
    </row>
    <row r="49" spans="1:2" ht="15.45" customHeight="1">
      <c r="A49" s="565" t="s">
        <v>4645</v>
      </c>
      <c r="B49" s="480" t="s">
        <v>4646</v>
      </c>
    </row>
    <row r="50" spans="1:2" ht="15.45" customHeight="1">
      <c r="A50" s="565" t="s">
        <v>4647</v>
      </c>
    </row>
    <row r="51" spans="1:2" ht="30.9" customHeight="1">
      <c r="A51" s="565" t="s">
        <v>4648</v>
      </c>
    </row>
    <row r="52" spans="1:2" ht="15.45" customHeight="1">
      <c r="A52" s="565" t="s">
        <v>4649</v>
      </c>
    </row>
  </sheetData>
  <pageMargins left="0.7" right="0.7" top="0.75" bottom="0.75" header="0.3" footer="0.3"/>
  <pageSetup paperSize="9" orientation="portrai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D3ACE8"/>
  </sheetPr>
  <dimension ref="A1:D61"/>
  <sheetViews>
    <sheetView topLeftCell="A22" workbookViewId="0">
      <selection activeCell="D37" sqref="D37"/>
    </sheetView>
  </sheetViews>
  <sheetFormatPr defaultRowHeight="14.15"/>
  <cols>
    <col min="1" max="1" width="46.85546875" style="580" customWidth="1"/>
    <col min="2" max="2" width="77.640625" style="580" customWidth="1"/>
    <col min="3" max="3" width="48.2109375" style="481" customWidth="1"/>
    <col min="4" max="4" width="28" style="580" customWidth="1"/>
  </cols>
  <sheetData>
    <row r="1" spans="1:4">
      <c r="A1" s="482" t="s">
        <v>3691</v>
      </c>
      <c r="B1" s="483" t="s">
        <v>4650</v>
      </c>
      <c r="C1" s="483" t="s">
        <v>4651</v>
      </c>
      <c r="D1" s="483" t="s">
        <v>4652</v>
      </c>
    </row>
    <row r="2" spans="1:4">
      <c r="A2" s="484" t="s">
        <v>4653</v>
      </c>
      <c r="B2" s="485" t="s">
        <v>4654</v>
      </c>
      <c r="C2" s="486" t="s">
        <v>4655</v>
      </c>
      <c r="D2" s="487" t="s">
        <v>4656</v>
      </c>
    </row>
    <row r="3" spans="1:4">
      <c r="A3" s="488" t="s">
        <v>4657</v>
      </c>
      <c r="B3" s="489" t="s">
        <v>4658</v>
      </c>
      <c r="C3" s="490" t="s">
        <v>4659</v>
      </c>
      <c r="D3" s="487" t="s">
        <v>4656</v>
      </c>
    </row>
    <row r="4" spans="1:4">
      <c r="A4" s="488" t="s">
        <v>4660</v>
      </c>
      <c r="B4" s="489" t="s">
        <v>4661</v>
      </c>
      <c r="C4" s="490" t="s">
        <v>4662</v>
      </c>
      <c r="D4" s="487" t="s">
        <v>4656</v>
      </c>
    </row>
    <row r="5" spans="1:4">
      <c r="A5" s="488" t="s">
        <v>4663</v>
      </c>
      <c r="B5" s="489" t="s">
        <v>4664</v>
      </c>
      <c r="C5" s="490" t="s">
        <v>3017</v>
      </c>
      <c r="D5" s="487" t="s">
        <v>4656</v>
      </c>
    </row>
    <row r="6" spans="1:4">
      <c r="A6" s="488" t="s">
        <v>4665</v>
      </c>
      <c r="B6" s="489" t="s">
        <v>4666</v>
      </c>
      <c r="C6" s="490" t="s">
        <v>4667</v>
      </c>
      <c r="D6" s="487" t="s">
        <v>4656</v>
      </c>
    </row>
    <row r="7" spans="1:4">
      <c r="A7" s="488" t="s">
        <v>4668</v>
      </c>
      <c r="B7" s="489" t="s">
        <v>4669</v>
      </c>
      <c r="C7" s="490" t="s">
        <v>6006</v>
      </c>
      <c r="D7" s="487" t="s">
        <v>4656</v>
      </c>
    </row>
    <row r="8" spans="1:4">
      <c r="A8" s="488" t="s">
        <v>4670</v>
      </c>
      <c r="B8" s="489" t="s">
        <v>4671</v>
      </c>
      <c r="C8" s="490" t="s">
        <v>4672</v>
      </c>
      <c r="D8" s="487" t="s">
        <v>4656</v>
      </c>
    </row>
    <row r="9" spans="1:4">
      <c r="A9" s="488" t="s">
        <v>4673</v>
      </c>
      <c r="B9" s="489" t="s">
        <v>4674</v>
      </c>
      <c r="C9" s="490" t="s">
        <v>4675</v>
      </c>
      <c r="D9" s="487" t="s">
        <v>4656</v>
      </c>
    </row>
    <row r="10" spans="1:4">
      <c r="A10" s="488" t="s">
        <v>4676</v>
      </c>
      <c r="B10" s="489" t="s">
        <v>4677</v>
      </c>
      <c r="C10" s="490" t="s">
        <v>4678</v>
      </c>
      <c r="D10" s="487" t="s">
        <v>4656</v>
      </c>
    </row>
    <row r="11" spans="1:4">
      <c r="A11" s="488" t="s">
        <v>4679</v>
      </c>
      <c r="B11" s="489" t="s">
        <v>4680</v>
      </c>
      <c r="C11" s="490" t="s">
        <v>4681</v>
      </c>
      <c r="D11" s="487" t="s">
        <v>4656</v>
      </c>
    </row>
    <row r="12" spans="1:4">
      <c r="A12" s="488" t="s">
        <v>4682</v>
      </c>
      <c r="B12" s="489" t="s">
        <v>4683</v>
      </c>
      <c r="C12" s="490" t="s">
        <v>4684</v>
      </c>
      <c r="D12" s="487" t="s">
        <v>4656</v>
      </c>
    </row>
    <row r="13" spans="1:4">
      <c r="A13" s="488" t="s">
        <v>4685</v>
      </c>
      <c r="B13" s="489" t="s">
        <v>4686</v>
      </c>
      <c r="C13" s="490" t="s">
        <v>4687</v>
      </c>
      <c r="D13" s="487" t="s">
        <v>4656</v>
      </c>
    </row>
    <row r="14" spans="1:4">
      <c r="A14" s="488" t="s">
        <v>4688</v>
      </c>
      <c r="B14" s="489" t="s">
        <v>4689</v>
      </c>
      <c r="C14" s="490" t="s">
        <v>4690</v>
      </c>
      <c r="D14" s="487" t="s">
        <v>4656</v>
      </c>
    </row>
    <row r="15" spans="1:4">
      <c r="A15" s="488" t="s">
        <v>4691</v>
      </c>
      <c r="B15" s="489" t="s">
        <v>4692</v>
      </c>
      <c r="C15" s="490" t="s">
        <v>4693</v>
      </c>
      <c r="D15" s="487" t="s">
        <v>4656</v>
      </c>
    </row>
    <row r="16" spans="1:4">
      <c r="A16" s="488" t="s">
        <v>4694</v>
      </c>
      <c r="B16" s="489" t="s">
        <v>4695</v>
      </c>
      <c r="C16" s="490" t="s">
        <v>4675</v>
      </c>
      <c r="D16" s="487" t="s">
        <v>4656</v>
      </c>
    </row>
    <row r="17" spans="1:4">
      <c r="A17" s="488" t="s">
        <v>4696</v>
      </c>
      <c r="B17" s="489" t="s">
        <v>4697</v>
      </c>
      <c r="C17" s="490" t="s">
        <v>4672</v>
      </c>
      <c r="D17" s="487" t="s">
        <v>4656</v>
      </c>
    </row>
    <row r="18" spans="1:4">
      <c r="A18" s="488" t="s">
        <v>4698</v>
      </c>
      <c r="B18" s="489" t="s">
        <v>4699</v>
      </c>
      <c r="C18" s="490" t="s">
        <v>4700</v>
      </c>
      <c r="D18" s="487" t="s">
        <v>4656</v>
      </c>
    </row>
    <row r="19" spans="1:4">
      <c r="A19" s="488" t="s">
        <v>4701</v>
      </c>
      <c r="B19" s="489" t="s">
        <v>4702</v>
      </c>
      <c r="C19" s="490" t="s">
        <v>4703</v>
      </c>
      <c r="D19" s="487" t="s">
        <v>4656</v>
      </c>
    </row>
    <row r="20" spans="1:4">
      <c r="A20" s="488" t="s">
        <v>4704</v>
      </c>
      <c r="B20" s="489" t="s">
        <v>4705</v>
      </c>
      <c r="C20" s="490" t="s">
        <v>4706</v>
      </c>
      <c r="D20" s="487" t="s">
        <v>4656</v>
      </c>
    </row>
    <row r="21" spans="1:4">
      <c r="A21" s="491" t="s">
        <v>4707</v>
      </c>
      <c r="B21" s="492" t="s">
        <v>4708</v>
      </c>
      <c r="C21" s="493" t="s">
        <v>4675</v>
      </c>
      <c r="D21" s="487" t="s">
        <v>4656</v>
      </c>
    </row>
    <row r="22" spans="1:4">
      <c r="A22" s="494" t="s">
        <v>4709</v>
      </c>
      <c r="B22" s="495" t="s">
        <v>4710</v>
      </c>
      <c r="C22" s="496" t="s">
        <v>4711</v>
      </c>
      <c r="D22" s="497" t="s">
        <v>4712</v>
      </c>
    </row>
    <row r="23" spans="1:4">
      <c r="A23" s="498" t="s">
        <v>4713</v>
      </c>
      <c r="B23" s="499" t="s">
        <v>4714</v>
      </c>
      <c r="C23" s="500" t="s">
        <v>4715</v>
      </c>
      <c r="D23" s="497" t="s">
        <v>4712</v>
      </c>
    </row>
    <row r="24" spans="1:4">
      <c r="A24" s="498" t="s">
        <v>4716</v>
      </c>
      <c r="B24" s="499" t="s">
        <v>4717</v>
      </c>
      <c r="C24" s="500" t="s">
        <v>4718</v>
      </c>
      <c r="D24" s="497" t="s">
        <v>4712</v>
      </c>
    </row>
    <row r="25" spans="1:4">
      <c r="A25" s="498" t="s">
        <v>4719</v>
      </c>
      <c r="B25" s="499" t="s">
        <v>4720</v>
      </c>
      <c r="C25" s="500" t="s">
        <v>3011</v>
      </c>
      <c r="D25" s="497" t="s">
        <v>4712</v>
      </c>
    </row>
    <row r="26" spans="1:4">
      <c r="A26" s="498" t="s">
        <v>4721</v>
      </c>
      <c r="B26" s="499" t="s">
        <v>4722</v>
      </c>
      <c r="C26" s="500" t="s">
        <v>4723</v>
      </c>
      <c r="D26" s="497" t="s">
        <v>4712</v>
      </c>
    </row>
    <row r="27" spans="1:4">
      <c r="A27" s="498" t="s">
        <v>4724</v>
      </c>
      <c r="B27" s="499" t="s">
        <v>4725</v>
      </c>
      <c r="C27" s="500" t="s">
        <v>4726</v>
      </c>
      <c r="D27" s="497" t="s">
        <v>4712</v>
      </c>
    </row>
    <row r="28" spans="1:4">
      <c r="A28" s="498" t="s">
        <v>4727</v>
      </c>
      <c r="B28" s="499" t="s">
        <v>4728</v>
      </c>
      <c r="C28" s="500" t="s">
        <v>4729</v>
      </c>
      <c r="D28" s="497" t="s">
        <v>4712</v>
      </c>
    </row>
    <row r="29" spans="1:4">
      <c r="A29" s="498" t="s">
        <v>4730</v>
      </c>
      <c r="B29" s="499" t="s">
        <v>4731</v>
      </c>
      <c r="C29" s="500" t="s">
        <v>4732</v>
      </c>
      <c r="D29" s="497" t="s">
        <v>4712</v>
      </c>
    </row>
    <row r="30" spans="1:4">
      <c r="A30" s="498" t="s">
        <v>4733</v>
      </c>
      <c r="B30" s="499" t="s">
        <v>4734</v>
      </c>
      <c r="C30" s="500" t="s">
        <v>4735</v>
      </c>
      <c r="D30" s="497" t="s">
        <v>4712</v>
      </c>
    </row>
    <row r="31" spans="1:4">
      <c r="A31" s="498" t="s">
        <v>4736</v>
      </c>
      <c r="B31" s="499" t="s">
        <v>4737</v>
      </c>
      <c r="C31" s="500" t="s">
        <v>4738</v>
      </c>
      <c r="D31" s="497" t="s">
        <v>4712</v>
      </c>
    </row>
    <row r="32" spans="1:4">
      <c r="A32" s="498" t="s">
        <v>4739</v>
      </c>
      <c r="B32" s="499" t="s">
        <v>4740</v>
      </c>
      <c r="C32" s="500" t="s">
        <v>4741</v>
      </c>
      <c r="D32" s="497" t="s">
        <v>4712</v>
      </c>
    </row>
    <row r="33" spans="1:4">
      <c r="A33" s="498" t="s">
        <v>4742</v>
      </c>
      <c r="B33" s="499" t="s">
        <v>4743</v>
      </c>
      <c r="C33" s="500" t="s">
        <v>4744</v>
      </c>
      <c r="D33" s="497" t="s">
        <v>4712</v>
      </c>
    </row>
    <row r="34" spans="1:4">
      <c r="A34" s="498" t="s">
        <v>4745</v>
      </c>
      <c r="B34" s="499" t="s">
        <v>4746</v>
      </c>
      <c r="C34" s="500" t="s">
        <v>4747</v>
      </c>
      <c r="D34" s="497" t="s">
        <v>4712</v>
      </c>
    </row>
    <row r="35" spans="1:4">
      <c r="A35" s="498" t="s">
        <v>4748</v>
      </c>
      <c r="B35" s="499" t="s">
        <v>4749</v>
      </c>
      <c r="C35" s="500" t="s">
        <v>4750</v>
      </c>
      <c r="D35" s="497" t="s">
        <v>4712</v>
      </c>
    </row>
    <row r="36" spans="1:4">
      <c r="A36" s="498" t="s">
        <v>4751</v>
      </c>
      <c r="B36" s="499" t="s">
        <v>4752</v>
      </c>
      <c r="C36" s="500" t="s">
        <v>4753</v>
      </c>
      <c r="D36" s="497" t="s">
        <v>4712</v>
      </c>
    </row>
    <row r="37" spans="1:4" ht="28.3" customHeight="1">
      <c r="A37" s="498" t="s">
        <v>4754</v>
      </c>
      <c r="B37" s="501" t="s">
        <v>4755</v>
      </c>
      <c r="C37" s="500" t="s">
        <v>2809</v>
      </c>
      <c r="D37" s="497" t="s">
        <v>4712</v>
      </c>
    </row>
    <row r="38" spans="1:4" ht="16.5" customHeight="1">
      <c r="A38" s="498" t="s">
        <v>4756</v>
      </c>
      <c r="B38" s="499" t="s">
        <v>4757</v>
      </c>
      <c r="C38" s="500" t="s">
        <v>4758</v>
      </c>
      <c r="D38" s="497" t="s">
        <v>4712</v>
      </c>
    </row>
    <row r="39" spans="1:4">
      <c r="A39" s="498" t="s">
        <v>4759</v>
      </c>
      <c r="B39" s="499" t="s">
        <v>4760</v>
      </c>
      <c r="C39" s="500" t="s">
        <v>6004</v>
      </c>
      <c r="D39" s="497" t="s">
        <v>4712</v>
      </c>
    </row>
    <row r="40" spans="1:4">
      <c r="A40" s="498" t="s">
        <v>4761</v>
      </c>
      <c r="B40" s="499" t="s">
        <v>4762</v>
      </c>
      <c r="C40" s="500" t="s">
        <v>4711</v>
      </c>
      <c r="D40" s="497" t="s">
        <v>4712</v>
      </c>
    </row>
    <row r="41" spans="1:4">
      <c r="A41" s="502" t="s">
        <v>4763</v>
      </c>
      <c r="B41" s="503" t="s">
        <v>4764</v>
      </c>
      <c r="C41" s="504" t="s">
        <v>4723</v>
      </c>
      <c r="D41" s="497" t="s">
        <v>4712</v>
      </c>
    </row>
    <row r="42" spans="1:4">
      <c r="A42" s="505" t="s">
        <v>4765</v>
      </c>
      <c r="B42" s="506" t="s">
        <v>4766</v>
      </c>
      <c r="C42" s="507" t="s">
        <v>4767</v>
      </c>
      <c r="D42" s="508" t="s">
        <v>4768</v>
      </c>
    </row>
    <row r="43" spans="1:4">
      <c r="A43" s="509" t="s">
        <v>4769</v>
      </c>
      <c r="B43" s="510" t="s">
        <v>4770</v>
      </c>
      <c r="C43" s="511" t="s">
        <v>4771</v>
      </c>
      <c r="D43" s="508" t="s">
        <v>4768</v>
      </c>
    </row>
    <row r="44" spans="1:4">
      <c r="A44" s="509" t="s">
        <v>4772</v>
      </c>
      <c r="B44" s="510" t="s">
        <v>4773</v>
      </c>
      <c r="C44" s="511" t="s">
        <v>4774</v>
      </c>
      <c r="D44" s="508" t="s">
        <v>4768</v>
      </c>
    </row>
    <row r="45" spans="1:4" ht="28.3" customHeight="1">
      <c r="A45" s="509" t="s">
        <v>4775</v>
      </c>
      <c r="B45" s="512" t="s">
        <v>4776</v>
      </c>
      <c r="C45" s="511" t="s">
        <v>4777</v>
      </c>
      <c r="D45" s="508" t="s">
        <v>4768</v>
      </c>
    </row>
    <row r="46" spans="1:4" ht="15" customHeight="1">
      <c r="A46" s="509" t="s">
        <v>4778</v>
      </c>
      <c r="B46" s="510" t="s">
        <v>4779</v>
      </c>
      <c r="C46" s="511" t="s">
        <v>4780</v>
      </c>
      <c r="D46" s="508" t="s">
        <v>4768</v>
      </c>
    </row>
    <row r="47" spans="1:4">
      <c r="A47" s="509" t="s">
        <v>4781</v>
      </c>
      <c r="B47" s="510" t="s">
        <v>4782</v>
      </c>
      <c r="C47" s="511" t="s">
        <v>4783</v>
      </c>
      <c r="D47" s="508" t="s">
        <v>4768</v>
      </c>
    </row>
    <row r="48" spans="1:4">
      <c r="A48" s="509" t="s">
        <v>4784</v>
      </c>
      <c r="B48" s="510" t="s">
        <v>4785</v>
      </c>
      <c r="C48" s="511" t="s">
        <v>4786</v>
      </c>
      <c r="D48" s="508" t="s">
        <v>4768</v>
      </c>
    </row>
    <row r="49" spans="1:4">
      <c r="A49" s="509" t="s">
        <v>4787</v>
      </c>
      <c r="B49" s="510" t="s">
        <v>4788</v>
      </c>
      <c r="C49" s="511" t="s">
        <v>4789</v>
      </c>
      <c r="D49" s="508" t="s">
        <v>4768</v>
      </c>
    </row>
    <row r="50" spans="1:4">
      <c r="A50" s="509" t="s">
        <v>4790</v>
      </c>
      <c r="B50" s="512" t="s">
        <v>4791</v>
      </c>
      <c r="C50" s="511" t="s">
        <v>2971</v>
      </c>
      <c r="D50" s="508" t="s">
        <v>4768</v>
      </c>
    </row>
    <row r="51" spans="1:4">
      <c r="A51" s="509" t="s">
        <v>4792</v>
      </c>
      <c r="B51" s="510" t="s">
        <v>4793</v>
      </c>
      <c r="C51" s="511" t="s">
        <v>4794</v>
      </c>
      <c r="D51" s="508" t="s">
        <v>4768</v>
      </c>
    </row>
    <row r="52" spans="1:4">
      <c r="A52" s="509" t="s">
        <v>4795</v>
      </c>
      <c r="B52" s="510" t="s">
        <v>4796</v>
      </c>
      <c r="C52" s="511" t="s">
        <v>6005</v>
      </c>
      <c r="D52" s="508" t="s">
        <v>4768</v>
      </c>
    </row>
    <row r="53" spans="1:4">
      <c r="A53" s="509" t="s">
        <v>4797</v>
      </c>
      <c r="B53" s="510" t="s">
        <v>4798</v>
      </c>
      <c r="C53" s="511" t="s">
        <v>4799</v>
      </c>
      <c r="D53" s="508" t="s">
        <v>4768</v>
      </c>
    </row>
    <row r="54" spans="1:4">
      <c r="A54" s="509" t="s">
        <v>4800</v>
      </c>
      <c r="B54" s="510" t="s">
        <v>4801</v>
      </c>
      <c r="C54" s="511" t="s">
        <v>4802</v>
      </c>
      <c r="D54" s="508" t="s">
        <v>4768</v>
      </c>
    </row>
    <row r="55" spans="1:4">
      <c r="A55" s="509" t="s">
        <v>4803</v>
      </c>
      <c r="B55" s="510" t="s">
        <v>4804</v>
      </c>
      <c r="C55" s="511" t="s">
        <v>4802</v>
      </c>
      <c r="D55" s="508" t="s">
        <v>4768</v>
      </c>
    </row>
    <row r="56" spans="1:4">
      <c r="A56" s="509" t="s">
        <v>4805</v>
      </c>
      <c r="B56" s="510" t="s">
        <v>4806</v>
      </c>
      <c r="C56" s="511" t="s">
        <v>4807</v>
      </c>
      <c r="D56" s="508" t="s">
        <v>4768</v>
      </c>
    </row>
    <row r="57" spans="1:4">
      <c r="A57" s="509" t="s">
        <v>4808</v>
      </c>
      <c r="B57" s="510" t="s">
        <v>4809</v>
      </c>
      <c r="C57" s="511" t="s">
        <v>4810</v>
      </c>
      <c r="D57" s="508" t="s">
        <v>4768</v>
      </c>
    </row>
    <row r="58" spans="1:4">
      <c r="A58" s="509" t="s">
        <v>4811</v>
      </c>
      <c r="B58" s="510" t="s">
        <v>4812</v>
      </c>
      <c r="C58" s="511" t="s">
        <v>4813</v>
      </c>
      <c r="D58" s="508" t="s">
        <v>4768</v>
      </c>
    </row>
    <row r="59" spans="1:4">
      <c r="A59" s="509" t="s">
        <v>4814</v>
      </c>
      <c r="B59" s="510" t="s">
        <v>4815</v>
      </c>
      <c r="C59" s="511" t="s">
        <v>4816</v>
      </c>
      <c r="D59" s="508" t="s">
        <v>4768</v>
      </c>
    </row>
    <row r="60" spans="1:4">
      <c r="A60" s="509" t="s">
        <v>4817</v>
      </c>
      <c r="B60" s="510" t="s">
        <v>4818</v>
      </c>
      <c r="C60" s="511" t="s">
        <v>4819</v>
      </c>
      <c r="D60" s="508" t="s">
        <v>4768</v>
      </c>
    </row>
    <row r="61" spans="1:4">
      <c r="A61" s="513" t="s">
        <v>4820</v>
      </c>
      <c r="B61" s="514" t="s">
        <v>4821</v>
      </c>
      <c r="C61" s="515" t="s">
        <v>4822</v>
      </c>
      <c r="D61" s="508" t="s">
        <v>4768</v>
      </c>
    </row>
  </sheetData>
  <pageMargins left="0.7" right="0.7" top="0.75" bottom="0.75" header="0.3" footer="0.3"/>
  <pageSetup paperSize="9" orientation="portrait"/>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E6FF82"/>
  </sheetPr>
  <dimension ref="A1:N144"/>
  <sheetViews>
    <sheetView topLeftCell="A62" workbookViewId="0">
      <selection activeCell="B43" sqref="B43"/>
    </sheetView>
  </sheetViews>
  <sheetFormatPr defaultRowHeight="14.15"/>
  <cols>
    <col min="1" max="1" width="15.85546875" style="580" customWidth="1"/>
    <col min="2" max="4" width="82.5" style="580" customWidth="1"/>
    <col min="5" max="7" width="93.640625" style="580" bestFit="1" customWidth="1"/>
    <col min="8" max="10" width="89.140625" style="580" bestFit="1" customWidth="1"/>
  </cols>
  <sheetData>
    <row r="1" spans="1:14">
      <c r="A1" s="516">
        <v>45661</v>
      </c>
      <c r="B1" s="835" t="s">
        <v>4823</v>
      </c>
      <c r="C1" s="812"/>
      <c r="D1" s="812"/>
      <c r="E1" s="832" t="s">
        <v>4824</v>
      </c>
      <c r="F1" s="812"/>
      <c r="G1" s="812"/>
      <c r="H1" s="517" t="s">
        <v>4825</v>
      </c>
      <c r="I1" s="518" t="s">
        <v>4825</v>
      </c>
      <c r="J1" s="518" t="s">
        <v>4825</v>
      </c>
    </row>
    <row r="2" spans="1:14">
      <c r="A2" t="s">
        <v>4826</v>
      </c>
      <c r="B2" s="835" t="s">
        <v>948</v>
      </c>
      <c r="C2" s="812"/>
      <c r="D2" s="812"/>
      <c r="E2" s="832" t="s">
        <v>947</v>
      </c>
      <c r="F2" s="812"/>
      <c r="G2" s="812"/>
      <c r="H2" s="517" t="s">
        <v>949</v>
      </c>
      <c r="I2" s="518" t="s">
        <v>949</v>
      </c>
      <c r="J2" s="518" t="s">
        <v>949</v>
      </c>
    </row>
    <row r="3" spans="1:14">
      <c r="A3" t="s">
        <v>4827</v>
      </c>
      <c r="B3" s="833" t="s">
        <v>4828</v>
      </c>
      <c r="C3" s="812"/>
      <c r="D3" s="812"/>
      <c r="E3" s="833" t="s">
        <v>4828</v>
      </c>
      <c r="F3" s="812"/>
      <c r="G3" s="812"/>
      <c r="H3" s="519"/>
      <c r="I3" s="520"/>
      <c r="J3" s="520"/>
    </row>
    <row r="4" spans="1:14">
      <c r="A4" t="s">
        <v>4829</v>
      </c>
      <c r="B4" s="643" t="s">
        <v>4830</v>
      </c>
      <c r="C4" s="643" t="s">
        <v>4831</v>
      </c>
      <c r="D4" s="643" t="s">
        <v>4832</v>
      </c>
      <c r="E4" s="643" t="s">
        <v>4830</v>
      </c>
      <c r="F4" s="643" t="s">
        <v>4831</v>
      </c>
      <c r="G4" s="643" t="s">
        <v>4832</v>
      </c>
      <c r="H4" s="519"/>
      <c r="I4" s="520"/>
      <c r="J4" s="520"/>
    </row>
    <row r="5" spans="1:14" ht="18" customHeight="1">
      <c r="A5" s="837" t="s">
        <v>4833</v>
      </c>
      <c r="B5" s="521" t="s">
        <v>4834</v>
      </c>
      <c r="C5" s="521"/>
      <c r="D5" s="521"/>
      <c r="E5" s="522" t="s">
        <v>4835</v>
      </c>
      <c r="F5" s="521"/>
      <c r="G5" s="521"/>
      <c r="H5" s="522" t="s">
        <v>4836</v>
      </c>
      <c r="I5" s="521"/>
      <c r="J5" s="521"/>
    </row>
    <row r="6" spans="1:14" ht="18" customHeight="1">
      <c r="A6" s="812"/>
      <c r="B6" s="521" t="s">
        <v>4837</v>
      </c>
      <c r="C6" s="521"/>
      <c r="D6" s="521"/>
      <c r="E6" s="522" t="s">
        <v>4838</v>
      </c>
      <c r="F6" s="521"/>
      <c r="G6" s="521"/>
      <c r="H6" s="522" t="s">
        <v>4839</v>
      </c>
      <c r="I6" s="521"/>
      <c r="J6" s="521"/>
    </row>
    <row r="7" spans="1:14" ht="18" customHeight="1">
      <c r="A7" s="812"/>
      <c r="B7" s="521" t="s">
        <v>4840</v>
      </c>
      <c r="C7" s="521"/>
      <c r="D7" s="521"/>
      <c r="E7" s="522" t="s">
        <v>4841</v>
      </c>
      <c r="F7" s="521"/>
      <c r="G7" s="521"/>
      <c r="H7" s="522" t="s">
        <v>4842</v>
      </c>
      <c r="I7" s="521"/>
      <c r="J7" s="521"/>
    </row>
    <row r="8" spans="1:14" ht="18" customHeight="1">
      <c r="A8" s="812"/>
      <c r="B8" s="521" t="s">
        <v>4843</v>
      </c>
      <c r="C8" s="521"/>
      <c r="D8" s="521"/>
      <c r="E8" s="522" t="s">
        <v>4844</v>
      </c>
      <c r="F8" s="521"/>
      <c r="G8" s="521"/>
      <c r="H8" s="522" t="s">
        <v>4845</v>
      </c>
      <c r="I8" s="521"/>
      <c r="J8" s="521"/>
    </row>
    <row r="9" spans="1:14" ht="18" customHeight="1">
      <c r="A9" s="812"/>
      <c r="B9" s="521" t="s">
        <v>4846</v>
      </c>
      <c r="C9" s="521"/>
      <c r="D9" s="521"/>
      <c r="E9" s="522" t="s">
        <v>4847</v>
      </c>
      <c r="F9" s="521"/>
      <c r="G9" s="521"/>
      <c r="H9" s="522" t="s">
        <v>4848</v>
      </c>
      <c r="I9" s="521"/>
      <c r="J9" s="521"/>
      <c r="N9" s="523" t="e">
        <f>(LEFT(A1,FIND("-",A1)-1)+MID(A1,FIND("-",A1)+1,LEN(A1)))/2</f>
        <v>#VALUE!</v>
      </c>
    </row>
    <row r="10" spans="1:14" ht="18" customHeight="1">
      <c r="A10" s="812"/>
      <c r="B10" s="521" t="s">
        <v>4849</v>
      </c>
      <c r="C10" s="521"/>
      <c r="D10" s="521"/>
      <c r="E10" s="522" t="s">
        <v>4850</v>
      </c>
      <c r="F10" s="521"/>
      <c r="G10" s="521"/>
      <c r="H10" s="522" t="s">
        <v>4851</v>
      </c>
      <c r="I10" s="521"/>
      <c r="J10" s="521"/>
    </row>
    <row r="11" spans="1:14" ht="18" customHeight="1">
      <c r="A11" s="812"/>
      <c r="B11" s="521" t="s">
        <v>4852</v>
      </c>
      <c r="C11" s="521"/>
      <c r="D11" s="521"/>
      <c r="E11" s="522" t="s">
        <v>4853</v>
      </c>
      <c r="F11" s="521"/>
      <c r="G11" s="521"/>
      <c r="H11" s="522" t="s">
        <v>4854</v>
      </c>
      <c r="I11" s="521"/>
      <c r="J11" s="521"/>
    </row>
    <row r="12" spans="1:14" ht="18" customHeight="1">
      <c r="A12" s="812"/>
      <c r="B12" s="521" t="s">
        <v>4855</v>
      </c>
      <c r="C12" s="521"/>
      <c r="D12" s="521"/>
      <c r="E12" s="522" t="s">
        <v>4856</v>
      </c>
      <c r="F12" s="521"/>
      <c r="G12" s="521"/>
      <c r="H12" s="522" t="s">
        <v>4857</v>
      </c>
      <c r="I12" s="521"/>
      <c r="J12" s="521"/>
    </row>
    <row r="13" spans="1:14" ht="18" customHeight="1">
      <c r="A13" s="812"/>
      <c r="B13" s="521" t="s">
        <v>4858</v>
      </c>
      <c r="C13" s="521"/>
      <c r="D13" s="521"/>
      <c r="E13" s="522" t="s">
        <v>4859</v>
      </c>
      <c r="F13" s="521"/>
      <c r="G13" s="521"/>
      <c r="H13" s="522" t="s">
        <v>4860</v>
      </c>
      <c r="I13" s="521"/>
      <c r="J13" s="521"/>
    </row>
    <row r="14" spans="1:14" ht="18" customHeight="1">
      <c r="A14" s="812"/>
      <c r="B14" s="521" t="s">
        <v>4861</v>
      </c>
      <c r="C14" s="521"/>
      <c r="D14" s="521"/>
      <c r="E14" s="522" t="s">
        <v>4862</v>
      </c>
      <c r="F14" s="521"/>
      <c r="G14" s="521"/>
      <c r="H14" s="522" t="s">
        <v>4863</v>
      </c>
      <c r="I14" s="521"/>
      <c r="J14" s="521"/>
    </row>
    <row r="15" spans="1:14" ht="18" customHeight="1">
      <c r="A15" s="812"/>
      <c r="B15" s="521" t="s">
        <v>4864</v>
      </c>
      <c r="C15" s="521"/>
      <c r="D15" s="521"/>
      <c r="E15" s="522" t="s">
        <v>4865</v>
      </c>
      <c r="F15" s="521"/>
      <c r="G15" s="521"/>
      <c r="H15" s="522" t="s">
        <v>4866</v>
      </c>
      <c r="I15" s="521"/>
      <c r="J15" s="521"/>
    </row>
    <row r="16" spans="1:14" ht="18" customHeight="1">
      <c r="A16" s="812"/>
      <c r="B16" s="521" t="s">
        <v>4867</v>
      </c>
      <c r="C16" s="521"/>
      <c r="D16" s="521"/>
      <c r="E16" s="522" t="s">
        <v>4868</v>
      </c>
      <c r="F16" s="521"/>
      <c r="G16" s="521"/>
      <c r="H16" s="522" t="s">
        <v>4869</v>
      </c>
      <c r="I16" s="521"/>
      <c r="J16" s="521"/>
    </row>
    <row r="17" spans="1:10" ht="18" customHeight="1">
      <c r="A17" s="812"/>
      <c r="B17" s="524" t="s">
        <v>4870</v>
      </c>
      <c r="C17" s="524"/>
      <c r="D17" s="524"/>
      <c r="E17" s="522" t="s">
        <v>4871</v>
      </c>
      <c r="F17" s="521"/>
      <c r="G17" s="521"/>
      <c r="H17" s="522" t="s">
        <v>4872</v>
      </c>
      <c r="I17" s="521"/>
      <c r="J17" s="521"/>
    </row>
    <row r="18" spans="1:10" ht="18" customHeight="1">
      <c r="A18" s="812"/>
      <c r="B18" s="521" t="s">
        <v>4873</v>
      </c>
      <c r="C18" s="521"/>
      <c r="D18" s="521"/>
      <c r="E18" s="522" t="s">
        <v>4874</v>
      </c>
      <c r="F18" s="521"/>
      <c r="G18" s="521"/>
      <c r="H18" s="522" t="s">
        <v>4875</v>
      </c>
      <c r="I18" s="521"/>
      <c r="J18" s="521"/>
    </row>
    <row r="19" spans="1:10" ht="18" customHeight="1">
      <c r="A19" s="812"/>
      <c r="B19" s="521" t="s">
        <v>4876</v>
      </c>
      <c r="C19" s="521"/>
      <c r="D19" s="521"/>
      <c r="E19" s="522" t="s">
        <v>4877</v>
      </c>
      <c r="F19" s="521"/>
      <c r="G19" s="521"/>
      <c r="H19" s="522" t="s">
        <v>4878</v>
      </c>
      <c r="I19" s="521"/>
      <c r="J19" s="521"/>
    </row>
    <row r="20" spans="1:10" ht="18" customHeight="1">
      <c r="A20" s="812"/>
      <c r="B20" s="521" t="s">
        <v>4879</v>
      </c>
      <c r="C20" s="521"/>
      <c r="D20" s="521"/>
      <c r="E20" s="522" t="s">
        <v>4880</v>
      </c>
      <c r="F20" s="521"/>
      <c r="G20" s="521"/>
      <c r="H20" s="522" t="s">
        <v>4881</v>
      </c>
      <c r="I20" s="521"/>
      <c r="J20" s="521"/>
    </row>
    <row r="21" spans="1:10" ht="18" customHeight="1">
      <c r="A21" s="812"/>
      <c r="B21" s="521" t="s">
        <v>4882</v>
      </c>
      <c r="C21" s="521"/>
      <c r="D21" s="521"/>
      <c r="E21" s="522" t="s">
        <v>4883</v>
      </c>
      <c r="F21" s="521"/>
      <c r="G21" s="521"/>
      <c r="H21" s="522" t="s">
        <v>4884</v>
      </c>
      <c r="I21" s="521"/>
      <c r="J21" s="521"/>
    </row>
    <row r="22" spans="1:10" ht="18" customHeight="1">
      <c r="A22" s="812"/>
      <c r="B22" s="524" t="s">
        <v>4885</v>
      </c>
      <c r="C22" s="524"/>
      <c r="D22" s="524"/>
      <c r="E22" s="522" t="s">
        <v>4886</v>
      </c>
      <c r="F22" s="521"/>
      <c r="G22" s="521"/>
      <c r="H22" s="525" t="s">
        <v>4887</v>
      </c>
      <c r="I22" s="524"/>
      <c r="J22" s="524"/>
    </row>
    <row r="23" spans="1:10" ht="18" customHeight="1">
      <c r="A23" s="812"/>
      <c r="B23" s="521" t="s">
        <v>4888</v>
      </c>
      <c r="C23" s="521"/>
      <c r="D23" s="521"/>
      <c r="E23" s="522" t="s">
        <v>4889</v>
      </c>
      <c r="F23" s="521"/>
      <c r="G23" s="521"/>
      <c r="H23" s="522" t="s">
        <v>4890</v>
      </c>
      <c r="I23" s="521"/>
      <c r="J23" s="521"/>
    </row>
    <row r="24" spans="1:10" ht="18" customHeight="1">
      <c r="A24" s="812"/>
      <c r="B24" s="524" t="s">
        <v>4891</v>
      </c>
      <c r="C24" s="524"/>
      <c r="D24" s="524"/>
      <c r="E24" s="522" t="s">
        <v>4892</v>
      </c>
      <c r="F24" s="521"/>
      <c r="G24" s="521"/>
      <c r="H24" s="522" t="s">
        <v>4893</v>
      </c>
      <c r="I24" s="521"/>
      <c r="J24" s="521"/>
    </row>
    <row r="25" spans="1:10" ht="18" customHeight="1">
      <c r="A25" s="812"/>
      <c r="B25" s="521" t="s">
        <v>4894</v>
      </c>
      <c r="C25" s="521"/>
      <c r="D25" s="521"/>
      <c r="E25" s="522" t="s">
        <v>4895</v>
      </c>
      <c r="F25" s="521"/>
      <c r="G25" s="521"/>
      <c r="H25" s="522" t="s">
        <v>4896</v>
      </c>
      <c r="I25" s="521"/>
      <c r="J25" s="521"/>
    </row>
    <row r="26" spans="1:10" ht="18" customHeight="1">
      <c r="A26" s="812"/>
      <c r="B26" s="521" t="s">
        <v>4897</v>
      </c>
      <c r="C26" s="521"/>
      <c r="D26" s="521"/>
      <c r="E26" s="522" t="s">
        <v>4898</v>
      </c>
      <c r="F26" s="521"/>
      <c r="G26" s="521"/>
      <c r="H26" s="522" t="s">
        <v>4899</v>
      </c>
      <c r="I26" s="521"/>
      <c r="J26" s="521"/>
    </row>
    <row r="27" spans="1:10" ht="18" customHeight="1">
      <c r="A27" s="812"/>
      <c r="B27" s="521" t="s">
        <v>4900</v>
      </c>
      <c r="C27" s="521"/>
      <c r="D27" s="521"/>
      <c r="E27" s="522" t="s">
        <v>4901</v>
      </c>
      <c r="F27" s="521"/>
      <c r="G27" s="521"/>
      <c r="H27" s="522" t="s">
        <v>4902</v>
      </c>
      <c r="I27" s="521"/>
      <c r="J27" s="521"/>
    </row>
    <row r="28" spans="1:10" ht="18" customHeight="1">
      <c r="A28" s="812"/>
      <c r="B28" s="521" t="s">
        <v>4903</v>
      </c>
      <c r="C28" s="521"/>
      <c r="D28" s="521"/>
      <c r="E28" s="522" t="s">
        <v>4904</v>
      </c>
      <c r="F28" s="521"/>
      <c r="G28" s="521"/>
      <c r="H28" s="522" t="s">
        <v>4905</v>
      </c>
      <c r="I28" s="521"/>
      <c r="J28" s="521"/>
    </row>
    <row r="29" spans="1:10" ht="18" customHeight="1">
      <c r="A29" s="812"/>
      <c r="B29" s="521" t="s">
        <v>4906</v>
      </c>
      <c r="C29" s="521"/>
      <c r="D29" s="521"/>
      <c r="E29" s="522" t="s">
        <v>4907</v>
      </c>
      <c r="F29" s="521"/>
      <c r="G29" s="521"/>
      <c r="H29" s="522" t="s">
        <v>4908</v>
      </c>
      <c r="I29" s="521"/>
      <c r="J29" s="521"/>
    </row>
    <row r="30" spans="1:10">
      <c r="A30" s="838" t="s">
        <v>4909</v>
      </c>
      <c r="B30" s="526" t="s">
        <v>4910</v>
      </c>
      <c r="C30" s="526" t="s">
        <v>4911</v>
      </c>
      <c r="D30" s="526" t="s">
        <v>4912</v>
      </c>
      <c r="E30" s="527" t="s">
        <v>4913</v>
      </c>
      <c r="F30" s="526" t="s">
        <v>4914</v>
      </c>
      <c r="G30" s="526" t="s">
        <v>4915</v>
      </c>
      <c r="H30" s="527" t="s">
        <v>4916</v>
      </c>
      <c r="I30" s="526" t="s">
        <v>4917</v>
      </c>
      <c r="J30" s="526" t="s">
        <v>4918</v>
      </c>
    </row>
    <row r="31" spans="1:10" ht="14.25" customHeight="1">
      <c r="A31" s="812"/>
      <c r="B31" s="526"/>
      <c r="C31" s="526"/>
      <c r="D31" s="526"/>
      <c r="E31" s="527" t="s">
        <v>4919</v>
      </c>
      <c r="F31" s="526" t="s">
        <v>4920</v>
      </c>
      <c r="G31" s="526" t="s">
        <v>4921</v>
      </c>
      <c r="H31" s="527"/>
      <c r="I31" s="526"/>
      <c r="J31" s="526"/>
    </row>
    <row r="32" spans="1:10">
      <c r="A32" s="812"/>
      <c r="B32" s="526" t="s">
        <v>4922</v>
      </c>
      <c r="C32" s="526" t="s">
        <v>4923</v>
      </c>
      <c r="D32" s="526" t="s">
        <v>4924</v>
      </c>
      <c r="E32" s="527"/>
      <c r="F32" s="526"/>
      <c r="G32" s="526"/>
      <c r="H32" s="527"/>
      <c r="I32" s="526"/>
      <c r="J32" s="526"/>
    </row>
    <row r="33" spans="1:10" ht="14.25" customHeight="1">
      <c r="A33" s="812"/>
      <c r="B33" s="526"/>
      <c r="C33" s="526"/>
      <c r="D33" s="526"/>
      <c r="E33" s="527"/>
      <c r="F33" s="526"/>
      <c r="G33" s="526"/>
      <c r="H33" s="527"/>
      <c r="I33" s="526"/>
      <c r="J33" s="526"/>
    </row>
    <row r="34" spans="1:10">
      <c r="A34" s="812"/>
      <c r="B34" s="526" t="s">
        <v>4925</v>
      </c>
      <c r="C34" s="526" t="s">
        <v>4926</v>
      </c>
      <c r="D34" s="526" t="s">
        <v>4927</v>
      </c>
      <c r="E34" s="527"/>
      <c r="F34" s="526"/>
      <c r="G34" s="526"/>
      <c r="H34" s="527"/>
      <c r="I34" s="526"/>
      <c r="J34" s="526"/>
    </row>
    <row r="35" spans="1:10">
      <c r="A35" s="812"/>
      <c r="B35" s="526"/>
      <c r="C35" s="526"/>
      <c r="D35" s="526"/>
      <c r="E35" s="527"/>
      <c r="F35" s="526"/>
      <c r="G35" s="526"/>
      <c r="H35" s="527"/>
      <c r="I35" s="526"/>
      <c r="J35" s="526"/>
    </row>
    <row r="36" spans="1:10">
      <c r="A36" s="812"/>
      <c r="B36" s="526" t="s">
        <v>4928</v>
      </c>
      <c r="C36" s="526" t="s">
        <v>4929</v>
      </c>
      <c r="D36" s="526" t="s">
        <v>4930</v>
      </c>
      <c r="E36" s="527"/>
      <c r="F36" s="526"/>
      <c r="G36" s="526"/>
      <c r="H36" s="527"/>
      <c r="I36" s="526"/>
      <c r="J36" s="526"/>
    </row>
    <row r="37" spans="1:10">
      <c r="A37" s="812"/>
      <c r="B37" s="526" t="s">
        <v>4931</v>
      </c>
      <c r="C37" s="526" t="s">
        <v>4932</v>
      </c>
      <c r="D37" s="526" t="s">
        <v>4933</v>
      </c>
      <c r="E37" s="527"/>
      <c r="F37" s="526"/>
      <c r="G37" s="526"/>
      <c r="H37" s="527"/>
      <c r="I37" s="526"/>
      <c r="J37" s="526"/>
    </row>
    <row r="38" spans="1:10">
      <c r="A38" s="812"/>
      <c r="B38" s="526" t="s">
        <v>4934</v>
      </c>
      <c r="C38" s="526"/>
      <c r="D38" s="526"/>
      <c r="E38" s="527"/>
      <c r="F38" s="526"/>
      <c r="G38" s="526"/>
      <c r="H38" s="527"/>
      <c r="I38" s="526"/>
      <c r="J38" s="526"/>
    </row>
    <row r="39" spans="1:10">
      <c r="A39" s="812"/>
      <c r="B39" s="526" t="s">
        <v>4935</v>
      </c>
      <c r="C39" s="526" t="s">
        <v>4936</v>
      </c>
      <c r="D39" s="526" t="s">
        <v>4937</v>
      </c>
      <c r="E39" s="527"/>
      <c r="F39" s="526"/>
      <c r="G39" s="526"/>
      <c r="H39" s="527"/>
      <c r="I39" s="526"/>
      <c r="J39" s="526"/>
    </row>
    <row r="40" spans="1:10">
      <c r="A40" s="812"/>
      <c r="B40" s="526" t="s">
        <v>4938</v>
      </c>
      <c r="C40" s="526" t="s">
        <v>4939</v>
      </c>
      <c r="D40" s="526" t="s">
        <v>4940</v>
      </c>
      <c r="E40" s="527"/>
      <c r="F40" s="526"/>
      <c r="G40" s="526"/>
      <c r="H40" s="527"/>
      <c r="I40" s="526"/>
      <c r="J40" s="526"/>
    </row>
    <row r="41" spans="1:10">
      <c r="A41" s="812"/>
      <c r="B41" s="526"/>
      <c r="C41" s="526"/>
      <c r="D41" s="526"/>
      <c r="E41" s="527"/>
      <c r="F41" s="526"/>
      <c r="G41" s="526"/>
      <c r="H41" s="527"/>
      <c r="I41" s="526"/>
      <c r="J41" s="526"/>
    </row>
    <row r="42" spans="1:10" ht="28.3" customHeight="1">
      <c r="A42" s="812"/>
      <c r="B42" s="528" t="s">
        <v>4941</v>
      </c>
      <c r="C42" s="528" t="s">
        <v>4942</v>
      </c>
      <c r="D42" s="528" t="s">
        <v>4943</v>
      </c>
      <c r="E42" s="527"/>
      <c r="F42" s="526"/>
      <c r="G42" s="526"/>
      <c r="H42" s="527"/>
      <c r="I42" s="526"/>
      <c r="J42" s="526"/>
    </row>
    <row r="43" spans="1:10">
      <c r="A43" s="812"/>
      <c r="B43" s="526" t="s">
        <v>4944</v>
      </c>
      <c r="C43" s="526" t="s">
        <v>4945</v>
      </c>
      <c r="D43" s="526" t="s">
        <v>4946</v>
      </c>
      <c r="E43" s="527"/>
      <c r="F43" s="526"/>
      <c r="G43" s="526"/>
      <c r="H43" s="527"/>
      <c r="I43" s="526"/>
      <c r="J43" s="526"/>
    </row>
    <row r="44" spans="1:10">
      <c r="A44" s="812"/>
      <c r="B44" s="526" t="s">
        <v>4947</v>
      </c>
      <c r="C44" s="526" t="s">
        <v>4948</v>
      </c>
      <c r="D44" s="526" t="s">
        <v>4949</v>
      </c>
      <c r="E44" s="527" t="s">
        <v>4950</v>
      </c>
      <c r="F44" s="526" t="s">
        <v>4951</v>
      </c>
      <c r="G44" s="526" t="s">
        <v>4952</v>
      </c>
      <c r="H44" s="527" t="s">
        <v>4953</v>
      </c>
      <c r="I44" s="526" t="s">
        <v>4954</v>
      </c>
      <c r="J44" s="526" t="s">
        <v>4955</v>
      </c>
    </row>
    <row r="45" spans="1:10">
      <c r="A45" s="812"/>
      <c r="B45" s="526" t="s">
        <v>4956</v>
      </c>
      <c r="C45" s="526" t="s">
        <v>4957</v>
      </c>
      <c r="D45" s="526" t="s">
        <v>4958</v>
      </c>
      <c r="E45" s="527" t="s">
        <v>4959</v>
      </c>
      <c r="F45" s="526" t="s">
        <v>4960</v>
      </c>
      <c r="G45" s="526" t="s">
        <v>4961</v>
      </c>
      <c r="H45" s="527"/>
      <c r="I45" s="526"/>
      <c r="J45" s="526"/>
    </row>
    <row r="46" spans="1:10">
      <c r="A46" s="812"/>
      <c r="B46" s="526" t="s">
        <v>4962</v>
      </c>
      <c r="C46" s="526" t="s">
        <v>4963</v>
      </c>
      <c r="D46" s="526" t="s">
        <v>4964</v>
      </c>
      <c r="E46" s="527"/>
      <c r="F46" s="526"/>
      <c r="G46" s="526"/>
      <c r="H46" s="527"/>
      <c r="I46" s="526"/>
      <c r="J46" s="526"/>
    </row>
    <row r="47" spans="1:10">
      <c r="A47" s="812"/>
      <c r="B47" s="526" t="s">
        <v>4965</v>
      </c>
      <c r="C47" s="526" t="s">
        <v>4966</v>
      </c>
      <c r="D47" s="526" t="s">
        <v>4967</v>
      </c>
      <c r="E47" s="527"/>
      <c r="F47" s="526"/>
      <c r="G47" s="526"/>
      <c r="H47" s="527"/>
      <c r="I47" s="526"/>
      <c r="J47" s="526"/>
    </row>
    <row r="48" spans="1:10">
      <c r="A48" s="812"/>
      <c r="B48" s="526" t="s">
        <v>4968</v>
      </c>
      <c r="C48" s="526" t="s">
        <v>4969</v>
      </c>
      <c r="D48" s="526" t="s">
        <v>4970</v>
      </c>
      <c r="E48" s="527"/>
      <c r="F48" s="526"/>
      <c r="G48" s="526"/>
      <c r="H48" s="527"/>
      <c r="I48" s="526"/>
      <c r="J48" s="526"/>
    </row>
    <row r="49" spans="1:10">
      <c r="A49" s="812"/>
      <c r="B49" s="526" t="s">
        <v>4971</v>
      </c>
      <c r="C49" s="526" t="s">
        <v>4972</v>
      </c>
      <c r="D49" s="526" t="s">
        <v>4973</v>
      </c>
      <c r="E49" s="527"/>
      <c r="F49" s="526"/>
      <c r="G49" s="526"/>
      <c r="H49" s="527"/>
      <c r="I49" s="526"/>
      <c r="J49" s="526"/>
    </row>
    <row r="50" spans="1:10">
      <c r="A50" s="812"/>
      <c r="B50" s="526" t="s">
        <v>4974</v>
      </c>
      <c r="C50" s="526" t="s">
        <v>4975</v>
      </c>
      <c r="D50" s="526" t="s">
        <v>4976</v>
      </c>
      <c r="E50" s="527"/>
      <c r="F50" s="526"/>
      <c r="G50" s="526"/>
      <c r="H50" s="527"/>
      <c r="I50" s="526"/>
      <c r="J50" s="526"/>
    </row>
    <row r="51" spans="1:10">
      <c r="A51" s="812"/>
      <c r="B51" s="526" t="s">
        <v>4977</v>
      </c>
      <c r="C51" s="526" t="s">
        <v>4978</v>
      </c>
      <c r="D51" s="526" t="s">
        <v>4979</v>
      </c>
      <c r="E51" s="527" t="s">
        <v>4980</v>
      </c>
      <c r="F51" s="526" t="s">
        <v>4981</v>
      </c>
      <c r="G51" s="526" t="s">
        <v>4982</v>
      </c>
      <c r="H51" s="526" t="s">
        <v>4983</v>
      </c>
      <c r="I51" s="526" t="s">
        <v>4984</v>
      </c>
      <c r="J51" s="526" t="s">
        <v>4985</v>
      </c>
    </row>
    <row r="52" spans="1:10">
      <c r="A52" s="812"/>
      <c r="B52" s="526" t="s">
        <v>4986</v>
      </c>
      <c r="C52" s="526" t="s">
        <v>4987</v>
      </c>
      <c r="D52" s="526" t="s">
        <v>4988</v>
      </c>
      <c r="E52" s="527" t="s">
        <v>4989</v>
      </c>
      <c r="F52" s="526" t="s">
        <v>4990</v>
      </c>
      <c r="G52" s="526" t="s">
        <v>4991</v>
      </c>
      <c r="H52" s="526" t="s">
        <v>4992</v>
      </c>
      <c r="I52" s="526" t="s">
        <v>4993</v>
      </c>
      <c r="J52" s="526" t="s">
        <v>4994</v>
      </c>
    </row>
    <row r="53" spans="1:10">
      <c r="A53" s="812"/>
      <c r="B53" s="526" t="s">
        <v>4995</v>
      </c>
      <c r="C53" s="526" t="s">
        <v>4996</v>
      </c>
      <c r="D53" s="526" t="s">
        <v>4997</v>
      </c>
      <c r="E53" s="527" t="s">
        <v>4998</v>
      </c>
      <c r="F53" s="526" t="s">
        <v>4999</v>
      </c>
      <c r="G53" s="526" t="s">
        <v>5000</v>
      </c>
      <c r="H53" s="526" t="s">
        <v>5001</v>
      </c>
      <c r="I53" s="526" t="s">
        <v>5002</v>
      </c>
      <c r="J53" s="526" t="s">
        <v>5003</v>
      </c>
    </row>
    <row r="54" spans="1:10" ht="28.3" customHeight="1">
      <c r="A54" s="812"/>
      <c r="B54" s="528" t="s">
        <v>5004</v>
      </c>
      <c r="C54" s="528" t="s">
        <v>5005</v>
      </c>
      <c r="D54" s="528" t="s">
        <v>5006</v>
      </c>
      <c r="E54" s="527"/>
      <c r="F54" s="526"/>
      <c r="G54" s="526"/>
      <c r="H54" s="527"/>
      <c r="I54" s="526"/>
      <c r="J54" s="526"/>
    </row>
    <row r="55" spans="1:10" ht="14.25" customHeight="1">
      <c r="A55" s="836" t="s">
        <v>5007</v>
      </c>
      <c r="B55" s="529" t="s">
        <v>5008</v>
      </c>
      <c r="C55" s="529" t="s">
        <v>5009</v>
      </c>
      <c r="D55" s="529" t="s">
        <v>5010</v>
      </c>
      <c r="E55" s="530"/>
      <c r="F55" s="529"/>
      <c r="G55" s="529"/>
      <c r="H55" s="530" t="s">
        <v>5011</v>
      </c>
      <c r="I55" s="530" t="s">
        <v>5012</v>
      </c>
      <c r="J55" s="530" t="s">
        <v>5013</v>
      </c>
    </row>
    <row r="56" spans="1:10">
      <c r="A56" s="812"/>
      <c r="B56" s="529" t="s">
        <v>5014</v>
      </c>
      <c r="C56" s="529" t="s">
        <v>5015</v>
      </c>
      <c r="D56" s="529" t="s">
        <v>5016</v>
      </c>
      <c r="E56" s="530" t="s">
        <v>5017</v>
      </c>
      <c r="F56" s="529" t="s">
        <v>5018</v>
      </c>
      <c r="G56" s="529" t="s">
        <v>5019</v>
      </c>
      <c r="H56" s="530" t="s">
        <v>5020</v>
      </c>
      <c r="I56" s="529" t="s">
        <v>5021</v>
      </c>
      <c r="J56" s="529" t="s">
        <v>5022</v>
      </c>
    </row>
    <row r="57" spans="1:10">
      <c r="A57" s="812"/>
      <c r="B57" s="529" t="s">
        <v>5023</v>
      </c>
      <c r="C57" s="529" t="s">
        <v>5024</v>
      </c>
      <c r="D57" s="529" t="s">
        <v>5025</v>
      </c>
      <c r="E57" s="530"/>
      <c r="F57" s="529"/>
      <c r="G57" s="529"/>
      <c r="H57" s="530"/>
      <c r="I57" s="529"/>
      <c r="J57" s="529"/>
    </row>
    <row r="58" spans="1:10">
      <c r="A58" s="812"/>
      <c r="B58" s="529" t="s">
        <v>5026</v>
      </c>
      <c r="C58" s="529" t="s">
        <v>5027</v>
      </c>
      <c r="D58" s="529" t="s">
        <v>5028</v>
      </c>
      <c r="E58" s="530"/>
      <c r="F58" s="529"/>
      <c r="G58" s="529"/>
      <c r="H58" s="530"/>
      <c r="I58" s="529"/>
      <c r="J58" s="529"/>
    </row>
    <row r="59" spans="1:10" ht="14.25" customHeight="1">
      <c r="A59" s="812"/>
      <c r="B59" s="529" t="s">
        <v>5029</v>
      </c>
      <c r="C59" s="529" t="s">
        <v>5030</v>
      </c>
      <c r="D59" s="529" t="s">
        <v>5031</v>
      </c>
      <c r="E59" s="530"/>
      <c r="F59" s="529"/>
      <c r="G59" s="529"/>
      <c r="H59" s="530"/>
      <c r="I59" s="529"/>
      <c r="J59" s="529"/>
    </row>
    <row r="60" spans="1:10">
      <c r="A60" s="812"/>
      <c r="B60" s="529" t="s">
        <v>5032</v>
      </c>
      <c r="C60" s="529" t="s">
        <v>5033</v>
      </c>
      <c r="D60" s="529" t="s">
        <v>5034</v>
      </c>
      <c r="E60" s="530"/>
      <c r="F60" s="529"/>
      <c r="G60" s="529"/>
      <c r="H60" s="530"/>
      <c r="I60" s="529"/>
      <c r="J60" s="529"/>
    </row>
    <row r="61" spans="1:10">
      <c r="A61" s="812"/>
      <c r="B61" s="529" t="s">
        <v>5035</v>
      </c>
      <c r="C61" s="529" t="s">
        <v>5036</v>
      </c>
      <c r="D61" s="529" t="s">
        <v>5037</v>
      </c>
      <c r="E61" s="530"/>
      <c r="F61" s="529"/>
      <c r="G61" s="529"/>
      <c r="H61" s="530"/>
      <c r="I61" s="529"/>
      <c r="J61" s="529"/>
    </row>
    <row r="62" spans="1:10">
      <c r="A62" s="812"/>
      <c r="B62" s="529" t="s">
        <v>5038</v>
      </c>
      <c r="C62" s="529" t="s">
        <v>5039</v>
      </c>
      <c r="D62" s="529" t="s">
        <v>5040</v>
      </c>
      <c r="E62" s="530"/>
      <c r="F62" s="529"/>
      <c r="G62" s="529"/>
      <c r="H62" s="530"/>
      <c r="I62" s="529"/>
      <c r="J62" s="529"/>
    </row>
    <row r="63" spans="1:10">
      <c r="A63" s="812"/>
      <c r="B63" s="529"/>
      <c r="C63" s="529"/>
      <c r="D63" s="529"/>
      <c r="E63" s="530"/>
      <c r="F63" s="529"/>
      <c r="G63" s="529"/>
      <c r="H63" s="530"/>
      <c r="I63" s="529"/>
      <c r="J63" s="529"/>
    </row>
    <row r="64" spans="1:10">
      <c r="A64" s="812"/>
      <c r="B64" s="529"/>
      <c r="C64" s="529"/>
      <c r="D64" s="529"/>
      <c r="E64" s="530"/>
      <c r="F64" s="529"/>
      <c r="G64" s="529"/>
      <c r="H64" s="530"/>
      <c r="I64" s="529"/>
      <c r="J64" s="529"/>
    </row>
    <row r="65" spans="1:10">
      <c r="A65" s="812"/>
      <c r="B65" s="529"/>
      <c r="C65" s="529"/>
      <c r="D65" s="529"/>
      <c r="E65" s="530"/>
      <c r="F65" s="529"/>
      <c r="G65" s="529"/>
      <c r="H65" s="530"/>
      <c r="I65" s="529"/>
      <c r="J65" s="529"/>
    </row>
    <row r="66" spans="1:10">
      <c r="A66" s="812"/>
      <c r="B66" s="529"/>
      <c r="C66" s="529"/>
      <c r="D66" s="529"/>
      <c r="E66" s="530"/>
      <c r="F66" s="529"/>
      <c r="G66" s="529"/>
      <c r="H66" s="530"/>
      <c r="I66" s="529"/>
      <c r="J66" s="529"/>
    </row>
    <row r="67" spans="1:10">
      <c r="A67" s="812"/>
      <c r="B67" s="529"/>
      <c r="C67" s="529"/>
      <c r="D67" s="529"/>
      <c r="E67" s="530"/>
      <c r="F67" s="529"/>
      <c r="G67" s="529"/>
      <c r="H67" s="530"/>
      <c r="I67" s="529"/>
      <c r="J67" s="529"/>
    </row>
    <row r="68" spans="1:10">
      <c r="A68" s="812"/>
      <c r="B68" s="529"/>
      <c r="C68" s="529"/>
      <c r="D68" s="529"/>
      <c r="E68" s="530"/>
      <c r="F68" s="529"/>
      <c r="G68" s="529"/>
      <c r="H68" s="530"/>
      <c r="I68" s="529"/>
      <c r="J68" s="529"/>
    </row>
    <row r="69" spans="1:10">
      <c r="A69" s="812"/>
      <c r="B69" s="529"/>
      <c r="C69" s="529"/>
      <c r="D69" s="529"/>
      <c r="E69" s="530"/>
      <c r="F69" s="529"/>
      <c r="G69" s="529"/>
      <c r="H69" s="530"/>
      <c r="I69" s="529"/>
      <c r="J69" s="529"/>
    </row>
    <row r="70" spans="1:10">
      <c r="A70" s="812"/>
      <c r="B70" s="529"/>
      <c r="C70" s="529"/>
      <c r="D70" s="529"/>
      <c r="E70" s="530"/>
      <c r="F70" s="529"/>
      <c r="G70" s="529"/>
      <c r="H70" s="530"/>
      <c r="I70" s="529"/>
      <c r="J70" s="529"/>
    </row>
    <row r="71" spans="1:10">
      <c r="A71" s="812"/>
      <c r="B71" s="529"/>
      <c r="C71" s="529"/>
      <c r="D71" s="529"/>
      <c r="E71" s="530"/>
      <c r="F71" s="529"/>
      <c r="G71" s="529"/>
      <c r="H71" s="530"/>
      <c r="I71" s="529"/>
      <c r="J71" s="529"/>
    </row>
    <row r="72" spans="1:10">
      <c r="A72" s="812"/>
      <c r="B72" s="529"/>
      <c r="C72" s="529"/>
      <c r="D72" s="529"/>
      <c r="E72" s="530"/>
      <c r="F72" s="529"/>
      <c r="G72" s="529"/>
      <c r="H72" s="530"/>
      <c r="I72" s="529"/>
      <c r="J72" s="529"/>
    </row>
    <row r="73" spans="1:10">
      <c r="A73" s="812"/>
      <c r="B73" s="529"/>
      <c r="C73" s="529"/>
      <c r="D73" s="529"/>
      <c r="E73" s="530"/>
      <c r="F73" s="529"/>
      <c r="G73" s="529"/>
      <c r="H73" s="530"/>
      <c r="I73" s="529"/>
      <c r="J73" s="529"/>
    </row>
    <row r="74" spans="1:10">
      <c r="A74" s="812"/>
      <c r="B74" s="529"/>
      <c r="C74" s="529"/>
      <c r="D74" s="529"/>
      <c r="E74" s="530"/>
      <c r="F74" s="529"/>
      <c r="G74" s="529"/>
      <c r="H74" s="530"/>
      <c r="I74" s="529"/>
      <c r="J74" s="529"/>
    </row>
    <row r="75" spans="1:10">
      <c r="A75" s="812"/>
      <c r="B75" s="529" t="s">
        <v>5041</v>
      </c>
      <c r="C75" s="529" t="s">
        <v>5042</v>
      </c>
      <c r="D75" s="529" t="s">
        <v>5043</v>
      </c>
      <c r="E75" s="530"/>
      <c r="F75" s="529"/>
      <c r="G75" s="529"/>
      <c r="H75" s="530"/>
      <c r="I75" s="529"/>
      <c r="J75" s="529"/>
    </row>
    <row r="76" spans="1:10">
      <c r="A76" s="812"/>
      <c r="B76" s="529" t="s">
        <v>5044</v>
      </c>
      <c r="C76" s="529" t="s">
        <v>5045</v>
      </c>
      <c r="D76" s="529" t="s">
        <v>5046</v>
      </c>
      <c r="E76" s="530" t="s">
        <v>5047</v>
      </c>
      <c r="F76" s="529" t="s">
        <v>5048</v>
      </c>
      <c r="G76" s="529" t="s">
        <v>5049</v>
      </c>
      <c r="H76" s="530" t="s">
        <v>5050</v>
      </c>
      <c r="I76" s="529" t="s">
        <v>5051</v>
      </c>
      <c r="J76" s="529" t="s">
        <v>5052</v>
      </c>
    </row>
    <row r="77" spans="1:10">
      <c r="A77" s="812"/>
      <c r="B77" s="529" t="s">
        <v>5053</v>
      </c>
      <c r="C77" s="529" t="s">
        <v>5054</v>
      </c>
      <c r="D77" s="529" t="s">
        <v>5055</v>
      </c>
      <c r="E77" s="530" t="s">
        <v>5056</v>
      </c>
      <c r="F77" s="529" t="s">
        <v>5057</v>
      </c>
      <c r="G77" s="529" t="s">
        <v>5058</v>
      </c>
      <c r="H77" s="530" t="s">
        <v>5059</v>
      </c>
      <c r="I77" s="529" t="s">
        <v>5060</v>
      </c>
      <c r="J77" s="529" t="s">
        <v>5061</v>
      </c>
    </row>
    <row r="78" spans="1:10">
      <c r="A78" s="812"/>
      <c r="B78" s="529" t="s">
        <v>5062</v>
      </c>
      <c r="C78" s="529" t="s">
        <v>5063</v>
      </c>
      <c r="D78" s="529" t="s">
        <v>5064</v>
      </c>
      <c r="E78" s="530" t="s">
        <v>5065</v>
      </c>
      <c r="F78" s="529" t="s">
        <v>5066</v>
      </c>
      <c r="G78" s="529" t="s">
        <v>5067</v>
      </c>
      <c r="H78" s="530" t="s">
        <v>5068</v>
      </c>
      <c r="I78" s="529" t="s">
        <v>5069</v>
      </c>
      <c r="J78" s="529" t="s">
        <v>5070</v>
      </c>
    </row>
    <row r="79" spans="1:10">
      <c r="A79" s="812"/>
      <c r="B79" s="529"/>
      <c r="C79" s="529"/>
      <c r="D79" s="529"/>
      <c r="E79" s="530"/>
      <c r="F79" s="529"/>
      <c r="G79" s="529"/>
      <c r="H79" s="530"/>
      <c r="I79" s="529"/>
      <c r="J79" s="529"/>
    </row>
    <row r="80" spans="1:10">
      <c r="A80" s="831" t="s">
        <v>5071</v>
      </c>
      <c r="B80" s="531" t="s">
        <v>5072</v>
      </c>
      <c r="C80" s="531" t="s">
        <v>5073</v>
      </c>
      <c r="D80" s="531" t="s">
        <v>5074</v>
      </c>
      <c r="E80" s="532"/>
      <c r="F80" s="531"/>
      <c r="G80" s="531"/>
      <c r="H80" s="532"/>
      <c r="I80" s="531"/>
      <c r="J80" s="531"/>
    </row>
    <row r="81" spans="1:10">
      <c r="A81" s="812"/>
      <c r="B81" s="531" t="s">
        <v>5075</v>
      </c>
      <c r="C81" s="531" t="s">
        <v>5076</v>
      </c>
      <c r="D81" s="531" t="s">
        <v>5077</v>
      </c>
      <c r="E81" s="532"/>
      <c r="F81" s="531"/>
      <c r="G81" s="531"/>
      <c r="H81" s="532"/>
      <c r="I81" s="531"/>
      <c r="J81" s="531"/>
    </row>
    <row r="82" spans="1:10">
      <c r="A82" s="812"/>
      <c r="B82" s="531" t="s">
        <v>5078</v>
      </c>
      <c r="C82" s="531" t="s">
        <v>5079</v>
      </c>
      <c r="D82" s="531" t="s">
        <v>5080</v>
      </c>
      <c r="E82" s="532"/>
      <c r="F82" s="532"/>
      <c r="G82" s="532"/>
      <c r="H82" s="532"/>
      <c r="I82" s="531"/>
      <c r="J82" s="531"/>
    </row>
    <row r="83" spans="1:10">
      <c r="A83" s="812"/>
      <c r="B83" s="531" t="s">
        <v>5081</v>
      </c>
      <c r="C83" s="531" t="s">
        <v>5082</v>
      </c>
      <c r="D83" s="531" t="s">
        <v>5083</v>
      </c>
      <c r="E83" s="532"/>
      <c r="F83" s="531"/>
      <c r="G83" s="531"/>
      <c r="H83" s="532"/>
      <c r="I83" s="531"/>
      <c r="J83" s="531"/>
    </row>
    <row r="84" spans="1:10">
      <c r="A84" s="812"/>
      <c r="B84" s="531" t="s">
        <v>5084</v>
      </c>
      <c r="C84" s="531" t="s">
        <v>5085</v>
      </c>
      <c r="D84" s="531" t="s">
        <v>5086</v>
      </c>
      <c r="E84" s="532"/>
      <c r="F84" s="531"/>
      <c r="G84" s="531"/>
      <c r="H84" s="532"/>
      <c r="I84" s="531"/>
      <c r="J84" s="531"/>
    </row>
    <row r="85" spans="1:10">
      <c r="A85" s="812"/>
      <c r="B85" s="531" t="s">
        <v>5087</v>
      </c>
      <c r="C85" s="531" t="s">
        <v>5088</v>
      </c>
      <c r="D85" s="531" t="s">
        <v>5089</v>
      </c>
      <c r="E85" s="532"/>
      <c r="F85" s="531"/>
      <c r="G85" s="531"/>
      <c r="H85" s="532"/>
      <c r="I85" s="531"/>
      <c r="J85" s="531"/>
    </row>
    <row r="86" spans="1:10">
      <c r="A86" s="812"/>
      <c r="B86" s="531" t="s">
        <v>5090</v>
      </c>
      <c r="C86" s="531" t="s">
        <v>5091</v>
      </c>
      <c r="D86" s="531" t="s">
        <v>5092</v>
      </c>
      <c r="E86" s="532"/>
      <c r="F86" s="531"/>
      <c r="G86" s="531"/>
      <c r="H86" s="532"/>
      <c r="I86" s="531"/>
      <c r="J86" s="531"/>
    </row>
    <row r="87" spans="1:10">
      <c r="A87" s="812"/>
      <c r="B87" s="531" t="s">
        <v>5093</v>
      </c>
      <c r="C87" s="531" t="s">
        <v>5094</v>
      </c>
      <c r="D87" s="531" t="s">
        <v>5095</v>
      </c>
      <c r="E87" s="532"/>
      <c r="F87" s="531"/>
      <c r="G87" s="531"/>
      <c r="H87" s="532" t="s">
        <v>5096</v>
      </c>
      <c r="I87" s="531" t="s">
        <v>5097</v>
      </c>
      <c r="J87" s="531" t="s">
        <v>5098</v>
      </c>
    </row>
    <row r="88" spans="1:10">
      <c r="A88" s="812"/>
      <c r="B88" s="531"/>
      <c r="C88" s="531"/>
      <c r="D88" s="531"/>
      <c r="E88" s="532"/>
      <c r="F88" s="531"/>
      <c r="G88" s="531"/>
      <c r="H88" s="532"/>
      <c r="I88" s="531"/>
      <c r="J88" s="531"/>
    </row>
    <row r="89" spans="1:10">
      <c r="A89" s="812"/>
      <c r="B89" s="531"/>
      <c r="C89" s="531"/>
      <c r="D89" s="531"/>
      <c r="E89" s="532"/>
      <c r="F89" s="531"/>
      <c r="G89" s="531"/>
      <c r="H89" s="532"/>
      <c r="I89" s="531"/>
      <c r="J89" s="531"/>
    </row>
    <row r="90" spans="1:10">
      <c r="A90" s="812"/>
      <c r="B90" s="531"/>
      <c r="C90" s="531"/>
      <c r="D90" s="531"/>
      <c r="E90" s="532"/>
      <c r="F90" s="531"/>
      <c r="G90" s="531"/>
      <c r="H90" s="532"/>
      <c r="I90" s="531"/>
      <c r="J90" s="531"/>
    </row>
    <row r="91" spans="1:10">
      <c r="A91" s="812"/>
      <c r="B91" s="531"/>
      <c r="C91" s="531"/>
      <c r="D91" s="531"/>
      <c r="E91" s="532"/>
      <c r="F91" s="531"/>
      <c r="G91" s="531"/>
      <c r="H91" s="532"/>
      <c r="I91" s="531"/>
      <c r="J91" s="531"/>
    </row>
    <row r="92" spans="1:10">
      <c r="A92" s="812"/>
      <c r="B92" s="531"/>
      <c r="C92" s="531"/>
      <c r="D92" s="531"/>
      <c r="E92" s="532"/>
      <c r="F92" s="531"/>
      <c r="G92" s="531"/>
      <c r="H92" s="532"/>
      <c r="I92" s="531"/>
      <c r="J92" s="531"/>
    </row>
    <row r="93" spans="1:10">
      <c r="A93" s="812"/>
      <c r="B93" s="531"/>
      <c r="C93" s="531"/>
      <c r="D93" s="531"/>
      <c r="E93" s="532"/>
      <c r="F93" s="531"/>
      <c r="G93" s="531"/>
      <c r="H93" s="532"/>
      <c r="I93" s="531"/>
      <c r="J93" s="531"/>
    </row>
    <row r="94" spans="1:10">
      <c r="A94" s="812"/>
      <c r="B94" s="531"/>
      <c r="C94" s="531"/>
      <c r="D94" s="531"/>
      <c r="E94" s="532"/>
      <c r="F94" s="531"/>
      <c r="G94" s="531"/>
      <c r="H94" s="532"/>
      <c r="I94" s="531"/>
      <c r="J94" s="531"/>
    </row>
    <row r="95" spans="1:10">
      <c r="A95" s="812"/>
      <c r="B95" s="533"/>
      <c r="C95" s="533"/>
      <c r="D95" s="533"/>
      <c r="E95" s="534"/>
      <c r="F95" s="533"/>
      <c r="G95" s="533"/>
      <c r="H95" s="534"/>
      <c r="I95" s="533"/>
      <c r="J95" s="533"/>
    </row>
    <row r="96" spans="1:10">
      <c r="A96" s="812"/>
      <c r="B96" s="533"/>
      <c r="C96" s="533"/>
      <c r="D96" s="533"/>
      <c r="E96" s="534"/>
      <c r="F96" s="533"/>
      <c r="G96" s="533"/>
      <c r="H96" s="534"/>
      <c r="I96" s="533"/>
      <c r="J96" s="533"/>
    </row>
    <row r="97" spans="1:10">
      <c r="A97" s="812"/>
      <c r="B97" s="533"/>
      <c r="C97" s="533"/>
      <c r="D97" s="533"/>
      <c r="E97" s="534"/>
      <c r="F97" s="533"/>
      <c r="G97" s="533"/>
      <c r="H97" s="534"/>
      <c r="I97" s="533"/>
      <c r="J97" s="533"/>
    </row>
    <row r="98" spans="1:10">
      <c r="A98" s="812"/>
      <c r="B98" s="533"/>
      <c r="C98" s="533"/>
      <c r="D98" s="533"/>
      <c r="E98" s="534"/>
      <c r="F98" s="533"/>
      <c r="G98" s="533"/>
      <c r="H98" s="534"/>
      <c r="I98" s="533"/>
      <c r="J98" s="533"/>
    </row>
    <row r="99" spans="1:10">
      <c r="A99" s="812"/>
      <c r="B99" s="533"/>
      <c r="C99" s="533"/>
      <c r="D99" s="533"/>
      <c r="E99" s="534"/>
      <c r="F99" s="533"/>
      <c r="G99" s="533"/>
      <c r="H99" s="534"/>
      <c r="I99" s="533"/>
      <c r="J99" s="533"/>
    </row>
    <row r="100" spans="1:10">
      <c r="A100" s="812"/>
      <c r="B100" s="533"/>
      <c r="C100" s="533"/>
      <c r="D100" s="533"/>
      <c r="E100" s="534"/>
      <c r="F100" s="533"/>
      <c r="G100" s="533"/>
      <c r="H100" s="534"/>
      <c r="I100" s="533"/>
      <c r="J100" s="533"/>
    </row>
    <row r="101" spans="1:10">
      <c r="A101" s="812"/>
      <c r="B101" s="533" t="s">
        <v>5099</v>
      </c>
      <c r="C101" s="533" t="s">
        <v>5100</v>
      </c>
      <c r="D101" s="533" t="s">
        <v>5101</v>
      </c>
      <c r="E101" s="534" t="s">
        <v>5102</v>
      </c>
      <c r="F101" s="533" t="s">
        <v>5103</v>
      </c>
      <c r="G101" s="533" t="s">
        <v>5104</v>
      </c>
      <c r="H101" s="534" t="s">
        <v>5105</v>
      </c>
      <c r="I101" s="533" t="s">
        <v>5106</v>
      </c>
      <c r="J101" s="533" t="s">
        <v>5107</v>
      </c>
    </row>
    <row r="102" spans="1:10">
      <c r="A102" s="812"/>
      <c r="B102" s="533" t="s">
        <v>5108</v>
      </c>
      <c r="C102" s="533" t="s">
        <v>5109</v>
      </c>
      <c r="D102" s="533" t="s">
        <v>5110</v>
      </c>
      <c r="E102" s="534" t="s">
        <v>5111</v>
      </c>
      <c r="F102" s="533" t="s">
        <v>5112</v>
      </c>
      <c r="G102" s="533" t="s">
        <v>5113</v>
      </c>
      <c r="H102" s="534" t="s">
        <v>5114</v>
      </c>
      <c r="I102" s="533" t="s">
        <v>5115</v>
      </c>
      <c r="J102" s="533" t="s">
        <v>5116</v>
      </c>
    </row>
    <row r="103" spans="1:10">
      <c r="A103" s="812"/>
      <c r="B103" s="533" t="s">
        <v>5117</v>
      </c>
      <c r="C103" s="533" t="s">
        <v>5118</v>
      </c>
      <c r="D103" s="533" t="s">
        <v>5119</v>
      </c>
      <c r="E103" s="534" t="s">
        <v>5120</v>
      </c>
      <c r="F103" s="533" t="s">
        <v>5121</v>
      </c>
      <c r="G103" s="533" t="s">
        <v>5122</v>
      </c>
      <c r="H103" s="534" t="s">
        <v>5123</v>
      </c>
      <c r="I103" s="533" t="s">
        <v>5124</v>
      </c>
      <c r="J103" s="533" t="s">
        <v>5125</v>
      </c>
    </row>
    <row r="104" spans="1:10">
      <c r="A104" s="812"/>
      <c r="B104" s="533"/>
      <c r="C104" s="533"/>
      <c r="D104" s="533"/>
      <c r="E104" s="534"/>
      <c r="F104" s="533"/>
      <c r="G104" s="533"/>
      <c r="H104" s="534"/>
      <c r="I104" s="533"/>
      <c r="J104" s="533"/>
    </row>
    <row r="105" spans="1:10">
      <c r="A105" s="834" t="s">
        <v>5126</v>
      </c>
      <c r="B105" s="535" t="s">
        <v>5127</v>
      </c>
      <c r="C105" s="535" t="s">
        <v>5128</v>
      </c>
      <c r="D105" s="535" t="s">
        <v>5129</v>
      </c>
      <c r="E105" s="536" t="s">
        <v>5130</v>
      </c>
      <c r="F105" s="536" t="s">
        <v>5131</v>
      </c>
      <c r="G105" s="536" t="s">
        <v>5132</v>
      </c>
      <c r="H105" s="536" t="s">
        <v>5133</v>
      </c>
      <c r="I105" s="536" t="s">
        <v>5134</v>
      </c>
      <c r="J105" s="536" t="s">
        <v>5135</v>
      </c>
    </row>
    <row r="106" spans="1:10">
      <c r="A106" s="812"/>
      <c r="B106" s="535" t="s">
        <v>5136</v>
      </c>
      <c r="C106" s="535" t="s">
        <v>5137</v>
      </c>
      <c r="D106" s="535" t="s">
        <v>5138</v>
      </c>
      <c r="E106" s="536"/>
      <c r="F106" s="535"/>
      <c r="G106" s="535"/>
      <c r="H106" s="536"/>
      <c r="I106" s="535"/>
      <c r="J106" s="535"/>
    </row>
    <row r="107" spans="1:10">
      <c r="A107" s="812"/>
      <c r="B107" s="535" t="s">
        <v>5139</v>
      </c>
      <c r="C107" s="535" t="s">
        <v>5140</v>
      </c>
      <c r="D107" s="535" t="s">
        <v>5141</v>
      </c>
      <c r="E107" s="536"/>
      <c r="F107" s="535"/>
      <c r="G107" s="535"/>
      <c r="H107" s="536"/>
      <c r="I107" s="535"/>
      <c r="J107" s="535"/>
    </row>
    <row r="108" spans="1:10">
      <c r="A108" s="812"/>
      <c r="B108" s="535" t="s">
        <v>5142</v>
      </c>
      <c r="C108" s="535" t="s">
        <v>5143</v>
      </c>
      <c r="D108" s="535" t="s">
        <v>5144</v>
      </c>
      <c r="E108" s="536"/>
      <c r="F108" s="535"/>
      <c r="G108" s="535"/>
      <c r="H108" s="536"/>
      <c r="I108" s="535"/>
      <c r="J108" s="535"/>
    </row>
    <row r="109" spans="1:10">
      <c r="A109" s="812"/>
      <c r="B109" s="535" t="s">
        <v>5145</v>
      </c>
      <c r="C109" s="535" t="s">
        <v>5146</v>
      </c>
      <c r="D109" s="535" t="s">
        <v>5147</v>
      </c>
      <c r="E109" s="536"/>
      <c r="F109" s="535"/>
      <c r="G109" s="535"/>
      <c r="H109" s="536"/>
      <c r="I109" s="535"/>
      <c r="J109" s="535"/>
    </row>
    <row r="110" spans="1:10">
      <c r="A110" s="812"/>
      <c r="B110" s="535"/>
      <c r="C110" s="535"/>
      <c r="D110" s="535"/>
      <c r="E110" s="536"/>
      <c r="F110" s="535"/>
      <c r="G110" s="535"/>
      <c r="H110" s="536"/>
      <c r="I110" s="535"/>
      <c r="J110" s="535"/>
    </row>
    <row r="111" spans="1:10">
      <c r="A111" s="812"/>
      <c r="B111" s="535"/>
      <c r="C111" s="535"/>
      <c r="D111" s="535"/>
      <c r="E111" s="536"/>
      <c r="F111" s="535"/>
      <c r="G111" s="535"/>
      <c r="H111" s="536"/>
      <c r="I111" s="535"/>
      <c r="J111" s="535"/>
    </row>
    <row r="112" spans="1:10">
      <c r="A112" s="812"/>
      <c r="B112" s="535"/>
      <c r="C112" s="535"/>
      <c r="D112" s="535"/>
      <c r="E112" s="536"/>
      <c r="F112" s="535"/>
      <c r="G112" s="535"/>
      <c r="H112" s="536"/>
      <c r="I112" s="535"/>
      <c r="J112" s="535"/>
    </row>
    <row r="113" spans="1:10">
      <c r="A113" s="812"/>
      <c r="B113" s="535"/>
      <c r="C113" s="535"/>
      <c r="D113" s="535"/>
      <c r="E113" s="536"/>
      <c r="F113" s="535"/>
      <c r="G113" s="535"/>
      <c r="H113" s="536"/>
      <c r="I113" s="535"/>
      <c r="J113" s="535"/>
    </row>
    <row r="114" spans="1:10">
      <c r="A114" s="812"/>
      <c r="B114" s="535"/>
      <c r="C114" s="535"/>
      <c r="D114" s="535"/>
      <c r="E114" s="536"/>
      <c r="F114" s="535"/>
      <c r="G114" s="535"/>
      <c r="H114" s="536"/>
      <c r="I114" s="535"/>
      <c r="J114" s="535"/>
    </row>
    <row r="115" spans="1:10">
      <c r="A115" s="812"/>
      <c r="B115" s="535"/>
      <c r="C115" s="535"/>
      <c r="D115" s="535"/>
      <c r="E115" s="536"/>
      <c r="F115" s="535"/>
      <c r="G115" s="535"/>
      <c r="H115" s="536"/>
      <c r="I115" s="535"/>
      <c r="J115" s="535"/>
    </row>
    <row r="116" spans="1:10">
      <c r="A116" s="812"/>
      <c r="B116" s="535"/>
      <c r="C116" s="535"/>
      <c r="D116" s="535"/>
      <c r="E116" s="536"/>
      <c r="F116" s="535"/>
      <c r="G116" s="535"/>
      <c r="H116" s="536"/>
      <c r="I116" s="535"/>
      <c r="J116" s="535"/>
    </row>
    <row r="117" spans="1:10">
      <c r="A117" s="812"/>
      <c r="B117" s="535"/>
      <c r="C117" s="535"/>
      <c r="D117" s="535"/>
      <c r="E117" s="536"/>
      <c r="F117" s="535"/>
      <c r="G117" s="535"/>
      <c r="H117" s="536"/>
      <c r="I117" s="535"/>
      <c r="J117" s="535"/>
    </row>
    <row r="118" spans="1:10">
      <c r="A118" s="812"/>
      <c r="B118" s="535"/>
      <c r="C118" s="535"/>
      <c r="D118" s="535"/>
      <c r="E118" s="536"/>
      <c r="F118" s="535"/>
      <c r="G118" s="535"/>
      <c r="H118" s="536"/>
      <c r="I118" s="535"/>
      <c r="J118" s="535"/>
    </row>
    <row r="119" spans="1:10">
      <c r="A119" s="812"/>
      <c r="B119" s="535"/>
      <c r="C119" s="535"/>
      <c r="D119" s="535"/>
      <c r="E119" s="536"/>
      <c r="F119" s="535"/>
      <c r="G119" s="535"/>
      <c r="H119" s="536"/>
      <c r="I119" s="535"/>
      <c r="J119" s="535"/>
    </row>
    <row r="120" spans="1:10">
      <c r="A120" s="812"/>
      <c r="B120" s="535"/>
      <c r="C120" s="535"/>
      <c r="D120" s="535"/>
      <c r="E120" s="536"/>
      <c r="F120" s="535"/>
      <c r="G120" s="535"/>
      <c r="H120" s="536"/>
      <c r="I120" s="535"/>
      <c r="J120" s="535"/>
    </row>
    <row r="121" spans="1:10">
      <c r="A121" s="812"/>
      <c r="B121" s="535"/>
      <c r="C121" s="535"/>
      <c r="D121" s="535"/>
      <c r="E121" s="536"/>
      <c r="F121" s="535"/>
      <c r="G121" s="535"/>
      <c r="H121" s="536"/>
      <c r="I121" s="535"/>
      <c r="J121" s="535"/>
    </row>
    <row r="122" spans="1:10">
      <c r="A122" s="812"/>
      <c r="B122" s="535"/>
      <c r="C122" s="535"/>
      <c r="D122" s="535"/>
      <c r="E122" s="536"/>
      <c r="F122" s="535"/>
      <c r="G122" s="535"/>
      <c r="H122" s="536"/>
      <c r="I122" s="535"/>
      <c r="J122" s="535"/>
    </row>
    <row r="123" spans="1:10">
      <c r="A123" s="812"/>
      <c r="B123" s="535"/>
      <c r="C123" s="535"/>
      <c r="D123" s="535"/>
      <c r="E123" s="536"/>
      <c r="F123" s="535"/>
      <c r="G123" s="535"/>
      <c r="H123" s="536"/>
      <c r="I123" s="535"/>
      <c r="J123" s="535"/>
    </row>
    <row r="124" spans="1:10">
      <c r="A124" s="812"/>
      <c r="B124" s="535"/>
      <c r="C124" s="535"/>
      <c r="D124" s="535"/>
      <c r="E124" s="536"/>
      <c r="F124" s="535"/>
      <c r="G124" s="535"/>
      <c r="H124" s="536"/>
      <c r="I124" s="535"/>
      <c r="J124" s="535"/>
    </row>
    <row r="125" spans="1:10">
      <c r="A125" s="812"/>
      <c r="B125" s="535"/>
      <c r="C125" s="535"/>
      <c r="D125" s="535"/>
      <c r="E125" s="536"/>
      <c r="F125" s="535"/>
      <c r="G125" s="535"/>
      <c r="H125" s="536"/>
      <c r="I125" s="535"/>
      <c r="J125" s="535"/>
    </row>
    <row r="126" spans="1:10">
      <c r="A126" s="812"/>
      <c r="B126" s="535" t="s">
        <v>5148</v>
      </c>
      <c r="C126" s="535" t="s">
        <v>5149</v>
      </c>
      <c r="D126" s="535" t="s">
        <v>5150</v>
      </c>
      <c r="E126" s="536" t="s">
        <v>5151</v>
      </c>
      <c r="F126" s="535" t="s">
        <v>5152</v>
      </c>
      <c r="G126" s="535" t="s">
        <v>5153</v>
      </c>
      <c r="H126" s="536" t="s">
        <v>5154</v>
      </c>
      <c r="I126" s="535" t="s">
        <v>5155</v>
      </c>
      <c r="J126" s="535" t="s">
        <v>5156</v>
      </c>
    </row>
    <row r="127" spans="1:10">
      <c r="A127" s="812"/>
      <c r="B127" s="535" t="s">
        <v>5157</v>
      </c>
      <c r="C127" s="535" t="s">
        <v>5158</v>
      </c>
      <c r="D127" s="535" t="s">
        <v>5159</v>
      </c>
      <c r="E127" s="536" t="s">
        <v>5160</v>
      </c>
      <c r="F127" s="535" t="s">
        <v>5161</v>
      </c>
      <c r="G127" s="535" t="s">
        <v>5162</v>
      </c>
      <c r="H127" s="536" t="s">
        <v>5163</v>
      </c>
      <c r="I127" s="535" t="s">
        <v>5164</v>
      </c>
      <c r="J127" s="535" t="s">
        <v>5165</v>
      </c>
    </row>
    <row r="128" spans="1:10">
      <c r="A128" s="812"/>
      <c r="B128" s="535" t="s">
        <v>5166</v>
      </c>
      <c r="C128" s="535" t="s">
        <v>5167</v>
      </c>
      <c r="D128" s="535" t="s">
        <v>5168</v>
      </c>
      <c r="E128" s="536" t="s">
        <v>5169</v>
      </c>
      <c r="F128" s="535" t="s">
        <v>5170</v>
      </c>
      <c r="G128" s="535" t="s">
        <v>5171</v>
      </c>
      <c r="H128" s="536" t="s">
        <v>5172</v>
      </c>
      <c r="I128" s="535" t="s">
        <v>5173</v>
      </c>
      <c r="J128" s="535" t="s">
        <v>5174</v>
      </c>
    </row>
    <row r="129" spans="1:10">
      <c r="A129" s="812"/>
      <c r="B129" s="535"/>
      <c r="C129" s="535"/>
      <c r="D129" s="535"/>
      <c r="E129" s="536"/>
      <c r="F129" s="535"/>
      <c r="G129" s="535"/>
      <c r="H129" s="536"/>
      <c r="I129" s="535"/>
      <c r="J129" s="535"/>
    </row>
    <row r="130" spans="1:10">
      <c r="A130" s="537"/>
    </row>
    <row r="131" spans="1:10">
      <c r="A131" s="537"/>
    </row>
    <row r="132" spans="1:10">
      <c r="A132" s="537"/>
    </row>
    <row r="133" spans="1:10">
      <c r="A133" s="537"/>
    </row>
    <row r="134" spans="1:10">
      <c r="A134" s="537"/>
    </row>
    <row r="135" spans="1:10">
      <c r="A135" s="537"/>
    </row>
    <row r="136" spans="1:10">
      <c r="A136" s="537"/>
    </row>
    <row r="137" spans="1:10">
      <c r="A137" s="537"/>
    </row>
    <row r="138" spans="1:10">
      <c r="A138" s="537"/>
    </row>
    <row r="139" spans="1:10">
      <c r="A139" s="537"/>
    </row>
    <row r="140" spans="1:10">
      <c r="A140" s="537"/>
    </row>
    <row r="141" spans="1:10">
      <c r="A141" s="537"/>
    </row>
    <row r="142" spans="1:10">
      <c r="A142" s="537"/>
    </row>
    <row r="143" spans="1:10">
      <c r="A143" s="537"/>
    </row>
    <row r="144" spans="1:10">
      <c r="A144" s="537"/>
    </row>
  </sheetData>
  <mergeCells count="11">
    <mergeCell ref="A80:A104"/>
    <mergeCell ref="E2:G2"/>
    <mergeCell ref="B3:D3"/>
    <mergeCell ref="A105:A129"/>
    <mergeCell ref="B1:D1"/>
    <mergeCell ref="A55:A79"/>
    <mergeCell ref="A5:A29"/>
    <mergeCell ref="E3:G3"/>
    <mergeCell ref="B2:D2"/>
    <mergeCell ref="E1:G1"/>
    <mergeCell ref="A30:A54"/>
  </mergeCells>
  <pageMargins left="0.7" right="0.7" top="0.75" bottom="0.75" header="0.3" footer="0.3"/>
  <pageSetup paperSize="9" orientation="portrai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39997558519241921"/>
  </sheetPr>
  <dimension ref="A1:O111"/>
  <sheetViews>
    <sheetView topLeftCell="A56" zoomScale="115" zoomScaleNormal="115" workbookViewId="0">
      <selection activeCell="E73" sqref="E73"/>
    </sheetView>
  </sheetViews>
  <sheetFormatPr defaultRowHeight="14.15"/>
  <cols>
    <col min="2" max="2" width="27.5" style="580" bestFit="1" customWidth="1"/>
    <col min="3" max="3" width="12.2109375" bestFit="1" customWidth="1"/>
    <col min="4" max="4" width="84.2109375" style="580" bestFit="1" customWidth="1"/>
    <col min="5" max="5" width="154.92578125" style="580" bestFit="1" customWidth="1"/>
    <col min="6" max="6" width="216.92578125" style="580" bestFit="1" customWidth="1"/>
    <col min="7" max="7" width="249.5703125" style="580" bestFit="1" customWidth="1"/>
    <col min="8" max="8" width="222.92578125" style="580" bestFit="1" customWidth="1"/>
  </cols>
  <sheetData>
    <row r="1" spans="1:8" ht="16.75" customHeight="1">
      <c r="A1" s="575" t="s">
        <v>5175</v>
      </c>
      <c r="B1" s="575" t="s">
        <v>3691</v>
      </c>
      <c r="C1" s="575" t="s">
        <v>336</v>
      </c>
      <c r="D1" s="575" t="s">
        <v>5176</v>
      </c>
      <c r="E1" s="575" t="s">
        <v>5177</v>
      </c>
      <c r="F1" s="575" t="s">
        <v>5178</v>
      </c>
      <c r="G1" s="575" t="s">
        <v>5179</v>
      </c>
      <c r="H1" s="575" t="s">
        <v>5180</v>
      </c>
    </row>
    <row r="2" spans="1:8">
      <c r="A2" s="552" t="s">
        <v>5181</v>
      </c>
      <c r="B2" s="552" t="s">
        <v>5182</v>
      </c>
      <c r="C2" s="552" t="s">
        <v>1367</v>
      </c>
      <c r="D2" s="552" t="s">
        <v>5183</v>
      </c>
      <c r="E2" s="552" t="s">
        <v>5184</v>
      </c>
      <c r="F2" s="552" t="s">
        <v>5185</v>
      </c>
      <c r="G2" s="552" t="s">
        <v>5186</v>
      </c>
      <c r="H2" s="552" t="s">
        <v>5187</v>
      </c>
    </row>
    <row r="3" spans="1:8">
      <c r="A3" s="552" t="s">
        <v>5188</v>
      </c>
      <c r="B3" s="552" t="s">
        <v>5189</v>
      </c>
      <c r="C3" s="552" t="s">
        <v>1367</v>
      </c>
      <c r="D3" s="552" t="s">
        <v>5190</v>
      </c>
      <c r="E3" s="552" t="s">
        <v>5191</v>
      </c>
      <c r="F3" s="552" t="s">
        <v>5192</v>
      </c>
      <c r="G3" s="552" t="s">
        <v>5193</v>
      </c>
      <c r="H3" s="552" t="s">
        <v>5194</v>
      </c>
    </row>
    <row r="4" spans="1:8">
      <c r="A4" s="552" t="s">
        <v>5195</v>
      </c>
      <c r="B4" s="552" t="s">
        <v>5196</v>
      </c>
      <c r="C4" s="552" t="s">
        <v>1367</v>
      </c>
      <c r="D4" s="552" t="s">
        <v>5197</v>
      </c>
      <c r="E4" s="552" t="s">
        <v>5198</v>
      </c>
      <c r="F4" s="552" t="s">
        <v>5199</v>
      </c>
      <c r="G4" s="552" t="s">
        <v>5200</v>
      </c>
      <c r="H4" s="552" t="s">
        <v>5201</v>
      </c>
    </row>
    <row r="5" spans="1:8">
      <c r="A5" s="552" t="s">
        <v>5202</v>
      </c>
      <c r="B5" s="552" t="s">
        <v>5203</v>
      </c>
      <c r="C5" s="552" t="s">
        <v>1367</v>
      </c>
      <c r="D5" s="552" t="s">
        <v>5204</v>
      </c>
      <c r="E5" s="552" t="s">
        <v>5205</v>
      </c>
      <c r="F5" s="552" t="s">
        <v>5206</v>
      </c>
      <c r="G5" s="552" t="s">
        <v>5207</v>
      </c>
      <c r="H5" s="552" t="s">
        <v>5208</v>
      </c>
    </row>
    <row r="6" spans="1:8">
      <c r="A6" s="552" t="s">
        <v>5209</v>
      </c>
      <c r="B6" s="552" t="s">
        <v>5210</v>
      </c>
      <c r="C6" s="552" t="s">
        <v>1367</v>
      </c>
      <c r="D6" s="552" t="s">
        <v>5211</v>
      </c>
      <c r="E6" s="552" t="s">
        <v>5212</v>
      </c>
      <c r="F6" s="552" t="s">
        <v>5213</v>
      </c>
      <c r="G6" s="552" t="s">
        <v>5214</v>
      </c>
      <c r="H6" s="552" t="s">
        <v>5215</v>
      </c>
    </row>
    <row r="7" spans="1:8">
      <c r="A7" s="552" t="s">
        <v>5216</v>
      </c>
      <c r="B7" s="552" t="s">
        <v>5217</v>
      </c>
      <c r="C7" s="552" t="s">
        <v>1367</v>
      </c>
      <c r="D7" s="552" t="s">
        <v>5218</v>
      </c>
      <c r="E7" s="552" t="s">
        <v>5219</v>
      </c>
      <c r="F7" s="552" t="s">
        <v>5220</v>
      </c>
      <c r="G7" s="552" t="s">
        <v>5221</v>
      </c>
      <c r="H7" s="552" t="s">
        <v>5222</v>
      </c>
    </row>
    <row r="8" spans="1:8">
      <c r="A8" s="552" t="s">
        <v>5223</v>
      </c>
      <c r="B8" s="552" t="s">
        <v>5224</v>
      </c>
      <c r="C8" s="552" t="s">
        <v>1367</v>
      </c>
      <c r="D8" s="552" t="s">
        <v>5225</v>
      </c>
      <c r="E8" s="552" t="s">
        <v>5226</v>
      </c>
      <c r="F8" s="552" t="s">
        <v>5227</v>
      </c>
      <c r="G8" s="552" t="s">
        <v>5228</v>
      </c>
      <c r="H8" s="552" t="s">
        <v>5229</v>
      </c>
    </row>
    <row r="9" spans="1:8">
      <c r="A9" s="552" t="s">
        <v>5230</v>
      </c>
      <c r="B9" s="552" t="s">
        <v>5231</v>
      </c>
      <c r="C9" s="552" t="s">
        <v>1367</v>
      </c>
      <c r="D9" s="552" t="s">
        <v>5232</v>
      </c>
      <c r="E9" s="552" t="s">
        <v>5233</v>
      </c>
      <c r="F9" s="552" t="s">
        <v>5234</v>
      </c>
      <c r="G9" s="552" t="s">
        <v>5235</v>
      </c>
      <c r="H9" s="552" t="s">
        <v>5236</v>
      </c>
    </row>
    <row r="10" spans="1:8">
      <c r="A10" s="552" t="s">
        <v>5237</v>
      </c>
      <c r="B10" s="552" t="s">
        <v>5238</v>
      </c>
      <c r="C10" s="552" t="s">
        <v>1367</v>
      </c>
      <c r="D10" s="552" t="s">
        <v>5239</v>
      </c>
      <c r="E10" s="552" t="s">
        <v>5240</v>
      </c>
      <c r="F10" s="552" t="s">
        <v>5241</v>
      </c>
      <c r="G10" s="552" t="s">
        <v>5242</v>
      </c>
      <c r="H10" s="552" t="s">
        <v>5243</v>
      </c>
    </row>
    <row r="11" spans="1:8">
      <c r="A11" s="552" t="s">
        <v>5244</v>
      </c>
      <c r="B11" s="552" t="s">
        <v>5245</v>
      </c>
      <c r="C11" s="552" t="s">
        <v>1367</v>
      </c>
      <c r="D11" s="552" t="s">
        <v>5246</v>
      </c>
      <c r="E11" s="552" t="s">
        <v>5247</v>
      </c>
      <c r="F11" s="552" t="s">
        <v>5248</v>
      </c>
      <c r="G11" s="552" t="s">
        <v>5249</v>
      </c>
      <c r="H11" s="552" t="s">
        <v>5250</v>
      </c>
    </row>
    <row r="12" spans="1:8">
      <c r="A12" s="552" t="s">
        <v>5251</v>
      </c>
      <c r="B12" s="552" t="s">
        <v>5252</v>
      </c>
      <c r="C12" s="552" t="s">
        <v>1374</v>
      </c>
      <c r="D12" s="552" t="s">
        <v>5253</v>
      </c>
      <c r="E12" s="552" t="s">
        <v>5254</v>
      </c>
      <c r="F12" s="552" t="s">
        <v>5255</v>
      </c>
      <c r="G12" s="552" t="s">
        <v>5256</v>
      </c>
      <c r="H12" s="552" t="s">
        <v>5257</v>
      </c>
    </row>
    <row r="13" spans="1:8">
      <c r="A13" s="552" t="s">
        <v>5258</v>
      </c>
      <c r="B13" s="552" t="s">
        <v>5259</v>
      </c>
      <c r="C13" s="552" t="s">
        <v>1374</v>
      </c>
      <c r="D13" s="552" t="s">
        <v>5260</v>
      </c>
      <c r="E13" s="552" t="s">
        <v>5261</v>
      </c>
      <c r="F13" s="552" t="s">
        <v>5262</v>
      </c>
      <c r="G13" s="552" t="s">
        <v>5263</v>
      </c>
      <c r="H13" s="552" t="s">
        <v>5264</v>
      </c>
    </row>
    <row r="14" spans="1:8">
      <c r="A14" s="552" t="s">
        <v>5265</v>
      </c>
      <c r="B14" s="552" t="s">
        <v>5266</v>
      </c>
      <c r="C14" s="552" t="s">
        <v>1374</v>
      </c>
      <c r="D14" s="552" t="s">
        <v>5267</v>
      </c>
      <c r="E14" s="552" t="s">
        <v>5205</v>
      </c>
      <c r="F14" s="552" t="s">
        <v>5268</v>
      </c>
      <c r="G14" s="552" t="s">
        <v>5269</v>
      </c>
      <c r="H14" s="552" t="s">
        <v>5270</v>
      </c>
    </row>
    <row r="15" spans="1:8">
      <c r="A15" s="552" t="s">
        <v>5271</v>
      </c>
      <c r="B15" s="552" t="s">
        <v>5272</v>
      </c>
      <c r="C15" s="552" t="s">
        <v>1374</v>
      </c>
      <c r="D15" s="552" t="s">
        <v>5273</v>
      </c>
      <c r="E15" s="552" t="s">
        <v>5274</v>
      </c>
      <c r="F15" s="552" t="s">
        <v>5275</v>
      </c>
      <c r="G15" s="552" t="s">
        <v>5276</v>
      </c>
      <c r="H15" s="552" t="s">
        <v>5277</v>
      </c>
    </row>
    <row r="16" spans="1:8">
      <c r="A16" s="552" t="s">
        <v>5278</v>
      </c>
      <c r="B16" s="552" t="s">
        <v>5279</v>
      </c>
      <c r="C16" s="552" t="s">
        <v>1374</v>
      </c>
      <c r="D16" s="552" t="s">
        <v>5280</v>
      </c>
      <c r="E16" s="552" t="s">
        <v>5281</v>
      </c>
      <c r="F16" s="552" t="s">
        <v>5282</v>
      </c>
      <c r="G16" s="552" t="s">
        <v>5283</v>
      </c>
      <c r="H16" s="552" t="s">
        <v>5284</v>
      </c>
    </row>
    <row r="17" spans="1:8">
      <c r="A17" s="552" t="s">
        <v>5285</v>
      </c>
      <c r="B17" s="552" t="s">
        <v>5286</v>
      </c>
      <c r="C17" s="552" t="s">
        <v>1374</v>
      </c>
      <c r="D17" s="552" t="s">
        <v>5287</v>
      </c>
      <c r="E17" s="552" t="s">
        <v>5288</v>
      </c>
      <c r="F17" s="552" t="s">
        <v>5289</v>
      </c>
      <c r="G17" s="552" t="s">
        <v>5290</v>
      </c>
      <c r="H17" s="552" t="s">
        <v>5291</v>
      </c>
    </row>
    <row r="18" spans="1:8">
      <c r="A18" s="552" t="s">
        <v>5292</v>
      </c>
      <c r="B18" s="552" t="s">
        <v>5293</v>
      </c>
      <c r="C18" s="552" t="s">
        <v>1374</v>
      </c>
      <c r="D18" s="552" t="s">
        <v>5294</v>
      </c>
      <c r="E18" s="552" t="s">
        <v>5295</v>
      </c>
      <c r="F18" s="552" t="s">
        <v>5296</v>
      </c>
      <c r="G18" s="552" t="s">
        <v>5297</v>
      </c>
      <c r="H18" s="552" t="s">
        <v>5298</v>
      </c>
    </row>
    <row r="19" spans="1:8">
      <c r="A19" s="552" t="s">
        <v>5299</v>
      </c>
      <c r="B19" s="552" t="s">
        <v>5300</v>
      </c>
      <c r="C19" s="552" t="s">
        <v>1374</v>
      </c>
      <c r="D19" s="552" t="s">
        <v>5301</v>
      </c>
      <c r="E19" s="552" t="s">
        <v>5302</v>
      </c>
      <c r="F19" s="552" t="s">
        <v>5303</v>
      </c>
      <c r="G19" s="552" t="s">
        <v>5304</v>
      </c>
      <c r="H19" s="552" t="s">
        <v>5305</v>
      </c>
    </row>
    <row r="20" spans="1:8">
      <c r="A20" s="552" t="s">
        <v>5306</v>
      </c>
      <c r="B20" s="552" t="s">
        <v>5307</v>
      </c>
      <c r="C20" s="552" t="s">
        <v>1374</v>
      </c>
      <c r="D20" s="552" t="s">
        <v>5308</v>
      </c>
      <c r="E20" s="552" t="s">
        <v>5309</v>
      </c>
      <c r="F20" s="552" t="s">
        <v>5310</v>
      </c>
      <c r="G20" s="552" t="s">
        <v>5311</v>
      </c>
      <c r="H20" s="552" t="s">
        <v>5312</v>
      </c>
    </row>
    <row r="21" spans="1:8">
      <c r="A21" s="552" t="s">
        <v>5313</v>
      </c>
      <c r="B21" s="552" t="s">
        <v>5314</v>
      </c>
      <c r="C21" s="552" t="s">
        <v>1374</v>
      </c>
      <c r="D21" s="552" t="s">
        <v>5315</v>
      </c>
      <c r="E21" s="552" t="s">
        <v>5316</v>
      </c>
      <c r="F21" s="552" t="s">
        <v>5317</v>
      </c>
      <c r="G21" s="552" t="s">
        <v>5318</v>
      </c>
      <c r="H21" s="552" t="s">
        <v>5319</v>
      </c>
    </row>
    <row r="22" spans="1:8">
      <c r="A22" s="552" t="s">
        <v>5320</v>
      </c>
      <c r="B22" s="552" t="s">
        <v>5321</v>
      </c>
      <c r="C22" s="552" t="s">
        <v>1371</v>
      </c>
      <c r="D22" s="552" t="s">
        <v>5322</v>
      </c>
      <c r="E22" s="552" t="s">
        <v>5323</v>
      </c>
      <c r="F22" s="552" t="s">
        <v>5324</v>
      </c>
      <c r="G22" s="552" t="s">
        <v>5325</v>
      </c>
      <c r="H22" s="552" t="s">
        <v>5326</v>
      </c>
    </row>
    <row r="23" spans="1:8">
      <c r="A23" s="552" t="s">
        <v>5327</v>
      </c>
      <c r="B23" s="552" t="s">
        <v>5328</v>
      </c>
      <c r="C23" s="552" t="s">
        <v>1371</v>
      </c>
      <c r="D23" s="552" t="s">
        <v>5329</v>
      </c>
      <c r="E23" s="552" t="s">
        <v>5330</v>
      </c>
      <c r="F23" s="552" t="s">
        <v>5331</v>
      </c>
      <c r="G23" s="552" t="s">
        <v>8827</v>
      </c>
      <c r="H23" s="552" t="s">
        <v>5332</v>
      </c>
    </row>
    <row r="24" spans="1:8">
      <c r="A24" s="552" t="s">
        <v>5333</v>
      </c>
      <c r="B24" s="552" t="s">
        <v>5334</v>
      </c>
      <c r="C24" s="552" t="s">
        <v>1371</v>
      </c>
      <c r="D24" s="552" t="s">
        <v>5335</v>
      </c>
      <c r="E24" s="552" t="s">
        <v>5336</v>
      </c>
      <c r="F24" s="552" t="s">
        <v>5337</v>
      </c>
      <c r="G24" s="552" t="s">
        <v>5338</v>
      </c>
      <c r="H24" s="552" t="s">
        <v>5339</v>
      </c>
    </row>
    <row r="25" spans="1:8">
      <c r="A25" s="552" t="s">
        <v>5340</v>
      </c>
      <c r="B25" s="552" t="s">
        <v>5341</v>
      </c>
      <c r="C25" s="552" t="s">
        <v>1371</v>
      </c>
      <c r="D25" s="552" t="s">
        <v>5342</v>
      </c>
      <c r="E25" s="552" t="s">
        <v>5343</v>
      </c>
      <c r="F25" s="552" t="s">
        <v>5344</v>
      </c>
      <c r="G25" s="552" t="s">
        <v>5345</v>
      </c>
      <c r="H25" s="552" t="s">
        <v>5346</v>
      </c>
    </row>
    <row r="26" spans="1:8">
      <c r="A26" s="552" t="s">
        <v>5347</v>
      </c>
      <c r="B26" s="552" t="s">
        <v>5348</v>
      </c>
      <c r="C26" s="552" t="s">
        <v>1371</v>
      </c>
      <c r="D26" s="552" t="s">
        <v>5349</v>
      </c>
      <c r="E26" s="552" t="s">
        <v>5350</v>
      </c>
      <c r="F26" s="552" t="s">
        <v>5351</v>
      </c>
      <c r="G26" s="552" t="s">
        <v>5352</v>
      </c>
      <c r="H26" s="552" t="s">
        <v>5353</v>
      </c>
    </row>
    <row r="27" spans="1:8">
      <c r="A27" s="552" t="s">
        <v>5354</v>
      </c>
      <c r="B27" s="552" t="s">
        <v>8897</v>
      </c>
      <c r="C27" s="552" t="s">
        <v>1371</v>
      </c>
      <c r="D27" s="552" t="s">
        <v>8898</v>
      </c>
      <c r="E27" s="763" t="s">
        <v>8905</v>
      </c>
      <c r="F27" s="763" t="s">
        <v>8906</v>
      </c>
      <c r="G27" s="763" t="s">
        <v>8907</v>
      </c>
      <c r="H27" s="763" t="s">
        <v>8908</v>
      </c>
    </row>
    <row r="28" spans="1:8">
      <c r="A28" s="552" t="s">
        <v>5355</v>
      </c>
      <c r="B28" s="763" t="s">
        <v>8900</v>
      </c>
      <c r="C28" s="552" t="s">
        <v>1371</v>
      </c>
      <c r="D28" s="763" t="s">
        <v>8901</v>
      </c>
      <c r="E28" s="763" t="s">
        <v>8909</v>
      </c>
      <c r="F28" s="763" t="s">
        <v>8910</v>
      </c>
      <c r="G28" s="763" t="s">
        <v>8911</v>
      </c>
      <c r="H28" s="763" t="s">
        <v>8912</v>
      </c>
    </row>
    <row r="29" spans="1:8">
      <c r="A29" s="552" t="s">
        <v>5356</v>
      </c>
      <c r="B29" s="763" t="s">
        <v>8899</v>
      </c>
      <c r="C29" s="552" t="s">
        <v>1371</v>
      </c>
      <c r="D29" s="763" t="s">
        <v>8913</v>
      </c>
      <c r="E29" s="763" t="s">
        <v>8914</v>
      </c>
      <c r="F29" s="763" t="s">
        <v>8915</v>
      </c>
      <c r="G29" s="763" t="s">
        <v>8916</v>
      </c>
      <c r="H29" s="763" t="s">
        <v>8917</v>
      </c>
    </row>
    <row r="30" spans="1:8">
      <c r="A30" s="552" t="s">
        <v>5357</v>
      </c>
      <c r="B30" s="763" t="s">
        <v>8919</v>
      </c>
      <c r="C30" s="552" t="s">
        <v>1371</v>
      </c>
      <c r="D30" s="763" t="s">
        <v>8920</v>
      </c>
      <c r="E30" s="763" t="s">
        <v>8918</v>
      </c>
      <c r="F30" s="763" t="s">
        <v>8921</v>
      </c>
      <c r="G30" s="763" t="s">
        <v>8922</v>
      </c>
      <c r="H30" s="763" t="s">
        <v>8923</v>
      </c>
    </row>
    <row r="31" spans="1:8">
      <c r="A31" s="552" t="s">
        <v>5358</v>
      </c>
      <c r="B31" s="552" t="s">
        <v>5359</v>
      </c>
      <c r="C31" s="552" t="s">
        <v>1371</v>
      </c>
      <c r="D31" s="552" t="s">
        <v>5360</v>
      </c>
      <c r="E31" s="552" t="s">
        <v>5361</v>
      </c>
      <c r="F31" s="552" t="s">
        <v>5255</v>
      </c>
      <c r="G31" s="552" t="s">
        <v>5362</v>
      </c>
      <c r="H31" s="552" t="s">
        <v>5363</v>
      </c>
    </row>
    <row r="32" spans="1:8">
      <c r="A32" s="552" t="s">
        <v>5364</v>
      </c>
      <c r="B32" s="552" t="s">
        <v>5365</v>
      </c>
      <c r="C32" s="552" t="s">
        <v>1369</v>
      </c>
      <c r="D32" s="552" t="s">
        <v>5366</v>
      </c>
      <c r="E32" s="552" t="s">
        <v>5367</v>
      </c>
      <c r="F32" s="552" t="s">
        <v>5368</v>
      </c>
      <c r="G32" s="552" t="s">
        <v>5369</v>
      </c>
      <c r="H32" s="552" t="s">
        <v>5370</v>
      </c>
    </row>
    <row r="33" spans="1:8">
      <c r="A33" s="552" t="s">
        <v>5371</v>
      </c>
      <c r="B33" s="552" t="s">
        <v>5372</v>
      </c>
      <c r="C33" s="552" t="s">
        <v>1369</v>
      </c>
      <c r="D33" s="552" t="s">
        <v>5373</v>
      </c>
      <c r="E33" s="552" t="s">
        <v>5374</v>
      </c>
      <c r="F33" s="552" t="s">
        <v>5375</v>
      </c>
      <c r="G33" s="552" t="s">
        <v>5376</v>
      </c>
      <c r="H33" s="552" t="s">
        <v>5377</v>
      </c>
    </row>
    <row r="34" spans="1:8">
      <c r="A34" s="552" t="s">
        <v>5378</v>
      </c>
      <c r="B34" s="552" t="s">
        <v>5379</v>
      </c>
      <c r="C34" s="552" t="s">
        <v>1369</v>
      </c>
      <c r="D34" s="552" t="s">
        <v>5380</v>
      </c>
      <c r="E34" s="552" t="s">
        <v>5381</v>
      </c>
      <c r="F34" s="552" t="s">
        <v>5382</v>
      </c>
      <c r="G34" s="552" t="s">
        <v>5383</v>
      </c>
      <c r="H34" s="552" t="s">
        <v>5384</v>
      </c>
    </row>
    <row r="35" spans="1:8">
      <c r="A35" s="552" t="s">
        <v>5385</v>
      </c>
      <c r="B35" s="552" t="s">
        <v>5386</v>
      </c>
      <c r="C35" s="552" t="s">
        <v>1369</v>
      </c>
      <c r="D35" s="552" t="s">
        <v>5387</v>
      </c>
      <c r="E35" s="552" t="s">
        <v>5388</v>
      </c>
      <c r="F35" s="552" t="s">
        <v>5389</v>
      </c>
      <c r="G35" s="552" t="s">
        <v>5390</v>
      </c>
      <c r="H35" s="552" t="s">
        <v>5391</v>
      </c>
    </row>
    <row r="36" spans="1:8">
      <c r="A36" s="552" t="s">
        <v>5392</v>
      </c>
      <c r="B36" s="552" t="s">
        <v>5393</v>
      </c>
      <c r="C36" s="552" t="s">
        <v>1369</v>
      </c>
      <c r="D36" s="552" t="s">
        <v>5394</v>
      </c>
      <c r="E36" s="552" t="s">
        <v>5395</v>
      </c>
      <c r="F36" s="552" t="s">
        <v>5396</v>
      </c>
      <c r="G36" s="552" t="s">
        <v>5397</v>
      </c>
      <c r="H36" s="552" t="s">
        <v>5398</v>
      </c>
    </row>
    <row r="37" spans="1:8">
      <c r="A37" s="552" t="s">
        <v>5399</v>
      </c>
      <c r="B37" s="749" t="s">
        <v>8799</v>
      </c>
      <c r="C37" s="552" t="s">
        <v>1369</v>
      </c>
      <c r="D37" s="552" t="s">
        <v>8809</v>
      </c>
      <c r="E37" s="552" t="s">
        <v>8813</v>
      </c>
      <c r="F37" s="552" t="s">
        <v>8810</v>
      </c>
      <c r="G37" s="552" t="s">
        <v>8811</v>
      </c>
      <c r="H37" s="552" t="s">
        <v>8812</v>
      </c>
    </row>
    <row r="38" spans="1:8">
      <c r="A38" s="552" t="s">
        <v>5400</v>
      </c>
      <c r="B38" s="748" t="s">
        <v>8800</v>
      </c>
      <c r="C38" s="552" t="s">
        <v>1369</v>
      </c>
      <c r="D38" s="552" t="s">
        <v>8816</v>
      </c>
      <c r="E38" s="552" t="s">
        <v>8815</v>
      </c>
      <c r="F38" s="552" t="s">
        <v>8817</v>
      </c>
      <c r="G38" s="552" t="s">
        <v>8818</v>
      </c>
      <c r="H38" s="552" t="s">
        <v>8819</v>
      </c>
    </row>
    <row r="39" spans="1:8">
      <c r="A39" s="552" t="s">
        <v>5401</v>
      </c>
      <c r="B39" s="748" t="s">
        <v>8801</v>
      </c>
      <c r="C39" s="552" t="s">
        <v>1369</v>
      </c>
      <c r="D39" s="552" t="s">
        <v>8820</v>
      </c>
      <c r="E39" s="552" t="s">
        <v>8814</v>
      </c>
      <c r="F39" s="552" t="s">
        <v>8821</v>
      </c>
      <c r="G39" s="552" t="s">
        <v>8822</v>
      </c>
      <c r="H39" s="552" t="s">
        <v>8823</v>
      </c>
    </row>
    <row r="40" spans="1:8">
      <c r="A40" s="552" t="s">
        <v>5402</v>
      </c>
      <c r="B40" s="748" t="s">
        <v>8806</v>
      </c>
      <c r="C40" s="552" t="s">
        <v>1369</v>
      </c>
      <c r="D40" s="552" t="s">
        <v>8807</v>
      </c>
      <c r="E40" s="552" t="s">
        <v>8894</v>
      </c>
      <c r="F40" s="552" t="s">
        <v>8893</v>
      </c>
      <c r="G40" s="552" t="s">
        <v>8895</v>
      </c>
      <c r="H40" s="552" t="s">
        <v>8808</v>
      </c>
    </row>
    <row r="41" spans="1:8">
      <c r="A41" s="552" t="s">
        <v>5403</v>
      </c>
      <c r="B41" s="748" t="s">
        <v>8804</v>
      </c>
      <c r="C41" s="552" t="s">
        <v>1369</v>
      </c>
      <c r="D41" s="552" t="s">
        <v>8805</v>
      </c>
      <c r="E41" s="552" t="s">
        <v>8824</v>
      </c>
      <c r="F41" s="552" t="s">
        <v>8825</v>
      </c>
      <c r="G41" s="552" t="s">
        <v>8826</v>
      </c>
      <c r="H41" s="552" t="s">
        <v>8828</v>
      </c>
    </row>
    <row r="42" spans="1:8">
      <c r="A42" s="552" t="s">
        <v>5404</v>
      </c>
      <c r="B42" s="552" t="s">
        <v>5405</v>
      </c>
      <c r="C42" s="552" t="s">
        <v>1379</v>
      </c>
      <c r="D42" s="552" t="s">
        <v>5406</v>
      </c>
      <c r="E42" s="552" t="s">
        <v>5407</v>
      </c>
      <c r="F42" s="552" t="s">
        <v>5408</v>
      </c>
      <c r="G42" s="552" t="s">
        <v>5409</v>
      </c>
      <c r="H42" s="552" t="s">
        <v>5410</v>
      </c>
    </row>
    <row r="43" spans="1:8">
      <c r="A43" s="552" t="s">
        <v>5411</v>
      </c>
      <c r="B43" s="552" t="s">
        <v>5412</v>
      </c>
      <c r="C43" s="552" t="s">
        <v>1379</v>
      </c>
      <c r="D43" s="552" t="s">
        <v>5413</v>
      </c>
      <c r="E43" s="552" t="s">
        <v>5414</v>
      </c>
      <c r="F43" s="552" t="s">
        <v>5415</v>
      </c>
      <c r="G43" s="552" t="s">
        <v>5416</v>
      </c>
      <c r="H43" s="552" t="s">
        <v>5417</v>
      </c>
    </row>
    <row r="44" spans="1:8">
      <c r="A44" s="552" t="s">
        <v>5418</v>
      </c>
      <c r="B44" s="552" t="s">
        <v>5419</v>
      </c>
      <c r="C44" s="552" t="s">
        <v>1379</v>
      </c>
      <c r="D44" s="552" t="s">
        <v>5420</v>
      </c>
      <c r="E44" s="552" t="s">
        <v>5421</v>
      </c>
      <c r="F44" s="552" t="s">
        <v>5422</v>
      </c>
      <c r="G44" s="552" t="s">
        <v>5423</v>
      </c>
      <c r="H44" s="552" t="s">
        <v>5424</v>
      </c>
    </row>
    <row r="45" spans="1:8">
      <c r="A45" s="552" t="s">
        <v>5425</v>
      </c>
      <c r="B45" s="552" t="s">
        <v>5426</v>
      </c>
      <c r="C45" s="552" t="s">
        <v>1379</v>
      </c>
      <c r="D45" s="552" t="s">
        <v>5427</v>
      </c>
      <c r="E45" s="552" t="s">
        <v>5428</v>
      </c>
      <c r="F45" s="552" t="s">
        <v>5429</v>
      </c>
      <c r="G45" s="552" t="s">
        <v>5430</v>
      </c>
      <c r="H45" s="552" t="s">
        <v>5431</v>
      </c>
    </row>
    <row r="46" spans="1:8">
      <c r="A46" s="552" t="s">
        <v>5432</v>
      </c>
      <c r="B46" s="552" t="s">
        <v>5433</v>
      </c>
      <c r="C46" s="552" t="s">
        <v>1379</v>
      </c>
      <c r="D46" s="552" t="s">
        <v>5434</v>
      </c>
      <c r="E46" s="552" t="s">
        <v>5435</v>
      </c>
      <c r="F46" s="552" t="s">
        <v>5436</v>
      </c>
      <c r="G46" s="552" t="s">
        <v>5437</v>
      </c>
      <c r="H46" s="552" t="s">
        <v>5438</v>
      </c>
    </row>
    <row r="47" spans="1:8">
      <c r="A47" s="552" t="s">
        <v>5439</v>
      </c>
      <c r="B47" s="552" t="s">
        <v>5440</v>
      </c>
      <c r="C47" s="552" t="s">
        <v>1379</v>
      </c>
      <c r="D47" s="552" t="s">
        <v>5441</v>
      </c>
      <c r="E47" s="552" t="s">
        <v>5442</v>
      </c>
      <c r="F47" s="552" t="s">
        <v>5443</v>
      </c>
      <c r="G47" s="552" t="s">
        <v>5444</v>
      </c>
      <c r="H47" s="552" t="s">
        <v>5445</v>
      </c>
    </row>
    <row r="48" spans="1:8">
      <c r="A48" s="552" t="s">
        <v>5446</v>
      </c>
      <c r="B48" s="763" t="s">
        <v>8902</v>
      </c>
      <c r="C48" s="763" t="s">
        <v>1379</v>
      </c>
      <c r="D48" s="763" t="s">
        <v>8924</v>
      </c>
      <c r="E48" s="763" t="s">
        <v>8925</v>
      </c>
      <c r="F48" s="763" t="s">
        <v>8926</v>
      </c>
      <c r="G48" s="763" t="s">
        <v>8927</v>
      </c>
      <c r="H48" s="763" t="s">
        <v>8928</v>
      </c>
    </row>
    <row r="49" spans="1:8">
      <c r="A49" s="552" t="s">
        <v>5447</v>
      </c>
      <c r="B49" s="763" t="s">
        <v>8903</v>
      </c>
      <c r="C49" s="763" t="s">
        <v>1379</v>
      </c>
      <c r="D49" s="552" t="s">
        <v>8929</v>
      </c>
      <c r="E49" s="763" t="s">
        <v>8938</v>
      </c>
      <c r="F49" s="763" t="s">
        <v>8931</v>
      </c>
      <c r="G49" s="752" t="s">
        <v>8930</v>
      </c>
      <c r="H49" s="763" t="s">
        <v>8932</v>
      </c>
    </row>
    <row r="50" spans="1:8">
      <c r="A50" s="552" t="s">
        <v>5448</v>
      </c>
      <c r="B50" s="763" t="s">
        <v>8904</v>
      </c>
      <c r="C50" s="763" t="s">
        <v>1379</v>
      </c>
      <c r="D50" s="552" t="s">
        <v>8933</v>
      </c>
      <c r="E50" s="763" t="s">
        <v>8934</v>
      </c>
      <c r="F50" s="763" t="s">
        <v>8935</v>
      </c>
      <c r="G50" s="763" t="s">
        <v>8936</v>
      </c>
      <c r="H50" s="763" t="s">
        <v>8937</v>
      </c>
    </row>
    <row r="51" spans="1:8">
      <c r="A51" s="552" t="s">
        <v>5449</v>
      </c>
      <c r="B51" s="552" t="s">
        <v>5450</v>
      </c>
      <c r="C51" s="552" t="s">
        <v>1379</v>
      </c>
      <c r="D51" s="552" t="s">
        <v>5451</v>
      </c>
      <c r="E51" s="552" t="s">
        <v>5452</v>
      </c>
      <c r="F51" s="552" t="s">
        <v>5255</v>
      </c>
      <c r="G51" s="552" t="s">
        <v>5453</v>
      </c>
      <c r="H51" s="552" t="s">
        <v>5454</v>
      </c>
    </row>
    <row r="52" spans="1:8">
      <c r="A52" s="552" t="s">
        <v>5455</v>
      </c>
      <c r="B52" s="552" t="s">
        <v>5456</v>
      </c>
      <c r="C52" s="552" t="s">
        <v>5457</v>
      </c>
      <c r="D52" s="552" t="s">
        <v>5458</v>
      </c>
      <c r="E52" s="552" t="s">
        <v>5459</v>
      </c>
      <c r="F52" s="552" t="s">
        <v>5460</v>
      </c>
      <c r="G52" s="552" t="s">
        <v>5461</v>
      </c>
      <c r="H52" s="552" t="s">
        <v>5462</v>
      </c>
    </row>
    <row r="53" spans="1:8">
      <c r="A53" s="552" t="s">
        <v>5463</v>
      </c>
      <c r="B53" s="552" t="s">
        <v>5464</v>
      </c>
      <c r="C53" s="552" t="s">
        <v>5457</v>
      </c>
      <c r="D53" s="552" t="s">
        <v>5465</v>
      </c>
      <c r="E53" s="552" t="s">
        <v>5374</v>
      </c>
      <c r="F53" s="552" t="s">
        <v>5466</v>
      </c>
      <c r="G53" s="552" t="s">
        <v>5467</v>
      </c>
      <c r="H53" s="552" t="s">
        <v>5468</v>
      </c>
    </row>
    <row r="54" spans="1:8">
      <c r="A54" s="552" t="s">
        <v>5469</v>
      </c>
      <c r="B54" s="552" t="s">
        <v>5470</v>
      </c>
      <c r="C54" s="552" t="s">
        <v>5457</v>
      </c>
      <c r="D54" s="552" t="s">
        <v>5471</v>
      </c>
      <c r="E54" s="552" t="s">
        <v>5472</v>
      </c>
      <c r="F54" s="552" t="s">
        <v>5473</v>
      </c>
      <c r="G54" s="552" t="s">
        <v>5474</v>
      </c>
      <c r="H54" s="552" t="s">
        <v>5475</v>
      </c>
    </row>
    <row r="55" spans="1:8">
      <c r="A55" s="552" t="s">
        <v>5476</v>
      </c>
      <c r="B55" s="552" t="s">
        <v>5477</v>
      </c>
      <c r="C55" s="552" t="s">
        <v>5457</v>
      </c>
      <c r="D55" s="583" t="s">
        <v>5478</v>
      </c>
      <c r="E55" s="552" t="s">
        <v>5479</v>
      </c>
      <c r="F55" s="552" t="s">
        <v>5480</v>
      </c>
      <c r="G55" s="552" t="s">
        <v>5481</v>
      </c>
      <c r="H55" s="552" t="s">
        <v>5482</v>
      </c>
    </row>
    <row r="56" spans="1:8">
      <c r="A56" s="552" t="s">
        <v>5483</v>
      </c>
      <c r="B56" s="552" t="s">
        <v>5484</v>
      </c>
      <c r="C56" s="552" t="s">
        <v>5457</v>
      </c>
      <c r="D56" s="552" t="s">
        <v>5485</v>
      </c>
      <c r="E56" s="552" t="s">
        <v>5374</v>
      </c>
      <c r="F56" s="552" t="s">
        <v>5486</v>
      </c>
      <c r="G56" s="552" t="s">
        <v>5487</v>
      </c>
      <c r="H56" s="552" t="s">
        <v>5488</v>
      </c>
    </row>
    <row r="57" spans="1:8">
      <c r="A57" s="552" t="s">
        <v>5489</v>
      </c>
      <c r="B57" s="552"/>
      <c r="C57" s="552" t="s">
        <v>5457</v>
      </c>
      <c r="F57" s="552"/>
      <c r="G57" s="552"/>
      <c r="H57" s="552"/>
    </row>
    <row r="58" spans="1:8">
      <c r="A58" s="552" t="s">
        <v>5490</v>
      </c>
      <c r="B58" s="552"/>
      <c r="C58" s="552" t="s">
        <v>5457</v>
      </c>
      <c r="D58" s="552"/>
      <c r="E58" s="552"/>
      <c r="F58" s="552"/>
      <c r="G58" s="552"/>
      <c r="H58" s="552"/>
    </row>
    <row r="59" spans="1:8">
      <c r="A59" s="552" t="s">
        <v>5491</v>
      </c>
      <c r="B59" s="552"/>
      <c r="C59" s="552" t="s">
        <v>5457</v>
      </c>
      <c r="D59" s="552"/>
      <c r="E59" s="552"/>
      <c r="F59" s="552"/>
      <c r="G59" s="552"/>
      <c r="H59" s="552"/>
    </row>
    <row r="60" spans="1:8">
      <c r="A60" s="552" t="s">
        <v>5492</v>
      </c>
      <c r="B60" s="552"/>
      <c r="C60" s="552" t="s">
        <v>5457</v>
      </c>
      <c r="D60" s="552"/>
      <c r="E60" s="552"/>
      <c r="F60" s="552"/>
      <c r="G60" s="552"/>
      <c r="H60" s="552"/>
    </row>
    <row r="61" spans="1:8">
      <c r="A61" s="552" t="s">
        <v>5493</v>
      </c>
      <c r="B61" s="552" t="s">
        <v>5494</v>
      </c>
      <c r="C61" s="552" t="s">
        <v>5457</v>
      </c>
      <c r="D61" s="552" t="s">
        <v>5907</v>
      </c>
      <c r="E61" s="552" t="s">
        <v>5495</v>
      </c>
      <c r="F61" s="552" t="s">
        <v>5255</v>
      </c>
      <c r="G61" s="552" t="s">
        <v>5496</v>
      </c>
      <c r="H61" s="552" t="s">
        <v>5497</v>
      </c>
    </row>
    <row r="62" spans="1:8">
      <c r="A62" s="552" t="s">
        <v>5498</v>
      </c>
      <c r="B62" s="552" t="s">
        <v>5499</v>
      </c>
      <c r="C62" s="552" t="s">
        <v>1385</v>
      </c>
      <c r="D62" s="552" t="s">
        <v>5500</v>
      </c>
      <c r="E62" s="552" t="s">
        <v>5374</v>
      </c>
      <c r="F62" s="552" t="s">
        <v>5908</v>
      </c>
      <c r="G62" s="552" t="s">
        <v>5909</v>
      </c>
      <c r="H62" s="552" t="s">
        <v>5910</v>
      </c>
    </row>
    <row r="63" spans="1:8">
      <c r="A63" s="552" t="s">
        <v>5501</v>
      </c>
      <c r="B63" s="552" t="s">
        <v>5502</v>
      </c>
      <c r="C63" s="552" t="s">
        <v>1385</v>
      </c>
      <c r="D63" s="552" t="s">
        <v>5503</v>
      </c>
      <c r="E63" s="552" t="s">
        <v>6007</v>
      </c>
      <c r="F63" s="552" t="s">
        <v>6008</v>
      </c>
      <c r="G63" s="552" t="s">
        <v>6009</v>
      </c>
      <c r="H63" s="552" t="s">
        <v>6010</v>
      </c>
    </row>
    <row r="64" spans="1:8">
      <c r="A64" s="552" t="s">
        <v>5504</v>
      </c>
      <c r="B64" s="552" t="s">
        <v>5505</v>
      </c>
      <c r="C64" s="552" t="s">
        <v>1385</v>
      </c>
      <c r="D64" s="552" t="s">
        <v>5506</v>
      </c>
      <c r="E64" s="552" t="s">
        <v>6011</v>
      </c>
      <c r="F64" s="552" t="s">
        <v>6012</v>
      </c>
      <c r="G64" s="552" t="s">
        <v>6019</v>
      </c>
      <c r="H64" s="552" t="s">
        <v>6020</v>
      </c>
    </row>
    <row r="65" spans="1:15">
      <c r="A65" s="552" t="s">
        <v>5507</v>
      </c>
      <c r="B65" s="552" t="s">
        <v>5508</v>
      </c>
      <c r="C65" s="552" t="s">
        <v>1385</v>
      </c>
      <c r="D65" s="552" t="s">
        <v>5509</v>
      </c>
      <c r="E65" s="552" t="s">
        <v>6013</v>
      </c>
      <c r="F65" s="552" t="s">
        <v>6014</v>
      </c>
      <c r="G65" s="552" t="s">
        <v>6015</v>
      </c>
      <c r="H65" s="552" t="s">
        <v>6016</v>
      </c>
    </row>
    <row r="66" spans="1:15">
      <c r="A66" s="552" t="s">
        <v>5510</v>
      </c>
      <c r="B66" s="552" t="s">
        <v>5511</v>
      </c>
      <c r="C66" s="552" t="s">
        <v>1385</v>
      </c>
      <c r="D66" s="552" t="s">
        <v>5512</v>
      </c>
      <c r="E66" s="552" t="s">
        <v>8896</v>
      </c>
      <c r="F66" s="552" t="s">
        <v>6017</v>
      </c>
      <c r="G66" s="552" t="s">
        <v>6018</v>
      </c>
      <c r="H66" s="552" t="s">
        <v>6021</v>
      </c>
    </row>
    <row r="67" spans="1:15">
      <c r="A67" s="552" t="s">
        <v>5513</v>
      </c>
      <c r="B67" s="552"/>
      <c r="C67" s="552" t="s">
        <v>1385</v>
      </c>
      <c r="D67" s="552"/>
      <c r="E67" s="552"/>
      <c r="F67" s="552"/>
      <c r="G67" s="552"/>
      <c r="H67" s="552"/>
    </row>
    <row r="68" spans="1:15">
      <c r="A68" s="552" t="s">
        <v>5514</v>
      </c>
      <c r="B68" s="552"/>
      <c r="C68" s="552" t="s">
        <v>1385</v>
      </c>
      <c r="D68" s="552"/>
      <c r="E68" s="552"/>
      <c r="F68" s="552"/>
      <c r="G68" s="552"/>
      <c r="H68" s="552"/>
    </row>
    <row r="69" spans="1:15">
      <c r="A69" s="552" t="s">
        <v>5515</v>
      </c>
      <c r="B69" s="552"/>
      <c r="C69" s="552" t="s">
        <v>1385</v>
      </c>
      <c r="D69" s="552"/>
      <c r="E69" s="552"/>
      <c r="F69" s="552"/>
      <c r="G69" s="552"/>
      <c r="H69" s="552"/>
    </row>
    <row r="70" spans="1:15">
      <c r="A70" s="552" t="s">
        <v>5516</v>
      </c>
      <c r="B70" s="552"/>
      <c r="C70" s="552" t="s">
        <v>1385</v>
      </c>
      <c r="D70" s="552"/>
      <c r="E70" s="552"/>
      <c r="F70" s="552"/>
      <c r="G70" s="552"/>
      <c r="H70" s="552"/>
    </row>
    <row r="71" spans="1:15">
      <c r="A71" s="552" t="s">
        <v>5517</v>
      </c>
      <c r="B71" s="552" t="s">
        <v>5518</v>
      </c>
      <c r="C71" s="552" t="s">
        <v>1385</v>
      </c>
      <c r="D71" s="552" t="s">
        <v>5519</v>
      </c>
      <c r="E71" s="552" t="s">
        <v>5520</v>
      </c>
      <c r="F71" s="552" t="s">
        <v>5255</v>
      </c>
      <c r="G71" s="552" t="s">
        <v>5521</v>
      </c>
      <c r="H71" s="552" t="s">
        <v>5522</v>
      </c>
    </row>
    <row r="72" spans="1:15">
      <c r="A72" s="552" t="s">
        <v>5523</v>
      </c>
      <c r="B72" s="552" t="s">
        <v>5524</v>
      </c>
      <c r="C72" s="552" t="s">
        <v>1381</v>
      </c>
      <c r="D72" s="552" t="s">
        <v>5525</v>
      </c>
      <c r="E72" s="552" t="s">
        <v>5526</v>
      </c>
      <c r="F72" s="552" t="s">
        <v>5527</v>
      </c>
      <c r="G72" s="552" t="s">
        <v>5528</v>
      </c>
      <c r="H72" s="552" t="s">
        <v>5529</v>
      </c>
    </row>
    <row r="73" spans="1:15">
      <c r="A73" s="552" t="s">
        <v>5530</v>
      </c>
      <c r="C73" s="552" t="s">
        <v>1381</v>
      </c>
      <c r="I73" s="576" t="s">
        <v>5531</v>
      </c>
      <c r="J73" s="576" t="s">
        <v>1381</v>
      </c>
      <c r="K73" s="576" t="s">
        <v>5532</v>
      </c>
      <c r="L73" s="576" t="s">
        <v>5533</v>
      </c>
      <c r="M73" s="576" t="s">
        <v>5534</v>
      </c>
      <c r="N73" s="576" t="s">
        <v>5535</v>
      </c>
      <c r="O73" s="576" t="s">
        <v>5536</v>
      </c>
    </row>
    <row r="74" spans="1:15">
      <c r="A74" s="552" t="s">
        <v>5537</v>
      </c>
      <c r="C74" s="552" t="s">
        <v>1381</v>
      </c>
      <c r="I74" s="576" t="s">
        <v>5538</v>
      </c>
      <c r="J74" s="576" t="s">
        <v>1381</v>
      </c>
      <c r="K74" s="576" t="s">
        <v>5539</v>
      </c>
      <c r="L74" s="576" t="s">
        <v>5540</v>
      </c>
      <c r="M74" s="576" t="s">
        <v>5541</v>
      </c>
      <c r="N74" s="576" t="s">
        <v>5542</v>
      </c>
      <c r="O74" s="576" t="s">
        <v>5543</v>
      </c>
    </row>
    <row r="75" spans="1:15">
      <c r="A75" s="552" t="s">
        <v>5544</v>
      </c>
      <c r="C75" s="552" t="s">
        <v>1381</v>
      </c>
      <c r="I75" s="576" t="s">
        <v>5545</v>
      </c>
      <c r="J75" s="576" t="s">
        <v>1381</v>
      </c>
      <c r="K75" s="576" t="s">
        <v>5546</v>
      </c>
      <c r="L75" s="576" t="s">
        <v>5547</v>
      </c>
      <c r="M75" s="576" t="s">
        <v>5548</v>
      </c>
      <c r="N75" s="576" t="s">
        <v>5549</v>
      </c>
      <c r="O75" s="576" t="s">
        <v>5550</v>
      </c>
    </row>
    <row r="76" spans="1:15">
      <c r="A76" s="552" t="s">
        <v>5551</v>
      </c>
      <c r="C76" s="552" t="s">
        <v>1381</v>
      </c>
      <c r="I76" s="576" t="s">
        <v>5552</v>
      </c>
      <c r="J76" s="576" t="s">
        <v>1381</v>
      </c>
      <c r="K76" s="576" t="s">
        <v>5553</v>
      </c>
      <c r="L76" s="576" t="s">
        <v>5554</v>
      </c>
      <c r="M76" s="576" t="s">
        <v>5555</v>
      </c>
      <c r="N76" s="576" t="s">
        <v>5556</v>
      </c>
      <c r="O76" s="576" t="s">
        <v>5557</v>
      </c>
    </row>
    <row r="77" spans="1:15">
      <c r="A77" s="552" t="s">
        <v>5558</v>
      </c>
      <c r="C77" s="552" t="s">
        <v>1381</v>
      </c>
      <c r="I77" s="576" t="s">
        <v>5559</v>
      </c>
      <c r="J77" s="576" t="s">
        <v>1381</v>
      </c>
      <c r="K77" s="576" t="s">
        <v>5560</v>
      </c>
      <c r="L77" s="576" t="s">
        <v>5561</v>
      </c>
      <c r="M77" s="576" t="s">
        <v>5562</v>
      </c>
      <c r="N77" s="576" t="s">
        <v>5563</v>
      </c>
      <c r="O77" s="576" t="s">
        <v>5564</v>
      </c>
    </row>
    <row r="78" spans="1:15">
      <c r="A78" s="552" t="s">
        <v>5565</v>
      </c>
      <c r="B78" s="552"/>
      <c r="C78" s="552" t="s">
        <v>1381</v>
      </c>
      <c r="D78" s="552"/>
      <c r="E78" s="552"/>
      <c r="F78" s="552"/>
      <c r="G78" s="552"/>
      <c r="H78" s="552"/>
    </row>
    <row r="79" spans="1:15">
      <c r="A79" s="552" t="s">
        <v>5566</v>
      </c>
      <c r="B79" s="552"/>
      <c r="C79" s="552" t="s">
        <v>1381</v>
      </c>
      <c r="D79" s="552"/>
      <c r="E79" s="552"/>
      <c r="F79" s="552"/>
      <c r="G79" s="552"/>
      <c r="H79" s="552"/>
    </row>
    <row r="80" spans="1:15">
      <c r="A80" s="552" t="s">
        <v>5567</v>
      </c>
      <c r="B80" s="552"/>
      <c r="C80" s="552" t="s">
        <v>1381</v>
      </c>
      <c r="D80" s="552"/>
      <c r="E80" s="552"/>
      <c r="F80" s="552"/>
      <c r="G80" s="552"/>
      <c r="H80" s="552"/>
    </row>
    <row r="81" spans="1:15">
      <c r="A81" s="552" t="s">
        <v>5568</v>
      </c>
      <c r="B81" s="552" t="s">
        <v>5569</v>
      </c>
      <c r="C81" s="552" t="s">
        <v>1381</v>
      </c>
      <c r="D81" s="552" t="s">
        <v>5570</v>
      </c>
      <c r="E81" s="552" t="s">
        <v>5571</v>
      </c>
      <c r="F81" s="552" t="s">
        <v>5255</v>
      </c>
      <c r="G81" s="552" t="s">
        <v>5572</v>
      </c>
      <c r="H81" s="552" t="s">
        <v>5573</v>
      </c>
    </row>
    <row r="82" spans="1:15">
      <c r="A82" s="552" t="s">
        <v>5574</v>
      </c>
      <c r="B82" s="552" t="s">
        <v>8943</v>
      </c>
      <c r="C82" s="552" t="s">
        <v>1377</v>
      </c>
      <c r="D82" s="552" t="s">
        <v>8939</v>
      </c>
      <c r="E82" s="552" t="s">
        <v>8944</v>
      </c>
      <c r="F82" s="552" t="s">
        <v>8940</v>
      </c>
      <c r="G82" s="552" t="s">
        <v>8941</v>
      </c>
      <c r="H82" s="552" t="s">
        <v>8942</v>
      </c>
      <c r="I82" s="576" t="s">
        <v>5575</v>
      </c>
      <c r="J82" s="576" t="s">
        <v>1377</v>
      </c>
      <c r="K82" s="576" t="s">
        <v>5576</v>
      </c>
      <c r="L82" s="576" t="s">
        <v>5577</v>
      </c>
      <c r="M82" s="576" t="s">
        <v>5578</v>
      </c>
      <c r="N82" s="576" t="s">
        <v>5579</v>
      </c>
      <c r="O82" s="576" t="s">
        <v>5580</v>
      </c>
    </row>
    <row r="83" spans="1:15">
      <c r="A83" s="552" t="s">
        <v>5581</v>
      </c>
      <c r="C83" s="552" t="s">
        <v>1377</v>
      </c>
      <c r="E83" s="552"/>
      <c r="F83" s="552"/>
      <c r="G83" s="552"/>
      <c r="H83" s="552"/>
      <c r="I83" s="576" t="s">
        <v>5582</v>
      </c>
      <c r="J83" s="576" t="s">
        <v>1377</v>
      </c>
      <c r="K83" s="576" t="s">
        <v>5583</v>
      </c>
      <c r="L83" s="576" t="s">
        <v>5584</v>
      </c>
      <c r="M83" s="576" t="s">
        <v>5585</v>
      </c>
      <c r="N83" s="576" t="s">
        <v>5586</v>
      </c>
      <c r="O83" s="576" t="s">
        <v>5587</v>
      </c>
    </row>
    <row r="84" spans="1:15" ht="14.6">
      <c r="A84" s="552" t="s">
        <v>5588</v>
      </c>
      <c r="C84" s="750" t="s">
        <v>1377</v>
      </c>
      <c r="I84" s="576" t="s">
        <v>5589</v>
      </c>
      <c r="J84" s="576" t="s">
        <v>1377</v>
      </c>
      <c r="K84" s="576" t="s">
        <v>5590</v>
      </c>
      <c r="L84" s="576" t="s">
        <v>5591</v>
      </c>
      <c r="M84" s="576" t="s">
        <v>5592</v>
      </c>
      <c r="N84" s="576" t="s">
        <v>5593</v>
      </c>
      <c r="O84" s="576" t="s">
        <v>5594</v>
      </c>
    </row>
    <row r="85" spans="1:15" ht="14.6">
      <c r="A85" s="552" t="s">
        <v>5595</v>
      </c>
      <c r="C85" s="750" t="s">
        <v>1377</v>
      </c>
      <c r="I85" s="576" t="s">
        <v>5596</v>
      </c>
      <c r="J85" s="576" t="s">
        <v>1377</v>
      </c>
      <c r="K85" s="576" t="s">
        <v>5597</v>
      </c>
      <c r="L85" s="576" t="s">
        <v>5540</v>
      </c>
      <c r="M85" s="576" t="s">
        <v>5598</v>
      </c>
      <c r="N85" s="576" t="s">
        <v>5599</v>
      </c>
      <c r="O85" s="576" t="s">
        <v>5600</v>
      </c>
    </row>
    <row r="86" spans="1:15" ht="14.6">
      <c r="A86" s="552" t="s">
        <v>5601</v>
      </c>
      <c r="C86" s="750" t="s">
        <v>1377</v>
      </c>
      <c r="I86" s="576" t="s">
        <v>5602</v>
      </c>
      <c r="J86" s="576" t="s">
        <v>1377</v>
      </c>
      <c r="K86" s="576" t="s">
        <v>5603</v>
      </c>
      <c r="L86" s="576" t="s">
        <v>5604</v>
      </c>
      <c r="M86" s="576" t="s">
        <v>5605</v>
      </c>
      <c r="N86" s="576" t="s">
        <v>5606</v>
      </c>
      <c r="O86" s="576" t="s">
        <v>5607</v>
      </c>
    </row>
    <row r="87" spans="1:15" ht="14.6">
      <c r="A87" s="552" t="s">
        <v>5608</v>
      </c>
      <c r="C87" s="750" t="s">
        <v>1377</v>
      </c>
      <c r="I87" s="576" t="s">
        <v>5609</v>
      </c>
      <c r="J87" s="576" t="s">
        <v>5457</v>
      </c>
      <c r="K87" s="576" t="s">
        <v>5610</v>
      </c>
      <c r="L87" s="576" t="s">
        <v>5611</v>
      </c>
      <c r="M87" s="576" t="s">
        <v>5612</v>
      </c>
      <c r="N87" s="576" t="s">
        <v>5613</v>
      </c>
      <c r="O87" s="576" t="s">
        <v>5614</v>
      </c>
    </row>
    <row r="88" spans="1:15">
      <c r="A88" s="552" t="s">
        <v>5615</v>
      </c>
      <c r="B88" s="552"/>
      <c r="C88" s="552" t="s">
        <v>1377</v>
      </c>
      <c r="D88" s="552"/>
      <c r="E88" s="552"/>
      <c r="F88" s="552"/>
      <c r="G88" s="552"/>
      <c r="H88" s="552"/>
      <c r="I88" s="552" t="s">
        <v>8802</v>
      </c>
    </row>
    <row r="89" spans="1:15">
      <c r="A89" s="552" t="s">
        <v>5616</v>
      </c>
      <c r="B89" s="552"/>
      <c r="C89" s="552" t="s">
        <v>1377</v>
      </c>
      <c r="D89" s="552"/>
      <c r="E89" s="552"/>
      <c r="F89" s="552"/>
      <c r="G89" s="552"/>
      <c r="H89" s="552"/>
      <c r="I89" s="552" t="s">
        <v>8803</v>
      </c>
    </row>
    <row r="90" spans="1:15">
      <c r="A90" s="552" t="s">
        <v>5617</v>
      </c>
      <c r="B90" s="552"/>
      <c r="C90" s="552" t="s">
        <v>1377</v>
      </c>
      <c r="D90" s="552"/>
      <c r="E90" s="552"/>
      <c r="F90" s="552"/>
      <c r="G90" s="552"/>
      <c r="H90" s="552"/>
    </row>
    <row r="91" spans="1:15">
      <c r="A91" s="552" t="s">
        <v>5618</v>
      </c>
      <c r="B91" s="552" t="s">
        <v>5619</v>
      </c>
      <c r="C91" s="552" t="s">
        <v>1377</v>
      </c>
      <c r="D91" s="552" t="s">
        <v>5620</v>
      </c>
      <c r="E91" s="552" t="s">
        <v>5621</v>
      </c>
      <c r="F91" s="552" t="s">
        <v>5255</v>
      </c>
      <c r="G91" s="552" t="s">
        <v>5622</v>
      </c>
      <c r="H91" s="552" t="s">
        <v>5623</v>
      </c>
    </row>
    <row r="92" spans="1:15">
      <c r="A92" s="552" t="s">
        <v>5624</v>
      </c>
      <c r="B92" s="552" t="s">
        <v>5625</v>
      </c>
      <c r="C92" s="552" t="s">
        <v>2465</v>
      </c>
      <c r="D92" s="552" t="s">
        <v>5626</v>
      </c>
      <c r="E92" s="552" t="s">
        <v>5233</v>
      </c>
      <c r="F92" s="552" t="s">
        <v>5627</v>
      </c>
      <c r="G92" s="552" t="s">
        <v>5628</v>
      </c>
      <c r="H92" s="552" t="s">
        <v>5629</v>
      </c>
    </row>
    <row r="93" spans="1:15">
      <c r="A93" s="552" t="s">
        <v>5630</v>
      </c>
      <c r="B93" s="552" t="s">
        <v>5631</v>
      </c>
      <c r="C93" s="552" t="s">
        <v>2465</v>
      </c>
      <c r="D93" s="552" t="s">
        <v>5632</v>
      </c>
      <c r="E93" s="552" t="s">
        <v>5233</v>
      </c>
      <c r="F93" s="552" t="s">
        <v>5633</v>
      </c>
      <c r="G93" s="552" t="s">
        <v>5634</v>
      </c>
      <c r="H93" s="552" t="s">
        <v>5635</v>
      </c>
    </row>
    <row r="94" spans="1:15">
      <c r="A94" s="552" t="s">
        <v>5636</v>
      </c>
      <c r="B94" s="552" t="s">
        <v>5637</v>
      </c>
      <c r="C94" s="552" t="s">
        <v>2465</v>
      </c>
      <c r="D94" s="552" t="s">
        <v>5638</v>
      </c>
      <c r="E94" s="552" t="s">
        <v>5639</v>
      </c>
      <c r="F94" s="552" t="s">
        <v>5640</v>
      </c>
      <c r="G94" s="552" t="s">
        <v>5641</v>
      </c>
      <c r="H94" s="552" t="s">
        <v>5642</v>
      </c>
    </row>
    <row r="95" spans="1:15">
      <c r="A95" s="552" t="s">
        <v>5643</v>
      </c>
      <c r="B95" s="552" t="s">
        <v>5644</v>
      </c>
      <c r="C95" s="552" t="s">
        <v>2465</v>
      </c>
      <c r="D95" s="552" t="s">
        <v>5645</v>
      </c>
      <c r="E95" s="552" t="s">
        <v>5646</v>
      </c>
      <c r="F95" s="552" t="s">
        <v>5647</v>
      </c>
      <c r="G95" s="552" t="s">
        <v>5648</v>
      </c>
      <c r="H95" s="552" t="s">
        <v>5649</v>
      </c>
    </row>
    <row r="96" spans="1:15">
      <c r="A96" s="552" t="s">
        <v>5650</v>
      </c>
      <c r="B96" s="552" t="s">
        <v>5651</v>
      </c>
      <c r="C96" s="552" t="s">
        <v>2465</v>
      </c>
      <c r="D96" s="552" t="s">
        <v>5652</v>
      </c>
      <c r="E96" s="552" t="s">
        <v>5646</v>
      </c>
      <c r="F96" s="552" t="s">
        <v>5653</v>
      </c>
      <c r="G96" s="552" t="s">
        <v>5654</v>
      </c>
      <c r="H96" s="552" t="s">
        <v>5655</v>
      </c>
    </row>
    <row r="97" spans="1:8">
      <c r="A97" s="552" t="s">
        <v>5656</v>
      </c>
      <c r="B97" s="552" t="s">
        <v>5657</v>
      </c>
      <c r="C97" s="552" t="s">
        <v>2465</v>
      </c>
      <c r="D97" s="552" t="s">
        <v>5658</v>
      </c>
      <c r="E97" s="552" t="s">
        <v>5659</v>
      </c>
      <c r="F97" s="552" t="s">
        <v>5660</v>
      </c>
      <c r="G97" s="552" t="s">
        <v>5661</v>
      </c>
      <c r="H97" s="552" t="s">
        <v>5662</v>
      </c>
    </row>
    <row r="98" spans="1:8">
      <c r="A98" s="552" t="s">
        <v>5663</v>
      </c>
      <c r="B98" s="552" t="s">
        <v>5664</v>
      </c>
      <c r="C98" s="552" t="s">
        <v>2465</v>
      </c>
      <c r="D98" s="552" t="s">
        <v>5665</v>
      </c>
      <c r="E98" s="552" t="s">
        <v>5666</v>
      </c>
      <c r="F98" s="552" t="s">
        <v>5667</v>
      </c>
      <c r="G98" s="552" t="s">
        <v>5668</v>
      </c>
      <c r="H98" s="552" t="s">
        <v>5669</v>
      </c>
    </row>
    <row r="99" spans="1:8">
      <c r="A99" s="552" t="s">
        <v>5670</v>
      </c>
      <c r="B99" s="552" t="s">
        <v>5671</v>
      </c>
      <c r="C99" s="552" t="s">
        <v>2465</v>
      </c>
      <c r="D99" s="552" t="s">
        <v>5672</v>
      </c>
      <c r="E99" s="552" t="s">
        <v>5673</v>
      </c>
      <c r="F99" s="552" t="s">
        <v>5674</v>
      </c>
      <c r="G99" s="552" t="s">
        <v>5675</v>
      </c>
      <c r="H99" s="552" t="s">
        <v>5676</v>
      </c>
    </row>
    <row r="100" spans="1:8">
      <c r="A100" s="552" t="s">
        <v>5677</v>
      </c>
      <c r="B100" s="552" t="s">
        <v>5678</v>
      </c>
      <c r="C100" s="552" t="s">
        <v>2465</v>
      </c>
      <c r="D100" s="552" t="s">
        <v>5679</v>
      </c>
      <c r="E100" s="552" t="s">
        <v>5680</v>
      </c>
      <c r="F100" s="552" t="s">
        <v>5681</v>
      </c>
      <c r="G100" s="552" t="s">
        <v>5682</v>
      </c>
      <c r="H100" s="552" t="s">
        <v>5683</v>
      </c>
    </row>
    <row r="101" spans="1:8">
      <c r="A101" s="552" t="s">
        <v>5684</v>
      </c>
      <c r="B101" s="552" t="s">
        <v>5685</v>
      </c>
      <c r="C101" s="552" t="s">
        <v>2465</v>
      </c>
      <c r="D101" s="552" t="s">
        <v>5686</v>
      </c>
      <c r="E101" s="552" t="s">
        <v>5687</v>
      </c>
      <c r="F101" s="552" t="s">
        <v>5688</v>
      </c>
      <c r="G101" s="552" t="s">
        <v>5689</v>
      </c>
      <c r="H101" s="552" t="s">
        <v>5690</v>
      </c>
    </row>
    <row r="102" spans="1:8">
      <c r="B102" s="747"/>
      <c r="C102" s="747"/>
      <c r="D102" s="747"/>
      <c r="E102" s="747"/>
      <c r="F102" s="747"/>
      <c r="G102" s="747"/>
      <c r="H102" s="747"/>
    </row>
    <row r="103" spans="1:8">
      <c r="B103" s="747"/>
      <c r="C103" s="747"/>
      <c r="D103" s="747"/>
      <c r="E103" s="747"/>
      <c r="F103" s="747"/>
      <c r="G103" s="747"/>
      <c r="H103" s="747"/>
    </row>
    <row r="104" spans="1:8">
      <c r="B104" s="747"/>
      <c r="C104" s="747"/>
      <c r="D104" s="747"/>
      <c r="E104" s="747"/>
      <c r="F104" s="747"/>
      <c r="G104" s="747"/>
      <c r="H104" s="747"/>
    </row>
    <row r="105" spans="1:8">
      <c r="B105" s="747"/>
      <c r="C105" s="747"/>
      <c r="D105" s="747"/>
      <c r="E105" s="747"/>
      <c r="F105" s="747"/>
      <c r="G105" s="747"/>
      <c r="H105" s="747"/>
    </row>
    <row r="106" spans="1:8">
      <c r="B106" s="747"/>
      <c r="C106" s="747"/>
      <c r="D106" s="747"/>
      <c r="E106" s="747"/>
      <c r="F106" s="747"/>
      <c r="G106" s="747"/>
      <c r="H106" s="747"/>
    </row>
    <row r="107" spans="1:8">
      <c r="B107" s="747"/>
      <c r="C107" s="747"/>
      <c r="D107" s="747"/>
      <c r="E107" s="747"/>
      <c r="F107" s="747"/>
      <c r="G107" s="747"/>
      <c r="H107" s="747"/>
    </row>
    <row r="108" spans="1:8">
      <c r="B108" s="747"/>
      <c r="C108" s="747"/>
      <c r="D108" s="747"/>
      <c r="E108" s="747"/>
      <c r="F108" s="747"/>
      <c r="G108" s="747"/>
      <c r="H108" s="747"/>
    </row>
    <row r="109" spans="1:8">
      <c r="B109" s="747"/>
      <c r="C109" s="747"/>
      <c r="D109" s="747"/>
      <c r="E109" s="747"/>
      <c r="F109" s="747"/>
      <c r="G109" s="747"/>
      <c r="H109" s="747"/>
    </row>
    <row r="110" spans="1:8">
      <c r="B110" s="747"/>
      <c r="C110" s="747"/>
      <c r="D110" s="747"/>
      <c r="E110" s="747"/>
      <c r="F110" s="747"/>
      <c r="G110" s="747"/>
      <c r="H110" s="747"/>
    </row>
    <row r="111" spans="1:8">
      <c r="B111" s="747"/>
      <c r="C111" s="747"/>
      <c r="D111" s="747"/>
      <c r="E111" s="747"/>
      <c r="F111" s="747"/>
      <c r="G111" s="747"/>
      <c r="H111" s="747"/>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249977111117893"/>
  </sheetPr>
  <dimension ref="A1:AQ238"/>
  <sheetViews>
    <sheetView topLeftCell="Q1" zoomScaleNormal="100" workbookViewId="0">
      <pane ySplit="1" topLeftCell="A170" activePane="bottomLeft" state="frozen"/>
      <selection pane="bottomLeft" activeCell="X188" sqref="X188"/>
    </sheetView>
  </sheetViews>
  <sheetFormatPr defaultRowHeight="15.55" customHeight="1"/>
  <cols>
    <col min="1" max="1" width="11.42578125" customWidth="1"/>
    <col min="2" max="2" width="15.0703125" customWidth="1"/>
    <col min="8" max="16" width="9.140625" style="582" customWidth="1"/>
    <col min="20" max="20" width="59.35546875" bestFit="1" customWidth="1"/>
    <col min="32" max="32" width="13.28515625" style="580" customWidth="1"/>
  </cols>
  <sheetData>
    <row r="1" spans="1:43" s="578" customFormat="1" ht="15.55" customHeight="1">
      <c r="A1" s="577" t="s">
        <v>1397</v>
      </c>
      <c r="B1" s="577" t="s">
        <v>1407</v>
      </c>
      <c r="C1" s="577" t="s">
        <v>1408</v>
      </c>
      <c r="D1" s="577" t="s">
        <v>542</v>
      </c>
      <c r="E1" s="577" t="s">
        <v>5691</v>
      </c>
      <c r="F1" s="577" t="s">
        <v>546</v>
      </c>
      <c r="G1" s="577" t="s">
        <v>548</v>
      </c>
      <c r="H1" s="581" t="s">
        <v>1412</v>
      </c>
      <c r="I1" s="581" t="s">
        <v>1413</v>
      </c>
      <c r="J1" s="581" t="s">
        <v>1414</v>
      </c>
      <c r="K1" s="581" t="s">
        <v>1415</v>
      </c>
      <c r="L1" s="581" t="s">
        <v>1416</v>
      </c>
      <c r="M1" s="581" t="s">
        <v>1417</v>
      </c>
      <c r="N1" s="581" t="s">
        <v>1418</v>
      </c>
      <c r="O1" s="581" t="s">
        <v>1419</v>
      </c>
      <c r="P1" s="581" t="s">
        <v>1420</v>
      </c>
      <c r="Q1" s="577" t="s">
        <v>570</v>
      </c>
      <c r="R1" s="577" t="s">
        <v>572</v>
      </c>
      <c r="S1" s="577" t="s">
        <v>573</v>
      </c>
      <c r="T1" s="577" t="s">
        <v>14</v>
      </c>
      <c r="U1" s="577" t="s">
        <v>584</v>
      </c>
      <c r="V1" s="577" t="s">
        <v>1424</v>
      </c>
      <c r="W1" s="577" t="s">
        <v>574</v>
      </c>
      <c r="X1" s="577" t="s">
        <v>593</v>
      </c>
      <c r="Y1" s="577" t="s">
        <v>3867</v>
      </c>
      <c r="Z1" s="577" t="s">
        <v>1440</v>
      </c>
      <c r="AA1" s="577" t="s">
        <v>2135</v>
      </c>
      <c r="AB1" s="577" t="s">
        <v>2146</v>
      </c>
      <c r="AC1" s="577" t="s">
        <v>2157</v>
      </c>
      <c r="AD1" s="577" t="s">
        <v>36</v>
      </c>
      <c r="AE1" s="577" t="s">
        <v>1428</v>
      </c>
      <c r="AF1" s="577" t="s">
        <v>5692</v>
      </c>
      <c r="AG1" s="578" t="s">
        <v>8667</v>
      </c>
    </row>
    <row r="2" spans="1:43" ht="15.55" customHeight="1">
      <c r="A2" t="s">
        <v>1194</v>
      </c>
      <c r="B2" t="s">
        <v>2465</v>
      </c>
      <c r="C2" t="s">
        <v>1366</v>
      </c>
      <c r="D2" t="s">
        <v>1409</v>
      </c>
      <c r="E2" t="s">
        <v>1411</v>
      </c>
      <c r="F2">
        <v>1</v>
      </c>
      <c r="G2">
        <v>1</v>
      </c>
      <c r="H2" s="582">
        <v>0</v>
      </c>
      <c r="I2" s="582">
        <v>0</v>
      </c>
      <c r="J2" s="582">
        <v>0</v>
      </c>
      <c r="K2" s="582">
        <v>0</v>
      </c>
      <c r="L2" s="582">
        <v>0</v>
      </c>
      <c r="M2" s="582">
        <v>0</v>
      </c>
      <c r="N2" s="582">
        <v>0</v>
      </c>
      <c r="O2" s="582">
        <v>1</v>
      </c>
      <c r="P2" s="582">
        <v>1</v>
      </c>
      <c r="Q2">
        <v>1</v>
      </c>
      <c r="R2">
        <v>1</v>
      </c>
      <c r="S2">
        <v>1</v>
      </c>
      <c r="T2" t="s">
        <v>1421</v>
      </c>
      <c r="U2" t="s">
        <v>1422</v>
      </c>
      <c r="V2">
        <v>0</v>
      </c>
      <c r="W2">
        <v>0</v>
      </c>
      <c r="X2">
        <v>2</v>
      </c>
      <c r="Y2" t="s">
        <v>1430</v>
      </c>
      <c r="AD2" t="s">
        <v>1425</v>
      </c>
      <c r="AE2">
        <v>100</v>
      </c>
      <c r="AF2" t="s">
        <v>297</v>
      </c>
      <c r="AG2" s="738" t="s">
        <v>8785</v>
      </c>
      <c r="AH2" s="740"/>
      <c r="AI2" s="740"/>
      <c r="AJ2" s="740"/>
      <c r="AK2" s="740"/>
      <c r="AL2" s="740"/>
      <c r="AM2" s="740"/>
      <c r="AN2" s="740"/>
      <c r="AO2" s="740"/>
      <c r="AP2" s="740"/>
      <c r="AQ2" s="740"/>
    </row>
    <row r="3" spans="1:43" ht="15.55" customHeight="1">
      <c r="A3" t="s">
        <v>1197</v>
      </c>
      <c r="B3" t="s">
        <v>1367</v>
      </c>
      <c r="C3" t="s">
        <v>1366</v>
      </c>
      <c r="D3" t="s">
        <v>1409</v>
      </c>
      <c r="E3" t="s">
        <v>1411</v>
      </c>
      <c r="F3">
        <v>1</v>
      </c>
      <c r="G3">
        <v>1</v>
      </c>
      <c r="H3" s="582">
        <v>0</v>
      </c>
      <c r="I3" s="582">
        <v>0</v>
      </c>
      <c r="J3" s="582">
        <v>0</v>
      </c>
      <c r="K3" s="582">
        <v>0</v>
      </c>
      <c r="L3" s="582">
        <v>0</v>
      </c>
      <c r="M3" s="582">
        <v>0</v>
      </c>
      <c r="N3" s="582">
        <v>0</v>
      </c>
      <c r="O3" s="582">
        <v>0</v>
      </c>
      <c r="P3" s="582">
        <v>1</v>
      </c>
      <c r="Q3">
        <v>1</v>
      </c>
      <c r="R3">
        <v>1</v>
      </c>
      <c r="S3">
        <v>1</v>
      </c>
      <c r="T3" t="s">
        <v>1421</v>
      </c>
      <c r="U3" t="s">
        <v>1422</v>
      </c>
      <c r="V3">
        <v>0</v>
      </c>
      <c r="W3">
        <v>0</v>
      </c>
      <c r="X3">
        <v>2</v>
      </c>
      <c r="Y3" t="s">
        <v>1431</v>
      </c>
      <c r="Z3" t="s">
        <v>1441</v>
      </c>
      <c r="AD3" t="s">
        <v>1425</v>
      </c>
      <c r="AE3">
        <v>100</v>
      </c>
      <c r="AF3" t="s">
        <v>297</v>
      </c>
      <c r="AG3" s="738" t="s">
        <v>8785</v>
      </c>
    </row>
    <row r="4" spans="1:43" ht="15.55" customHeight="1">
      <c r="A4" t="s">
        <v>1398</v>
      </c>
      <c r="B4" t="s">
        <v>1369</v>
      </c>
      <c r="C4" t="s">
        <v>1366</v>
      </c>
      <c r="D4" t="s">
        <v>1409</v>
      </c>
      <c r="E4" t="s">
        <v>1411</v>
      </c>
      <c r="F4">
        <v>1</v>
      </c>
      <c r="G4">
        <v>1</v>
      </c>
      <c r="H4" s="582">
        <v>0</v>
      </c>
      <c r="I4" s="582">
        <v>0</v>
      </c>
      <c r="J4" s="582">
        <v>0</v>
      </c>
      <c r="K4" s="582">
        <v>1</v>
      </c>
      <c r="L4" s="582">
        <v>0</v>
      </c>
      <c r="M4" s="582">
        <v>0</v>
      </c>
      <c r="N4" s="582">
        <v>0</v>
      </c>
      <c r="O4" s="582">
        <v>0</v>
      </c>
      <c r="P4" s="582">
        <v>0</v>
      </c>
      <c r="Q4">
        <v>1</v>
      </c>
      <c r="R4">
        <v>1</v>
      </c>
      <c r="S4">
        <v>1</v>
      </c>
      <c r="T4" t="s">
        <v>1421</v>
      </c>
      <c r="U4" t="s">
        <v>1422</v>
      </c>
      <c r="V4">
        <v>0</v>
      </c>
      <c r="W4">
        <v>0</v>
      </c>
      <c r="X4">
        <v>2</v>
      </c>
      <c r="Y4" t="s">
        <v>1432</v>
      </c>
      <c r="Z4" t="s">
        <v>1442</v>
      </c>
      <c r="AD4" t="s">
        <v>1425</v>
      </c>
      <c r="AE4">
        <v>100</v>
      </c>
      <c r="AF4" t="s">
        <v>297</v>
      </c>
      <c r="AG4" s="738" t="s">
        <v>8785</v>
      </c>
    </row>
    <row r="5" spans="1:43" ht="15.55" customHeight="1">
      <c r="A5" t="s">
        <v>1399</v>
      </c>
      <c r="B5" t="s">
        <v>1371</v>
      </c>
      <c r="C5" t="s">
        <v>1366</v>
      </c>
      <c r="D5" t="s">
        <v>1409</v>
      </c>
      <c r="E5" t="s">
        <v>1411</v>
      </c>
      <c r="F5">
        <v>1</v>
      </c>
      <c r="G5">
        <v>1</v>
      </c>
      <c r="H5" s="582">
        <v>0</v>
      </c>
      <c r="I5" s="582">
        <v>0</v>
      </c>
      <c r="J5" s="582">
        <v>0</v>
      </c>
      <c r="K5" s="582">
        <v>0</v>
      </c>
      <c r="L5" s="582">
        <v>0</v>
      </c>
      <c r="M5" s="582">
        <v>0</v>
      </c>
      <c r="N5" s="582">
        <v>1</v>
      </c>
      <c r="O5" s="582">
        <v>0</v>
      </c>
      <c r="P5" s="582">
        <v>0</v>
      </c>
      <c r="Q5">
        <v>1</v>
      </c>
      <c r="R5">
        <v>1</v>
      </c>
      <c r="S5">
        <v>1</v>
      </c>
      <c r="T5" t="s">
        <v>1421</v>
      </c>
      <c r="U5" t="s">
        <v>1422</v>
      </c>
      <c r="V5">
        <v>0</v>
      </c>
      <c r="W5">
        <v>0</v>
      </c>
      <c r="X5">
        <v>2</v>
      </c>
      <c r="Y5" t="s">
        <v>1433</v>
      </c>
      <c r="Z5" t="s">
        <v>1443</v>
      </c>
      <c r="AD5" t="s">
        <v>1425</v>
      </c>
      <c r="AE5">
        <v>100</v>
      </c>
      <c r="AF5" t="s">
        <v>297</v>
      </c>
      <c r="AG5" s="738" t="s">
        <v>8785</v>
      </c>
    </row>
    <row r="6" spans="1:43" ht="15.55" customHeight="1">
      <c r="A6" t="s">
        <v>1400</v>
      </c>
      <c r="B6" t="s">
        <v>1374</v>
      </c>
      <c r="C6" t="s">
        <v>1366</v>
      </c>
      <c r="D6" t="s">
        <v>1409</v>
      </c>
      <c r="E6" t="s">
        <v>1411</v>
      </c>
      <c r="F6">
        <v>1</v>
      </c>
      <c r="G6">
        <v>1</v>
      </c>
      <c r="H6" s="582">
        <v>0</v>
      </c>
      <c r="I6" s="582">
        <v>0</v>
      </c>
      <c r="J6" s="582">
        <v>0</v>
      </c>
      <c r="K6" s="582">
        <v>0</v>
      </c>
      <c r="L6" s="582">
        <v>1</v>
      </c>
      <c r="M6" s="582">
        <v>0</v>
      </c>
      <c r="N6" s="582">
        <v>0</v>
      </c>
      <c r="O6" s="582">
        <v>0</v>
      </c>
      <c r="P6" s="582">
        <v>0</v>
      </c>
      <c r="Q6">
        <v>1</v>
      </c>
      <c r="R6">
        <v>1</v>
      </c>
      <c r="S6">
        <v>1</v>
      </c>
      <c r="T6" t="s">
        <v>1421</v>
      </c>
      <c r="U6" t="s">
        <v>1422</v>
      </c>
      <c r="V6">
        <v>0</v>
      </c>
      <c r="W6">
        <v>0</v>
      </c>
      <c r="X6">
        <v>2</v>
      </c>
      <c r="Y6" t="s">
        <v>1434</v>
      </c>
      <c r="Z6" t="s">
        <v>1444</v>
      </c>
      <c r="AD6" t="s">
        <v>1425</v>
      </c>
      <c r="AE6">
        <v>100</v>
      </c>
      <c r="AF6" t="s">
        <v>297</v>
      </c>
      <c r="AG6" s="738" t="s">
        <v>8785</v>
      </c>
    </row>
    <row r="7" spans="1:43" ht="15.55" customHeight="1">
      <c r="A7" t="s">
        <v>1401</v>
      </c>
      <c r="B7" t="s">
        <v>1377</v>
      </c>
      <c r="C7" t="s">
        <v>1366</v>
      </c>
      <c r="D7" t="s">
        <v>1409</v>
      </c>
      <c r="E7" t="s">
        <v>1411</v>
      </c>
      <c r="F7">
        <v>1</v>
      </c>
      <c r="G7">
        <v>1</v>
      </c>
      <c r="H7" s="582">
        <v>0</v>
      </c>
      <c r="I7" s="582">
        <v>0</v>
      </c>
      <c r="J7" s="582">
        <v>0</v>
      </c>
      <c r="K7" s="582">
        <v>0</v>
      </c>
      <c r="L7" s="582">
        <v>0</v>
      </c>
      <c r="M7" s="582">
        <v>0</v>
      </c>
      <c r="N7" s="582">
        <v>0</v>
      </c>
      <c r="O7" s="582">
        <v>1</v>
      </c>
      <c r="P7" s="582">
        <v>0</v>
      </c>
      <c r="Q7">
        <v>1</v>
      </c>
      <c r="R7">
        <v>1</v>
      </c>
      <c r="S7">
        <v>1</v>
      </c>
      <c r="T7" t="s">
        <v>1421</v>
      </c>
      <c r="U7" t="s">
        <v>1422</v>
      </c>
      <c r="V7">
        <v>0</v>
      </c>
      <c r="W7">
        <v>0</v>
      </c>
      <c r="X7">
        <v>2</v>
      </c>
      <c r="Y7" t="s">
        <v>1435</v>
      </c>
      <c r="Z7" t="s">
        <v>1445</v>
      </c>
      <c r="AD7" t="s">
        <v>1425</v>
      </c>
      <c r="AE7">
        <v>100</v>
      </c>
      <c r="AF7" t="s">
        <v>297</v>
      </c>
      <c r="AG7" s="738" t="s">
        <v>8785</v>
      </c>
    </row>
    <row r="8" spans="1:43" ht="15.55" customHeight="1">
      <c r="A8" t="s">
        <v>1402</v>
      </c>
      <c r="B8" t="s">
        <v>1379</v>
      </c>
      <c r="C8" t="s">
        <v>1366</v>
      </c>
      <c r="D8" t="s">
        <v>1409</v>
      </c>
      <c r="E8" t="s">
        <v>1411</v>
      </c>
      <c r="F8">
        <v>1</v>
      </c>
      <c r="G8">
        <v>1</v>
      </c>
      <c r="H8" s="582">
        <v>0</v>
      </c>
      <c r="I8" s="582">
        <v>0</v>
      </c>
      <c r="J8" s="582">
        <v>1</v>
      </c>
      <c r="K8" s="582">
        <v>0</v>
      </c>
      <c r="L8" s="582">
        <v>0</v>
      </c>
      <c r="M8" s="582">
        <v>0</v>
      </c>
      <c r="N8" s="582">
        <v>0</v>
      </c>
      <c r="O8" s="582">
        <v>0</v>
      </c>
      <c r="P8" s="582">
        <v>0</v>
      </c>
      <c r="Q8">
        <v>1</v>
      </c>
      <c r="R8">
        <v>1</v>
      </c>
      <c r="S8">
        <v>1</v>
      </c>
      <c r="T8" t="s">
        <v>1421</v>
      </c>
      <c r="U8" t="s">
        <v>1422</v>
      </c>
      <c r="V8">
        <v>0</v>
      </c>
      <c r="W8">
        <v>0</v>
      </c>
      <c r="X8">
        <v>2</v>
      </c>
      <c r="Y8" t="s">
        <v>1430</v>
      </c>
      <c r="Z8" t="s">
        <v>1446</v>
      </c>
      <c r="AD8" t="s">
        <v>1425</v>
      </c>
      <c r="AE8">
        <v>100</v>
      </c>
      <c r="AF8" t="s">
        <v>297</v>
      </c>
      <c r="AG8" s="738" t="s">
        <v>8785</v>
      </c>
    </row>
    <row r="9" spans="1:43" ht="15.55" customHeight="1">
      <c r="A9" t="s">
        <v>1403</v>
      </c>
      <c r="B9" t="s">
        <v>1381</v>
      </c>
      <c r="C9" t="s">
        <v>1366</v>
      </c>
      <c r="D9" t="s">
        <v>1409</v>
      </c>
      <c r="E9" t="s">
        <v>1411</v>
      </c>
      <c r="F9">
        <v>1</v>
      </c>
      <c r="G9">
        <v>1</v>
      </c>
      <c r="H9" s="582">
        <v>0</v>
      </c>
      <c r="I9" s="582">
        <v>0</v>
      </c>
      <c r="J9" s="582">
        <v>0</v>
      </c>
      <c r="K9" s="582">
        <v>0</v>
      </c>
      <c r="L9" s="582">
        <v>0</v>
      </c>
      <c r="M9" s="582">
        <v>1</v>
      </c>
      <c r="N9" s="582">
        <v>0</v>
      </c>
      <c r="O9" s="582">
        <v>0</v>
      </c>
      <c r="P9" s="582">
        <v>0</v>
      </c>
      <c r="Q9">
        <v>1</v>
      </c>
      <c r="R9">
        <v>1</v>
      </c>
      <c r="S9">
        <v>1</v>
      </c>
      <c r="T9" t="s">
        <v>1421</v>
      </c>
      <c r="U9" t="s">
        <v>1422</v>
      </c>
      <c r="V9">
        <v>0</v>
      </c>
      <c r="W9">
        <v>0</v>
      </c>
      <c r="X9">
        <v>2</v>
      </c>
      <c r="Y9" t="s">
        <v>1436</v>
      </c>
      <c r="Z9" t="s">
        <v>1447</v>
      </c>
      <c r="AD9" t="s">
        <v>1425</v>
      </c>
      <c r="AE9">
        <v>100</v>
      </c>
      <c r="AF9" t="s">
        <v>297</v>
      </c>
      <c r="AG9" s="738" t="s">
        <v>8785</v>
      </c>
    </row>
    <row r="10" spans="1:43" ht="15.55" customHeight="1">
      <c r="A10" t="s">
        <v>1404</v>
      </c>
      <c r="B10" t="s">
        <v>1383</v>
      </c>
      <c r="C10" t="s">
        <v>1366</v>
      </c>
      <c r="D10" t="s">
        <v>1409</v>
      </c>
      <c r="E10" t="s">
        <v>1411</v>
      </c>
      <c r="F10">
        <v>1</v>
      </c>
      <c r="G10">
        <v>1</v>
      </c>
      <c r="H10" s="582">
        <v>0</v>
      </c>
      <c r="I10" s="582">
        <v>1</v>
      </c>
      <c r="J10" s="582">
        <v>0</v>
      </c>
      <c r="K10" s="582">
        <v>0</v>
      </c>
      <c r="L10" s="582">
        <v>0</v>
      </c>
      <c r="M10" s="582">
        <v>0</v>
      </c>
      <c r="N10" s="582">
        <v>0</v>
      </c>
      <c r="O10" s="582">
        <v>0</v>
      </c>
      <c r="P10" s="582">
        <v>0</v>
      </c>
      <c r="Q10">
        <v>1</v>
      </c>
      <c r="R10">
        <v>1</v>
      </c>
      <c r="S10">
        <v>1</v>
      </c>
      <c r="T10" t="s">
        <v>1421</v>
      </c>
      <c r="U10" t="s">
        <v>1422</v>
      </c>
      <c r="V10">
        <v>0</v>
      </c>
      <c r="W10">
        <v>0</v>
      </c>
      <c r="X10">
        <v>2</v>
      </c>
      <c r="Y10" t="s">
        <v>1437</v>
      </c>
      <c r="Z10" t="s">
        <v>1448</v>
      </c>
      <c r="AD10" t="s">
        <v>1425</v>
      </c>
      <c r="AE10">
        <v>100</v>
      </c>
      <c r="AF10" t="s">
        <v>297</v>
      </c>
      <c r="AG10" s="738" t="s">
        <v>8785</v>
      </c>
    </row>
    <row r="11" spans="1:43" ht="15.55" customHeight="1">
      <c r="A11" t="s">
        <v>1405</v>
      </c>
      <c r="B11" t="s">
        <v>1385</v>
      </c>
      <c r="C11" t="s">
        <v>1366</v>
      </c>
      <c r="D11" t="s">
        <v>1409</v>
      </c>
      <c r="E11" t="s">
        <v>1411</v>
      </c>
      <c r="F11">
        <v>1</v>
      </c>
      <c r="G11">
        <v>1</v>
      </c>
      <c r="H11" s="582">
        <v>1</v>
      </c>
      <c r="I11" s="582">
        <v>0</v>
      </c>
      <c r="J11" s="582">
        <v>0</v>
      </c>
      <c r="K11" s="582">
        <v>0</v>
      </c>
      <c r="L11" s="582">
        <v>0</v>
      </c>
      <c r="M11" s="582">
        <v>0</v>
      </c>
      <c r="N11" s="582">
        <v>0</v>
      </c>
      <c r="O11" s="582">
        <v>0</v>
      </c>
      <c r="P11" s="582">
        <v>0</v>
      </c>
      <c r="Q11">
        <v>1</v>
      </c>
      <c r="R11">
        <v>1</v>
      </c>
      <c r="S11">
        <v>1</v>
      </c>
      <c r="T11" t="s">
        <v>1421</v>
      </c>
      <c r="U11" t="s">
        <v>1422</v>
      </c>
      <c r="V11">
        <v>0</v>
      </c>
      <c r="W11">
        <v>0</v>
      </c>
      <c r="X11">
        <v>2</v>
      </c>
      <c r="Y11" t="s">
        <v>1438</v>
      </c>
      <c r="Z11" t="s">
        <v>1449</v>
      </c>
      <c r="AD11" t="s">
        <v>1425</v>
      </c>
      <c r="AE11">
        <v>100</v>
      </c>
      <c r="AF11" t="s">
        <v>297</v>
      </c>
      <c r="AG11" s="738" t="s">
        <v>8785</v>
      </c>
    </row>
    <row r="12" spans="1:43" ht="15.55" customHeight="1">
      <c r="A12" t="s">
        <v>1451</v>
      </c>
      <c r="B12" s="703" t="s">
        <v>2465</v>
      </c>
      <c r="C12" t="s">
        <v>1376</v>
      </c>
      <c r="D12" t="s">
        <v>1462</v>
      </c>
      <c r="E12" t="s">
        <v>1411</v>
      </c>
      <c r="F12">
        <v>3</v>
      </c>
      <c r="G12">
        <v>3</v>
      </c>
      <c r="H12" s="582">
        <v>0</v>
      </c>
      <c r="I12" s="582">
        <v>0</v>
      </c>
      <c r="J12" s="582">
        <v>0</v>
      </c>
      <c r="K12" s="582">
        <v>0</v>
      </c>
      <c r="L12" s="582">
        <v>0</v>
      </c>
      <c r="M12" s="582">
        <v>0</v>
      </c>
      <c r="N12" s="582">
        <v>0</v>
      </c>
      <c r="O12" s="582">
        <v>0</v>
      </c>
      <c r="P12" s="582">
        <v>0</v>
      </c>
      <c r="Q12">
        <v>1</v>
      </c>
      <c r="R12">
        <v>1</v>
      </c>
      <c r="S12">
        <v>1</v>
      </c>
      <c r="T12" t="s">
        <v>1463</v>
      </c>
      <c r="U12" t="s">
        <v>1423</v>
      </c>
      <c r="V12">
        <v>0</v>
      </c>
      <c r="W12">
        <v>0</v>
      </c>
      <c r="X12">
        <v>2</v>
      </c>
      <c r="AD12" t="s">
        <v>1466</v>
      </c>
      <c r="AE12">
        <v>100</v>
      </c>
      <c r="AF12" t="s">
        <v>297</v>
      </c>
      <c r="AG12" s="738" t="s">
        <v>8754</v>
      </c>
    </row>
    <row r="13" spans="1:43" ht="15.55" customHeight="1">
      <c r="A13" t="s">
        <v>1452</v>
      </c>
      <c r="B13" t="s">
        <v>1367</v>
      </c>
      <c r="C13" t="s">
        <v>1376</v>
      </c>
      <c r="D13" t="s">
        <v>1411</v>
      </c>
      <c r="E13" t="s">
        <v>1411</v>
      </c>
      <c r="F13">
        <v>2</v>
      </c>
      <c r="G13">
        <v>1</v>
      </c>
      <c r="H13" s="582">
        <v>0</v>
      </c>
      <c r="I13" s="582">
        <v>0</v>
      </c>
      <c r="J13" s="582">
        <v>0</v>
      </c>
      <c r="K13" s="582">
        <v>0</v>
      </c>
      <c r="L13" s="582">
        <v>0</v>
      </c>
      <c r="M13" s="582">
        <v>0</v>
      </c>
      <c r="N13" s="582">
        <v>0</v>
      </c>
      <c r="O13" s="582">
        <v>0</v>
      </c>
      <c r="P13" s="582">
        <v>0.5</v>
      </c>
      <c r="Q13">
        <v>1</v>
      </c>
      <c r="R13">
        <v>1</v>
      </c>
      <c r="S13">
        <v>1</v>
      </c>
      <c r="T13" t="s">
        <v>1463</v>
      </c>
      <c r="U13" t="s">
        <v>1422</v>
      </c>
      <c r="V13">
        <v>0</v>
      </c>
      <c r="W13">
        <v>0</v>
      </c>
      <c r="X13">
        <v>2</v>
      </c>
      <c r="Z13" t="s">
        <v>1469</v>
      </c>
      <c r="AD13" t="s">
        <v>1466</v>
      </c>
      <c r="AE13">
        <v>100</v>
      </c>
      <c r="AF13" t="s">
        <v>297</v>
      </c>
      <c r="AG13" s="738" t="s">
        <v>8754</v>
      </c>
    </row>
    <row r="14" spans="1:43" ht="15.55" customHeight="1">
      <c r="A14" t="s">
        <v>1453</v>
      </c>
      <c r="B14" t="s">
        <v>1369</v>
      </c>
      <c r="C14" t="s">
        <v>1376</v>
      </c>
      <c r="D14" t="s">
        <v>1411</v>
      </c>
      <c r="E14" t="s">
        <v>1411</v>
      </c>
      <c r="F14">
        <v>2</v>
      </c>
      <c r="G14">
        <v>1</v>
      </c>
      <c r="H14" s="582">
        <v>0</v>
      </c>
      <c r="I14" s="582">
        <v>0</v>
      </c>
      <c r="J14" s="582">
        <v>0</v>
      </c>
      <c r="K14" s="582">
        <v>0.5</v>
      </c>
      <c r="L14" s="582">
        <v>0</v>
      </c>
      <c r="M14" s="582">
        <v>0</v>
      </c>
      <c r="N14" s="582">
        <v>0</v>
      </c>
      <c r="O14" s="582">
        <v>0</v>
      </c>
      <c r="P14" s="582">
        <v>0</v>
      </c>
      <c r="Q14">
        <v>1</v>
      </c>
      <c r="R14">
        <v>1</v>
      </c>
      <c r="S14">
        <v>1</v>
      </c>
      <c r="T14" t="s">
        <v>1463</v>
      </c>
      <c r="U14" t="s">
        <v>1422</v>
      </c>
      <c r="V14">
        <v>0</v>
      </c>
      <c r="W14">
        <v>0</v>
      </c>
      <c r="X14">
        <v>2</v>
      </c>
      <c r="Z14" t="s">
        <v>1469</v>
      </c>
      <c r="AD14" t="s">
        <v>1466</v>
      </c>
      <c r="AE14">
        <v>100</v>
      </c>
      <c r="AF14" t="s">
        <v>297</v>
      </c>
      <c r="AG14" s="738" t="s">
        <v>8754</v>
      </c>
    </row>
    <row r="15" spans="1:43" ht="15.55" customHeight="1">
      <c r="A15" t="s">
        <v>1454</v>
      </c>
      <c r="B15" t="s">
        <v>1371</v>
      </c>
      <c r="C15" t="s">
        <v>1376</v>
      </c>
      <c r="D15" t="s">
        <v>1411</v>
      </c>
      <c r="E15" t="s">
        <v>1411</v>
      </c>
      <c r="F15">
        <v>1</v>
      </c>
      <c r="G15">
        <v>1</v>
      </c>
      <c r="H15" s="582">
        <v>0</v>
      </c>
      <c r="I15" s="582">
        <v>0</v>
      </c>
      <c r="J15" s="582">
        <v>0</v>
      </c>
      <c r="K15" s="582">
        <v>0</v>
      </c>
      <c r="L15" s="582">
        <v>0</v>
      </c>
      <c r="M15" s="582">
        <v>0</v>
      </c>
      <c r="N15" s="582">
        <v>0.5</v>
      </c>
      <c r="O15" s="582">
        <v>0</v>
      </c>
      <c r="P15" s="582">
        <v>0</v>
      </c>
      <c r="Q15">
        <v>1</v>
      </c>
      <c r="R15">
        <v>1</v>
      </c>
      <c r="S15">
        <v>1</v>
      </c>
      <c r="T15" t="s">
        <v>1463</v>
      </c>
      <c r="U15" t="s">
        <v>1422</v>
      </c>
      <c r="V15">
        <v>0</v>
      </c>
      <c r="W15">
        <v>0</v>
      </c>
      <c r="X15">
        <v>2</v>
      </c>
      <c r="Z15" t="s">
        <v>1470</v>
      </c>
      <c r="AD15" t="s">
        <v>1466</v>
      </c>
      <c r="AE15">
        <v>100</v>
      </c>
      <c r="AF15" t="s">
        <v>297</v>
      </c>
      <c r="AG15" s="738" t="s">
        <v>8754</v>
      </c>
    </row>
    <row r="16" spans="1:43" ht="15.55" customHeight="1">
      <c r="A16" t="s">
        <v>1455</v>
      </c>
      <c r="B16" t="s">
        <v>1374</v>
      </c>
      <c r="C16" t="s">
        <v>1376</v>
      </c>
      <c r="D16" t="s">
        <v>1411</v>
      </c>
      <c r="E16" t="s">
        <v>1411</v>
      </c>
      <c r="F16">
        <v>2</v>
      </c>
      <c r="G16">
        <v>1</v>
      </c>
      <c r="H16" s="582">
        <v>0</v>
      </c>
      <c r="I16" s="582">
        <v>0</v>
      </c>
      <c r="J16" s="582">
        <v>0</v>
      </c>
      <c r="K16" s="582">
        <v>0</v>
      </c>
      <c r="L16" s="582">
        <v>0.5</v>
      </c>
      <c r="M16" s="582">
        <v>0</v>
      </c>
      <c r="N16" s="582">
        <v>0</v>
      </c>
      <c r="O16" s="582">
        <v>0</v>
      </c>
      <c r="P16" s="582">
        <v>0</v>
      </c>
      <c r="Q16">
        <v>1</v>
      </c>
      <c r="R16">
        <v>1</v>
      </c>
      <c r="S16">
        <v>1</v>
      </c>
      <c r="T16" t="s">
        <v>1464</v>
      </c>
      <c r="U16" t="s">
        <v>1422</v>
      </c>
      <c r="V16">
        <v>0</v>
      </c>
      <c r="W16">
        <v>0</v>
      </c>
      <c r="X16">
        <v>2</v>
      </c>
      <c r="AD16" t="s">
        <v>1466</v>
      </c>
      <c r="AE16">
        <v>100</v>
      </c>
      <c r="AF16" t="s">
        <v>297</v>
      </c>
      <c r="AG16" s="738" t="s">
        <v>8754</v>
      </c>
    </row>
    <row r="17" spans="1:33" ht="15.55" customHeight="1">
      <c r="A17" t="s">
        <v>1456</v>
      </c>
      <c r="B17" t="s">
        <v>1377</v>
      </c>
      <c r="C17" t="s">
        <v>1376</v>
      </c>
      <c r="D17" t="s">
        <v>1411</v>
      </c>
      <c r="E17" t="s">
        <v>1411</v>
      </c>
      <c r="F17">
        <v>2</v>
      </c>
      <c r="G17">
        <v>1</v>
      </c>
      <c r="H17" s="582">
        <v>0</v>
      </c>
      <c r="I17" s="582">
        <v>0</v>
      </c>
      <c r="J17" s="582">
        <v>0</v>
      </c>
      <c r="K17" s="582">
        <v>0</v>
      </c>
      <c r="L17" s="582">
        <v>0</v>
      </c>
      <c r="M17" s="582">
        <v>0</v>
      </c>
      <c r="N17" s="582">
        <v>0</v>
      </c>
      <c r="O17" s="582">
        <v>0.5</v>
      </c>
      <c r="P17" s="582">
        <v>0</v>
      </c>
      <c r="Q17">
        <v>1</v>
      </c>
      <c r="R17">
        <v>1</v>
      </c>
      <c r="S17">
        <v>1</v>
      </c>
      <c r="T17" t="s">
        <v>1463</v>
      </c>
      <c r="U17" t="s">
        <v>1422</v>
      </c>
      <c r="V17">
        <v>0</v>
      </c>
      <c r="W17">
        <v>0</v>
      </c>
      <c r="X17">
        <v>2</v>
      </c>
      <c r="Z17" t="s">
        <v>1469</v>
      </c>
      <c r="AD17" t="s">
        <v>1466</v>
      </c>
      <c r="AE17">
        <v>100</v>
      </c>
      <c r="AF17" t="s">
        <v>297</v>
      </c>
      <c r="AG17" s="738" t="s">
        <v>8754</v>
      </c>
    </row>
    <row r="18" spans="1:33" ht="15.55" customHeight="1">
      <c r="A18" t="s">
        <v>1457</v>
      </c>
      <c r="B18" t="s">
        <v>1379</v>
      </c>
      <c r="C18" t="s">
        <v>1376</v>
      </c>
      <c r="D18" t="s">
        <v>1411</v>
      </c>
      <c r="E18" t="s">
        <v>1411</v>
      </c>
      <c r="F18">
        <v>2</v>
      </c>
      <c r="G18">
        <v>1</v>
      </c>
      <c r="H18" s="582">
        <v>0</v>
      </c>
      <c r="I18" s="582">
        <v>0</v>
      </c>
      <c r="J18" s="582">
        <v>0.5</v>
      </c>
      <c r="K18" s="582">
        <v>0</v>
      </c>
      <c r="L18" s="582">
        <v>0</v>
      </c>
      <c r="M18" s="582">
        <v>0</v>
      </c>
      <c r="N18" s="582">
        <v>0</v>
      </c>
      <c r="O18" s="582">
        <v>0</v>
      </c>
      <c r="P18" s="582">
        <v>0</v>
      </c>
      <c r="Q18">
        <v>1</v>
      </c>
      <c r="R18">
        <v>1</v>
      </c>
      <c r="S18">
        <v>1</v>
      </c>
      <c r="T18" t="s">
        <v>1463</v>
      </c>
      <c r="U18" t="s">
        <v>1422</v>
      </c>
      <c r="V18">
        <v>0</v>
      </c>
      <c r="W18">
        <v>0</v>
      </c>
      <c r="X18">
        <v>2</v>
      </c>
      <c r="Z18" t="s">
        <v>1469</v>
      </c>
      <c r="AD18" t="s">
        <v>1466</v>
      </c>
      <c r="AE18">
        <v>100</v>
      </c>
      <c r="AF18" t="s">
        <v>297</v>
      </c>
      <c r="AG18" s="738" t="s">
        <v>8754</v>
      </c>
    </row>
    <row r="19" spans="1:33" ht="15.55" customHeight="1">
      <c r="A19" t="s">
        <v>1458</v>
      </c>
      <c r="B19" t="s">
        <v>1381</v>
      </c>
      <c r="C19" t="s">
        <v>1376</v>
      </c>
      <c r="D19" t="s">
        <v>1411</v>
      </c>
      <c r="E19" t="s">
        <v>1411</v>
      </c>
      <c r="F19">
        <v>2</v>
      </c>
      <c r="G19">
        <v>4</v>
      </c>
      <c r="H19" s="582">
        <v>0</v>
      </c>
      <c r="I19" s="582">
        <v>0</v>
      </c>
      <c r="J19" s="582">
        <v>0</v>
      </c>
      <c r="K19" s="582">
        <v>0</v>
      </c>
      <c r="L19" s="582">
        <v>0</v>
      </c>
      <c r="M19" s="582">
        <v>0.5</v>
      </c>
      <c r="N19" s="582">
        <v>0</v>
      </c>
      <c r="O19" s="582">
        <v>0</v>
      </c>
      <c r="P19" s="582">
        <v>0</v>
      </c>
      <c r="Q19">
        <v>2</v>
      </c>
      <c r="R19">
        <v>1</v>
      </c>
      <c r="S19">
        <v>1</v>
      </c>
      <c r="T19" t="s">
        <v>1463</v>
      </c>
      <c r="U19" t="s">
        <v>1422</v>
      </c>
      <c r="V19">
        <v>0</v>
      </c>
      <c r="W19">
        <v>0</v>
      </c>
      <c r="X19">
        <v>2</v>
      </c>
      <c r="AD19" t="s">
        <v>1466</v>
      </c>
      <c r="AE19">
        <v>100</v>
      </c>
      <c r="AF19" t="s">
        <v>297</v>
      </c>
      <c r="AG19" s="738" t="s">
        <v>8754</v>
      </c>
    </row>
    <row r="20" spans="1:33" ht="15.55" customHeight="1">
      <c r="A20" t="s">
        <v>1459</v>
      </c>
      <c r="B20" t="s">
        <v>1383</v>
      </c>
      <c r="C20" t="s">
        <v>1376</v>
      </c>
      <c r="D20" t="s">
        <v>1411</v>
      </c>
      <c r="E20" t="s">
        <v>1411</v>
      </c>
      <c r="F20">
        <v>2</v>
      </c>
      <c r="G20">
        <v>1</v>
      </c>
      <c r="H20" s="582">
        <v>0</v>
      </c>
      <c r="I20" s="582">
        <v>0.5</v>
      </c>
      <c r="J20" s="582">
        <v>0</v>
      </c>
      <c r="K20" s="582">
        <v>0</v>
      </c>
      <c r="L20" s="582">
        <v>0</v>
      </c>
      <c r="M20" s="582">
        <v>0</v>
      </c>
      <c r="N20" s="582">
        <v>0</v>
      </c>
      <c r="O20" s="582">
        <v>0</v>
      </c>
      <c r="P20" s="582">
        <v>0</v>
      </c>
      <c r="Q20">
        <v>1</v>
      </c>
      <c r="R20">
        <v>1</v>
      </c>
      <c r="S20">
        <v>1</v>
      </c>
      <c r="T20" t="s">
        <v>1463</v>
      </c>
      <c r="U20" t="s">
        <v>1422</v>
      </c>
      <c r="V20">
        <v>0</v>
      </c>
      <c r="W20">
        <v>0</v>
      </c>
      <c r="X20">
        <v>2</v>
      </c>
      <c r="Z20" t="s">
        <v>1469</v>
      </c>
      <c r="AD20" t="s">
        <v>1466</v>
      </c>
      <c r="AE20">
        <v>100</v>
      </c>
      <c r="AF20" t="s">
        <v>297</v>
      </c>
      <c r="AG20" s="738" t="s">
        <v>8754</v>
      </c>
    </row>
    <row r="21" spans="1:33" ht="15.55" customHeight="1">
      <c r="A21" t="s">
        <v>1460</v>
      </c>
      <c r="B21" t="s">
        <v>1385</v>
      </c>
      <c r="C21" t="s">
        <v>1376</v>
      </c>
      <c r="D21" t="s">
        <v>1411</v>
      </c>
      <c r="E21" t="s">
        <v>1411</v>
      </c>
      <c r="F21">
        <v>2</v>
      </c>
      <c r="G21">
        <v>1</v>
      </c>
      <c r="H21" s="582">
        <v>0.5</v>
      </c>
      <c r="I21" s="582">
        <v>0</v>
      </c>
      <c r="J21" s="582">
        <v>0</v>
      </c>
      <c r="K21" s="582">
        <v>0</v>
      </c>
      <c r="L21" s="582">
        <v>0</v>
      </c>
      <c r="M21" s="582">
        <v>0</v>
      </c>
      <c r="N21" s="582">
        <v>0</v>
      </c>
      <c r="O21" s="582">
        <v>0</v>
      </c>
      <c r="P21" s="582">
        <v>0</v>
      </c>
      <c r="Q21">
        <v>1</v>
      </c>
      <c r="R21">
        <v>1</v>
      </c>
      <c r="S21">
        <v>1</v>
      </c>
      <c r="T21" t="s">
        <v>1463</v>
      </c>
      <c r="U21" t="s">
        <v>1422</v>
      </c>
      <c r="V21">
        <v>0</v>
      </c>
      <c r="W21">
        <v>0</v>
      </c>
      <c r="X21">
        <v>2</v>
      </c>
      <c r="Z21" t="s">
        <v>1469</v>
      </c>
      <c r="AD21" t="s">
        <v>1466</v>
      </c>
      <c r="AE21">
        <v>100</v>
      </c>
      <c r="AF21" t="s">
        <v>297</v>
      </c>
      <c r="AG21" s="738" t="s">
        <v>8754</v>
      </c>
    </row>
    <row r="22" spans="1:33" ht="15.55" customHeight="1">
      <c r="A22" t="s">
        <v>1471</v>
      </c>
      <c r="B22" s="703" t="s">
        <v>2465</v>
      </c>
      <c r="C22" t="s">
        <v>1376</v>
      </c>
      <c r="D22" t="s">
        <v>1482</v>
      </c>
      <c r="E22" t="s">
        <v>2028</v>
      </c>
      <c r="F22">
        <v>1</v>
      </c>
      <c r="G22">
        <v>1</v>
      </c>
      <c r="H22" s="582">
        <v>0</v>
      </c>
      <c r="I22" s="582">
        <v>0</v>
      </c>
      <c r="J22" s="582">
        <v>-0.5</v>
      </c>
      <c r="K22" s="582">
        <v>-0.5</v>
      </c>
      <c r="L22" s="582">
        <v>0.5</v>
      </c>
      <c r="M22" s="582">
        <v>-0.5</v>
      </c>
      <c r="N22" s="582">
        <v>0</v>
      </c>
      <c r="O22" s="582">
        <v>0</v>
      </c>
      <c r="P22" s="582">
        <v>0</v>
      </c>
      <c r="Q22">
        <v>1</v>
      </c>
      <c r="R22">
        <v>1</v>
      </c>
      <c r="S22">
        <v>1</v>
      </c>
      <c r="T22" t="s">
        <v>1483</v>
      </c>
      <c r="U22" t="s">
        <v>1423</v>
      </c>
      <c r="V22">
        <v>0</v>
      </c>
      <c r="W22">
        <v>0</v>
      </c>
      <c r="X22">
        <v>2</v>
      </c>
      <c r="Y22" t="s">
        <v>1489</v>
      </c>
      <c r="AD22" t="s">
        <v>1487</v>
      </c>
      <c r="AE22">
        <v>100</v>
      </c>
      <c r="AF22" t="s">
        <v>297</v>
      </c>
      <c r="AG22" s="738" t="s">
        <v>8786</v>
      </c>
    </row>
    <row r="23" spans="1:33" ht="15.55" customHeight="1">
      <c r="A23" t="s">
        <v>1472</v>
      </c>
      <c r="B23" t="s">
        <v>1367</v>
      </c>
      <c r="C23" t="s">
        <v>1376</v>
      </c>
      <c r="D23" t="s">
        <v>1409</v>
      </c>
      <c r="E23" t="s">
        <v>2028</v>
      </c>
      <c r="F23">
        <v>1</v>
      </c>
      <c r="G23">
        <v>1</v>
      </c>
      <c r="H23" s="582">
        <v>0</v>
      </c>
      <c r="I23" s="582">
        <v>0</v>
      </c>
      <c r="J23" s="582">
        <v>0</v>
      </c>
      <c r="K23" s="582">
        <v>-1</v>
      </c>
      <c r="L23" s="582">
        <v>0</v>
      </c>
      <c r="M23" s="582">
        <v>0</v>
      </c>
      <c r="N23" s="582">
        <v>0</v>
      </c>
      <c r="O23" s="582">
        <v>0</v>
      </c>
      <c r="P23" s="582">
        <v>0.5</v>
      </c>
      <c r="Q23">
        <v>1</v>
      </c>
      <c r="R23">
        <v>1</v>
      </c>
      <c r="S23">
        <v>1</v>
      </c>
      <c r="T23" t="s">
        <v>1483</v>
      </c>
      <c r="U23" t="s">
        <v>1422</v>
      </c>
      <c r="V23">
        <v>0</v>
      </c>
      <c r="W23">
        <v>0</v>
      </c>
      <c r="X23">
        <v>2</v>
      </c>
      <c r="Y23" t="s">
        <v>1490</v>
      </c>
      <c r="AD23" t="s">
        <v>1487</v>
      </c>
      <c r="AE23">
        <v>100</v>
      </c>
      <c r="AF23" t="s">
        <v>297</v>
      </c>
      <c r="AG23" s="738" t="s">
        <v>8786</v>
      </c>
    </row>
    <row r="24" spans="1:33" ht="15.55" customHeight="1">
      <c r="A24" t="s">
        <v>1473</v>
      </c>
      <c r="B24" t="s">
        <v>1369</v>
      </c>
      <c r="C24" t="s">
        <v>1376</v>
      </c>
      <c r="D24" t="s">
        <v>1409</v>
      </c>
      <c r="E24" t="s">
        <v>2028</v>
      </c>
      <c r="F24">
        <v>1</v>
      </c>
      <c r="G24">
        <v>1</v>
      </c>
      <c r="H24" s="582">
        <v>0</v>
      </c>
      <c r="I24" s="582">
        <v>0</v>
      </c>
      <c r="J24" s="582">
        <v>0</v>
      </c>
      <c r="K24" s="582">
        <v>0.5</v>
      </c>
      <c r="L24" s="582">
        <v>0</v>
      </c>
      <c r="M24" s="582">
        <v>0</v>
      </c>
      <c r="N24" s="582">
        <v>0</v>
      </c>
      <c r="O24" s="582">
        <v>0</v>
      </c>
      <c r="P24" s="582">
        <v>0</v>
      </c>
      <c r="Q24">
        <v>1</v>
      </c>
      <c r="R24">
        <v>1</v>
      </c>
      <c r="S24">
        <v>1</v>
      </c>
      <c r="T24" t="s">
        <v>1483</v>
      </c>
      <c r="U24" t="s">
        <v>1422</v>
      </c>
      <c r="V24">
        <v>0</v>
      </c>
      <c r="W24">
        <v>0</v>
      </c>
      <c r="X24">
        <v>2</v>
      </c>
      <c r="Y24" t="s">
        <v>1491</v>
      </c>
      <c r="AD24" t="s">
        <v>1487</v>
      </c>
      <c r="AE24">
        <v>100</v>
      </c>
      <c r="AF24" t="s">
        <v>297</v>
      </c>
      <c r="AG24" s="738" t="s">
        <v>8786</v>
      </c>
    </row>
    <row r="25" spans="1:33" ht="15.55" customHeight="1">
      <c r="A25" t="s">
        <v>1474</v>
      </c>
      <c r="B25" t="s">
        <v>1371</v>
      </c>
      <c r="C25" t="s">
        <v>1376</v>
      </c>
      <c r="D25" t="s">
        <v>1409</v>
      </c>
      <c r="E25" t="s">
        <v>1411</v>
      </c>
      <c r="F25">
        <v>1</v>
      </c>
      <c r="G25">
        <v>1</v>
      </c>
      <c r="H25" s="582">
        <v>0.1</v>
      </c>
      <c r="I25" s="582">
        <v>0.1</v>
      </c>
      <c r="J25" s="582">
        <v>0.1</v>
      </c>
      <c r="K25" s="582">
        <v>0.1</v>
      </c>
      <c r="L25" s="582">
        <v>0.1</v>
      </c>
      <c r="M25" s="582">
        <v>0.1</v>
      </c>
      <c r="N25" s="582">
        <v>0.1</v>
      </c>
      <c r="O25" s="582">
        <v>0.1</v>
      </c>
      <c r="P25" s="582">
        <v>0.1</v>
      </c>
      <c r="Q25">
        <v>1</v>
      </c>
      <c r="R25">
        <v>1</v>
      </c>
      <c r="S25">
        <v>1</v>
      </c>
      <c r="T25" t="s">
        <v>1484</v>
      </c>
      <c r="U25" t="s">
        <v>1422</v>
      </c>
      <c r="V25">
        <v>0</v>
      </c>
      <c r="W25">
        <v>0</v>
      </c>
      <c r="X25">
        <v>2</v>
      </c>
      <c r="Y25" t="s">
        <v>1492</v>
      </c>
      <c r="Z25" t="s">
        <v>1498</v>
      </c>
      <c r="AD25" t="s">
        <v>1487</v>
      </c>
      <c r="AE25">
        <v>100</v>
      </c>
      <c r="AF25" t="s">
        <v>297</v>
      </c>
      <c r="AG25" s="738" t="s">
        <v>8786</v>
      </c>
    </row>
    <row r="26" spans="1:33" ht="15.55" customHeight="1">
      <c r="A26" t="s">
        <v>1475</v>
      </c>
      <c r="B26" t="s">
        <v>1374</v>
      </c>
      <c r="C26" t="s">
        <v>1376</v>
      </c>
      <c r="D26" t="s">
        <v>1409</v>
      </c>
      <c r="E26" t="s">
        <v>2028</v>
      </c>
      <c r="F26">
        <v>1</v>
      </c>
      <c r="G26">
        <v>1</v>
      </c>
      <c r="H26" s="582">
        <v>0</v>
      </c>
      <c r="I26" s="582">
        <v>0</v>
      </c>
      <c r="J26" s="582">
        <v>0</v>
      </c>
      <c r="K26" s="582">
        <v>-1</v>
      </c>
      <c r="L26" s="582">
        <v>0.5</v>
      </c>
      <c r="M26" s="582">
        <v>0</v>
      </c>
      <c r="N26" s="582">
        <v>0</v>
      </c>
      <c r="O26" s="582">
        <v>0</v>
      </c>
      <c r="P26" s="582">
        <v>0</v>
      </c>
      <c r="Q26">
        <v>1</v>
      </c>
      <c r="R26">
        <v>1</v>
      </c>
      <c r="S26">
        <v>1</v>
      </c>
      <c r="T26" t="s">
        <v>1483</v>
      </c>
      <c r="U26" t="s">
        <v>1422</v>
      </c>
      <c r="V26">
        <v>0</v>
      </c>
      <c r="W26">
        <v>0</v>
      </c>
      <c r="X26">
        <v>2</v>
      </c>
      <c r="Y26" t="s">
        <v>1493</v>
      </c>
      <c r="Z26" t="s">
        <v>1499</v>
      </c>
      <c r="AD26" t="s">
        <v>1487</v>
      </c>
      <c r="AE26">
        <v>100</v>
      </c>
      <c r="AF26" t="s">
        <v>297</v>
      </c>
      <c r="AG26" s="738" t="s">
        <v>8786</v>
      </c>
    </row>
    <row r="27" spans="1:33" ht="15.55" customHeight="1">
      <c r="A27" t="s">
        <v>1476</v>
      </c>
      <c r="B27" t="s">
        <v>1377</v>
      </c>
      <c r="C27" t="s">
        <v>1376</v>
      </c>
      <c r="D27" t="s">
        <v>1409</v>
      </c>
      <c r="E27" t="s">
        <v>2028</v>
      </c>
      <c r="F27">
        <v>1</v>
      </c>
      <c r="G27">
        <v>1</v>
      </c>
      <c r="H27" s="582">
        <v>0</v>
      </c>
      <c r="I27" s="582">
        <v>0</v>
      </c>
      <c r="J27" s="582">
        <v>0</v>
      </c>
      <c r="K27" s="582">
        <v>-1</v>
      </c>
      <c r="L27" s="582">
        <v>0.5</v>
      </c>
      <c r="M27" s="582">
        <v>0</v>
      </c>
      <c r="N27" s="582">
        <v>0</v>
      </c>
      <c r="O27" s="582">
        <v>0.5</v>
      </c>
      <c r="P27" s="582">
        <v>0</v>
      </c>
      <c r="Q27">
        <v>1</v>
      </c>
      <c r="R27">
        <v>1</v>
      </c>
      <c r="S27">
        <v>1</v>
      </c>
      <c r="T27" t="s">
        <v>1483</v>
      </c>
      <c r="U27" t="s">
        <v>1422</v>
      </c>
      <c r="V27">
        <v>0</v>
      </c>
      <c r="W27">
        <v>0</v>
      </c>
      <c r="X27">
        <v>2</v>
      </c>
      <c r="Y27" t="s">
        <v>1494</v>
      </c>
      <c r="AD27" t="s">
        <v>1487</v>
      </c>
      <c r="AE27">
        <v>100</v>
      </c>
      <c r="AF27" t="s">
        <v>297</v>
      </c>
      <c r="AG27" s="738" t="s">
        <v>8786</v>
      </c>
    </row>
    <row r="28" spans="1:33" ht="15.55" customHeight="1">
      <c r="A28" t="s">
        <v>1477</v>
      </c>
      <c r="B28" t="s">
        <v>1379</v>
      </c>
      <c r="C28" t="s">
        <v>1376</v>
      </c>
      <c r="D28" t="s">
        <v>1409</v>
      </c>
      <c r="E28" t="s">
        <v>2028</v>
      </c>
      <c r="F28">
        <v>1</v>
      </c>
      <c r="G28">
        <v>1</v>
      </c>
      <c r="H28" s="582">
        <v>0</v>
      </c>
      <c r="I28" s="582">
        <v>0</v>
      </c>
      <c r="J28" s="582">
        <v>0.5</v>
      </c>
      <c r="K28" s="582">
        <v>-1</v>
      </c>
      <c r="L28" s="582">
        <v>-0.5</v>
      </c>
      <c r="M28" s="582">
        <v>0</v>
      </c>
      <c r="N28" s="582">
        <v>0</v>
      </c>
      <c r="O28" s="582">
        <v>0</v>
      </c>
      <c r="P28" s="582">
        <v>0</v>
      </c>
      <c r="Q28">
        <v>1</v>
      </c>
      <c r="R28">
        <v>1</v>
      </c>
      <c r="S28">
        <v>1</v>
      </c>
      <c r="T28" t="s">
        <v>1483</v>
      </c>
      <c r="U28" t="s">
        <v>1422</v>
      </c>
      <c r="V28">
        <v>0</v>
      </c>
      <c r="W28">
        <v>0</v>
      </c>
      <c r="X28">
        <v>2</v>
      </c>
      <c r="Y28" t="s">
        <v>1495</v>
      </c>
      <c r="AD28" t="s">
        <v>1487</v>
      </c>
      <c r="AE28">
        <v>100</v>
      </c>
      <c r="AF28" t="s">
        <v>297</v>
      </c>
      <c r="AG28" s="738" t="s">
        <v>8786</v>
      </c>
    </row>
    <row r="29" spans="1:33" ht="15.55" customHeight="1">
      <c r="A29" t="s">
        <v>1478</v>
      </c>
      <c r="B29" t="s">
        <v>1381</v>
      </c>
      <c r="C29" t="s">
        <v>1376</v>
      </c>
      <c r="D29" t="s">
        <v>1409</v>
      </c>
      <c r="E29" t="s">
        <v>2028</v>
      </c>
      <c r="F29">
        <v>1</v>
      </c>
      <c r="G29">
        <v>1</v>
      </c>
      <c r="H29" s="582">
        <v>0</v>
      </c>
      <c r="I29" s="582">
        <v>0</v>
      </c>
      <c r="J29" s="582">
        <v>0</v>
      </c>
      <c r="K29" s="582">
        <v>0</v>
      </c>
      <c r="L29" s="582">
        <v>0</v>
      </c>
      <c r="M29" s="582">
        <v>0</v>
      </c>
      <c r="N29" s="582">
        <v>0</v>
      </c>
      <c r="O29" s="582">
        <v>0</v>
      </c>
      <c r="P29" s="582">
        <v>0</v>
      </c>
      <c r="Q29">
        <v>1</v>
      </c>
      <c r="R29">
        <v>1</v>
      </c>
      <c r="S29">
        <v>1</v>
      </c>
      <c r="T29" t="s">
        <v>1485</v>
      </c>
      <c r="U29" t="s">
        <v>1422</v>
      </c>
      <c r="V29">
        <v>0</v>
      </c>
      <c r="W29">
        <v>0</v>
      </c>
      <c r="X29">
        <v>2</v>
      </c>
      <c r="AD29" t="s">
        <v>1487</v>
      </c>
      <c r="AE29">
        <v>100</v>
      </c>
      <c r="AF29" t="s">
        <v>297</v>
      </c>
      <c r="AG29" s="738" t="s">
        <v>8786</v>
      </c>
    </row>
    <row r="30" spans="1:33" ht="15.55" customHeight="1">
      <c r="A30" t="s">
        <v>1479</v>
      </c>
      <c r="B30" t="s">
        <v>1383</v>
      </c>
      <c r="C30" t="s">
        <v>1376</v>
      </c>
      <c r="D30" t="s">
        <v>1409</v>
      </c>
      <c r="E30" t="s">
        <v>2028</v>
      </c>
      <c r="F30">
        <v>1</v>
      </c>
      <c r="G30">
        <v>1</v>
      </c>
      <c r="H30" s="582">
        <v>0</v>
      </c>
      <c r="I30" s="582">
        <v>0.5</v>
      </c>
      <c r="J30" s="582">
        <v>0</v>
      </c>
      <c r="K30" s="582">
        <v>0</v>
      </c>
      <c r="L30" s="582">
        <v>0</v>
      </c>
      <c r="M30" s="582">
        <v>0</v>
      </c>
      <c r="N30" s="582">
        <v>0</v>
      </c>
      <c r="O30" s="582">
        <v>0</v>
      </c>
      <c r="P30" s="582">
        <v>0.5</v>
      </c>
      <c r="Q30">
        <v>1</v>
      </c>
      <c r="R30">
        <v>1</v>
      </c>
      <c r="S30">
        <v>1</v>
      </c>
      <c r="T30" t="s">
        <v>1483</v>
      </c>
      <c r="U30" t="s">
        <v>1422</v>
      </c>
      <c r="V30">
        <v>0</v>
      </c>
      <c r="W30">
        <v>0</v>
      </c>
      <c r="X30">
        <v>2</v>
      </c>
      <c r="Y30" t="s">
        <v>1496</v>
      </c>
      <c r="AD30" t="s">
        <v>1487</v>
      </c>
      <c r="AE30">
        <v>100</v>
      </c>
      <c r="AF30" t="s">
        <v>297</v>
      </c>
      <c r="AG30" s="738" t="s">
        <v>8786</v>
      </c>
    </row>
    <row r="31" spans="1:33" ht="15.55" customHeight="1">
      <c r="A31" t="s">
        <v>1480</v>
      </c>
      <c r="B31" t="s">
        <v>1385</v>
      </c>
      <c r="C31" t="s">
        <v>1376</v>
      </c>
      <c r="D31" t="s">
        <v>1409</v>
      </c>
      <c r="E31" t="s">
        <v>1411</v>
      </c>
      <c r="F31">
        <v>1</v>
      </c>
      <c r="G31">
        <v>1</v>
      </c>
      <c r="H31" s="582">
        <v>0</v>
      </c>
      <c r="I31" s="582">
        <v>0</v>
      </c>
      <c r="J31" s="582">
        <v>0</v>
      </c>
      <c r="K31" s="582">
        <v>0</v>
      </c>
      <c r="L31" s="582">
        <v>0</v>
      </c>
      <c r="M31" s="582">
        <v>0</v>
      </c>
      <c r="N31" s="582">
        <v>0</v>
      </c>
      <c r="O31" s="582">
        <v>0</v>
      </c>
      <c r="P31" s="582">
        <v>0</v>
      </c>
      <c r="Q31">
        <v>1</v>
      </c>
      <c r="R31">
        <v>1</v>
      </c>
      <c r="S31">
        <v>1</v>
      </c>
      <c r="T31" t="s">
        <v>1486</v>
      </c>
      <c r="U31" t="s">
        <v>1422</v>
      </c>
      <c r="V31">
        <v>0</v>
      </c>
      <c r="W31">
        <v>0</v>
      </c>
      <c r="X31">
        <v>2</v>
      </c>
      <c r="Y31" t="s">
        <v>1492</v>
      </c>
      <c r="Z31" t="s">
        <v>1498</v>
      </c>
      <c r="AD31" t="s">
        <v>1487</v>
      </c>
      <c r="AE31">
        <v>100</v>
      </c>
      <c r="AF31" t="s">
        <v>297</v>
      </c>
      <c r="AG31" s="738" t="s">
        <v>8786</v>
      </c>
    </row>
    <row r="32" spans="1:33" ht="15.55" customHeight="1">
      <c r="A32" t="s">
        <v>1500</v>
      </c>
      <c r="B32" s="703" t="s">
        <v>2465</v>
      </c>
      <c r="C32" t="s">
        <v>1368</v>
      </c>
      <c r="D32" t="s">
        <v>1511</v>
      </c>
      <c r="E32" t="s">
        <v>2028</v>
      </c>
      <c r="F32">
        <v>1</v>
      </c>
      <c r="G32">
        <v>1</v>
      </c>
      <c r="H32" s="582">
        <v>0</v>
      </c>
      <c r="I32" s="582">
        <v>0</v>
      </c>
      <c r="J32" s="582">
        <v>0</v>
      </c>
      <c r="K32" s="582">
        <v>0</v>
      </c>
      <c r="L32" s="582">
        <v>0</v>
      </c>
      <c r="M32" s="582">
        <v>0</v>
      </c>
      <c r="N32" s="582">
        <v>0</v>
      </c>
      <c r="O32" s="582">
        <v>0</v>
      </c>
      <c r="P32" s="582">
        <v>0</v>
      </c>
      <c r="Q32">
        <v>1</v>
      </c>
      <c r="R32">
        <v>1</v>
      </c>
      <c r="S32">
        <v>1</v>
      </c>
      <c r="U32" t="s">
        <v>1423</v>
      </c>
      <c r="V32">
        <v>0</v>
      </c>
      <c r="W32">
        <v>0</v>
      </c>
      <c r="X32">
        <v>2</v>
      </c>
      <c r="Y32" t="s">
        <v>1515</v>
      </c>
      <c r="AD32" t="s">
        <v>1513</v>
      </c>
      <c r="AE32">
        <v>100</v>
      </c>
      <c r="AF32" t="s">
        <v>297</v>
      </c>
      <c r="AG32" s="738" t="s">
        <v>8787</v>
      </c>
    </row>
    <row r="33" spans="1:33" ht="15.55" customHeight="1">
      <c r="A33" t="s">
        <v>1501</v>
      </c>
      <c r="B33" t="s">
        <v>1367</v>
      </c>
      <c r="C33" t="s">
        <v>1368</v>
      </c>
      <c r="D33" t="s">
        <v>1511</v>
      </c>
      <c r="E33" t="s">
        <v>2028</v>
      </c>
      <c r="F33">
        <v>1</v>
      </c>
      <c r="G33">
        <v>1</v>
      </c>
      <c r="H33" s="582">
        <v>0</v>
      </c>
      <c r="I33" s="582">
        <v>0</v>
      </c>
      <c r="J33" s="582">
        <v>0</v>
      </c>
      <c r="K33" s="582">
        <v>0</v>
      </c>
      <c r="L33" s="582">
        <v>0</v>
      </c>
      <c r="M33" s="582">
        <v>0</v>
      </c>
      <c r="N33" s="582">
        <v>0</v>
      </c>
      <c r="O33" s="582">
        <v>0</v>
      </c>
      <c r="P33" s="582">
        <v>0.5</v>
      </c>
      <c r="Q33">
        <v>1</v>
      </c>
      <c r="R33">
        <v>1</v>
      </c>
      <c r="S33">
        <v>1</v>
      </c>
      <c r="U33" t="s">
        <v>1422</v>
      </c>
      <c r="V33">
        <v>0</v>
      </c>
      <c r="W33">
        <v>0</v>
      </c>
      <c r="X33">
        <v>2</v>
      </c>
      <c r="Y33" t="s">
        <v>1516</v>
      </c>
      <c r="AD33" t="s">
        <v>1513</v>
      </c>
      <c r="AE33">
        <v>100</v>
      </c>
      <c r="AF33" t="s">
        <v>297</v>
      </c>
      <c r="AG33" s="738" t="s">
        <v>8787</v>
      </c>
    </row>
    <row r="34" spans="1:33" ht="15.55" customHeight="1">
      <c r="A34" t="s">
        <v>1502</v>
      </c>
      <c r="B34" t="s">
        <v>1369</v>
      </c>
      <c r="C34" t="s">
        <v>1368</v>
      </c>
      <c r="D34" t="s">
        <v>1511</v>
      </c>
      <c r="E34" t="s">
        <v>2028</v>
      </c>
      <c r="F34">
        <v>1</v>
      </c>
      <c r="G34">
        <v>1</v>
      </c>
      <c r="H34" s="582">
        <v>0</v>
      </c>
      <c r="I34" s="582">
        <v>0</v>
      </c>
      <c r="J34" s="582">
        <v>0</v>
      </c>
      <c r="K34" s="582">
        <v>0.5</v>
      </c>
      <c r="L34" s="582">
        <v>0</v>
      </c>
      <c r="M34" s="582">
        <v>0</v>
      </c>
      <c r="N34" s="582">
        <v>0</v>
      </c>
      <c r="O34" s="582">
        <v>0</v>
      </c>
      <c r="P34" s="582">
        <v>0</v>
      </c>
      <c r="Q34">
        <v>1</v>
      </c>
      <c r="R34">
        <v>1</v>
      </c>
      <c r="S34">
        <v>1</v>
      </c>
      <c r="U34" t="s">
        <v>1422</v>
      </c>
      <c r="V34">
        <v>0</v>
      </c>
      <c r="W34">
        <v>0</v>
      </c>
      <c r="X34">
        <v>2</v>
      </c>
      <c r="Y34" t="s">
        <v>1517</v>
      </c>
      <c r="AD34" t="s">
        <v>1513</v>
      </c>
      <c r="AE34">
        <v>100</v>
      </c>
      <c r="AF34" t="s">
        <v>297</v>
      </c>
      <c r="AG34" s="738" t="s">
        <v>8787</v>
      </c>
    </row>
    <row r="35" spans="1:33" ht="15.55" customHeight="1">
      <c r="A35" t="s">
        <v>1503</v>
      </c>
      <c r="B35" t="s">
        <v>1371</v>
      </c>
      <c r="C35" t="s">
        <v>1368</v>
      </c>
      <c r="D35" t="s">
        <v>1511</v>
      </c>
      <c r="E35" t="s">
        <v>2028</v>
      </c>
      <c r="F35">
        <v>1</v>
      </c>
      <c r="G35">
        <v>1</v>
      </c>
      <c r="H35" s="582">
        <v>0</v>
      </c>
      <c r="I35" s="582">
        <v>0</v>
      </c>
      <c r="J35" s="582">
        <v>0</v>
      </c>
      <c r="K35" s="582">
        <v>0</v>
      </c>
      <c r="L35" s="582">
        <v>0</v>
      </c>
      <c r="M35" s="582">
        <v>0</v>
      </c>
      <c r="N35" s="582">
        <v>0.5</v>
      </c>
      <c r="O35" s="582">
        <v>0</v>
      </c>
      <c r="P35" s="582">
        <v>0</v>
      </c>
      <c r="Q35">
        <v>1</v>
      </c>
      <c r="R35">
        <v>1</v>
      </c>
      <c r="S35">
        <v>1</v>
      </c>
      <c r="U35" t="s">
        <v>1422</v>
      </c>
      <c r="V35">
        <v>0</v>
      </c>
      <c r="W35">
        <v>0</v>
      </c>
      <c r="X35">
        <v>2</v>
      </c>
      <c r="Y35" t="s">
        <v>1518</v>
      </c>
      <c r="AD35" t="s">
        <v>1513</v>
      </c>
      <c r="AE35">
        <v>100</v>
      </c>
      <c r="AF35" t="s">
        <v>297</v>
      </c>
      <c r="AG35" s="738" t="s">
        <v>8787</v>
      </c>
    </row>
    <row r="36" spans="1:33" ht="15.55" customHeight="1">
      <c r="A36" t="s">
        <v>1504</v>
      </c>
      <c r="B36" t="s">
        <v>1374</v>
      </c>
      <c r="C36" t="s">
        <v>1368</v>
      </c>
      <c r="D36" t="s">
        <v>1511</v>
      </c>
      <c r="E36" t="s">
        <v>2028</v>
      </c>
      <c r="F36">
        <v>1</v>
      </c>
      <c r="G36">
        <v>1</v>
      </c>
      <c r="H36" s="582">
        <v>0</v>
      </c>
      <c r="I36" s="582">
        <v>0</v>
      </c>
      <c r="J36" s="582">
        <v>0</v>
      </c>
      <c r="K36" s="582">
        <v>0</v>
      </c>
      <c r="L36" s="582">
        <v>0.5</v>
      </c>
      <c r="M36" s="582">
        <v>0</v>
      </c>
      <c r="N36" s="582">
        <v>0</v>
      </c>
      <c r="O36" s="582">
        <v>0</v>
      </c>
      <c r="P36" s="582">
        <v>0</v>
      </c>
      <c r="Q36">
        <v>1</v>
      </c>
      <c r="R36">
        <v>1</v>
      </c>
      <c r="S36">
        <v>1</v>
      </c>
      <c r="U36" t="s">
        <v>1422</v>
      </c>
      <c r="V36">
        <v>0</v>
      </c>
      <c r="W36">
        <v>0</v>
      </c>
      <c r="X36">
        <v>2</v>
      </c>
      <c r="Y36" t="s">
        <v>1519</v>
      </c>
      <c r="AD36" t="s">
        <v>1513</v>
      </c>
      <c r="AE36">
        <v>100</v>
      </c>
      <c r="AF36" t="s">
        <v>297</v>
      </c>
      <c r="AG36" s="738" t="s">
        <v>8787</v>
      </c>
    </row>
    <row r="37" spans="1:33" ht="15.55" customHeight="1">
      <c r="A37" t="s">
        <v>1505</v>
      </c>
      <c r="B37" t="s">
        <v>1377</v>
      </c>
      <c r="C37" t="s">
        <v>1368</v>
      </c>
      <c r="D37" t="s">
        <v>1511</v>
      </c>
      <c r="E37" t="s">
        <v>2028</v>
      </c>
      <c r="F37">
        <v>1</v>
      </c>
      <c r="G37">
        <v>1</v>
      </c>
      <c r="H37" s="582">
        <v>0</v>
      </c>
      <c r="I37" s="582">
        <v>0</v>
      </c>
      <c r="J37" s="582">
        <v>0</v>
      </c>
      <c r="K37" s="582">
        <v>0</v>
      </c>
      <c r="L37" s="582">
        <v>0</v>
      </c>
      <c r="M37" s="582">
        <v>0</v>
      </c>
      <c r="N37" s="582">
        <v>0</v>
      </c>
      <c r="O37" s="582">
        <v>0.5</v>
      </c>
      <c r="P37" s="582">
        <v>0</v>
      </c>
      <c r="Q37">
        <v>1</v>
      </c>
      <c r="R37">
        <v>1</v>
      </c>
      <c r="S37">
        <v>1</v>
      </c>
      <c r="U37" t="s">
        <v>1422</v>
      </c>
      <c r="V37">
        <v>0</v>
      </c>
      <c r="W37">
        <v>0</v>
      </c>
      <c r="X37">
        <v>2</v>
      </c>
      <c r="Y37" t="s">
        <v>1520</v>
      </c>
      <c r="AD37" t="s">
        <v>1513</v>
      </c>
      <c r="AE37">
        <v>100</v>
      </c>
      <c r="AF37" t="s">
        <v>297</v>
      </c>
      <c r="AG37" s="738" t="s">
        <v>8787</v>
      </c>
    </row>
    <row r="38" spans="1:33" ht="15.55" customHeight="1">
      <c r="A38" t="s">
        <v>1506</v>
      </c>
      <c r="B38" t="s">
        <v>1379</v>
      </c>
      <c r="C38" t="s">
        <v>1368</v>
      </c>
      <c r="D38" t="s">
        <v>1511</v>
      </c>
      <c r="E38" t="s">
        <v>2028</v>
      </c>
      <c r="F38">
        <v>1</v>
      </c>
      <c r="G38">
        <v>1</v>
      </c>
      <c r="H38" s="582">
        <v>0</v>
      </c>
      <c r="I38" s="582">
        <v>0</v>
      </c>
      <c r="J38" s="582">
        <v>0.5</v>
      </c>
      <c r="K38" s="582">
        <v>0</v>
      </c>
      <c r="L38" s="582">
        <v>0</v>
      </c>
      <c r="M38" s="582">
        <v>0</v>
      </c>
      <c r="N38" s="582">
        <v>0</v>
      </c>
      <c r="O38" s="582">
        <v>0</v>
      </c>
      <c r="P38" s="582">
        <v>0</v>
      </c>
      <c r="Q38">
        <v>1</v>
      </c>
      <c r="R38">
        <v>1</v>
      </c>
      <c r="S38">
        <v>1</v>
      </c>
      <c r="U38" t="s">
        <v>1422</v>
      </c>
      <c r="V38">
        <v>0</v>
      </c>
      <c r="W38">
        <v>0</v>
      </c>
      <c r="X38">
        <v>2</v>
      </c>
      <c r="Y38" t="s">
        <v>1521</v>
      </c>
      <c r="AD38" t="s">
        <v>1513</v>
      </c>
      <c r="AE38">
        <v>100</v>
      </c>
      <c r="AF38" t="s">
        <v>297</v>
      </c>
      <c r="AG38" s="738" t="s">
        <v>8787</v>
      </c>
    </row>
    <row r="39" spans="1:33" ht="15.55" customHeight="1">
      <c r="A39" t="s">
        <v>1507</v>
      </c>
      <c r="B39" t="s">
        <v>1381</v>
      </c>
      <c r="C39" t="s">
        <v>1368</v>
      </c>
      <c r="D39" t="s">
        <v>1511</v>
      </c>
      <c r="E39" t="s">
        <v>2028</v>
      </c>
      <c r="F39">
        <v>1</v>
      </c>
      <c r="G39">
        <v>1</v>
      </c>
      <c r="H39" s="582">
        <v>0</v>
      </c>
      <c r="I39" s="582">
        <v>0</v>
      </c>
      <c r="J39" s="582">
        <v>0</v>
      </c>
      <c r="K39" s="582">
        <v>0</v>
      </c>
      <c r="L39" s="582">
        <v>0</v>
      </c>
      <c r="M39" s="582">
        <v>0.5</v>
      </c>
      <c r="N39" s="582">
        <v>0</v>
      </c>
      <c r="O39" s="582">
        <v>0</v>
      </c>
      <c r="P39" s="582">
        <v>0</v>
      </c>
      <c r="Q39">
        <v>1</v>
      </c>
      <c r="R39">
        <v>1</v>
      </c>
      <c r="S39">
        <v>1</v>
      </c>
      <c r="U39" t="s">
        <v>1422</v>
      </c>
      <c r="V39">
        <v>0</v>
      </c>
      <c r="W39">
        <v>0</v>
      </c>
      <c r="X39">
        <v>2</v>
      </c>
      <c r="Y39" t="s">
        <v>1522</v>
      </c>
      <c r="AD39" t="s">
        <v>1513</v>
      </c>
      <c r="AE39">
        <v>100</v>
      </c>
      <c r="AF39" t="s">
        <v>297</v>
      </c>
      <c r="AG39" s="738" t="s">
        <v>8787</v>
      </c>
    </row>
    <row r="40" spans="1:33" ht="15.55" customHeight="1">
      <c r="A40" t="s">
        <v>1508</v>
      </c>
      <c r="B40" t="s">
        <v>1383</v>
      </c>
      <c r="C40" t="s">
        <v>1368</v>
      </c>
      <c r="D40" t="s">
        <v>1511</v>
      </c>
      <c r="E40" t="s">
        <v>2028</v>
      </c>
      <c r="F40">
        <v>1</v>
      </c>
      <c r="G40">
        <v>1</v>
      </c>
      <c r="H40" s="582">
        <v>0</v>
      </c>
      <c r="I40" s="582">
        <v>0.5</v>
      </c>
      <c r="J40" s="582">
        <v>0</v>
      </c>
      <c r="K40" s="582">
        <v>0</v>
      </c>
      <c r="L40" s="582">
        <v>0</v>
      </c>
      <c r="M40" s="582">
        <v>0</v>
      </c>
      <c r="N40" s="582">
        <v>0</v>
      </c>
      <c r="O40" s="582">
        <v>0</v>
      </c>
      <c r="P40" s="582">
        <v>0</v>
      </c>
      <c r="Q40">
        <v>1</v>
      </c>
      <c r="R40">
        <v>1</v>
      </c>
      <c r="S40">
        <v>1</v>
      </c>
      <c r="U40" t="s">
        <v>1422</v>
      </c>
      <c r="V40">
        <v>0</v>
      </c>
      <c r="W40">
        <v>0</v>
      </c>
      <c r="X40">
        <v>2</v>
      </c>
      <c r="Y40" t="s">
        <v>1523</v>
      </c>
      <c r="AD40" t="s">
        <v>1513</v>
      </c>
      <c r="AE40">
        <v>100</v>
      </c>
      <c r="AF40" t="s">
        <v>297</v>
      </c>
      <c r="AG40" s="738" t="s">
        <v>8787</v>
      </c>
    </row>
    <row r="41" spans="1:33" ht="15.55" customHeight="1">
      <c r="A41" t="s">
        <v>1509</v>
      </c>
      <c r="B41" t="s">
        <v>1385</v>
      </c>
      <c r="C41" t="s">
        <v>1368</v>
      </c>
      <c r="D41" t="s">
        <v>1511</v>
      </c>
      <c r="E41" t="s">
        <v>2028</v>
      </c>
      <c r="F41">
        <v>1</v>
      </c>
      <c r="G41">
        <v>1</v>
      </c>
      <c r="H41" s="582">
        <v>0.5</v>
      </c>
      <c r="I41" s="582">
        <v>0</v>
      </c>
      <c r="J41" s="582">
        <v>0</v>
      </c>
      <c r="K41" s="582">
        <v>0</v>
      </c>
      <c r="L41" s="582">
        <v>0</v>
      </c>
      <c r="M41" s="582">
        <v>0</v>
      </c>
      <c r="N41" s="582">
        <v>0</v>
      </c>
      <c r="O41" s="582">
        <v>0</v>
      </c>
      <c r="P41" s="582">
        <v>0</v>
      </c>
      <c r="Q41">
        <v>1</v>
      </c>
      <c r="R41">
        <v>1</v>
      </c>
      <c r="S41">
        <v>1</v>
      </c>
      <c r="U41" t="s">
        <v>1422</v>
      </c>
      <c r="V41">
        <v>0</v>
      </c>
      <c r="W41">
        <v>0</v>
      </c>
      <c r="X41">
        <v>2</v>
      </c>
      <c r="Y41" t="s">
        <v>1524</v>
      </c>
      <c r="AD41" t="s">
        <v>1513</v>
      </c>
      <c r="AE41">
        <v>100</v>
      </c>
      <c r="AF41" t="s">
        <v>297</v>
      </c>
      <c r="AG41" s="738" t="s">
        <v>8787</v>
      </c>
    </row>
    <row r="42" spans="1:33" ht="15.55" customHeight="1">
      <c r="A42" t="s">
        <v>1527</v>
      </c>
      <c r="B42" s="703" t="s">
        <v>2465</v>
      </c>
      <c r="C42" t="s">
        <v>1373</v>
      </c>
      <c r="D42" t="s">
        <v>1512</v>
      </c>
      <c r="E42" t="s">
        <v>2028</v>
      </c>
      <c r="F42">
        <v>3</v>
      </c>
      <c r="G42">
        <v>3</v>
      </c>
      <c r="H42" s="582">
        <v>0</v>
      </c>
      <c r="I42" s="582">
        <v>0</v>
      </c>
      <c r="J42" s="582">
        <v>0</v>
      </c>
      <c r="K42" s="582">
        <v>0</v>
      </c>
      <c r="L42" s="582">
        <v>0</v>
      </c>
      <c r="M42" s="582">
        <v>0</v>
      </c>
      <c r="N42" s="582">
        <v>0</v>
      </c>
      <c r="O42" s="582">
        <v>0</v>
      </c>
      <c r="P42" s="582">
        <v>0</v>
      </c>
      <c r="Q42">
        <v>1</v>
      </c>
      <c r="R42">
        <v>1</v>
      </c>
      <c r="S42">
        <v>1</v>
      </c>
      <c r="T42" t="s">
        <v>1539</v>
      </c>
      <c r="U42" t="s">
        <v>1540</v>
      </c>
      <c r="V42">
        <v>0</v>
      </c>
      <c r="W42">
        <v>0</v>
      </c>
      <c r="X42">
        <v>2</v>
      </c>
      <c r="Y42" t="s">
        <v>1543</v>
      </c>
      <c r="Z42" t="s">
        <v>1545</v>
      </c>
      <c r="AD42" t="s">
        <v>1541</v>
      </c>
      <c r="AE42">
        <v>100</v>
      </c>
      <c r="AF42" t="s">
        <v>297</v>
      </c>
      <c r="AG42" s="738" t="s">
        <v>1187</v>
      </c>
    </row>
    <row r="43" spans="1:33" ht="15.55" customHeight="1">
      <c r="A43" t="s">
        <v>1528</v>
      </c>
      <c r="B43" t="s">
        <v>1367</v>
      </c>
      <c r="C43" t="s">
        <v>1373</v>
      </c>
      <c r="D43" t="s">
        <v>1512</v>
      </c>
      <c r="E43" t="s">
        <v>2028</v>
      </c>
      <c r="F43">
        <v>2</v>
      </c>
      <c r="G43">
        <v>2</v>
      </c>
      <c r="H43" s="582">
        <v>0</v>
      </c>
      <c r="I43" s="582">
        <v>0</v>
      </c>
      <c r="J43" s="582">
        <v>0</v>
      </c>
      <c r="K43" s="582">
        <v>0</v>
      </c>
      <c r="L43" s="582">
        <v>0</v>
      </c>
      <c r="M43" s="582">
        <v>0</v>
      </c>
      <c r="N43" s="582">
        <v>0</v>
      </c>
      <c r="O43" s="582">
        <v>0</v>
      </c>
      <c r="P43" s="582">
        <v>0.5</v>
      </c>
      <c r="Q43">
        <v>1</v>
      </c>
      <c r="R43">
        <v>1</v>
      </c>
      <c r="S43">
        <v>1</v>
      </c>
      <c r="T43" t="s">
        <v>1539</v>
      </c>
      <c r="U43" t="s">
        <v>1422</v>
      </c>
      <c r="V43">
        <v>0</v>
      </c>
      <c r="W43">
        <v>0</v>
      </c>
      <c r="X43">
        <v>2</v>
      </c>
      <c r="Y43" t="s">
        <v>1543</v>
      </c>
      <c r="Z43" t="s">
        <v>1545</v>
      </c>
      <c r="AD43" t="s">
        <v>1541</v>
      </c>
      <c r="AE43">
        <v>100</v>
      </c>
      <c r="AF43" t="s">
        <v>297</v>
      </c>
      <c r="AG43" s="738" t="s">
        <v>1187</v>
      </c>
    </row>
    <row r="44" spans="1:33" ht="15.55" customHeight="1">
      <c r="A44" t="s">
        <v>1529</v>
      </c>
      <c r="B44" t="s">
        <v>1369</v>
      </c>
      <c r="C44" t="s">
        <v>1373</v>
      </c>
      <c r="D44" t="s">
        <v>1512</v>
      </c>
      <c r="E44" t="s">
        <v>2028</v>
      </c>
      <c r="F44">
        <v>2</v>
      </c>
      <c r="G44">
        <v>2</v>
      </c>
      <c r="H44" s="582">
        <v>0</v>
      </c>
      <c r="I44" s="582">
        <v>0</v>
      </c>
      <c r="J44" s="582">
        <v>0</v>
      </c>
      <c r="K44" s="582">
        <v>0.5</v>
      </c>
      <c r="L44" s="582">
        <v>0</v>
      </c>
      <c r="M44" s="582">
        <v>0</v>
      </c>
      <c r="N44" s="582">
        <v>0</v>
      </c>
      <c r="O44" s="582">
        <v>0</v>
      </c>
      <c r="P44" s="582">
        <v>0</v>
      </c>
      <c r="Q44">
        <v>1</v>
      </c>
      <c r="R44">
        <v>1</v>
      </c>
      <c r="S44">
        <v>1</v>
      </c>
      <c r="T44" t="s">
        <v>1539</v>
      </c>
      <c r="U44" t="s">
        <v>1422</v>
      </c>
      <c r="V44">
        <v>0</v>
      </c>
      <c r="W44">
        <v>0</v>
      </c>
      <c r="X44">
        <v>2</v>
      </c>
      <c r="Y44" t="s">
        <v>1543</v>
      </c>
      <c r="Z44" t="s">
        <v>1545</v>
      </c>
      <c r="AD44" t="s">
        <v>1541</v>
      </c>
      <c r="AE44">
        <v>100</v>
      </c>
      <c r="AF44" t="s">
        <v>297</v>
      </c>
      <c r="AG44" s="738" t="s">
        <v>1187</v>
      </c>
    </row>
    <row r="45" spans="1:33" ht="15.55" customHeight="1">
      <c r="A45" t="s">
        <v>1530</v>
      </c>
      <c r="B45" t="s">
        <v>1371</v>
      </c>
      <c r="C45" t="s">
        <v>1373</v>
      </c>
      <c r="D45" t="s">
        <v>1512</v>
      </c>
      <c r="E45" t="s">
        <v>2028</v>
      </c>
      <c r="F45">
        <v>2</v>
      </c>
      <c r="G45">
        <v>2</v>
      </c>
      <c r="H45" s="582">
        <v>0</v>
      </c>
      <c r="I45" s="582">
        <v>0</v>
      </c>
      <c r="J45" s="582">
        <v>0</v>
      </c>
      <c r="K45" s="582">
        <v>0</v>
      </c>
      <c r="L45" s="582">
        <v>0</v>
      </c>
      <c r="M45" s="582">
        <v>0</v>
      </c>
      <c r="N45" s="582">
        <v>0.5</v>
      </c>
      <c r="O45" s="582">
        <v>0</v>
      </c>
      <c r="P45" s="582">
        <v>0</v>
      </c>
      <c r="Q45">
        <v>1</v>
      </c>
      <c r="R45">
        <v>1</v>
      </c>
      <c r="S45">
        <v>1</v>
      </c>
      <c r="T45" t="s">
        <v>1539</v>
      </c>
      <c r="U45" t="s">
        <v>1422</v>
      </c>
      <c r="V45">
        <v>0</v>
      </c>
      <c r="W45">
        <v>0</v>
      </c>
      <c r="X45">
        <v>2</v>
      </c>
      <c r="Y45" t="s">
        <v>1543</v>
      </c>
      <c r="Z45" t="s">
        <v>1545</v>
      </c>
      <c r="AD45" t="s">
        <v>1541</v>
      </c>
      <c r="AE45">
        <v>100</v>
      </c>
      <c r="AF45" t="s">
        <v>297</v>
      </c>
      <c r="AG45" s="738" t="s">
        <v>1187</v>
      </c>
    </row>
    <row r="46" spans="1:33" ht="15.55" customHeight="1">
      <c r="A46" t="s">
        <v>1531</v>
      </c>
      <c r="B46" t="s">
        <v>1374</v>
      </c>
      <c r="C46" t="s">
        <v>1373</v>
      </c>
      <c r="D46" t="s">
        <v>1512</v>
      </c>
      <c r="E46" t="s">
        <v>2028</v>
      </c>
      <c r="F46">
        <v>2</v>
      </c>
      <c r="G46">
        <v>2</v>
      </c>
      <c r="H46" s="582">
        <v>0</v>
      </c>
      <c r="I46" s="582">
        <v>0</v>
      </c>
      <c r="J46" s="582">
        <v>0</v>
      </c>
      <c r="K46" s="582">
        <v>0</v>
      </c>
      <c r="L46" s="582">
        <v>0.5</v>
      </c>
      <c r="M46" s="582">
        <v>0</v>
      </c>
      <c r="N46" s="582">
        <v>0</v>
      </c>
      <c r="O46" s="582">
        <v>0</v>
      </c>
      <c r="P46" s="582">
        <v>0</v>
      </c>
      <c r="Q46">
        <v>1</v>
      </c>
      <c r="R46">
        <v>1</v>
      </c>
      <c r="S46">
        <v>1</v>
      </c>
      <c r="T46" t="s">
        <v>1539</v>
      </c>
      <c r="U46" t="s">
        <v>1422</v>
      </c>
      <c r="V46">
        <v>0</v>
      </c>
      <c r="W46">
        <v>0</v>
      </c>
      <c r="X46">
        <v>2</v>
      </c>
      <c r="Y46" t="s">
        <v>1543</v>
      </c>
      <c r="Z46" t="s">
        <v>1545</v>
      </c>
      <c r="AD46" t="s">
        <v>1541</v>
      </c>
      <c r="AE46">
        <v>100</v>
      </c>
      <c r="AF46" t="s">
        <v>297</v>
      </c>
      <c r="AG46" s="738" t="s">
        <v>1187</v>
      </c>
    </row>
    <row r="47" spans="1:33" ht="15.55" customHeight="1">
      <c r="A47" t="s">
        <v>1532</v>
      </c>
      <c r="B47" t="s">
        <v>1377</v>
      </c>
      <c r="C47" t="s">
        <v>1373</v>
      </c>
      <c r="D47" t="s">
        <v>1512</v>
      </c>
      <c r="E47" t="s">
        <v>2028</v>
      </c>
      <c r="F47">
        <v>2</v>
      </c>
      <c r="G47">
        <v>2</v>
      </c>
      <c r="H47" s="582">
        <v>0</v>
      </c>
      <c r="I47" s="582">
        <v>0</v>
      </c>
      <c r="J47" s="582">
        <v>0</v>
      </c>
      <c r="K47" s="582">
        <v>0</v>
      </c>
      <c r="L47" s="582">
        <v>0</v>
      </c>
      <c r="M47" s="582">
        <v>0</v>
      </c>
      <c r="N47" s="582">
        <v>0</v>
      </c>
      <c r="O47" s="582">
        <v>0.5</v>
      </c>
      <c r="P47" s="582">
        <v>0</v>
      </c>
      <c r="Q47">
        <v>1</v>
      </c>
      <c r="R47">
        <v>1</v>
      </c>
      <c r="S47">
        <v>1</v>
      </c>
      <c r="T47" t="s">
        <v>1539</v>
      </c>
      <c r="U47" t="s">
        <v>1422</v>
      </c>
      <c r="V47">
        <v>0</v>
      </c>
      <c r="W47">
        <v>0</v>
      </c>
      <c r="X47">
        <v>2</v>
      </c>
      <c r="Y47" t="s">
        <v>1543</v>
      </c>
      <c r="Z47" t="s">
        <v>1545</v>
      </c>
      <c r="AD47" t="s">
        <v>1541</v>
      </c>
      <c r="AE47">
        <v>100</v>
      </c>
      <c r="AF47" t="s">
        <v>297</v>
      </c>
      <c r="AG47" s="738" t="s">
        <v>1187</v>
      </c>
    </row>
    <row r="48" spans="1:33" ht="15.55" customHeight="1">
      <c r="A48" t="s">
        <v>1533</v>
      </c>
      <c r="B48" t="s">
        <v>1379</v>
      </c>
      <c r="C48" t="s">
        <v>1373</v>
      </c>
      <c r="D48" t="s">
        <v>1512</v>
      </c>
      <c r="E48" t="s">
        <v>2028</v>
      </c>
      <c r="F48">
        <v>2</v>
      </c>
      <c r="G48">
        <v>2</v>
      </c>
      <c r="H48" s="582">
        <v>0</v>
      </c>
      <c r="I48" s="582">
        <v>0</v>
      </c>
      <c r="J48" s="582">
        <v>0.5</v>
      </c>
      <c r="K48" s="582">
        <v>0</v>
      </c>
      <c r="L48" s="582">
        <v>0</v>
      </c>
      <c r="M48" s="582">
        <v>0</v>
      </c>
      <c r="N48" s="582">
        <v>0</v>
      </c>
      <c r="O48" s="582">
        <v>0</v>
      </c>
      <c r="P48" s="582">
        <v>0</v>
      </c>
      <c r="Q48">
        <v>1</v>
      </c>
      <c r="R48">
        <v>1</v>
      </c>
      <c r="S48">
        <v>1</v>
      </c>
      <c r="T48" t="s">
        <v>1539</v>
      </c>
      <c r="U48" t="s">
        <v>1422</v>
      </c>
      <c r="V48">
        <v>0</v>
      </c>
      <c r="W48">
        <v>0</v>
      </c>
      <c r="X48">
        <v>2</v>
      </c>
      <c r="Y48" t="s">
        <v>1543</v>
      </c>
      <c r="Z48" t="s">
        <v>1545</v>
      </c>
      <c r="AD48" t="s">
        <v>1541</v>
      </c>
      <c r="AE48">
        <v>100</v>
      </c>
      <c r="AF48" t="s">
        <v>297</v>
      </c>
      <c r="AG48" s="738" t="s">
        <v>1187</v>
      </c>
    </row>
    <row r="49" spans="1:43" ht="15.55" customHeight="1">
      <c r="A49" t="s">
        <v>1534</v>
      </c>
      <c r="B49" t="s">
        <v>1381</v>
      </c>
      <c r="C49" t="s">
        <v>1373</v>
      </c>
      <c r="D49" t="s">
        <v>1512</v>
      </c>
      <c r="E49" t="s">
        <v>2028</v>
      </c>
      <c r="F49">
        <v>2</v>
      </c>
      <c r="G49">
        <v>2</v>
      </c>
      <c r="H49" s="582">
        <v>0</v>
      </c>
      <c r="I49" s="582">
        <v>0</v>
      </c>
      <c r="J49" s="582">
        <v>0</v>
      </c>
      <c r="K49" s="582">
        <v>0</v>
      </c>
      <c r="L49" s="582">
        <v>0</v>
      </c>
      <c r="M49" s="582">
        <v>0.5</v>
      </c>
      <c r="N49" s="582">
        <v>0</v>
      </c>
      <c r="O49" s="582">
        <v>0</v>
      </c>
      <c r="P49" s="582">
        <v>0</v>
      </c>
      <c r="Q49">
        <v>1</v>
      </c>
      <c r="R49">
        <v>1</v>
      </c>
      <c r="S49">
        <v>1</v>
      </c>
      <c r="T49" t="s">
        <v>1539</v>
      </c>
      <c r="U49" t="s">
        <v>1422</v>
      </c>
      <c r="V49">
        <v>0</v>
      </c>
      <c r="W49">
        <v>0</v>
      </c>
      <c r="X49">
        <v>2</v>
      </c>
      <c r="Y49" t="s">
        <v>1543</v>
      </c>
      <c r="Z49" t="s">
        <v>1545</v>
      </c>
      <c r="AD49" t="s">
        <v>1541</v>
      </c>
      <c r="AE49">
        <v>100</v>
      </c>
      <c r="AF49" t="s">
        <v>297</v>
      </c>
      <c r="AG49" s="738" t="s">
        <v>1187</v>
      </c>
    </row>
    <row r="50" spans="1:43" ht="15.55" customHeight="1">
      <c r="A50" t="s">
        <v>1535</v>
      </c>
      <c r="B50" t="s">
        <v>1383</v>
      </c>
      <c r="C50" t="s">
        <v>1373</v>
      </c>
      <c r="D50" t="s">
        <v>1512</v>
      </c>
      <c r="E50" t="s">
        <v>2028</v>
      </c>
      <c r="F50">
        <v>2</v>
      </c>
      <c r="G50">
        <v>2</v>
      </c>
      <c r="H50" s="582">
        <v>0</v>
      </c>
      <c r="I50" s="582">
        <v>0.5</v>
      </c>
      <c r="J50" s="582">
        <v>0</v>
      </c>
      <c r="K50" s="582">
        <v>0</v>
      </c>
      <c r="L50" s="582">
        <v>0</v>
      </c>
      <c r="M50" s="582">
        <v>0</v>
      </c>
      <c r="N50" s="582">
        <v>0</v>
      </c>
      <c r="O50" s="582">
        <v>0</v>
      </c>
      <c r="P50" s="582">
        <v>0</v>
      </c>
      <c r="Q50">
        <v>1</v>
      </c>
      <c r="R50">
        <v>1</v>
      </c>
      <c r="S50">
        <v>1</v>
      </c>
      <c r="T50" t="s">
        <v>1539</v>
      </c>
      <c r="U50" t="s">
        <v>1422</v>
      </c>
      <c r="V50">
        <v>0</v>
      </c>
      <c r="W50">
        <v>0</v>
      </c>
      <c r="X50">
        <v>2</v>
      </c>
      <c r="Y50" t="s">
        <v>1543</v>
      </c>
      <c r="Z50" t="s">
        <v>1545</v>
      </c>
      <c r="AD50" t="s">
        <v>1541</v>
      </c>
      <c r="AE50">
        <v>100</v>
      </c>
      <c r="AF50" t="s">
        <v>297</v>
      </c>
      <c r="AG50" s="738" t="s">
        <v>1187</v>
      </c>
    </row>
    <row r="51" spans="1:43" ht="15.55" customHeight="1">
      <c r="A51" t="s">
        <v>1536</v>
      </c>
      <c r="B51" t="s">
        <v>1385</v>
      </c>
      <c r="C51" t="s">
        <v>1373</v>
      </c>
      <c r="D51" t="s">
        <v>1512</v>
      </c>
      <c r="E51" t="s">
        <v>2028</v>
      </c>
      <c r="F51">
        <v>2</v>
      </c>
      <c r="G51">
        <v>2</v>
      </c>
      <c r="H51" s="582">
        <v>0.5</v>
      </c>
      <c r="I51" s="582">
        <v>0</v>
      </c>
      <c r="J51" s="582">
        <v>0</v>
      </c>
      <c r="K51" s="582">
        <v>0</v>
      </c>
      <c r="L51" s="582">
        <v>0</v>
      </c>
      <c r="M51" s="582">
        <v>0</v>
      </c>
      <c r="N51" s="582">
        <v>0</v>
      </c>
      <c r="O51" s="582">
        <v>0</v>
      </c>
      <c r="P51" s="582">
        <v>0</v>
      </c>
      <c r="Q51">
        <v>1</v>
      </c>
      <c r="R51">
        <v>1</v>
      </c>
      <c r="S51">
        <v>1</v>
      </c>
      <c r="T51" t="s">
        <v>1539</v>
      </c>
      <c r="U51" t="s">
        <v>1422</v>
      </c>
      <c r="V51">
        <v>0</v>
      </c>
      <c r="W51">
        <v>0</v>
      </c>
      <c r="X51">
        <v>2</v>
      </c>
      <c r="Y51" t="s">
        <v>1543</v>
      </c>
      <c r="Z51" t="s">
        <v>1545</v>
      </c>
      <c r="AD51" t="s">
        <v>1541</v>
      </c>
      <c r="AE51">
        <v>100</v>
      </c>
      <c r="AF51" t="s">
        <v>297</v>
      </c>
      <c r="AG51" s="738" t="s">
        <v>1187</v>
      </c>
    </row>
    <row r="52" spans="1:43" ht="15.55" customHeight="1">
      <c r="A52" t="s">
        <v>1546</v>
      </c>
      <c r="B52" s="703" t="s">
        <v>2465</v>
      </c>
      <c r="C52" t="s">
        <v>1364</v>
      </c>
      <c r="D52" t="s">
        <v>1557</v>
      </c>
      <c r="E52" t="s">
        <v>1411</v>
      </c>
      <c r="F52">
        <v>1</v>
      </c>
      <c r="G52">
        <v>2</v>
      </c>
      <c r="H52" s="582">
        <v>0.1</v>
      </c>
      <c r="I52" s="582">
        <v>0.1</v>
      </c>
      <c r="J52" s="582">
        <v>0.1</v>
      </c>
      <c r="K52" s="582">
        <v>0.1</v>
      </c>
      <c r="L52" s="582">
        <v>0.1</v>
      </c>
      <c r="M52" s="582">
        <v>0.1</v>
      </c>
      <c r="N52" s="582">
        <v>0.1</v>
      </c>
      <c r="O52" s="582">
        <v>0.1</v>
      </c>
      <c r="P52" s="582">
        <v>0.1</v>
      </c>
      <c r="Q52">
        <v>1</v>
      </c>
      <c r="R52">
        <v>1</v>
      </c>
      <c r="S52">
        <v>1</v>
      </c>
      <c r="T52" t="s">
        <v>1561</v>
      </c>
      <c r="U52" s="665" t="s">
        <v>1422</v>
      </c>
      <c r="V52">
        <v>0</v>
      </c>
      <c r="W52">
        <v>0</v>
      </c>
      <c r="X52">
        <v>2</v>
      </c>
      <c r="Z52" t="s">
        <v>5693</v>
      </c>
      <c r="AD52" t="s">
        <v>1567</v>
      </c>
      <c r="AE52">
        <v>100</v>
      </c>
      <c r="AF52" t="s">
        <v>297</v>
      </c>
      <c r="AG52" s="738" t="s">
        <v>8788</v>
      </c>
    </row>
    <row r="53" spans="1:43" ht="15.55" customHeight="1">
      <c r="A53" t="s">
        <v>1547</v>
      </c>
      <c r="B53" t="s">
        <v>1367</v>
      </c>
      <c r="C53" t="s">
        <v>1364</v>
      </c>
      <c r="D53" t="s">
        <v>1558</v>
      </c>
      <c r="E53" t="s">
        <v>1482</v>
      </c>
      <c r="F53">
        <v>1</v>
      </c>
      <c r="G53">
        <v>2</v>
      </c>
      <c r="H53" s="582">
        <v>0</v>
      </c>
      <c r="I53" s="582">
        <v>0</v>
      </c>
      <c r="J53" s="582">
        <v>0.1</v>
      </c>
      <c r="K53" s="582">
        <v>0</v>
      </c>
      <c r="L53" s="582">
        <v>0</v>
      </c>
      <c r="M53" s="582">
        <v>0</v>
      </c>
      <c r="N53" s="582">
        <v>0</v>
      </c>
      <c r="O53" s="582">
        <v>0</v>
      </c>
      <c r="P53" s="582">
        <v>0.5</v>
      </c>
      <c r="Q53">
        <v>1</v>
      </c>
      <c r="R53">
        <v>1</v>
      </c>
      <c r="S53">
        <v>1</v>
      </c>
      <c r="T53" t="s">
        <v>1562</v>
      </c>
      <c r="U53" t="s">
        <v>1422</v>
      </c>
      <c r="V53">
        <v>0</v>
      </c>
      <c r="W53">
        <v>0</v>
      </c>
      <c r="X53">
        <v>2</v>
      </c>
      <c r="Y53" t="s">
        <v>1568</v>
      </c>
      <c r="AD53" t="s">
        <v>1567</v>
      </c>
      <c r="AE53">
        <v>100</v>
      </c>
      <c r="AF53" t="s">
        <v>297</v>
      </c>
      <c r="AG53" s="738" t="s">
        <v>8788</v>
      </c>
    </row>
    <row r="54" spans="1:43" ht="15.55" customHeight="1">
      <c r="A54" t="s">
        <v>1548</v>
      </c>
      <c r="B54" t="s">
        <v>1369</v>
      </c>
      <c r="C54" t="s">
        <v>1364</v>
      </c>
      <c r="D54" t="s">
        <v>1557</v>
      </c>
      <c r="E54" t="s">
        <v>1411</v>
      </c>
      <c r="F54">
        <v>1</v>
      </c>
      <c r="G54">
        <v>2</v>
      </c>
      <c r="H54" s="582">
        <v>0</v>
      </c>
      <c r="I54" s="582">
        <v>0.2</v>
      </c>
      <c r="J54" s="582">
        <v>0</v>
      </c>
      <c r="K54" s="582">
        <v>0.5</v>
      </c>
      <c r="L54" s="582">
        <v>0</v>
      </c>
      <c r="M54" s="582">
        <v>0</v>
      </c>
      <c r="N54" s="582">
        <v>0</v>
      </c>
      <c r="O54" s="582">
        <v>0</v>
      </c>
      <c r="P54" s="582">
        <v>0</v>
      </c>
      <c r="Q54">
        <v>1</v>
      </c>
      <c r="R54">
        <v>1</v>
      </c>
      <c r="S54">
        <v>1</v>
      </c>
      <c r="T54" t="s">
        <v>1561</v>
      </c>
      <c r="U54" t="s">
        <v>1422</v>
      </c>
      <c r="V54">
        <v>0</v>
      </c>
      <c r="W54">
        <v>0</v>
      </c>
      <c r="X54">
        <v>2</v>
      </c>
      <c r="Z54" t="s">
        <v>5694</v>
      </c>
      <c r="AD54" t="s">
        <v>1567</v>
      </c>
      <c r="AE54">
        <v>100</v>
      </c>
      <c r="AF54" t="s">
        <v>297</v>
      </c>
      <c r="AG54" s="738" t="s">
        <v>8788</v>
      </c>
    </row>
    <row r="55" spans="1:43" ht="15.55" customHeight="1">
      <c r="A55" t="s">
        <v>1549</v>
      </c>
      <c r="B55" t="s">
        <v>1371</v>
      </c>
      <c r="C55" t="s">
        <v>1364</v>
      </c>
      <c r="D55" t="s">
        <v>1411</v>
      </c>
      <c r="E55" t="s">
        <v>1411</v>
      </c>
      <c r="F55">
        <v>1</v>
      </c>
      <c r="G55">
        <v>1</v>
      </c>
      <c r="H55" s="582">
        <v>0</v>
      </c>
      <c r="I55" s="582">
        <v>0</v>
      </c>
      <c r="J55" s="582">
        <v>0.2</v>
      </c>
      <c r="K55" s="582">
        <v>0</v>
      </c>
      <c r="L55" s="582">
        <v>0</v>
      </c>
      <c r="M55" s="582">
        <v>0</v>
      </c>
      <c r="N55" s="582">
        <v>0.5</v>
      </c>
      <c r="O55" s="582">
        <v>0</v>
      </c>
      <c r="P55" s="582">
        <v>0</v>
      </c>
      <c r="Q55">
        <v>1</v>
      </c>
      <c r="R55">
        <v>1</v>
      </c>
      <c r="S55">
        <v>1</v>
      </c>
      <c r="T55" t="s">
        <v>1563</v>
      </c>
      <c r="U55" t="s">
        <v>1422</v>
      </c>
      <c r="V55">
        <v>0</v>
      </c>
      <c r="W55">
        <v>0</v>
      </c>
      <c r="X55">
        <v>2</v>
      </c>
      <c r="Z55" t="s">
        <v>1575</v>
      </c>
      <c r="AD55" t="s">
        <v>1567</v>
      </c>
      <c r="AE55">
        <v>100</v>
      </c>
      <c r="AF55" t="s">
        <v>297</v>
      </c>
      <c r="AG55" s="738" t="s">
        <v>8788</v>
      </c>
    </row>
    <row r="56" spans="1:43" ht="15.55" customHeight="1">
      <c r="A56" t="s">
        <v>1550</v>
      </c>
      <c r="B56" t="s">
        <v>1374</v>
      </c>
      <c r="C56" t="s">
        <v>1364</v>
      </c>
      <c r="D56" t="s">
        <v>1482</v>
      </c>
      <c r="E56" t="s">
        <v>1411</v>
      </c>
      <c r="F56">
        <v>1</v>
      </c>
      <c r="G56">
        <v>2</v>
      </c>
      <c r="H56" s="582">
        <v>0</v>
      </c>
      <c r="I56" s="582">
        <v>0</v>
      </c>
      <c r="J56" s="582">
        <v>0</v>
      </c>
      <c r="K56" s="582">
        <v>0</v>
      </c>
      <c r="L56" s="582">
        <v>0.5</v>
      </c>
      <c r="M56" s="582">
        <v>0</v>
      </c>
      <c r="N56" s="582">
        <v>0</v>
      </c>
      <c r="O56" s="582">
        <v>0</v>
      </c>
      <c r="P56" s="582">
        <v>0</v>
      </c>
      <c r="Q56">
        <v>1</v>
      </c>
      <c r="R56">
        <v>1</v>
      </c>
      <c r="S56">
        <v>1</v>
      </c>
      <c r="T56" t="s">
        <v>1564</v>
      </c>
      <c r="U56" t="s">
        <v>1422</v>
      </c>
      <c r="V56">
        <v>0</v>
      </c>
      <c r="W56">
        <v>0</v>
      </c>
      <c r="X56">
        <v>2</v>
      </c>
      <c r="Y56" t="s">
        <v>1569</v>
      </c>
      <c r="AD56" t="s">
        <v>1567</v>
      </c>
      <c r="AE56">
        <v>100</v>
      </c>
      <c r="AF56" t="s">
        <v>297</v>
      </c>
      <c r="AG56" s="738" t="s">
        <v>8788</v>
      </c>
    </row>
    <row r="57" spans="1:43" ht="15.55" customHeight="1">
      <c r="A57" t="s">
        <v>1551</v>
      </c>
      <c r="B57" t="s">
        <v>1377</v>
      </c>
      <c r="C57" t="s">
        <v>1364</v>
      </c>
      <c r="D57" t="s">
        <v>1559</v>
      </c>
      <c r="E57" t="s">
        <v>1482</v>
      </c>
      <c r="F57">
        <v>1</v>
      </c>
      <c r="G57">
        <v>2</v>
      </c>
      <c r="H57" s="582">
        <v>0</v>
      </c>
      <c r="I57" s="582">
        <v>0</v>
      </c>
      <c r="J57" s="582">
        <v>0</v>
      </c>
      <c r="K57" s="582">
        <v>0</v>
      </c>
      <c r="L57" s="582">
        <v>0</v>
      </c>
      <c r="M57" s="582">
        <v>0</v>
      </c>
      <c r="N57" s="582">
        <v>0</v>
      </c>
      <c r="O57" s="582">
        <v>0.5</v>
      </c>
      <c r="P57" s="582">
        <v>0</v>
      </c>
      <c r="Q57">
        <v>1</v>
      </c>
      <c r="R57">
        <v>1</v>
      </c>
      <c r="S57">
        <v>1</v>
      </c>
      <c r="U57" t="s">
        <v>1422</v>
      </c>
      <c r="V57">
        <v>0</v>
      </c>
      <c r="W57">
        <v>0</v>
      </c>
      <c r="X57">
        <v>2</v>
      </c>
      <c r="Y57" t="s">
        <v>1570</v>
      </c>
      <c r="AD57" t="s">
        <v>1567</v>
      </c>
      <c r="AE57">
        <v>100</v>
      </c>
      <c r="AF57" t="s">
        <v>297</v>
      </c>
      <c r="AG57" s="738" t="s">
        <v>8788</v>
      </c>
    </row>
    <row r="58" spans="1:43" ht="15.55" customHeight="1">
      <c r="A58" t="s">
        <v>1552</v>
      </c>
      <c r="B58" t="s">
        <v>1379</v>
      </c>
      <c r="C58" t="s">
        <v>1364</v>
      </c>
      <c r="D58" t="s">
        <v>1557</v>
      </c>
      <c r="E58" t="s">
        <v>1411</v>
      </c>
      <c r="F58">
        <v>1</v>
      </c>
      <c r="G58">
        <v>2</v>
      </c>
      <c r="H58" s="582">
        <v>0</v>
      </c>
      <c r="I58" s="582">
        <v>0.2</v>
      </c>
      <c r="J58" s="582">
        <v>0.5</v>
      </c>
      <c r="K58" s="582">
        <v>0</v>
      </c>
      <c r="L58" s="582">
        <v>0</v>
      </c>
      <c r="M58" s="582">
        <v>0</v>
      </c>
      <c r="N58" s="582">
        <v>0</v>
      </c>
      <c r="O58" s="582">
        <v>0</v>
      </c>
      <c r="P58" s="582">
        <v>0</v>
      </c>
      <c r="Q58">
        <v>1</v>
      </c>
      <c r="R58">
        <v>1</v>
      </c>
      <c r="S58">
        <v>1</v>
      </c>
      <c r="T58" t="s">
        <v>1561</v>
      </c>
      <c r="U58" t="s">
        <v>1422</v>
      </c>
      <c r="V58">
        <v>0</v>
      </c>
      <c r="W58">
        <v>0</v>
      </c>
      <c r="X58">
        <v>2</v>
      </c>
      <c r="Y58" t="s">
        <v>1571</v>
      </c>
      <c r="Z58" t="s">
        <v>1576</v>
      </c>
      <c r="AD58" t="s">
        <v>1567</v>
      </c>
      <c r="AE58">
        <v>100</v>
      </c>
      <c r="AF58" t="s">
        <v>297</v>
      </c>
      <c r="AG58" s="738" t="s">
        <v>8788</v>
      </c>
    </row>
    <row r="59" spans="1:43" ht="15.55" customHeight="1">
      <c r="A59" t="s">
        <v>1553</v>
      </c>
      <c r="B59" t="s">
        <v>1381</v>
      </c>
      <c r="C59" t="s">
        <v>1364</v>
      </c>
      <c r="D59" t="s">
        <v>1411</v>
      </c>
      <c r="E59" t="s">
        <v>1411</v>
      </c>
      <c r="F59">
        <v>2</v>
      </c>
      <c r="G59">
        <v>2</v>
      </c>
      <c r="H59" s="582">
        <v>0.1</v>
      </c>
      <c r="I59" s="582">
        <v>0.1</v>
      </c>
      <c r="J59" s="582">
        <v>0.1</v>
      </c>
      <c r="K59" s="582">
        <v>0.1</v>
      </c>
      <c r="L59" s="582">
        <v>0.1</v>
      </c>
      <c r="M59" s="582">
        <v>0.3</v>
      </c>
      <c r="N59" s="582">
        <v>0.1</v>
      </c>
      <c r="O59" s="582">
        <v>0.1</v>
      </c>
      <c r="P59" s="582">
        <v>0.1</v>
      </c>
      <c r="Q59">
        <v>1</v>
      </c>
      <c r="R59">
        <v>1</v>
      </c>
      <c r="S59">
        <v>1</v>
      </c>
      <c r="T59" t="s">
        <v>1564</v>
      </c>
      <c r="U59" t="s">
        <v>1422</v>
      </c>
      <c r="V59">
        <v>0</v>
      </c>
      <c r="W59">
        <v>0</v>
      </c>
      <c r="X59">
        <v>2</v>
      </c>
      <c r="Y59" t="s">
        <v>1572</v>
      </c>
      <c r="AD59" t="s">
        <v>1567</v>
      </c>
      <c r="AE59">
        <v>100</v>
      </c>
      <c r="AF59" t="s">
        <v>297</v>
      </c>
      <c r="AG59" s="738" t="s">
        <v>8788</v>
      </c>
    </row>
    <row r="60" spans="1:43" ht="15.55" customHeight="1">
      <c r="A60" t="s">
        <v>1554</v>
      </c>
      <c r="B60" t="s">
        <v>1383</v>
      </c>
      <c r="C60" t="s">
        <v>1364</v>
      </c>
      <c r="D60" t="s">
        <v>1511</v>
      </c>
      <c r="E60" t="s">
        <v>1560</v>
      </c>
      <c r="F60">
        <v>2</v>
      </c>
      <c r="G60">
        <v>2</v>
      </c>
      <c r="H60" s="582">
        <v>0</v>
      </c>
      <c r="I60" s="582">
        <v>0.5</v>
      </c>
      <c r="J60" s="582">
        <v>0</v>
      </c>
      <c r="K60" s="582">
        <v>0</v>
      </c>
      <c r="L60" s="582">
        <v>0</v>
      </c>
      <c r="M60" s="582">
        <v>0</v>
      </c>
      <c r="N60" s="582">
        <v>0</v>
      </c>
      <c r="O60" s="582">
        <v>0</v>
      </c>
      <c r="P60" s="582">
        <v>0</v>
      </c>
      <c r="Q60">
        <v>1</v>
      </c>
      <c r="R60">
        <v>1</v>
      </c>
      <c r="S60">
        <v>1</v>
      </c>
      <c r="T60" t="s">
        <v>1565</v>
      </c>
      <c r="U60" t="s">
        <v>1422</v>
      </c>
      <c r="V60">
        <v>0</v>
      </c>
      <c r="W60">
        <v>0</v>
      </c>
      <c r="X60">
        <v>2</v>
      </c>
      <c r="AD60" t="s">
        <v>1567</v>
      </c>
      <c r="AE60">
        <v>100</v>
      </c>
      <c r="AF60" t="s">
        <v>297</v>
      </c>
      <c r="AG60" s="738" t="s">
        <v>8788</v>
      </c>
    </row>
    <row r="61" spans="1:43" ht="15.55" customHeight="1">
      <c r="A61" t="s">
        <v>1555</v>
      </c>
      <c r="B61" t="s">
        <v>1385</v>
      </c>
      <c r="C61" t="s">
        <v>1364</v>
      </c>
      <c r="D61" t="s">
        <v>1557</v>
      </c>
      <c r="E61" t="s">
        <v>1411</v>
      </c>
      <c r="F61">
        <v>1</v>
      </c>
      <c r="G61">
        <v>2</v>
      </c>
      <c r="H61" s="582">
        <v>0.5</v>
      </c>
      <c r="I61" s="582">
        <v>0</v>
      </c>
      <c r="J61" s="582">
        <v>0.2</v>
      </c>
      <c r="K61" s="582">
        <v>0</v>
      </c>
      <c r="L61" s="582">
        <v>0</v>
      </c>
      <c r="M61" s="582">
        <v>0</v>
      </c>
      <c r="N61" s="582">
        <v>0</v>
      </c>
      <c r="O61" s="582">
        <v>0</v>
      </c>
      <c r="P61" s="582">
        <v>0</v>
      </c>
      <c r="Q61">
        <v>1</v>
      </c>
      <c r="R61">
        <v>1</v>
      </c>
      <c r="S61">
        <v>1</v>
      </c>
      <c r="T61" t="s">
        <v>1561</v>
      </c>
      <c r="U61" t="s">
        <v>1422</v>
      </c>
      <c r="V61">
        <v>0</v>
      </c>
      <c r="W61">
        <v>0</v>
      </c>
      <c r="X61">
        <v>2</v>
      </c>
      <c r="Z61" t="s">
        <v>1577</v>
      </c>
      <c r="AD61" t="s">
        <v>1567</v>
      </c>
      <c r="AE61">
        <v>100</v>
      </c>
      <c r="AF61" t="s">
        <v>297</v>
      </c>
      <c r="AG61" s="738" t="s">
        <v>8788</v>
      </c>
    </row>
    <row r="62" spans="1:43" ht="15.55" customHeight="1">
      <c r="A62" t="s">
        <v>1578</v>
      </c>
      <c r="B62" s="703" t="s">
        <v>2465</v>
      </c>
      <c r="C62" t="s">
        <v>1370</v>
      </c>
      <c r="D62" t="s">
        <v>1511</v>
      </c>
      <c r="E62" t="s">
        <v>1411</v>
      </c>
      <c r="F62">
        <v>1</v>
      </c>
      <c r="G62">
        <v>1</v>
      </c>
      <c r="H62" s="582">
        <v>0</v>
      </c>
      <c r="I62" s="582">
        <v>0</v>
      </c>
      <c r="J62" s="582">
        <v>0</v>
      </c>
      <c r="K62" s="582">
        <v>0</v>
      </c>
      <c r="L62" s="582">
        <v>0</v>
      </c>
      <c r="M62" s="582">
        <v>0</v>
      </c>
      <c r="N62" s="582">
        <v>0</v>
      </c>
      <c r="O62" s="582">
        <v>0</v>
      </c>
      <c r="P62" s="582">
        <v>0</v>
      </c>
      <c r="Q62">
        <v>1</v>
      </c>
      <c r="R62">
        <v>1</v>
      </c>
      <c r="S62">
        <v>1</v>
      </c>
      <c r="T62" t="s">
        <v>1590</v>
      </c>
      <c r="U62" t="s">
        <v>1423</v>
      </c>
      <c r="V62">
        <v>0</v>
      </c>
      <c r="W62">
        <v>0</v>
      </c>
      <c r="X62">
        <v>2</v>
      </c>
      <c r="Z62" t="s">
        <v>1611</v>
      </c>
      <c r="AD62" t="s">
        <v>1601</v>
      </c>
      <c r="AE62">
        <v>100</v>
      </c>
      <c r="AF62" t="s">
        <v>297</v>
      </c>
      <c r="AG62" s="738" t="s">
        <v>8789</v>
      </c>
    </row>
    <row r="63" spans="1:43" ht="15.55" customHeight="1">
      <c r="A63" t="s">
        <v>597</v>
      </c>
      <c r="B63" t="s">
        <v>1367</v>
      </c>
      <c r="C63" t="s">
        <v>1370</v>
      </c>
      <c r="D63" t="s">
        <v>1588</v>
      </c>
      <c r="E63" t="s">
        <v>1411</v>
      </c>
      <c r="F63">
        <v>1</v>
      </c>
      <c r="G63">
        <v>1</v>
      </c>
      <c r="H63" s="582">
        <v>0</v>
      </c>
      <c r="I63" s="582">
        <v>0</v>
      </c>
      <c r="J63" s="582">
        <v>0</v>
      </c>
      <c r="K63" s="582">
        <v>0</v>
      </c>
      <c r="L63" s="582">
        <v>0</v>
      </c>
      <c r="M63" s="582">
        <v>0</v>
      </c>
      <c r="N63" s="582">
        <v>0</v>
      </c>
      <c r="O63" s="582">
        <v>0</v>
      </c>
      <c r="P63" s="582">
        <v>0</v>
      </c>
      <c r="Q63">
        <v>1</v>
      </c>
      <c r="R63">
        <v>1</v>
      </c>
      <c r="S63">
        <v>1</v>
      </c>
      <c r="T63" t="s">
        <v>1591</v>
      </c>
      <c r="U63" t="s">
        <v>1422</v>
      </c>
      <c r="V63">
        <v>0</v>
      </c>
      <c r="W63">
        <v>0</v>
      </c>
      <c r="X63">
        <v>2</v>
      </c>
      <c r="Y63" t="s">
        <v>1604</v>
      </c>
      <c r="Z63" t="s">
        <v>1612</v>
      </c>
      <c r="AD63" t="s">
        <v>1601</v>
      </c>
      <c r="AE63">
        <v>100</v>
      </c>
      <c r="AF63" t="s">
        <v>297</v>
      </c>
      <c r="AG63" s="738" t="s">
        <v>8789</v>
      </c>
      <c r="AH63" s="741"/>
      <c r="AI63" s="742"/>
      <c r="AJ63" s="742"/>
      <c r="AK63" s="742"/>
      <c r="AL63" s="741"/>
      <c r="AM63" s="740"/>
      <c r="AN63" s="742"/>
      <c r="AO63" s="741"/>
      <c r="AP63" s="742"/>
      <c r="AQ63" s="743"/>
    </row>
    <row r="64" spans="1:43" ht="15.55" customHeight="1">
      <c r="A64" t="s">
        <v>1579</v>
      </c>
      <c r="B64" t="s">
        <v>1369</v>
      </c>
      <c r="C64" t="s">
        <v>1370</v>
      </c>
      <c r="D64" t="s">
        <v>1557</v>
      </c>
      <c r="E64" t="s">
        <v>1411</v>
      </c>
      <c r="F64">
        <v>1</v>
      </c>
      <c r="G64">
        <v>3</v>
      </c>
      <c r="H64" s="582">
        <v>0</v>
      </c>
      <c r="I64" s="582">
        <v>0</v>
      </c>
      <c r="J64" s="582">
        <v>-1</v>
      </c>
      <c r="K64" s="582">
        <v>1</v>
      </c>
      <c r="L64" s="582">
        <v>-1</v>
      </c>
      <c r="M64" s="582">
        <v>0</v>
      </c>
      <c r="N64" s="582">
        <v>0</v>
      </c>
      <c r="O64" s="582">
        <v>-0.5</v>
      </c>
      <c r="P64" s="582">
        <v>0.5</v>
      </c>
      <c r="Q64">
        <v>1</v>
      </c>
      <c r="R64">
        <v>1</v>
      </c>
      <c r="S64">
        <v>1</v>
      </c>
      <c r="T64" t="s">
        <v>1592</v>
      </c>
      <c r="U64" t="s">
        <v>1422</v>
      </c>
      <c r="V64">
        <v>0</v>
      </c>
      <c r="W64">
        <v>0</v>
      </c>
      <c r="X64">
        <v>2</v>
      </c>
      <c r="Y64" t="s">
        <v>1605</v>
      </c>
      <c r="Z64" t="s">
        <v>1613</v>
      </c>
      <c r="AD64" t="s">
        <v>1602</v>
      </c>
      <c r="AE64">
        <v>100</v>
      </c>
      <c r="AF64" t="s">
        <v>297</v>
      </c>
      <c r="AG64" s="738" t="s">
        <v>8789</v>
      </c>
    </row>
    <row r="65" spans="1:33" ht="15.55" customHeight="1">
      <c r="A65" t="s">
        <v>1580</v>
      </c>
      <c r="B65" t="s">
        <v>1371</v>
      </c>
      <c r="C65" t="s">
        <v>1370</v>
      </c>
      <c r="D65" s="579" t="s">
        <v>5695</v>
      </c>
      <c r="E65" t="s">
        <v>2028</v>
      </c>
      <c r="F65">
        <v>1</v>
      </c>
      <c r="G65">
        <v>1</v>
      </c>
      <c r="H65" s="582">
        <v>0</v>
      </c>
      <c r="I65" s="582">
        <v>0</v>
      </c>
      <c r="J65" s="582">
        <v>0</v>
      </c>
      <c r="K65" s="582">
        <v>0</v>
      </c>
      <c r="L65" s="582">
        <v>0</v>
      </c>
      <c r="M65" s="582">
        <v>0</v>
      </c>
      <c r="N65" s="582">
        <v>0</v>
      </c>
      <c r="O65" s="582">
        <v>0</v>
      </c>
      <c r="P65" s="582">
        <v>0</v>
      </c>
      <c r="Q65">
        <v>1</v>
      </c>
      <c r="R65">
        <v>1</v>
      </c>
      <c r="S65">
        <v>1</v>
      </c>
      <c r="T65" t="s">
        <v>1593</v>
      </c>
      <c r="U65" t="s">
        <v>1422</v>
      </c>
      <c r="V65">
        <v>0</v>
      </c>
      <c r="W65">
        <v>0</v>
      </c>
      <c r="X65">
        <v>2</v>
      </c>
      <c r="Y65" t="s">
        <v>1606</v>
      </c>
      <c r="AD65" t="s">
        <v>1601</v>
      </c>
      <c r="AE65">
        <v>100</v>
      </c>
      <c r="AF65" t="s">
        <v>297</v>
      </c>
      <c r="AG65" s="738" t="s">
        <v>8789</v>
      </c>
    </row>
    <row r="66" spans="1:33" ht="15.55" customHeight="1">
      <c r="A66" t="s">
        <v>1581</v>
      </c>
      <c r="B66" t="s">
        <v>1374</v>
      </c>
      <c r="C66" t="s">
        <v>1370</v>
      </c>
      <c r="D66" t="s">
        <v>1560</v>
      </c>
      <c r="E66" t="s">
        <v>1411</v>
      </c>
      <c r="F66">
        <v>2</v>
      </c>
      <c r="G66">
        <v>1</v>
      </c>
      <c r="H66" s="582">
        <v>0</v>
      </c>
      <c r="I66" s="582">
        <v>0</v>
      </c>
      <c r="J66" s="582">
        <v>0</v>
      </c>
      <c r="K66" s="582">
        <v>0</v>
      </c>
      <c r="L66" s="582">
        <v>0</v>
      </c>
      <c r="M66" s="582">
        <v>0.5</v>
      </c>
      <c r="N66" s="582">
        <v>-0.5</v>
      </c>
      <c r="O66" s="582">
        <v>0</v>
      </c>
      <c r="P66" s="582">
        <v>0.5</v>
      </c>
      <c r="Q66">
        <v>1</v>
      </c>
      <c r="R66">
        <v>1</v>
      </c>
      <c r="S66">
        <v>1</v>
      </c>
      <c r="T66" t="s">
        <v>1594</v>
      </c>
      <c r="U66" t="s">
        <v>1422</v>
      </c>
      <c r="V66">
        <v>0</v>
      </c>
      <c r="W66">
        <v>0</v>
      </c>
      <c r="X66">
        <v>2</v>
      </c>
      <c r="Y66" t="s">
        <v>1607</v>
      </c>
      <c r="AD66" t="s">
        <v>1601</v>
      </c>
      <c r="AE66">
        <v>100</v>
      </c>
      <c r="AF66" t="s">
        <v>297</v>
      </c>
      <c r="AG66" s="738" t="s">
        <v>8789</v>
      </c>
    </row>
    <row r="67" spans="1:33" ht="15.55" customHeight="1">
      <c r="A67" t="s">
        <v>1582</v>
      </c>
      <c r="B67" t="s">
        <v>1377</v>
      </c>
      <c r="C67" t="s">
        <v>1370</v>
      </c>
      <c r="D67" t="s">
        <v>1411</v>
      </c>
      <c r="E67" t="s">
        <v>1411</v>
      </c>
      <c r="F67">
        <v>1</v>
      </c>
      <c r="G67">
        <v>1</v>
      </c>
      <c r="H67" s="582">
        <v>-0.5</v>
      </c>
      <c r="I67" s="582">
        <v>0.5</v>
      </c>
      <c r="J67" s="582">
        <v>0</v>
      </c>
      <c r="K67" s="582">
        <v>0</v>
      </c>
      <c r="L67" s="582">
        <v>0</v>
      </c>
      <c r="M67" s="582">
        <v>0</v>
      </c>
      <c r="N67" s="582">
        <v>-0.5</v>
      </c>
      <c r="O67" s="582">
        <v>0.5</v>
      </c>
      <c r="P67" s="582">
        <v>0</v>
      </c>
      <c r="Q67">
        <v>1</v>
      </c>
      <c r="R67">
        <v>1</v>
      </c>
      <c r="S67">
        <v>1</v>
      </c>
      <c r="T67" t="s">
        <v>1595</v>
      </c>
      <c r="U67" t="s">
        <v>1422</v>
      </c>
      <c r="V67">
        <v>0</v>
      </c>
      <c r="W67">
        <v>0</v>
      </c>
      <c r="X67">
        <v>2</v>
      </c>
      <c r="AD67" t="s">
        <v>1601</v>
      </c>
      <c r="AE67">
        <v>100</v>
      </c>
      <c r="AF67" t="s">
        <v>297</v>
      </c>
      <c r="AG67" s="738" t="s">
        <v>8789</v>
      </c>
    </row>
    <row r="68" spans="1:33" ht="15.55" customHeight="1">
      <c r="A68" t="s">
        <v>1583</v>
      </c>
      <c r="B68" t="s">
        <v>1379</v>
      </c>
      <c r="C68" t="s">
        <v>1370</v>
      </c>
      <c r="D68" t="s">
        <v>1409</v>
      </c>
      <c r="E68" t="s">
        <v>1409</v>
      </c>
      <c r="F68">
        <v>1</v>
      </c>
      <c r="G68">
        <v>1</v>
      </c>
      <c r="H68" s="582">
        <v>0</v>
      </c>
      <c r="I68" s="582">
        <v>0</v>
      </c>
      <c r="J68" s="582">
        <v>0</v>
      </c>
      <c r="K68" s="582">
        <v>0</v>
      </c>
      <c r="L68" s="582">
        <v>0</v>
      </c>
      <c r="M68" s="582">
        <v>0</v>
      </c>
      <c r="N68" s="582">
        <v>0</v>
      </c>
      <c r="O68" s="582">
        <v>0</v>
      </c>
      <c r="P68" s="582">
        <v>0</v>
      </c>
      <c r="Q68">
        <v>1</v>
      </c>
      <c r="R68">
        <v>1</v>
      </c>
      <c r="S68">
        <v>1</v>
      </c>
      <c r="T68" t="s">
        <v>1596</v>
      </c>
      <c r="U68" t="s">
        <v>1422</v>
      </c>
      <c r="V68">
        <v>0</v>
      </c>
      <c r="W68">
        <v>0</v>
      </c>
      <c r="X68">
        <v>2</v>
      </c>
      <c r="Y68" t="s">
        <v>1608</v>
      </c>
      <c r="AD68" t="s">
        <v>1602</v>
      </c>
      <c r="AE68">
        <v>100</v>
      </c>
      <c r="AF68" t="s">
        <v>297</v>
      </c>
      <c r="AG68" s="738" t="s">
        <v>8789</v>
      </c>
    </row>
    <row r="69" spans="1:33" ht="15.55" customHeight="1">
      <c r="A69" t="s">
        <v>1584</v>
      </c>
      <c r="B69" t="s">
        <v>1381</v>
      </c>
      <c r="C69" t="s">
        <v>1370</v>
      </c>
      <c r="D69" t="s">
        <v>1557</v>
      </c>
      <c r="E69" t="s">
        <v>1411</v>
      </c>
      <c r="F69">
        <v>1</v>
      </c>
      <c r="G69">
        <v>1</v>
      </c>
      <c r="H69" s="582">
        <v>0</v>
      </c>
      <c r="I69" s="582">
        <v>0</v>
      </c>
      <c r="J69" s="582">
        <v>0</v>
      </c>
      <c r="K69" s="582">
        <v>0</v>
      </c>
      <c r="L69" s="582">
        <v>0</v>
      </c>
      <c r="M69" s="582">
        <v>0</v>
      </c>
      <c r="N69" s="582">
        <v>0</v>
      </c>
      <c r="O69" s="582">
        <v>0</v>
      </c>
      <c r="P69" s="582">
        <v>0</v>
      </c>
      <c r="Q69">
        <v>1</v>
      </c>
      <c r="R69">
        <v>1</v>
      </c>
      <c r="S69">
        <v>1</v>
      </c>
      <c r="T69" t="s">
        <v>1597</v>
      </c>
      <c r="U69" t="s">
        <v>1422</v>
      </c>
      <c r="V69">
        <v>0</v>
      </c>
      <c r="W69">
        <v>0</v>
      </c>
      <c r="X69">
        <v>2</v>
      </c>
      <c r="Y69" t="s">
        <v>1609</v>
      </c>
      <c r="Z69" t="s">
        <v>1614</v>
      </c>
      <c r="AD69" t="s">
        <v>1602</v>
      </c>
      <c r="AE69">
        <v>100</v>
      </c>
      <c r="AF69" t="s">
        <v>297</v>
      </c>
      <c r="AG69" s="738" t="s">
        <v>8789</v>
      </c>
    </row>
    <row r="70" spans="1:33" ht="15.55" customHeight="1">
      <c r="A70" t="s">
        <v>1585</v>
      </c>
      <c r="B70" t="s">
        <v>1383</v>
      </c>
      <c r="C70" t="s">
        <v>1370</v>
      </c>
      <c r="D70" t="s">
        <v>1409</v>
      </c>
      <c r="E70" t="s">
        <v>1409</v>
      </c>
      <c r="F70">
        <v>1</v>
      </c>
      <c r="G70">
        <v>1</v>
      </c>
      <c r="H70" s="582">
        <v>0</v>
      </c>
      <c r="I70" s="582">
        <v>0</v>
      </c>
      <c r="J70" s="582">
        <v>0</v>
      </c>
      <c r="K70" s="582">
        <v>0</v>
      </c>
      <c r="L70" s="582">
        <v>0</v>
      </c>
      <c r="M70" s="582">
        <v>0</v>
      </c>
      <c r="N70" s="582">
        <v>0</v>
      </c>
      <c r="O70" s="582">
        <v>0</v>
      </c>
      <c r="P70" s="582">
        <v>0</v>
      </c>
      <c r="Q70">
        <v>1</v>
      </c>
      <c r="R70">
        <v>1</v>
      </c>
      <c r="S70">
        <v>1</v>
      </c>
      <c r="T70" t="s">
        <v>1598</v>
      </c>
      <c r="U70" t="s">
        <v>1422</v>
      </c>
      <c r="V70">
        <v>0</v>
      </c>
      <c r="W70">
        <v>0</v>
      </c>
      <c r="X70">
        <v>2</v>
      </c>
      <c r="Z70" t="s">
        <v>1615</v>
      </c>
      <c r="AD70" t="s">
        <v>1602</v>
      </c>
      <c r="AE70">
        <v>100</v>
      </c>
      <c r="AF70" t="s">
        <v>297</v>
      </c>
      <c r="AG70" s="738" t="s">
        <v>8789</v>
      </c>
    </row>
    <row r="71" spans="1:33" ht="15.55" customHeight="1">
      <c r="A71" t="s">
        <v>1586</v>
      </c>
      <c r="B71" t="s">
        <v>1385</v>
      </c>
      <c r="C71" t="s">
        <v>1370</v>
      </c>
      <c r="D71" t="s">
        <v>1557</v>
      </c>
      <c r="E71" t="s">
        <v>1409</v>
      </c>
      <c r="F71">
        <v>1</v>
      </c>
      <c r="G71">
        <v>1</v>
      </c>
      <c r="H71" s="582">
        <v>0</v>
      </c>
      <c r="I71" s="582">
        <v>0</v>
      </c>
      <c r="J71" s="582">
        <v>0</v>
      </c>
      <c r="K71" s="582">
        <v>0</v>
      </c>
      <c r="L71" s="582">
        <v>0</v>
      </c>
      <c r="M71" s="582">
        <v>0</v>
      </c>
      <c r="N71" s="582">
        <v>0</v>
      </c>
      <c r="O71" s="582">
        <v>0</v>
      </c>
      <c r="P71" s="582">
        <v>0</v>
      </c>
      <c r="Q71">
        <v>1</v>
      </c>
      <c r="R71">
        <v>1</v>
      </c>
      <c r="S71">
        <v>1</v>
      </c>
      <c r="T71" t="s">
        <v>1599</v>
      </c>
      <c r="U71" t="s">
        <v>1422</v>
      </c>
      <c r="V71">
        <v>0</v>
      </c>
      <c r="W71">
        <v>0</v>
      </c>
      <c r="X71">
        <v>2</v>
      </c>
      <c r="Y71" t="s">
        <v>1609</v>
      </c>
      <c r="Z71" t="s">
        <v>1616</v>
      </c>
      <c r="AD71" t="s">
        <v>1601</v>
      </c>
      <c r="AE71">
        <v>100</v>
      </c>
      <c r="AF71" t="s">
        <v>297</v>
      </c>
      <c r="AG71" s="738" t="s">
        <v>8789</v>
      </c>
    </row>
    <row r="72" spans="1:33" ht="15.55" customHeight="1">
      <c r="A72" t="s">
        <v>1618</v>
      </c>
      <c r="B72" s="703" t="s">
        <v>2465</v>
      </c>
      <c r="C72" t="s">
        <v>1366</v>
      </c>
      <c r="D72" t="s">
        <v>1558</v>
      </c>
      <c r="E72" t="s">
        <v>2028</v>
      </c>
      <c r="F72">
        <v>-5</v>
      </c>
      <c r="G72">
        <v>-5</v>
      </c>
      <c r="H72" s="582">
        <v>-0.5</v>
      </c>
      <c r="I72" s="582">
        <v>-0.5</v>
      </c>
      <c r="J72" s="582">
        <v>-0.5</v>
      </c>
      <c r="K72" s="582">
        <v>-0.5</v>
      </c>
      <c r="L72" s="582">
        <v>-0.5</v>
      </c>
      <c r="M72" s="582">
        <v>-0.5</v>
      </c>
      <c r="N72" s="582">
        <v>-0.5</v>
      </c>
      <c r="O72" s="582">
        <v>-0.5</v>
      </c>
      <c r="P72" s="582">
        <v>-0.5</v>
      </c>
      <c r="Q72">
        <v>1</v>
      </c>
      <c r="R72">
        <v>1</v>
      </c>
      <c r="S72">
        <v>1</v>
      </c>
      <c r="T72" t="s">
        <v>1636</v>
      </c>
      <c r="U72" t="s">
        <v>1423</v>
      </c>
      <c r="V72">
        <v>0</v>
      </c>
      <c r="W72">
        <v>0</v>
      </c>
      <c r="X72">
        <v>3</v>
      </c>
      <c r="Y72" t="s">
        <v>1661</v>
      </c>
      <c r="Z72" t="s">
        <v>1671</v>
      </c>
      <c r="AD72" t="s">
        <v>5696</v>
      </c>
      <c r="AE72">
        <v>200</v>
      </c>
      <c r="AF72" t="s">
        <v>5697</v>
      </c>
      <c r="AG72" s="738" t="s">
        <v>8790</v>
      </c>
    </row>
    <row r="73" spans="1:33" ht="15.55" customHeight="1">
      <c r="A73" t="s">
        <v>1619</v>
      </c>
      <c r="B73" t="s">
        <v>1367</v>
      </c>
      <c r="C73" t="s">
        <v>1376</v>
      </c>
      <c r="D73" t="s">
        <v>1411</v>
      </c>
      <c r="E73" t="s">
        <v>1411</v>
      </c>
      <c r="F73">
        <v>3</v>
      </c>
      <c r="G73">
        <v>3</v>
      </c>
      <c r="H73" s="582">
        <v>0</v>
      </c>
      <c r="I73" s="582">
        <v>0</v>
      </c>
      <c r="J73" s="582">
        <v>0</v>
      </c>
      <c r="K73" s="582">
        <v>0</v>
      </c>
      <c r="L73" s="582">
        <v>0.2</v>
      </c>
      <c r="M73" s="582">
        <v>0.2</v>
      </c>
      <c r="N73" s="582">
        <v>0.2</v>
      </c>
      <c r="O73" s="582" t="s">
        <v>1635</v>
      </c>
      <c r="P73" s="582">
        <v>0.5</v>
      </c>
      <c r="Q73">
        <v>1</v>
      </c>
      <c r="R73">
        <v>1</v>
      </c>
      <c r="S73">
        <v>1</v>
      </c>
      <c r="T73" t="s">
        <v>1637</v>
      </c>
      <c r="U73" t="s">
        <v>1422</v>
      </c>
      <c r="V73">
        <v>0.3</v>
      </c>
      <c r="W73">
        <v>0</v>
      </c>
      <c r="X73">
        <v>3</v>
      </c>
      <c r="Z73" t="s">
        <v>1672</v>
      </c>
      <c r="AD73" t="s">
        <v>5698</v>
      </c>
      <c r="AE73">
        <v>200</v>
      </c>
      <c r="AF73" t="s">
        <v>5697</v>
      </c>
      <c r="AG73" s="738" t="s">
        <v>8791</v>
      </c>
    </row>
    <row r="74" spans="1:33" ht="15.55" customHeight="1">
      <c r="A74" t="s">
        <v>1620</v>
      </c>
      <c r="B74" t="s">
        <v>1369</v>
      </c>
      <c r="C74" t="s">
        <v>1376</v>
      </c>
      <c r="D74" t="s">
        <v>1633</v>
      </c>
      <c r="E74" t="s">
        <v>1411</v>
      </c>
      <c r="F74">
        <v>1</v>
      </c>
      <c r="G74">
        <v>1</v>
      </c>
      <c r="H74" s="582">
        <v>0.2</v>
      </c>
      <c r="I74" s="582">
        <v>0</v>
      </c>
      <c r="J74" s="582">
        <v>0</v>
      </c>
      <c r="K74" s="582">
        <v>0.4</v>
      </c>
      <c r="L74" s="582">
        <v>0</v>
      </c>
      <c r="M74" s="582">
        <v>0</v>
      </c>
      <c r="N74" s="582">
        <v>0</v>
      </c>
      <c r="O74" s="582">
        <v>0</v>
      </c>
      <c r="P74" s="582">
        <v>0</v>
      </c>
      <c r="Q74">
        <v>1</v>
      </c>
      <c r="R74">
        <v>1</v>
      </c>
      <c r="S74">
        <v>1</v>
      </c>
      <c r="T74" t="s">
        <v>1638</v>
      </c>
      <c r="U74" t="s">
        <v>1422</v>
      </c>
      <c r="V74">
        <v>0.2</v>
      </c>
      <c r="W74">
        <v>0</v>
      </c>
      <c r="X74">
        <v>3</v>
      </c>
      <c r="Y74" t="s">
        <v>1662</v>
      </c>
      <c r="Z74" t="s">
        <v>1673</v>
      </c>
      <c r="AD74" t="s">
        <v>5699</v>
      </c>
      <c r="AE74">
        <v>200</v>
      </c>
      <c r="AF74" t="s">
        <v>5697</v>
      </c>
      <c r="AG74" s="738" t="s">
        <v>8777</v>
      </c>
    </row>
    <row r="75" spans="1:33" ht="15.55" customHeight="1">
      <c r="A75" t="s">
        <v>1621</v>
      </c>
      <c r="B75" t="s">
        <v>1371</v>
      </c>
      <c r="C75" t="s">
        <v>1368</v>
      </c>
      <c r="D75" t="s">
        <v>1411</v>
      </c>
      <c r="E75" t="s">
        <v>1411</v>
      </c>
      <c r="F75">
        <v>0</v>
      </c>
      <c r="G75">
        <v>10</v>
      </c>
      <c r="H75" s="582">
        <v>-0.2</v>
      </c>
      <c r="I75" s="582">
        <v>-0.2</v>
      </c>
      <c r="J75" s="582">
        <v>-0.2</v>
      </c>
      <c r="K75" s="582">
        <v>-0.2</v>
      </c>
      <c r="L75" s="582">
        <v>-0.2</v>
      </c>
      <c r="M75" s="582">
        <v>-0.2</v>
      </c>
      <c r="N75" s="582">
        <v>-0.2</v>
      </c>
      <c r="O75" s="582">
        <v>-0.2</v>
      </c>
      <c r="P75" s="582">
        <v>-0.2</v>
      </c>
      <c r="Q75">
        <v>1</v>
      </c>
      <c r="R75">
        <v>1</v>
      </c>
      <c r="S75">
        <v>1</v>
      </c>
      <c r="T75" t="s">
        <v>1639</v>
      </c>
      <c r="U75" t="s">
        <v>1422</v>
      </c>
      <c r="V75">
        <v>0</v>
      </c>
      <c r="W75">
        <v>0</v>
      </c>
      <c r="X75">
        <v>3</v>
      </c>
      <c r="Y75" t="s">
        <v>1663</v>
      </c>
      <c r="Z75" t="s">
        <v>1674</v>
      </c>
      <c r="AD75" t="s">
        <v>5700</v>
      </c>
      <c r="AE75">
        <v>200</v>
      </c>
      <c r="AF75" t="s">
        <v>5697</v>
      </c>
      <c r="AG75" s="738" t="s">
        <v>8792</v>
      </c>
    </row>
    <row r="76" spans="1:33" ht="15.55" customHeight="1">
      <c r="A76" t="s">
        <v>1622</v>
      </c>
      <c r="B76" t="s">
        <v>1374</v>
      </c>
      <c r="C76" t="s">
        <v>1376</v>
      </c>
      <c r="D76" t="s">
        <v>1482</v>
      </c>
      <c r="E76" t="s">
        <v>1411</v>
      </c>
      <c r="F76">
        <v>0</v>
      </c>
      <c r="G76">
        <v>0</v>
      </c>
      <c r="H76" s="582">
        <v>0</v>
      </c>
      <c r="I76" s="582">
        <v>0</v>
      </c>
      <c r="J76" s="582">
        <v>0</v>
      </c>
      <c r="K76" s="582">
        <v>0</v>
      </c>
      <c r="L76" s="582">
        <v>0.9</v>
      </c>
      <c r="M76" s="582">
        <v>0</v>
      </c>
      <c r="N76" s="582">
        <v>0</v>
      </c>
      <c r="O76" s="582">
        <v>0</v>
      </c>
      <c r="P76" s="582">
        <v>0</v>
      </c>
      <c r="Q76">
        <v>1</v>
      </c>
      <c r="R76">
        <v>1</v>
      </c>
      <c r="S76">
        <v>1</v>
      </c>
      <c r="T76" t="s">
        <v>1640</v>
      </c>
      <c r="U76" t="s">
        <v>1422</v>
      </c>
      <c r="V76">
        <v>0</v>
      </c>
      <c r="W76">
        <v>0</v>
      </c>
      <c r="X76">
        <v>3</v>
      </c>
      <c r="Y76" t="s">
        <v>1664</v>
      </c>
      <c r="Z76" t="s">
        <v>1675</v>
      </c>
      <c r="AD76" t="s">
        <v>5701</v>
      </c>
      <c r="AE76">
        <v>200</v>
      </c>
      <c r="AF76" t="s">
        <v>5697</v>
      </c>
      <c r="AG76" s="738" t="s">
        <v>8793</v>
      </c>
    </row>
    <row r="77" spans="1:33" ht="15.55" customHeight="1">
      <c r="A77" t="s">
        <v>1623</v>
      </c>
      <c r="B77" s="703" t="s">
        <v>2465</v>
      </c>
      <c r="C77" t="s">
        <v>1366</v>
      </c>
      <c r="D77" t="s">
        <v>1511</v>
      </c>
      <c r="E77" t="s">
        <v>2028</v>
      </c>
      <c r="F77">
        <v>1</v>
      </c>
      <c r="G77">
        <v>1</v>
      </c>
      <c r="H77" s="582">
        <v>-0.5</v>
      </c>
      <c r="I77" s="582">
        <v>0.5</v>
      </c>
      <c r="J77" s="582">
        <v>-0.5</v>
      </c>
      <c r="K77" s="582">
        <v>-0.5</v>
      </c>
      <c r="L77" s="582">
        <v>0</v>
      </c>
      <c r="M77" s="582">
        <v>0</v>
      </c>
      <c r="N77" s="582">
        <v>0</v>
      </c>
      <c r="O77" s="582">
        <v>0.5</v>
      </c>
      <c r="P77" s="582">
        <v>0.5</v>
      </c>
      <c r="Q77">
        <v>1</v>
      </c>
      <c r="R77">
        <v>1</v>
      </c>
      <c r="S77">
        <v>1</v>
      </c>
      <c r="T77" t="s">
        <v>1641</v>
      </c>
      <c r="U77" t="s">
        <v>1423</v>
      </c>
      <c r="V77">
        <v>0</v>
      </c>
      <c r="W77">
        <v>0</v>
      </c>
      <c r="X77">
        <v>3</v>
      </c>
      <c r="Y77" t="s">
        <v>1665</v>
      </c>
      <c r="Z77" t="s">
        <v>5702</v>
      </c>
      <c r="AD77" t="s">
        <v>5703</v>
      </c>
      <c r="AE77">
        <v>200</v>
      </c>
      <c r="AF77" t="s">
        <v>5697</v>
      </c>
      <c r="AG77" s="738" t="s">
        <v>8794</v>
      </c>
    </row>
    <row r="78" spans="1:33" ht="15.55" customHeight="1">
      <c r="A78" t="s">
        <v>1624</v>
      </c>
      <c r="B78" t="s">
        <v>1379</v>
      </c>
      <c r="C78" t="s">
        <v>1364</v>
      </c>
      <c r="D78" t="s">
        <v>1409</v>
      </c>
      <c r="E78" t="s">
        <v>2028</v>
      </c>
      <c r="F78">
        <v>2</v>
      </c>
      <c r="G78">
        <v>2</v>
      </c>
      <c r="H78" s="582">
        <v>0</v>
      </c>
      <c r="I78" s="582">
        <v>0</v>
      </c>
      <c r="J78" s="582">
        <v>2</v>
      </c>
      <c r="K78" s="582">
        <v>0</v>
      </c>
      <c r="L78" s="582">
        <v>0</v>
      </c>
      <c r="M78" s="582">
        <v>0</v>
      </c>
      <c r="N78" s="582">
        <v>0</v>
      </c>
      <c r="O78" s="582">
        <v>0</v>
      </c>
      <c r="P78" s="582">
        <v>0</v>
      </c>
      <c r="Q78">
        <v>1</v>
      </c>
      <c r="R78">
        <v>1</v>
      </c>
      <c r="S78">
        <v>1</v>
      </c>
      <c r="U78" t="s">
        <v>1422</v>
      </c>
      <c r="V78">
        <v>0</v>
      </c>
      <c r="W78">
        <v>0</v>
      </c>
      <c r="X78">
        <v>3</v>
      </c>
      <c r="Y78" t="s">
        <v>1666</v>
      </c>
      <c r="AD78" t="s">
        <v>5704</v>
      </c>
      <c r="AE78">
        <v>200</v>
      </c>
      <c r="AF78" t="s">
        <v>5697</v>
      </c>
      <c r="AG78" s="738" t="s">
        <v>995</v>
      </c>
    </row>
    <row r="79" spans="1:33" ht="15.55" customHeight="1">
      <c r="A79" t="s">
        <v>1625</v>
      </c>
      <c r="B79" t="s">
        <v>1381</v>
      </c>
      <c r="C79" t="s">
        <v>1373</v>
      </c>
      <c r="D79" t="s">
        <v>1511</v>
      </c>
      <c r="E79" t="s">
        <v>1411</v>
      </c>
      <c r="F79">
        <v>2</v>
      </c>
      <c r="G79">
        <v>2</v>
      </c>
      <c r="H79" s="582">
        <v>0</v>
      </c>
      <c r="I79" s="582">
        <v>0</v>
      </c>
      <c r="J79" s="582">
        <v>0</v>
      </c>
      <c r="K79" s="582">
        <v>0</v>
      </c>
      <c r="L79" s="582">
        <v>0</v>
      </c>
      <c r="M79" s="582">
        <v>0</v>
      </c>
      <c r="N79" s="582">
        <v>0</v>
      </c>
      <c r="O79" s="582">
        <v>0</v>
      </c>
      <c r="P79" s="582">
        <v>0</v>
      </c>
      <c r="Q79">
        <v>1</v>
      </c>
      <c r="R79">
        <v>1</v>
      </c>
      <c r="S79">
        <v>1</v>
      </c>
      <c r="T79" t="s">
        <v>1642</v>
      </c>
      <c r="U79" t="s">
        <v>1422</v>
      </c>
      <c r="V79">
        <v>0</v>
      </c>
      <c r="W79">
        <v>0</v>
      </c>
      <c r="X79">
        <v>3</v>
      </c>
      <c r="Y79" t="s">
        <v>1545</v>
      </c>
      <c r="Z79" t="s">
        <v>1677</v>
      </c>
      <c r="AD79" t="s">
        <v>5705</v>
      </c>
      <c r="AE79">
        <v>200</v>
      </c>
      <c r="AF79" t="s">
        <v>5697</v>
      </c>
      <c r="AG79" s="738" t="s">
        <v>8795</v>
      </c>
    </row>
    <row r="80" spans="1:33" ht="15.55" customHeight="1">
      <c r="A80" t="s">
        <v>1626</v>
      </c>
      <c r="B80" t="s">
        <v>1383</v>
      </c>
      <c r="C80" t="s">
        <v>1373</v>
      </c>
      <c r="D80" t="s">
        <v>1411</v>
      </c>
      <c r="E80" t="s">
        <v>1411</v>
      </c>
      <c r="F80">
        <v>4</v>
      </c>
      <c r="G80">
        <v>4</v>
      </c>
      <c r="H80" s="582">
        <v>0</v>
      </c>
      <c r="I80" s="582">
        <v>1</v>
      </c>
      <c r="J80" s="582">
        <v>0</v>
      </c>
      <c r="K80" s="582">
        <v>0</v>
      </c>
      <c r="L80" s="582">
        <v>0</v>
      </c>
      <c r="M80" s="582">
        <v>0</v>
      </c>
      <c r="N80" s="582">
        <v>0</v>
      </c>
      <c r="O80" s="582">
        <v>0</v>
      </c>
      <c r="P80" s="582">
        <v>0</v>
      </c>
      <c r="Q80">
        <v>1</v>
      </c>
      <c r="R80">
        <v>1</v>
      </c>
      <c r="S80">
        <v>1</v>
      </c>
      <c r="T80" t="s">
        <v>1643</v>
      </c>
      <c r="U80" t="s">
        <v>1422</v>
      </c>
      <c r="V80">
        <v>0</v>
      </c>
      <c r="W80">
        <v>0</v>
      </c>
      <c r="X80">
        <v>3</v>
      </c>
      <c r="Y80" t="s">
        <v>1667</v>
      </c>
      <c r="Z80" t="s">
        <v>1678</v>
      </c>
      <c r="AD80" t="s">
        <v>5706</v>
      </c>
      <c r="AE80">
        <v>200</v>
      </c>
      <c r="AF80" t="s">
        <v>5697</v>
      </c>
      <c r="AG80" s="738" t="s">
        <v>8796</v>
      </c>
    </row>
    <row r="81" spans="1:33" ht="15.55" customHeight="1">
      <c r="A81" t="s">
        <v>1627</v>
      </c>
      <c r="B81" t="s">
        <v>1385</v>
      </c>
      <c r="C81" t="s">
        <v>1370</v>
      </c>
      <c r="D81" t="s">
        <v>1411</v>
      </c>
      <c r="E81" t="s">
        <v>2028</v>
      </c>
      <c r="F81">
        <v>5</v>
      </c>
      <c r="G81">
        <v>5</v>
      </c>
      <c r="H81" s="582">
        <v>0.8</v>
      </c>
      <c r="I81" s="582">
        <v>0</v>
      </c>
      <c r="J81" s="582">
        <v>0</v>
      </c>
      <c r="K81" s="582">
        <v>0</v>
      </c>
      <c r="L81" s="582">
        <v>0</v>
      </c>
      <c r="M81" s="582">
        <v>0</v>
      </c>
      <c r="N81" s="582">
        <v>0</v>
      </c>
      <c r="O81" s="582">
        <v>0</v>
      </c>
      <c r="P81" s="582">
        <v>0</v>
      </c>
      <c r="Q81">
        <v>1</v>
      </c>
      <c r="R81">
        <v>1</v>
      </c>
      <c r="S81">
        <v>1</v>
      </c>
      <c r="T81" t="s">
        <v>1644</v>
      </c>
      <c r="U81" t="s">
        <v>1422</v>
      </c>
      <c r="V81">
        <v>0</v>
      </c>
      <c r="W81">
        <v>0</v>
      </c>
      <c r="X81">
        <v>3</v>
      </c>
      <c r="Y81" t="s">
        <v>1668</v>
      </c>
      <c r="Z81" t="s">
        <v>1679</v>
      </c>
      <c r="AD81" t="s">
        <v>5707</v>
      </c>
      <c r="AE81">
        <v>200</v>
      </c>
      <c r="AF81" t="s">
        <v>5697</v>
      </c>
      <c r="AG81" s="738" t="s">
        <v>8733</v>
      </c>
    </row>
    <row r="82" spans="1:33" ht="15.55" customHeight="1">
      <c r="A82" t="s">
        <v>1685</v>
      </c>
      <c r="B82" s="703" t="s">
        <v>2465</v>
      </c>
      <c r="C82" t="s">
        <v>1366</v>
      </c>
      <c r="D82" t="s">
        <v>1696</v>
      </c>
      <c r="E82" t="s">
        <v>2028</v>
      </c>
      <c r="F82">
        <v>4</v>
      </c>
      <c r="G82">
        <v>4</v>
      </c>
      <c r="H82" s="582">
        <v>0</v>
      </c>
      <c r="I82" s="582">
        <v>0</v>
      </c>
      <c r="J82" s="582">
        <v>0</v>
      </c>
      <c r="K82" s="582">
        <v>0</v>
      </c>
      <c r="L82" s="582">
        <v>0</v>
      </c>
      <c r="M82" s="582">
        <v>0</v>
      </c>
      <c r="N82" s="582">
        <v>0</v>
      </c>
      <c r="O82" s="582">
        <v>1</v>
      </c>
      <c r="P82" s="582">
        <v>1</v>
      </c>
      <c r="Q82">
        <v>4</v>
      </c>
      <c r="R82">
        <v>4</v>
      </c>
      <c r="S82">
        <v>4</v>
      </c>
      <c r="T82" t="s">
        <v>5708</v>
      </c>
      <c r="U82" t="s">
        <v>1422</v>
      </c>
      <c r="V82">
        <v>0</v>
      </c>
      <c r="W82">
        <v>0</v>
      </c>
      <c r="X82">
        <v>4</v>
      </c>
      <c r="Y82" t="s">
        <v>1430</v>
      </c>
      <c r="AD82" t="s">
        <v>1702</v>
      </c>
      <c r="AE82">
        <v>400</v>
      </c>
      <c r="AF82" t="s">
        <v>299</v>
      </c>
      <c r="AG82" s="745" t="s">
        <v>8700</v>
      </c>
    </row>
    <row r="83" spans="1:33" ht="15.55" customHeight="1">
      <c r="A83" t="s">
        <v>1686</v>
      </c>
      <c r="B83" t="s">
        <v>1367</v>
      </c>
      <c r="C83" t="s">
        <v>1366</v>
      </c>
      <c r="D83" t="s">
        <v>1697</v>
      </c>
      <c r="E83" t="s">
        <v>2028</v>
      </c>
      <c r="F83">
        <v>4</v>
      </c>
      <c r="G83">
        <v>4</v>
      </c>
      <c r="H83" s="582">
        <v>0</v>
      </c>
      <c r="I83" s="582">
        <v>0</v>
      </c>
      <c r="J83" s="582">
        <v>0</v>
      </c>
      <c r="K83" s="582">
        <v>0</v>
      </c>
      <c r="L83" s="582">
        <v>0</v>
      </c>
      <c r="M83" s="582">
        <v>0</v>
      </c>
      <c r="N83" s="582">
        <v>0</v>
      </c>
      <c r="O83" s="582">
        <v>0</v>
      </c>
      <c r="P83" s="582">
        <v>1</v>
      </c>
      <c r="Q83">
        <v>4</v>
      </c>
      <c r="R83">
        <v>4</v>
      </c>
      <c r="S83">
        <v>4</v>
      </c>
      <c r="T83" t="s">
        <v>1700</v>
      </c>
      <c r="U83" t="s">
        <v>1422</v>
      </c>
      <c r="V83">
        <v>0</v>
      </c>
      <c r="W83">
        <v>0</v>
      </c>
      <c r="X83">
        <v>4</v>
      </c>
      <c r="Y83" t="s">
        <v>1431</v>
      </c>
      <c r="Z83" t="s">
        <v>1705</v>
      </c>
      <c r="AD83" t="s">
        <v>1702</v>
      </c>
      <c r="AE83">
        <v>400</v>
      </c>
      <c r="AF83" t="s">
        <v>299</v>
      </c>
      <c r="AG83" s="738" t="s">
        <v>8701</v>
      </c>
    </row>
    <row r="84" spans="1:33" ht="15.55" customHeight="1">
      <c r="A84" t="s">
        <v>1687</v>
      </c>
      <c r="B84" t="s">
        <v>1369</v>
      </c>
      <c r="C84" t="s">
        <v>1366</v>
      </c>
      <c r="D84" t="s">
        <v>1697</v>
      </c>
      <c r="E84" t="s">
        <v>2028</v>
      </c>
      <c r="F84">
        <v>4</v>
      </c>
      <c r="G84">
        <v>4</v>
      </c>
      <c r="H84" s="582">
        <v>0</v>
      </c>
      <c r="I84" s="582">
        <v>0</v>
      </c>
      <c r="J84" s="582">
        <v>0</v>
      </c>
      <c r="K84" s="582">
        <v>1</v>
      </c>
      <c r="L84" s="582">
        <v>0</v>
      </c>
      <c r="M84" s="582">
        <v>0</v>
      </c>
      <c r="N84" s="582">
        <v>0</v>
      </c>
      <c r="O84" s="582">
        <v>0</v>
      </c>
      <c r="P84" s="582">
        <v>0</v>
      </c>
      <c r="Q84">
        <v>4</v>
      </c>
      <c r="R84">
        <v>4</v>
      </c>
      <c r="S84">
        <v>4</v>
      </c>
      <c r="T84" t="s">
        <v>1700</v>
      </c>
      <c r="U84" t="s">
        <v>1422</v>
      </c>
      <c r="V84">
        <v>0</v>
      </c>
      <c r="W84">
        <v>0</v>
      </c>
      <c r="X84">
        <v>4</v>
      </c>
      <c r="Y84" t="s">
        <v>1432</v>
      </c>
      <c r="Z84" t="s">
        <v>1706</v>
      </c>
      <c r="AD84" t="s">
        <v>1702</v>
      </c>
      <c r="AE84">
        <v>400</v>
      </c>
      <c r="AF84" t="s">
        <v>299</v>
      </c>
      <c r="AG84" s="738" t="s">
        <v>8702</v>
      </c>
    </row>
    <row r="85" spans="1:33" ht="15.55" customHeight="1">
      <c r="A85" t="s">
        <v>1688</v>
      </c>
      <c r="B85" t="s">
        <v>1371</v>
      </c>
      <c r="C85" t="s">
        <v>1366</v>
      </c>
      <c r="D85" t="s">
        <v>1697</v>
      </c>
      <c r="E85" t="s">
        <v>2028</v>
      </c>
      <c r="F85">
        <v>4</v>
      </c>
      <c r="G85">
        <v>4</v>
      </c>
      <c r="H85" s="582">
        <v>0</v>
      </c>
      <c r="I85" s="582">
        <v>0</v>
      </c>
      <c r="J85" s="582">
        <v>0</v>
      </c>
      <c r="K85" s="582">
        <v>0</v>
      </c>
      <c r="L85" s="582">
        <v>0</v>
      </c>
      <c r="M85" s="582">
        <v>0</v>
      </c>
      <c r="N85" s="582">
        <v>1</v>
      </c>
      <c r="O85" s="582">
        <v>0</v>
      </c>
      <c r="P85" s="582">
        <v>0</v>
      </c>
      <c r="Q85">
        <v>4</v>
      </c>
      <c r="R85">
        <v>4</v>
      </c>
      <c r="S85">
        <v>4</v>
      </c>
      <c r="T85" t="s">
        <v>1700</v>
      </c>
      <c r="U85" t="s">
        <v>1422</v>
      </c>
      <c r="V85">
        <v>0</v>
      </c>
      <c r="W85">
        <v>0</v>
      </c>
      <c r="X85">
        <v>4</v>
      </c>
      <c r="Y85" t="s">
        <v>1433</v>
      </c>
      <c r="Z85" t="s">
        <v>1707</v>
      </c>
      <c r="AA85" t="s">
        <v>1714</v>
      </c>
      <c r="AD85" t="s">
        <v>1702</v>
      </c>
      <c r="AE85">
        <v>400</v>
      </c>
      <c r="AF85" t="s">
        <v>299</v>
      </c>
      <c r="AG85" s="738" t="s">
        <v>8703</v>
      </c>
    </row>
    <row r="86" spans="1:33" ht="15.55" customHeight="1">
      <c r="A86" t="s">
        <v>1689</v>
      </c>
      <c r="B86" t="s">
        <v>1374</v>
      </c>
      <c r="C86" t="s">
        <v>1366</v>
      </c>
      <c r="D86" t="s">
        <v>1697</v>
      </c>
      <c r="E86" t="s">
        <v>2028</v>
      </c>
      <c r="F86">
        <v>4</v>
      </c>
      <c r="G86">
        <v>4</v>
      </c>
      <c r="H86" s="582">
        <v>0</v>
      </c>
      <c r="I86" s="582">
        <v>0</v>
      </c>
      <c r="J86" s="582">
        <v>0</v>
      </c>
      <c r="K86" s="582">
        <v>0</v>
      </c>
      <c r="L86" s="582">
        <v>1</v>
      </c>
      <c r="M86" s="582">
        <v>0</v>
      </c>
      <c r="N86" s="582">
        <v>0</v>
      </c>
      <c r="O86" s="582">
        <v>0</v>
      </c>
      <c r="P86" s="582">
        <v>0</v>
      </c>
      <c r="Q86">
        <v>4</v>
      </c>
      <c r="R86">
        <v>4</v>
      </c>
      <c r="S86">
        <v>4</v>
      </c>
      <c r="T86" t="s">
        <v>1700</v>
      </c>
      <c r="U86" t="s">
        <v>1422</v>
      </c>
      <c r="V86">
        <v>0</v>
      </c>
      <c r="W86">
        <v>0</v>
      </c>
      <c r="X86">
        <v>4</v>
      </c>
      <c r="Y86" t="s">
        <v>1434</v>
      </c>
      <c r="Z86" t="s">
        <v>1708</v>
      </c>
      <c r="AD86" t="s">
        <v>1702</v>
      </c>
      <c r="AE86">
        <v>400</v>
      </c>
      <c r="AF86" t="s">
        <v>299</v>
      </c>
      <c r="AG86" s="738" t="s">
        <v>8704</v>
      </c>
    </row>
    <row r="87" spans="1:33" ht="15.55" customHeight="1">
      <c r="A87" t="s">
        <v>1690</v>
      </c>
      <c r="B87" t="s">
        <v>1377</v>
      </c>
      <c r="C87" t="s">
        <v>1366</v>
      </c>
      <c r="D87" t="s">
        <v>1698</v>
      </c>
      <c r="E87" t="s">
        <v>2028</v>
      </c>
      <c r="F87">
        <v>4</v>
      </c>
      <c r="G87">
        <v>4</v>
      </c>
      <c r="H87" s="582">
        <v>0</v>
      </c>
      <c r="I87" s="582">
        <v>0</v>
      </c>
      <c r="J87" s="582">
        <v>0</v>
      </c>
      <c r="K87" s="582">
        <v>0</v>
      </c>
      <c r="L87" s="582">
        <v>0</v>
      </c>
      <c r="M87" s="582">
        <v>0</v>
      </c>
      <c r="N87" s="582">
        <v>0</v>
      </c>
      <c r="O87" s="582">
        <v>1</v>
      </c>
      <c r="P87" s="582">
        <v>0</v>
      </c>
      <c r="Q87">
        <v>4</v>
      </c>
      <c r="R87">
        <v>4</v>
      </c>
      <c r="S87">
        <v>4</v>
      </c>
      <c r="T87" t="s">
        <v>1700</v>
      </c>
      <c r="U87" t="s">
        <v>1422</v>
      </c>
      <c r="V87">
        <v>0</v>
      </c>
      <c r="W87">
        <v>0</v>
      </c>
      <c r="X87">
        <v>4</v>
      </c>
      <c r="Y87" t="s">
        <v>1435</v>
      </c>
      <c r="AD87" t="s">
        <v>1702</v>
      </c>
      <c r="AE87">
        <v>400</v>
      </c>
      <c r="AF87" t="s">
        <v>299</v>
      </c>
      <c r="AG87" s="738" t="s">
        <v>8705</v>
      </c>
    </row>
    <row r="88" spans="1:33" ht="15.55" customHeight="1">
      <c r="A88" t="s">
        <v>1691</v>
      </c>
      <c r="B88" t="s">
        <v>1379</v>
      </c>
      <c r="C88" t="s">
        <v>1366</v>
      </c>
      <c r="D88" t="s">
        <v>1697</v>
      </c>
      <c r="E88" t="s">
        <v>2028</v>
      </c>
      <c r="F88">
        <v>4</v>
      </c>
      <c r="G88">
        <v>4</v>
      </c>
      <c r="H88" s="582">
        <v>0</v>
      </c>
      <c r="I88" s="582">
        <v>0</v>
      </c>
      <c r="J88" s="582">
        <v>1</v>
      </c>
      <c r="K88" s="582">
        <v>0</v>
      </c>
      <c r="L88" s="582">
        <v>0</v>
      </c>
      <c r="M88" s="582">
        <v>0</v>
      </c>
      <c r="N88" s="582">
        <v>0</v>
      </c>
      <c r="O88" s="582">
        <v>0</v>
      </c>
      <c r="P88" s="582">
        <v>0</v>
      </c>
      <c r="Q88">
        <v>4</v>
      </c>
      <c r="R88">
        <v>4</v>
      </c>
      <c r="S88">
        <v>4</v>
      </c>
      <c r="T88" t="s">
        <v>1700</v>
      </c>
      <c r="U88" t="s">
        <v>1422</v>
      </c>
      <c r="V88">
        <v>0</v>
      </c>
      <c r="W88">
        <v>0</v>
      </c>
      <c r="X88">
        <v>4</v>
      </c>
      <c r="Y88" t="s">
        <v>1430</v>
      </c>
      <c r="Z88" t="s">
        <v>1709</v>
      </c>
      <c r="AD88" t="s">
        <v>1702</v>
      </c>
      <c r="AE88">
        <v>400</v>
      </c>
      <c r="AF88" t="s">
        <v>299</v>
      </c>
      <c r="AG88" s="738" t="s">
        <v>8706</v>
      </c>
    </row>
    <row r="89" spans="1:33" ht="15.55" customHeight="1">
      <c r="A89" t="s">
        <v>1692</v>
      </c>
      <c r="B89" t="s">
        <v>1381</v>
      </c>
      <c r="C89" t="s">
        <v>1366</v>
      </c>
      <c r="D89" t="s">
        <v>1697</v>
      </c>
      <c r="E89" t="s">
        <v>2028</v>
      </c>
      <c r="F89">
        <v>4</v>
      </c>
      <c r="G89">
        <v>4</v>
      </c>
      <c r="H89" s="582">
        <v>0</v>
      </c>
      <c r="I89" s="582">
        <v>0</v>
      </c>
      <c r="J89" s="582">
        <v>0</v>
      </c>
      <c r="K89" s="582">
        <v>0</v>
      </c>
      <c r="L89" s="582">
        <v>0</v>
      </c>
      <c r="M89" s="582">
        <v>1</v>
      </c>
      <c r="N89" s="582">
        <v>0</v>
      </c>
      <c r="O89" s="582">
        <v>0</v>
      </c>
      <c r="P89" s="582">
        <v>0</v>
      </c>
      <c r="Q89">
        <v>4</v>
      </c>
      <c r="R89">
        <v>4</v>
      </c>
      <c r="S89">
        <v>4</v>
      </c>
      <c r="T89" t="s">
        <v>1700</v>
      </c>
      <c r="U89" t="s">
        <v>1422</v>
      </c>
      <c r="V89">
        <v>0</v>
      </c>
      <c r="W89">
        <v>0</v>
      </c>
      <c r="X89">
        <v>4</v>
      </c>
      <c r="Y89" t="s">
        <v>1436</v>
      </c>
      <c r="Z89" t="s">
        <v>1710</v>
      </c>
      <c r="AD89" t="s">
        <v>1702</v>
      </c>
      <c r="AE89">
        <v>400</v>
      </c>
      <c r="AF89" t="s">
        <v>299</v>
      </c>
      <c r="AG89" s="738" t="s">
        <v>8707</v>
      </c>
    </row>
    <row r="90" spans="1:33" ht="15.55" customHeight="1">
      <c r="A90" t="s">
        <v>1693</v>
      </c>
      <c r="B90" t="s">
        <v>1383</v>
      </c>
      <c r="C90" t="s">
        <v>1366</v>
      </c>
      <c r="D90" t="s">
        <v>1697</v>
      </c>
      <c r="E90" t="s">
        <v>2028</v>
      </c>
      <c r="F90">
        <v>4</v>
      </c>
      <c r="G90">
        <v>4</v>
      </c>
      <c r="H90" s="582">
        <v>0</v>
      </c>
      <c r="I90" s="582">
        <v>1</v>
      </c>
      <c r="J90" s="582">
        <v>0</v>
      </c>
      <c r="K90" s="582">
        <v>0</v>
      </c>
      <c r="L90" s="582">
        <v>0</v>
      </c>
      <c r="M90" s="582">
        <v>0</v>
      </c>
      <c r="N90" s="582">
        <v>0</v>
      </c>
      <c r="O90" s="582">
        <v>0</v>
      </c>
      <c r="P90" s="582">
        <v>0</v>
      </c>
      <c r="Q90">
        <v>4</v>
      </c>
      <c r="R90">
        <v>4</v>
      </c>
      <c r="S90">
        <v>4</v>
      </c>
      <c r="T90" t="s">
        <v>1700</v>
      </c>
      <c r="U90" t="s">
        <v>1422</v>
      </c>
      <c r="V90">
        <v>0</v>
      </c>
      <c r="W90">
        <v>0</v>
      </c>
      <c r="X90">
        <v>4</v>
      </c>
      <c r="Y90" t="s">
        <v>1437</v>
      </c>
      <c r="Z90" t="s">
        <v>1711</v>
      </c>
      <c r="AD90" t="s">
        <v>1702</v>
      </c>
      <c r="AE90">
        <v>400</v>
      </c>
      <c r="AF90" t="s">
        <v>299</v>
      </c>
      <c r="AG90" s="738" t="s">
        <v>8708</v>
      </c>
    </row>
    <row r="91" spans="1:33" ht="15.55" customHeight="1">
      <c r="A91" t="s">
        <v>1694</v>
      </c>
      <c r="B91" t="s">
        <v>1385</v>
      </c>
      <c r="C91" t="s">
        <v>1366</v>
      </c>
      <c r="D91" t="s">
        <v>1559</v>
      </c>
      <c r="E91" t="s">
        <v>2028</v>
      </c>
      <c r="F91">
        <v>0</v>
      </c>
      <c r="G91">
        <v>0</v>
      </c>
      <c r="H91" s="582">
        <v>1</v>
      </c>
      <c r="I91" s="582">
        <v>0</v>
      </c>
      <c r="J91" s="582">
        <v>0</v>
      </c>
      <c r="K91" s="582">
        <v>0</v>
      </c>
      <c r="L91" s="582">
        <v>0</v>
      </c>
      <c r="M91" s="582">
        <v>0</v>
      </c>
      <c r="N91" s="582">
        <v>0</v>
      </c>
      <c r="O91" s="582">
        <v>0</v>
      </c>
      <c r="P91" s="582">
        <v>0</v>
      </c>
      <c r="Q91">
        <v>4</v>
      </c>
      <c r="R91">
        <v>4</v>
      </c>
      <c r="S91">
        <v>4</v>
      </c>
      <c r="T91" t="s">
        <v>1700</v>
      </c>
      <c r="U91" t="s">
        <v>1422</v>
      </c>
      <c r="V91">
        <v>0</v>
      </c>
      <c r="W91">
        <v>0</v>
      </c>
      <c r="X91">
        <v>4</v>
      </c>
      <c r="Y91" t="s">
        <v>1438</v>
      </c>
      <c r="Z91" t="s">
        <v>1569</v>
      </c>
      <c r="AD91" t="s">
        <v>1702</v>
      </c>
      <c r="AE91">
        <v>400</v>
      </c>
      <c r="AF91" t="s">
        <v>299</v>
      </c>
      <c r="AG91" s="738" t="s">
        <v>8709</v>
      </c>
    </row>
    <row r="92" spans="1:33" ht="15.55" customHeight="1">
      <c r="A92" t="s">
        <v>1715</v>
      </c>
      <c r="B92" s="703" t="s">
        <v>2465</v>
      </c>
      <c r="C92" t="s">
        <v>1376</v>
      </c>
      <c r="D92" t="s">
        <v>1697</v>
      </c>
      <c r="E92" t="s">
        <v>2028</v>
      </c>
      <c r="F92">
        <v>4</v>
      </c>
      <c r="G92">
        <v>4</v>
      </c>
      <c r="H92" s="582">
        <v>0</v>
      </c>
      <c r="I92" s="582">
        <v>0</v>
      </c>
      <c r="J92" s="582">
        <v>0</v>
      </c>
      <c r="K92" s="582">
        <v>0</v>
      </c>
      <c r="L92" s="582">
        <v>0</v>
      </c>
      <c r="M92" s="582">
        <v>0</v>
      </c>
      <c r="N92" s="582">
        <v>0</v>
      </c>
      <c r="O92" s="582">
        <v>0</v>
      </c>
      <c r="P92" s="582">
        <v>0</v>
      </c>
      <c r="Q92">
        <v>4</v>
      </c>
      <c r="R92">
        <v>4</v>
      </c>
      <c r="S92">
        <v>4</v>
      </c>
      <c r="T92" t="s">
        <v>1727</v>
      </c>
      <c r="U92" t="s">
        <v>1422</v>
      </c>
      <c r="V92">
        <v>0</v>
      </c>
      <c r="W92">
        <v>0</v>
      </c>
      <c r="X92">
        <v>4</v>
      </c>
      <c r="Z92" t="s">
        <v>1749</v>
      </c>
      <c r="AD92" t="s">
        <v>1731</v>
      </c>
      <c r="AE92">
        <v>400</v>
      </c>
      <c r="AF92" t="s">
        <v>299</v>
      </c>
      <c r="AG92" s="738" t="s">
        <v>8710</v>
      </c>
    </row>
    <row r="93" spans="1:33" ht="15.55" customHeight="1">
      <c r="A93" t="s">
        <v>1716</v>
      </c>
      <c r="B93" t="s">
        <v>1367</v>
      </c>
      <c r="C93" t="s">
        <v>1376</v>
      </c>
      <c r="D93" t="s">
        <v>1559</v>
      </c>
      <c r="E93" t="s">
        <v>2028</v>
      </c>
      <c r="F93">
        <v>4</v>
      </c>
      <c r="G93">
        <v>4</v>
      </c>
      <c r="H93" s="582">
        <v>0</v>
      </c>
      <c r="I93" s="582">
        <v>0</v>
      </c>
      <c r="J93" s="582">
        <v>0</v>
      </c>
      <c r="K93" s="582">
        <v>0</v>
      </c>
      <c r="L93" s="582">
        <v>0</v>
      </c>
      <c r="M93" s="582">
        <v>0</v>
      </c>
      <c r="N93" s="582">
        <v>0</v>
      </c>
      <c r="O93" s="582">
        <v>0</v>
      </c>
      <c r="P93" s="582">
        <v>0.2</v>
      </c>
      <c r="Q93">
        <v>4</v>
      </c>
      <c r="R93">
        <v>4</v>
      </c>
      <c r="S93">
        <v>4</v>
      </c>
      <c r="T93" t="s">
        <v>1728</v>
      </c>
      <c r="U93" t="s">
        <v>1422</v>
      </c>
      <c r="V93">
        <v>0</v>
      </c>
      <c r="W93">
        <v>0</v>
      </c>
      <c r="X93">
        <v>4</v>
      </c>
      <c r="Y93" t="s">
        <v>1741</v>
      </c>
      <c r="AD93" t="s">
        <v>1732</v>
      </c>
      <c r="AE93">
        <v>400</v>
      </c>
      <c r="AF93" t="s">
        <v>299</v>
      </c>
      <c r="AG93" s="738" t="s">
        <v>8711</v>
      </c>
    </row>
    <row r="94" spans="1:33" ht="15.55" customHeight="1">
      <c r="A94" t="s">
        <v>1717</v>
      </c>
      <c r="B94" t="s">
        <v>1369</v>
      </c>
      <c r="C94" t="s">
        <v>1376</v>
      </c>
      <c r="D94" t="s">
        <v>1559</v>
      </c>
      <c r="E94" t="s">
        <v>2028</v>
      </c>
      <c r="F94">
        <v>4</v>
      </c>
      <c r="G94">
        <v>4</v>
      </c>
      <c r="H94" s="582">
        <v>0</v>
      </c>
      <c r="I94" s="582">
        <v>0</v>
      </c>
      <c r="J94" s="582">
        <v>0</v>
      </c>
      <c r="K94" s="582">
        <v>0.2</v>
      </c>
      <c r="L94" s="582">
        <v>0</v>
      </c>
      <c r="M94" s="582">
        <v>0</v>
      </c>
      <c r="N94" s="582">
        <v>0</v>
      </c>
      <c r="O94" s="582">
        <v>0</v>
      </c>
      <c r="P94" s="582">
        <v>0</v>
      </c>
      <c r="Q94">
        <v>4</v>
      </c>
      <c r="R94">
        <v>4</v>
      </c>
      <c r="S94">
        <v>4</v>
      </c>
      <c r="T94" t="s">
        <v>1727</v>
      </c>
      <c r="U94" t="s">
        <v>1422</v>
      </c>
      <c r="V94">
        <v>0</v>
      </c>
      <c r="W94">
        <v>0</v>
      </c>
      <c r="X94">
        <v>4</v>
      </c>
      <c r="Y94" t="s">
        <v>1742</v>
      </c>
      <c r="Z94" t="s">
        <v>1749</v>
      </c>
      <c r="AD94" t="s">
        <v>5709</v>
      </c>
      <c r="AE94">
        <v>400</v>
      </c>
      <c r="AF94" t="s">
        <v>299</v>
      </c>
      <c r="AG94" s="738" t="s">
        <v>8712</v>
      </c>
    </row>
    <row r="95" spans="1:33" ht="15.55" customHeight="1">
      <c r="A95" t="s">
        <v>1718</v>
      </c>
      <c r="B95" t="s">
        <v>1371</v>
      </c>
      <c r="C95" t="s">
        <v>1376</v>
      </c>
      <c r="D95" t="s">
        <v>1559</v>
      </c>
      <c r="E95" t="s">
        <v>1697</v>
      </c>
      <c r="F95">
        <v>4</v>
      </c>
      <c r="G95">
        <v>4</v>
      </c>
      <c r="H95" s="582">
        <v>0</v>
      </c>
      <c r="I95" s="582">
        <v>0</v>
      </c>
      <c r="J95" s="582">
        <v>0</v>
      </c>
      <c r="K95" s="582">
        <v>0</v>
      </c>
      <c r="L95" s="582">
        <v>0</v>
      </c>
      <c r="M95" s="582">
        <v>0</v>
      </c>
      <c r="N95" s="582">
        <v>0.2</v>
      </c>
      <c r="O95" s="582">
        <v>0</v>
      </c>
      <c r="P95" s="582">
        <v>0</v>
      </c>
      <c r="Q95">
        <v>4</v>
      </c>
      <c r="R95">
        <v>4</v>
      </c>
      <c r="S95">
        <v>4</v>
      </c>
      <c r="T95" t="s">
        <v>1729</v>
      </c>
      <c r="U95" t="s">
        <v>1422</v>
      </c>
      <c r="V95">
        <v>0</v>
      </c>
      <c r="W95">
        <v>0</v>
      </c>
      <c r="X95">
        <v>4</v>
      </c>
      <c r="Y95" t="s">
        <v>1662</v>
      </c>
      <c r="Z95" t="s">
        <v>1750</v>
      </c>
      <c r="AA95" t="s">
        <v>1755</v>
      </c>
      <c r="AD95" t="s">
        <v>5710</v>
      </c>
      <c r="AE95">
        <v>400</v>
      </c>
      <c r="AF95" t="s">
        <v>299</v>
      </c>
      <c r="AG95" s="738" t="s">
        <v>8713</v>
      </c>
    </row>
    <row r="96" spans="1:33" ht="15.55" customHeight="1">
      <c r="A96" t="s">
        <v>1719</v>
      </c>
      <c r="B96" t="s">
        <v>1374</v>
      </c>
      <c r="C96" t="s">
        <v>1376</v>
      </c>
      <c r="D96" t="s">
        <v>1559</v>
      </c>
      <c r="E96" t="s">
        <v>1559</v>
      </c>
      <c r="F96">
        <v>4</v>
      </c>
      <c r="G96">
        <v>4</v>
      </c>
      <c r="H96" s="582">
        <v>0</v>
      </c>
      <c r="I96" s="582">
        <v>0</v>
      </c>
      <c r="J96" s="582">
        <v>0</v>
      </c>
      <c r="K96" s="582">
        <v>0</v>
      </c>
      <c r="L96" s="582">
        <v>0</v>
      </c>
      <c r="M96" s="582">
        <v>0</v>
      </c>
      <c r="N96" s="582">
        <v>0</v>
      </c>
      <c r="O96" s="582">
        <v>0</v>
      </c>
      <c r="P96" s="582">
        <v>0</v>
      </c>
      <c r="Q96">
        <v>4</v>
      </c>
      <c r="R96">
        <v>4</v>
      </c>
      <c r="S96">
        <v>4</v>
      </c>
      <c r="T96" t="s">
        <v>1730</v>
      </c>
      <c r="U96" t="s">
        <v>1422</v>
      </c>
      <c r="V96">
        <v>0</v>
      </c>
      <c r="W96">
        <v>0</v>
      </c>
      <c r="X96">
        <v>4</v>
      </c>
      <c r="Y96" t="s">
        <v>1743</v>
      </c>
      <c r="Z96" t="s">
        <v>1751</v>
      </c>
      <c r="AA96" t="s">
        <v>1756</v>
      </c>
      <c r="AD96" t="s">
        <v>5711</v>
      </c>
      <c r="AE96">
        <v>400</v>
      </c>
      <c r="AF96" t="s">
        <v>299</v>
      </c>
      <c r="AG96" s="738" t="s">
        <v>8714</v>
      </c>
    </row>
    <row r="97" spans="1:33" ht="15.55" customHeight="1">
      <c r="A97" t="s">
        <v>1720</v>
      </c>
      <c r="B97" t="s">
        <v>1377</v>
      </c>
      <c r="C97" t="s">
        <v>1376</v>
      </c>
      <c r="D97" t="s">
        <v>1559</v>
      </c>
      <c r="E97" t="s">
        <v>1726</v>
      </c>
      <c r="F97">
        <v>4</v>
      </c>
      <c r="G97">
        <v>4</v>
      </c>
      <c r="H97" s="582">
        <v>0</v>
      </c>
      <c r="I97" s="582">
        <v>0</v>
      </c>
      <c r="J97" s="582">
        <v>0</v>
      </c>
      <c r="K97" s="582">
        <v>0</v>
      </c>
      <c r="L97" s="582">
        <v>0</v>
      </c>
      <c r="M97" s="582">
        <v>0</v>
      </c>
      <c r="N97" s="582">
        <v>0</v>
      </c>
      <c r="O97" s="582">
        <v>0.2</v>
      </c>
      <c r="P97" s="582">
        <v>0</v>
      </c>
      <c r="Q97">
        <v>4</v>
      </c>
      <c r="R97">
        <v>4</v>
      </c>
      <c r="S97">
        <v>4</v>
      </c>
      <c r="U97" t="s">
        <v>1422</v>
      </c>
      <c r="V97">
        <v>0</v>
      </c>
      <c r="W97">
        <v>0</v>
      </c>
      <c r="X97">
        <v>4</v>
      </c>
      <c r="Y97" t="s">
        <v>1744</v>
      </c>
      <c r="Z97" t="s">
        <v>1752</v>
      </c>
      <c r="AA97" t="s">
        <v>1757</v>
      </c>
      <c r="AD97" t="s">
        <v>1736</v>
      </c>
      <c r="AE97">
        <v>400</v>
      </c>
      <c r="AF97" t="s">
        <v>299</v>
      </c>
      <c r="AG97" s="738" t="s">
        <v>1004</v>
      </c>
    </row>
    <row r="98" spans="1:33" ht="15.55" customHeight="1">
      <c r="A98" t="s">
        <v>1721</v>
      </c>
      <c r="B98" t="s">
        <v>1379</v>
      </c>
      <c r="C98" t="s">
        <v>1376</v>
      </c>
      <c r="D98" t="s">
        <v>1559</v>
      </c>
      <c r="E98" t="s">
        <v>2028</v>
      </c>
      <c r="F98">
        <v>4</v>
      </c>
      <c r="G98">
        <v>4</v>
      </c>
      <c r="H98" s="582">
        <v>0</v>
      </c>
      <c r="I98" s="582">
        <v>0</v>
      </c>
      <c r="J98" s="582">
        <v>0.2</v>
      </c>
      <c r="K98" s="582">
        <v>0</v>
      </c>
      <c r="L98" s="582">
        <v>0</v>
      </c>
      <c r="M98" s="582">
        <v>0</v>
      </c>
      <c r="N98" s="582">
        <v>0</v>
      </c>
      <c r="O98" s="582">
        <v>0</v>
      </c>
      <c r="P98" s="582">
        <v>0</v>
      </c>
      <c r="Q98">
        <v>4</v>
      </c>
      <c r="R98">
        <v>4</v>
      </c>
      <c r="S98">
        <v>4</v>
      </c>
      <c r="T98" t="s">
        <v>1727</v>
      </c>
      <c r="U98" t="s">
        <v>1422</v>
      </c>
      <c r="V98">
        <v>0</v>
      </c>
      <c r="W98">
        <v>0</v>
      </c>
      <c r="X98">
        <v>4</v>
      </c>
      <c r="Y98" t="s">
        <v>1745</v>
      </c>
      <c r="Z98" t="s">
        <v>1753</v>
      </c>
      <c r="AD98" t="s">
        <v>5712</v>
      </c>
      <c r="AE98">
        <v>400</v>
      </c>
      <c r="AF98" t="s">
        <v>299</v>
      </c>
      <c r="AG98" s="738" t="s">
        <v>8715</v>
      </c>
    </row>
    <row r="99" spans="1:33" ht="15.55" customHeight="1">
      <c r="A99" t="s">
        <v>1722</v>
      </c>
      <c r="B99" t="s">
        <v>1381</v>
      </c>
      <c r="C99" t="s">
        <v>1376</v>
      </c>
      <c r="D99" t="s">
        <v>1559</v>
      </c>
      <c r="E99" t="s">
        <v>2028</v>
      </c>
      <c r="F99">
        <v>6</v>
      </c>
      <c r="G99">
        <v>4</v>
      </c>
      <c r="H99" s="582">
        <v>0</v>
      </c>
      <c r="I99" s="582">
        <v>0</v>
      </c>
      <c r="J99" s="582">
        <v>0</v>
      </c>
      <c r="K99" s="582">
        <v>0</v>
      </c>
      <c r="L99" s="582">
        <v>0</v>
      </c>
      <c r="M99" s="582">
        <v>0.2</v>
      </c>
      <c r="N99" s="582">
        <v>0</v>
      </c>
      <c r="O99" s="582">
        <v>0</v>
      </c>
      <c r="P99" s="582">
        <v>0</v>
      </c>
      <c r="Q99">
        <v>4</v>
      </c>
      <c r="R99">
        <v>4</v>
      </c>
      <c r="S99">
        <v>4</v>
      </c>
      <c r="T99" t="s">
        <v>1727</v>
      </c>
      <c r="U99" t="s">
        <v>1422</v>
      </c>
      <c r="V99">
        <v>0</v>
      </c>
      <c r="W99">
        <v>0</v>
      </c>
      <c r="X99">
        <v>4</v>
      </c>
      <c r="Y99" t="s">
        <v>1746</v>
      </c>
      <c r="Z99" t="s">
        <v>1754</v>
      </c>
      <c r="AD99" t="s">
        <v>5713</v>
      </c>
      <c r="AE99">
        <v>400</v>
      </c>
      <c r="AF99" t="s">
        <v>299</v>
      </c>
      <c r="AG99" s="738" t="s">
        <v>8716</v>
      </c>
    </row>
    <row r="100" spans="1:33" ht="15.55" customHeight="1">
      <c r="A100" t="s">
        <v>1723</v>
      </c>
      <c r="B100" t="s">
        <v>1383</v>
      </c>
      <c r="C100" t="s">
        <v>1376</v>
      </c>
      <c r="D100" t="s">
        <v>1511</v>
      </c>
      <c r="E100" t="s">
        <v>2028</v>
      </c>
      <c r="F100">
        <v>0</v>
      </c>
      <c r="G100">
        <v>0</v>
      </c>
      <c r="H100" s="582">
        <v>0</v>
      </c>
      <c r="I100" s="582">
        <v>0.2</v>
      </c>
      <c r="J100" s="582">
        <v>0</v>
      </c>
      <c r="K100" s="582">
        <v>0</v>
      </c>
      <c r="L100" s="582">
        <v>0</v>
      </c>
      <c r="M100" s="582">
        <v>0</v>
      </c>
      <c r="N100" s="582">
        <v>0</v>
      </c>
      <c r="O100" s="582">
        <v>0</v>
      </c>
      <c r="P100" s="582">
        <v>0</v>
      </c>
      <c r="Q100">
        <v>4</v>
      </c>
      <c r="R100">
        <v>4</v>
      </c>
      <c r="S100">
        <v>4</v>
      </c>
      <c r="T100" t="s">
        <v>1727</v>
      </c>
      <c r="U100" t="s">
        <v>1422</v>
      </c>
      <c r="V100">
        <v>0</v>
      </c>
      <c r="W100">
        <v>0</v>
      </c>
      <c r="X100">
        <v>4</v>
      </c>
      <c r="Y100" t="s">
        <v>1747</v>
      </c>
      <c r="AD100" t="s">
        <v>5714</v>
      </c>
      <c r="AE100">
        <v>400</v>
      </c>
      <c r="AF100" t="s">
        <v>299</v>
      </c>
      <c r="AG100" s="738" t="s">
        <v>8717</v>
      </c>
    </row>
    <row r="101" spans="1:33" ht="15.55" customHeight="1">
      <c r="A101" t="s">
        <v>1724</v>
      </c>
      <c r="B101" t="s">
        <v>1385</v>
      </c>
      <c r="C101" t="s">
        <v>1376</v>
      </c>
      <c r="D101" t="s">
        <v>1559</v>
      </c>
      <c r="E101" t="s">
        <v>2028</v>
      </c>
      <c r="F101">
        <v>4</v>
      </c>
      <c r="G101">
        <v>4</v>
      </c>
      <c r="H101" s="582">
        <v>0.2</v>
      </c>
      <c r="I101" s="582">
        <v>0</v>
      </c>
      <c r="J101" s="582">
        <v>0</v>
      </c>
      <c r="K101" s="582">
        <v>0</v>
      </c>
      <c r="L101" s="582">
        <v>0</v>
      </c>
      <c r="M101" s="582">
        <v>0</v>
      </c>
      <c r="N101" s="582">
        <v>0</v>
      </c>
      <c r="O101" s="582">
        <v>0</v>
      </c>
      <c r="P101" s="582">
        <v>0</v>
      </c>
      <c r="Q101">
        <v>4</v>
      </c>
      <c r="R101">
        <v>4</v>
      </c>
      <c r="S101">
        <v>4</v>
      </c>
      <c r="T101" t="s">
        <v>1727</v>
      </c>
      <c r="U101" t="s">
        <v>1422</v>
      </c>
      <c r="V101">
        <v>0</v>
      </c>
      <c r="W101">
        <v>0</v>
      </c>
      <c r="X101">
        <v>4</v>
      </c>
      <c r="Y101" t="s">
        <v>1569</v>
      </c>
      <c r="Z101" t="s">
        <v>1749</v>
      </c>
      <c r="AD101" t="s">
        <v>5715</v>
      </c>
      <c r="AE101">
        <v>400</v>
      </c>
      <c r="AF101" t="s">
        <v>299</v>
      </c>
      <c r="AG101" s="738" t="s">
        <v>8718</v>
      </c>
    </row>
    <row r="102" spans="1:33" ht="15.55" customHeight="1">
      <c r="A102" t="s">
        <v>1758</v>
      </c>
      <c r="B102" s="703" t="s">
        <v>2465</v>
      </c>
      <c r="C102" t="s">
        <v>1376</v>
      </c>
      <c r="D102" t="s">
        <v>1769</v>
      </c>
      <c r="E102" t="s">
        <v>1697</v>
      </c>
      <c r="F102">
        <v>4</v>
      </c>
      <c r="G102">
        <v>4</v>
      </c>
      <c r="H102" s="582">
        <v>-0.4</v>
      </c>
      <c r="I102" s="582">
        <v>0.4</v>
      </c>
      <c r="J102" s="582">
        <v>-0.3</v>
      </c>
      <c r="K102" s="582">
        <v>-0.3</v>
      </c>
      <c r="L102" s="582">
        <v>0.3</v>
      </c>
      <c r="M102" s="582">
        <v>-0.8</v>
      </c>
      <c r="N102" s="582">
        <v>0.6</v>
      </c>
      <c r="O102" s="582">
        <v>-0.3</v>
      </c>
      <c r="P102" s="582">
        <v>0</v>
      </c>
      <c r="Q102">
        <v>4</v>
      </c>
      <c r="R102">
        <v>4</v>
      </c>
      <c r="S102">
        <v>4</v>
      </c>
      <c r="T102" t="s">
        <v>1771</v>
      </c>
      <c r="U102" t="s">
        <v>1422</v>
      </c>
      <c r="V102">
        <v>0</v>
      </c>
      <c r="W102">
        <v>0</v>
      </c>
      <c r="X102">
        <v>4</v>
      </c>
      <c r="Y102" t="s">
        <v>1571</v>
      </c>
      <c r="Z102" t="s">
        <v>1794</v>
      </c>
      <c r="AA102" t="s">
        <v>1804</v>
      </c>
      <c r="AD102" t="s">
        <v>1778</v>
      </c>
      <c r="AE102">
        <v>400</v>
      </c>
      <c r="AF102" t="s">
        <v>299</v>
      </c>
      <c r="AG102" s="738" t="s">
        <v>8719</v>
      </c>
    </row>
    <row r="103" spans="1:33" ht="15.55" customHeight="1">
      <c r="A103" t="s">
        <v>1759</v>
      </c>
      <c r="B103" t="s">
        <v>1367</v>
      </c>
      <c r="C103" t="s">
        <v>1376</v>
      </c>
      <c r="D103" t="s">
        <v>1698</v>
      </c>
      <c r="E103" t="s">
        <v>2028</v>
      </c>
      <c r="F103">
        <v>5</v>
      </c>
      <c r="G103">
        <v>2</v>
      </c>
      <c r="H103" s="582">
        <v>0</v>
      </c>
      <c r="I103" s="582">
        <v>0</v>
      </c>
      <c r="J103" s="582">
        <v>0</v>
      </c>
      <c r="K103" s="582">
        <v>0</v>
      </c>
      <c r="L103" s="582">
        <v>0</v>
      </c>
      <c r="M103" s="582">
        <v>0</v>
      </c>
      <c r="N103" s="582">
        <v>0</v>
      </c>
      <c r="O103" s="582">
        <v>0</v>
      </c>
      <c r="P103" s="582">
        <v>0</v>
      </c>
      <c r="Q103">
        <v>4</v>
      </c>
      <c r="R103">
        <v>4</v>
      </c>
      <c r="S103">
        <v>4</v>
      </c>
      <c r="T103" t="s">
        <v>1772</v>
      </c>
      <c r="U103" t="s">
        <v>1422</v>
      </c>
      <c r="V103">
        <v>0</v>
      </c>
      <c r="W103">
        <v>0</v>
      </c>
      <c r="X103">
        <v>4</v>
      </c>
      <c r="Y103" t="s">
        <v>1788</v>
      </c>
      <c r="Z103" t="s">
        <v>1795</v>
      </c>
      <c r="AD103" t="s">
        <v>1779</v>
      </c>
      <c r="AE103">
        <v>400</v>
      </c>
      <c r="AF103" t="s">
        <v>299</v>
      </c>
      <c r="AG103" s="739" t="s">
        <v>8720</v>
      </c>
    </row>
    <row r="104" spans="1:33" ht="15.55" customHeight="1">
      <c r="A104" t="s">
        <v>1760</v>
      </c>
      <c r="B104" t="s">
        <v>1369</v>
      </c>
      <c r="C104" t="s">
        <v>1376</v>
      </c>
      <c r="D104" t="s">
        <v>1697</v>
      </c>
      <c r="E104" t="s">
        <v>1697</v>
      </c>
      <c r="F104">
        <v>4</v>
      </c>
      <c r="G104">
        <v>4</v>
      </c>
      <c r="H104" s="582">
        <v>0</v>
      </c>
      <c r="I104" s="582">
        <v>0</v>
      </c>
      <c r="J104" s="582">
        <v>-0.4</v>
      </c>
      <c r="K104" s="582">
        <v>0.2</v>
      </c>
      <c r="L104" s="582">
        <v>0</v>
      </c>
      <c r="M104" s="582">
        <v>0</v>
      </c>
      <c r="N104" s="582">
        <v>0</v>
      </c>
      <c r="O104" s="582">
        <v>0</v>
      </c>
      <c r="P104" s="582">
        <v>0</v>
      </c>
      <c r="Q104">
        <v>4</v>
      </c>
      <c r="R104">
        <v>4</v>
      </c>
      <c r="S104">
        <v>4</v>
      </c>
      <c r="T104" t="s">
        <v>1773</v>
      </c>
      <c r="U104" t="s">
        <v>1422</v>
      </c>
      <c r="V104">
        <v>0</v>
      </c>
      <c r="W104">
        <v>0</v>
      </c>
      <c r="X104">
        <v>4</v>
      </c>
      <c r="Y104" t="s">
        <v>1789</v>
      </c>
      <c r="Z104" t="s">
        <v>1796</v>
      </c>
      <c r="AD104" t="s">
        <v>1780</v>
      </c>
      <c r="AE104">
        <v>400</v>
      </c>
      <c r="AF104" t="s">
        <v>299</v>
      </c>
      <c r="AG104" s="739" t="s">
        <v>8721</v>
      </c>
    </row>
    <row r="105" spans="1:33" ht="15.55" customHeight="1">
      <c r="A105" t="s">
        <v>1761</v>
      </c>
      <c r="B105" t="s">
        <v>1371</v>
      </c>
      <c r="C105" t="s">
        <v>1376</v>
      </c>
      <c r="D105" t="s">
        <v>1697</v>
      </c>
      <c r="E105" t="s">
        <v>1697</v>
      </c>
      <c r="F105">
        <v>4</v>
      </c>
      <c r="G105">
        <v>4</v>
      </c>
      <c r="H105" s="582">
        <v>0</v>
      </c>
      <c r="I105" s="582">
        <v>0</v>
      </c>
      <c r="J105" s="582">
        <v>0</v>
      </c>
      <c r="K105" s="582">
        <v>-0.7</v>
      </c>
      <c r="L105" s="582">
        <v>0</v>
      </c>
      <c r="M105" s="582">
        <v>0</v>
      </c>
      <c r="N105" s="582">
        <v>0.2</v>
      </c>
      <c r="O105" s="582">
        <v>0</v>
      </c>
      <c r="P105" s="582">
        <v>0</v>
      </c>
      <c r="Q105">
        <v>4</v>
      </c>
      <c r="R105">
        <v>4</v>
      </c>
      <c r="S105">
        <v>4</v>
      </c>
      <c r="T105" t="s">
        <v>1773</v>
      </c>
      <c r="U105" t="s">
        <v>1422</v>
      </c>
      <c r="V105">
        <v>0</v>
      </c>
      <c r="W105">
        <v>0</v>
      </c>
      <c r="X105">
        <v>4</v>
      </c>
      <c r="Y105" t="s">
        <v>1790</v>
      </c>
      <c r="Z105" t="s">
        <v>1797</v>
      </c>
      <c r="AD105" t="s">
        <v>1781</v>
      </c>
      <c r="AE105">
        <v>400</v>
      </c>
      <c r="AF105" t="s">
        <v>299</v>
      </c>
      <c r="AG105" s="739" t="s">
        <v>8722</v>
      </c>
    </row>
    <row r="106" spans="1:33" ht="15.55" customHeight="1">
      <c r="A106" t="s">
        <v>1762</v>
      </c>
      <c r="B106" t="s">
        <v>1374</v>
      </c>
      <c r="C106" t="s">
        <v>1376</v>
      </c>
      <c r="D106" t="s">
        <v>1697</v>
      </c>
      <c r="E106" t="s">
        <v>1697</v>
      </c>
      <c r="F106">
        <v>4</v>
      </c>
      <c r="G106">
        <v>4</v>
      </c>
      <c r="H106" s="582">
        <v>0.2</v>
      </c>
      <c r="I106" s="582">
        <v>0</v>
      </c>
      <c r="J106" s="582">
        <v>-0.1</v>
      </c>
      <c r="K106" s="582">
        <v>-0.6</v>
      </c>
      <c r="L106" s="582">
        <v>0.2</v>
      </c>
      <c r="M106" s="582">
        <v>0.2</v>
      </c>
      <c r="N106" s="582">
        <v>-0.6</v>
      </c>
      <c r="O106" s="582">
        <v>0</v>
      </c>
      <c r="P106" s="582">
        <v>0.2</v>
      </c>
      <c r="Q106">
        <v>4</v>
      </c>
      <c r="R106">
        <v>4</v>
      </c>
      <c r="S106">
        <v>4</v>
      </c>
      <c r="T106" t="s">
        <v>1774</v>
      </c>
      <c r="U106" t="s">
        <v>1422</v>
      </c>
      <c r="V106">
        <v>0</v>
      </c>
      <c r="W106">
        <v>0</v>
      </c>
      <c r="X106">
        <v>4</v>
      </c>
      <c r="Y106" t="s">
        <v>1791</v>
      </c>
      <c r="Z106" t="s">
        <v>1798</v>
      </c>
      <c r="AD106" t="s">
        <v>1778</v>
      </c>
      <c r="AE106">
        <v>400</v>
      </c>
      <c r="AF106" t="s">
        <v>299</v>
      </c>
      <c r="AG106" s="739" t="s">
        <v>8723</v>
      </c>
    </row>
    <row r="107" spans="1:33" ht="15.55" customHeight="1">
      <c r="A107" t="s">
        <v>1763</v>
      </c>
      <c r="B107" t="s">
        <v>1377</v>
      </c>
      <c r="C107" t="s">
        <v>1376</v>
      </c>
      <c r="D107" t="s">
        <v>1697</v>
      </c>
      <c r="E107" t="s">
        <v>1697</v>
      </c>
      <c r="F107">
        <v>4</v>
      </c>
      <c r="G107">
        <v>4</v>
      </c>
      <c r="H107" s="582">
        <v>0</v>
      </c>
      <c r="I107" s="582">
        <v>0</v>
      </c>
      <c r="J107" s="582">
        <v>0</v>
      </c>
      <c r="K107" s="582">
        <v>0</v>
      </c>
      <c r="L107" s="582">
        <v>-0.8</v>
      </c>
      <c r="M107" s="582">
        <v>0</v>
      </c>
      <c r="N107" s="582">
        <v>0</v>
      </c>
      <c r="O107" s="582">
        <v>0.3</v>
      </c>
      <c r="P107" s="582">
        <v>0</v>
      </c>
      <c r="Q107">
        <v>4</v>
      </c>
      <c r="R107">
        <v>4</v>
      </c>
      <c r="S107">
        <v>4</v>
      </c>
      <c r="T107" t="s">
        <v>1773</v>
      </c>
      <c r="U107" t="s">
        <v>1422</v>
      </c>
      <c r="V107">
        <v>0</v>
      </c>
      <c r="W107">
        <v>0</v>
      </c>
      <c r="X107">
        <v>4</v>
      </c>
      <c r="Y107" t="s">
        <v>1789</v>
      </c>
      <c r="Z107" t="s">
        <v>1799</v>
      </c>
      <c r="AD107" t="s">
        <v>1782</v>
      </c>
      <c r="AE107">
        <v>400</v>
      </c>
      <c r="AF107" t="s">
        <v>299</v>
      </c>
      <c r="AG107" s="739" t="s">
        <v>8724</v>
      </c>
    </row>
    <row r="108" spans="1:33" ht="15.55" customHeight="1">
      <c r="A108" t="s">
        <v>1764</v>
      </c>
      <c r="B108" t="s">
        <v>1379</v>
      </c>
      <c r="C108" t="s">
        <v>1376</v>
      </c>
      <c r="D108" t="s">
        <v>1697</v>
      </c>
      <c r="E108" t="s">
        <v>1697</v>
      </c>
      <c r="F108">
        <v>4</v>
      </c>
      <c r="G108">
        <v>4</v>
      </c>
      <c r="H108" s="582">
        <v>0</v>
      </c>
      <c r="I108" s="582">
        <v>0</v>
      </c>
      <c r="J108" s="582">
        <v>0.8</v>
      </c>
      <c r="K108" s="582">
        <v>-0.8</v>
      </c>
      <c r="L108" s="582">
        <v>0.3</v>
      </c>
      <c r="M108" s="582">
        <v>0</v>
      </c>
      <c r="N108" s="582">
        <v>-0.2</v>
      </c>
      <c r="O108" s="582">
        <v>-0.2</v>
      </c>
      <c r="P108" s="582">
        <v>0</v>
      </c>
      <c r="Q108">
        <v>4</v>
      </c>
      <c r="R108">
        <v>4</v>
      </c>
      <c r="S108">
        <v>4</v>
      </c>
      <c r="T108" t="s">
        <v>1775</v>
      </c>
      <c r="U108" t="s">
        <v>1422</v>
      </c>
      <c r="V108">
        <v>0</v>
      </c>
      <c r="W108">
        <v>0</v>
      </c>
      <c r="X108">
        <v>4</v>
      </c>
      <c r="Y108" t="s">
        <v>1791</v>
      </c>
      <c r="Z108" t="s">
        <v>1800</v>
      </c>
      <c r="AD108" t="s">
        <v>1783</v>
      </c>
      <c r="AE108">
        <v>400</v>
      </c>
      <c r="AF108" t="s">
        <v>299</v>
      </c>
      <c r="AG108" s="739" t="s">
        <v>8722</v>
      </c>
    </row>
    <row r="109" spans="1:33" ht="15.55" customHeight="1">
      <c r="A109" t="s">
        <v>1765</v>
      </c>
      <c r="B109" t="s">
        <v>1381</v>
      </c>
      <c r="C109" t="s">
        <v>1376</v>
      </c>
      <c r="D109" t="s">
        <v>1770</v>
      </c>
      <c r="E109" t="s">
        <v>2028</v>
      </c>
      <c r="F109">
        <v>5</v>
      </c>
      <c r="G109">
        <v>4</v>
      </c>
      <c r="H109" s="582">
        <v>0</v>
      </c>
      <c r="I109" s="582">
        <v>0</v>
      </c>
      <c r="J109" s="582">
        <v>0</v>
      </c>
      <c r="K109" s="582">
        <v>0</v>
      </c>
      <c r="L109" s="582">
        <v>0</v>
      </c>
      <c r="M109" s="582">
        <v>0.2</v>
      </c>
      <c r="N109" s="582">
        <v>0</v>
      </c>
      <c r="O109" s="582">
        <v>0</v>
      </c>
      <c r="P109" s="582">
        <v>0</v>
      </c>
      <c r="Q109">
        <v>4</v>
      </c>
      <c r="R109">
        <v>4</v>
      </c>
      <c r="S109">
        <v>4</v>
      </c>
      <c r="T109" t="s">
        <v>1776</v>
      </c>
      <c r="U109" t="s">
        <v>1422</v>
      </c>
      <c r="V109">
        <v>0</v>
      </c>
      <c r="W109">
        <v>0</v>
      </c>
      <c r="X109">
        <v>4</v>
      </c>
      <c r="AD109" t="s">
        <v>1784</v>
      </c>
      <c r="AE109">
        <v>400</v>
      </c>
      <c r="AF109" t="s">
        <v>299</v>
      </c>
      <c r="AG109" s="739" t="s">
        <v>8725</v>
      </c>
    </row>
    <row r="110" spans="1:33" ht="15.55" customHeight="1">
      <c r="A110" t="s">
        <v>1766</v>
      </c>
      <c r="B110" t="s">
        <v>1383</v>
      </c>
      <c r="C110" t="s">
        <v>1376</v>
      </c>
      <c r="D110" t="s">
        <v>1697</v>
      </c>
      <c r="E110" t="s">
        <v>1697</v>
      </c>
      <c r="F110">
        <v>4</v>
      </c>
      <c r="G110">
        <v>4</v>
      </c>
      <c r="H110" s="582">
        <v>0</v>
      </c>
      <c r="I110" s="582">
        <v>0</v>
      </c>
      <c r="J110" s="582">
        <v>-0.4</v>
      </c>
      <c r="K110" s="582">
        <v>0</v>
      </c>
      <c r="L110" s="582">
        <v>0</v>
      </c>
      <c r="M110" s="582">
        <v>0</v>
      </c>
      <c r="N110" s="582">
        <v>0</v>
      </c>
      <c r="O110" s="582">
        <v>0</v>
      </c>
      <c r="P110" s="582">
        <v>0.3</v>
      </c>
      <c r="Q110">
        <v>4</v>
      </c>
      <c r="R110">
        <v>4</v>
      </c>
      <c r="S110">
        <v>4</v>
      </c>
      <c r="T110" t="s">
        <v>1773</v>
      </c>
      <c r="U110" t="s">
        <v>1422</v>
      </c>
      <c r="V110">
        <v>0</v>
      </c>
      <c r="W110">
        <v>0</v>
      </c>
      <c r="X110">
        <v>4</v>
      </c>
      <c r="Y110" t="s">
        <v>1792</v>
      </c>
      <c r="Z110" t="s">
        <v>1801</v>
      </c>
      <c r="AD110" t="s">
        <v>1785</v>
      </c>
      <c r="AE110">
        <v>400</v>
      </c>
      <c r="AF110" t="s">
        <v>299</v>
      </c>
      <c r="AG110" s="739" t="s">
        <v>8726</v>
      </c>
    </row>
    <row r="111" spans="1:33" ht="15.55" customHeight="1">
      <c r="A111" t="s">
        <v>1767</v>
      </c>
      <c r="B111" t="s">
        <v>1385</v>
      </c>
      <c r="C111" t="s">
        <v>1376</v>
      </c>
      <c r="D111" t="s">
        <v>1769</v>
      </c>
      <c r="E111" t="s">
        <v>1697</v>
      </c>
      <c r="F111">
        <v>5</v>
      </c>
      <c r="G111">
        <v>3</v>
      </c>
      <c r="H111" s="582">
        <v>-0.5</v>
      </c>
      <c r="I111" s="582">
        <v>0.5</v>
      </c>
      <c r="J111" s="582">
        <v>0.5</v>
      </c>
      <c r="K111" s="582">
        <v>-0.5</v>
      </c>
      <c r="L111" s="582">
        <v>0.5</v>
      </c>
      <c r="M111" s="582">
        <v>0</v>
      </c>
      <c r="N111" s="582">
        <v>-0.2</v>
      </c>
      <c r="O111" s="582">
        <v>0</v>
      </c>
      <c r="P111" s="582">
        <v>0</v>
      </c>
      <c r="Q111">
        <v>4</v>
      </c>
      <c r="R111">
        <v>4</v>
      </c>
      <c r="S111">
        <v>4</v>
      </c>
      <c r="T111" t="s">
        <v>1777</v>
      </c>
      <c r="U111" t="s">
        <v>1422</v>
      </c>
      <c r="V111">
        <v>0</v>
      </c>
      <c r="W111">
        <v>0</v>
      </c>
      <c r="X111">
        <v>4</v>
      </c>
      <c r="Z111" t="s">
        <v>1802</v>
      </c>
      <c r="AA111" t="s">
        <v>1805</v>
      </c>
      <c r="AD111" t="s">
        <v>1786</v>
      </c>
      <c r="AE111">
        <v>400</v>
      </c>
      <c r="AF111" t="s">
        <v>299</v>
      </c>
      <c r="AG111" s="739" t="s">
        <v>8727</v>
      </c>
    </row>
    <row r="112" spans="1:33" ht="15.55" customHeight="1">
      <c r="A112" t="s">
        <v>1806</v>
      </c>
      <c r="B112" s="703" t="s">
        <v>2465</v>
      </c>
      <c r="C112" t="s">
        <v>1368</v>
      </c>
      <c r="D112" t="s">
        <v>1696</v>
      </c>
      <c r="E112" t="s">
        <v>1770</v>
      </c>
      <c r="F112">
        <v>3</v>
      </c>
      <c r="G112">
        <v>3</v>
      </c>
      <c r="H112" s="582">
        <v>0.2</v>
      </c>
      <c r="I112" s="582">
        <v>0.2</v>
      </c>
      <c r="J112" s="582">
        <v>0.2</v>
      </c>
      <c r="K112" s="582">
        <v>0.2</v>
      </c>
      <c r="L112" s="582">
        <v>0.2</v>
      </c>
      <c r="M112" s="582">
        <v>0.2</v>
      </c>
      <c r="N112" s="582">
        <v>0.2</v>
      </c>
      <c r="O112" s="582">
        <v>0.2</v>
      </c>
      <c r="P112" s="582">
        <v>0.2</v>
      </c>
      <c r="Q112">
        <v>4</v>
      </c>
      <c r="R112">
        <v>4</v>
      </c>
      <c r="S112">
        <v>4</v>
      </c>
      <c r="T112" t="s">
        <v>1820</v>
      </c>
      <c r="U112" t="s">
        <v>1422</v>
      </c>
      <c r="V112">
        <v>0</v>
      </c>
      <c r="W112">
        <v>0</v>
      </c>
      <c r="X112">
        <v>4</v>
      </c>
      <c r="Y112" t="s">
        <v>1837</v>
      </c>
      <c r="Z112" t="s">
        <v>1844</v>
      </c>
      <c r="AD112" t="s">
        <v>1827</v>
      </c>
      <c r="AE112">
        <v>400</v>
      </c>
      <c r="AF112" t="s">
        <v>299</v>
      </c>
      <c r="AG112" s="738" t="s">
        <v>8728</v>
      </c>
    </row>
    <row r="113" spans="1:33" ht="15.55" customHeight="1">
      <c r="A113" t="s">
        <v>1807</v>
      </c>
      <c r="B113" t="s">
        <v>1367</v>
      </c>
      <c r="C113" t="s">
        <v>1368</v>
      </c>
      <c r="D113" t="s">
        <v>1769</v>
      </c>
      <c r="E113" t="s">
        <v>1697</v>
      </c>
      <c r="F113">
        <v>5</v>
      </c>
      <c r="G113">
        <v>4</v>
      </c>
      <c r="H113" s="582">
        <v>0.2</v>
      </c>
      <c r="I113" s="582">
        <v>-0.2</v>
      </c>
      <c r="J113" s="582">
        <v>-1</v>
      </c>
      <c r="K113" s="582">
        <v>0.2</v>
      </c>
      <c r="L113" s="582">
        <v>0.8</v>
      </c>
      <c r="M113" s="582">
        <v>0.2</v>
      </c>
      <c r="N113" s="582">
        <v>-0.8</v>
      </c>
      <c r="O113" s="582">
        <v>0.4</v>
      </c>
      <c r="P113" s="582">
        <v>1</v>
      </c>
      <c r="Q113">
        <v>4</v>
      </c>
      <c r="R113">
        <v>4</v>
      </c>
      <c r="S113">
        <v>4</v>
      </c>
      <c r="T113" t="s">
        <v>1821</v>
      </c>
      <c r="U113" t="s">
        <v>1422</v>
      </c>
      <c r="V113">
        <v>0</v>
      </c>
      <c r="W113">
        <v>0</v>
      </c>
      <c r="X113">
        <v>4</v>
      </c>
      <c r="Y113" t="s">
        <v>1838</v>
      </c>
      <c r="Z113" t="s">
        <v>1845</v>
      </c>
      <c r="AD113" t="s">
        <v>1828</v>
      </c>
      <c r="AE113">
        <v>400</v>
      </c>
      <c r="AF113" t="s">
        <v>299</v>
      </c>
      <c r="AG113" s="739" t="s">
        <v>8729</v>
      </c>
    </row>
    <row r="114" spans="1:33" ht="15.55" customHeight="1">
      <c r="A114" t="s">
        <v>1808</v>
      </c>
      <c r="B114" t="s">
        <v>1369</v>
      </c>
      <c r="C114" t="s">
        <v>1368</v>
      </c>
      <c r="D114" t="s">
        <v>1817</v>
      </c>
      <c r="E114" t="s">
        <v>1818</v>
      </c>
      <c r="F114">
        <v>0</v>
      </c>
      <c r="G114">
        <v>0</v>
      </c>
      <c r="H114" s="582">
        <v>0.5</v>
      </c>
      <c r="I114" s="582">
        <v>0.5</v>
      </c>
      <c r="J114" s="582">
        <v>0.5</v>
      </c>
      <c r="K114" s="582">
        <v>0.5</v>
      </c>
      <c r="L114" s="582">
        <v>0.5</v>
      </c>
      <c r="M114" s="582">
        <v>0.5</v>
      </c>
      <c r="N114" s="582">
        <v>0.5</v>
      </c>
      <c r="O114" s="582">
        <v>0.5</v>
      </c>
      <c r="P114" s="582">
        <v>0.5</v>
      </c>
      <c r="Q114">
        <v>4</v>
      </c>
      <c r="R114">
        <v>4</v>
      </c>
      <c r="S114">
        <v>4</v>
      </c>
      <c r="U114" t="s">
        <v>1422</v>
      </c>
      <c r="V114">
        <v>0</v>
      </c>
      <c r="W114">
        <v>0</v>
      </c>
      <c r="X114">
        <v>4</v>
      </c>
      <c r="Y114" t="s">
        <v>1839</v>
      </c>
      <c r="Z114" t="s">
        <v>1846</v>
      </c>
      <c r="AA114" t="s">
        <v>1854</v>
      </c>
      <c r="AD114" t="s">
        <v>1829</v>
      </c>
      <c r="AE114">
        <v>400</v>
      </c>
      <c r="AF114" t="s">
        <v>299</v>
      </c>
      <c r="AG114" s="739" t="s">
        <v>8730</v>
      </c>
    </row>
    <row r="115" spans="1:33" ht="15.55" customHeight="1">
      <c r="A115" t="s">
        <v>1809</v>
      </c>
      <c r="B115" t="s">
        <v>1371</v>
      </c>
      <c r="C115" t="s">
        <v>1368</v>
      </c>
      <c r="D115" t="s">
        <v>1769</v>
      </c>
      <c r="E115" t="s">
        <v>1697</v>
      </c>
      <c r="F115">
        <v>4</v>
      </c>
      <c r="G115">
        <v>4</v>
      </c>
      <c r="H115" s="582">
        <v>0.2</v>
      </c>
      <c r="I115" s="582">
        <v>-0.2</v>
      </c>
      <c r="J115" s="582">
        <v>-1</v>
      </c>
      <c r="K115" s="582">
        <v>0.2</v>
      </c>
      <c r="L115" s="582">
        <v>0.8</v>
      </c>
      <c r="M115" s="582">
        <v>0.2</v>
      </c>
      <c r="N115" s="582">
        <v>-0.8</v>
      </c>
      <c r="O115" s="582">
        <v>0.4</v>
      </c>
      <c r="P115" s="582">
        <v>1</v>
      </c>
      <c r="Q115">
        <v>4</v>
      </c>
      <c r="R115">
        <v>4</v>
      </c>
      <c r="S115">
        <v>4</v>
      </c>
      <c r="T115" t="s">
        <v>1821</v>
      </c>
      <c r="U115" t="s">
        <v>1422</v>
      </c>
      <c r="V115">
        <v>0</v>
      </c>
      <c r="W115">
        <v>0</v>
      </c>
      <c r="X115">
        <v>4</v>
      </c>
      <c r="Y115" t="s">
        <v>1838</v>
      </c>
      <c r="Z115" t="s">
        <v>1847</v>
      </c>
      <c r="AD115" t="s">
        <v>1830</v>
      </c>
      <c r="AE115">
        <v>400</v>
      </c>
      <c r="AF115" t="s">
        <v>299</v>
      </c>
      <c r="AG115" s="739" t="s">
        <v>8731</v>
      </c>
    </row>
    <row r="116" spans="1:33" ht="15.55" customHeight="1">
      <c r="A116" t="s">
        <v>1810</v>
      </c>
      <c r="B116" t="s">
        <v>1374</v>
      </c>
      <c r="C116" t="s">
        <v>1368</v>
      </c>
      <c r="D116" t="s">
        <v>1558</v>
      </c>
      <c r="E116" t="s">
        <v>1697</v>
      </c>
      <c r="F116">
        <v>2</v>
      </c>
      <c r="G116">
        <v>5</v>
      </c>
      <c r="H116" s="582">
        <v>0.4</v>
      </c>
      <c r="I116" s="582">
        <v>-0.4</v>
      </c>
      <c r="J116" s="582">
        <v>0</v>
      </c>
      <c r="K116" s="582">
        <v>0</v>
      </c>
      <c r="L116" s="582">
        <v>0.2</v>
      </c>
      <c r="M116" s="582">
        <v>-0.2</v>
      </c>
      <c r="N116" s="582">
        <v>0</v>
      </c>
      <c r="O116" s="582">
        <v>0</v>
      </c>
      <c r="P116" s="582">
        <v>0</v>
      </c>
      <c r="Q116">
        <v>4</v>
      </c>
      <c r="R116">
        <v>4</v>
      </c>
      <c r="S116">
        <v>4</v>
      </c>
      <c r="T116" t="s">
        <v>1822</v>
      </c>
      <c r="U116" t="s">
        <v>1422</v>
      </c>
      <c r="V116">
        <v>0</v>
      </c>
      <c r="W116">
        <v>0</v>
      </c>
      <c r="X116">
        <v>4</v>
      </c>
      <c r="Y116" t="s">
        <v>1840</v>
      </c>
      <c r="Z116" t="s">
        <v>1848</v>
      </c>
      <c r="AA116" t="s">
        <v>1855</v>
      </c>
      <c r="AD116" t="s">
        <v>1831</v>
      </c>
      <c r="AE116">
        <v>400</v>
      </c>
      <c r="AF116" t="s">
        <v>299</v>
      </c>
      <c r="AG116" s="739" t="s">
        <v>8732</v>
      </c>
    </row>
    <row r="117" spans="1:33" ht="15.55" customHeight="1">
      <c r="A117" t="s">
        <v>1811</v>
      </c>
      <c r="B117" t="s">
        <v>1377</v>
      </c>
      <c r="C117" t="s">
        <v>1368</v>
      </c>
      <c r="D117" t="s">
        <v>1697</v>
      </c>
      <c r="E117" t="s">
        <v>1697</v>
      </c>
      <c r="F117">
        <v>3</v>
      </c>
      <c r="G117">
        <v>3</v>
      </c>
      <c r="H117" s="582">
        <v>0</v>
      </c>
      <c r="I117" s="582">
        <v>0</v>
      </c>
      <c r="J117" s="582">
        <v>0</v>
      </c>
      <c r="K117" s="582">
        <v>0</v>
      </c>
      <c r="L117" s="582">
        <v>0</v>
      </c>
      <c r="M117" s="582">
        <v>0</v>
      </c>
      <c r="N117" s="582">
        <v>0</v>
      </c>
      <c r="O117" s="582">
        <v>1</v>
      </c>
      <c r="P117" s="582">
        <v>0</v>
      </c>
      <c r="Q117">
        <v>4</v>
      </c>
      <c r="R117">
        <v>4</v>
      </c>
      <c r="S117">
        <v>4</v>
      </c>
      <c r="T117" t="s">
        <v>1823</v>
      </c>
      <c r="U117" t="s">
        <v>1422</v>
      </c>
      <c r="V117">
        <v>0</v>
      </c>
      <c r="W117">
        <v>0</v>
      </c>
      <c r="X117">
        <v>4</v>
      </c>
      <c r="Y117" t="s">
        <v>1841</v>
      </c>
      <c r="Z117" t="s">
        <v>1849</v>
      </c>
      <c r="AA117" t="s">
        <v>1856</v>
      </c>
      <c r="AD117" t="s">
        <v>5716</v>
      </c>
      <c r="AE117">
        <v>400</v>
      </c>
      <c r="AF117" t="s">
        <v>299</v>
      </c>
      <c r="AG117" s="739" t="s">
        <v>8733</v>
      </c>
    </row>
    <row r="118" spans="1:33" ht="15.55" customHeight="1">
      <c r="A118" t="s">
        <v>1812</v>
      </c>
      <c r="B118" t="s">
        <v>1379</v>
      </c>
      <c r="C118" t="s">
        <v>1368</v>
      </c>
      <c r="D118" t="s">
        <v>1769</v>
      </c>
      <c r="E118" t="s">
        <v>1819</v>
      </c>
      <c r="F118">
        <v>5</v>
      </c>
      <c r="G118">
        <v>5</v>
      </c>
      <c r="H118" s="582">
        <v>0.1</v>
      </c>
      <c r="I118" s="582">
        <v>0.1</v>
      </c>
      <c r="J118" s="582">
        <v>0.1</v>
      </c>
      <c r="K118" s="582">
        <v>0.1</v>
      </c>
      <c r="L118" s="582">
        <v>0.1</v>
      </c>
      <c r="M118" s="582">
        <v>0.1</v>
      </c>
      <c r="N118" s="582">
        <v>0.1</v>
      </c>
      <c r="O118" s="582">
        <v>0.1</v>
      </c>
      <c r="P118" s="582">
        <v>0.1</v>
      </c>
      <c r="Q118">
        <v>4</v>
      </c>
      <c r="R118">
        <v>4</v>
      </c>
      <c r="S118">
        <v>4</v>
      </c>
      <c r="T118" t="s">
        <v>1824</v>
      </c>
      <c r="U118" t="s">
        <v>1422</v>
      </c>
      <c r="V118">
        <v>0</v>
      </c>
      <c r="W118">
        <v>0</v>
      </c>
      <c r="X118">
        <v>4</v>
      </c>
      <c r="Z118" t="s">
        <v>1850</v>
      </c>
      <c r="AD118" t="s">
        <v>1827</v>
      </c>
      <c r="AE118">
        <v>400</v>
      </c>
      <c r="AF118" t="s">
        <v>299</v>
      </c>
      <c r="AG118" s="739" t="s">
        <v>8734</v>
      </c>
    </row>
    <row r="119" spans="1:33" ht="15.55" customHeight="1">
      <c r="A119" t="s">
        <v>1813</v>
      </c>
      <c r="B119" t="s">
        <v>1381</v>
      </c>
      <c r="C119" t="s">
        <v>1368</v>
      </c>
      <c r="D119" t="s">
        <v>1696</v>
      </c>
      <c r="E119" t="s">
        <v>1697</v>
      </c>
      <c r="F119">
        <v>3</v>
      </c>
      <c r="G119">
        <v>3</v>
      </c>
      <c r="H119" s="582">
        <v>0</v>
      </c>
      <c r="I119" s="582">
        <v>0</v>
      </c>
      <c r="J119" s="582">
        <v>0</v>
      </c>
      <c r="K119" s="582">
        <v>0</v>
      </c>
      <c r="L119" s="582">
        <v>0.5</v>
      </c>
      <c r="M119" s="582">
        <v>-0.5</v>
      </c>
      <c r="N119" s="582">
        <v>0.5</v>
      </c>
      <c r="O119" s="582">
        <v>0</v>
      </c>
      <c r="P119" s="582">
        <v>0</v>
      </c>
      <c r="Q119">
        <v>4</v>
      </c>
      <c r="R119">
        <v>4</v>
      </c>
      <c r="S119">
        <v>4</v>
      </c>
      <c r="T119" t="s">
        <v>1825</v>
      </c>
      <c r="U119" t="s">
        <v>1422</v>
      </c>
      <c r="V119">
        <v>0</v>
      </c>
      <c r="W119">
        <v>0</v>
      </c>
      <c r="X119">
        <v>4</v>
      </c>
      <c r="Y119" t="s">
        <v>1840</v>
      </c>
      <c r="Z119" t="s">
        <v>1851</v>
      </c>
      <c r="AD119" t="s">
        <v>1833</v>
      </c>
      <c r="AE119">
        <v>400</v>
      </c>
      <c r="AF119" t="s">
        <v>299</v>
      </c>
      <c r="AG119" s="739" t="s">
        <v>8735</v>
      </c>
    </row>
    <row r="120" spans="1:33" ht="15.55" customHeight="1">
      <c r="A120" t="s">
        <v>1814</v>
      </c>
      <c r="B120" t="s">
        <v>1383</v>
      </c>
      <c r="C120" t="s">
        <v>1368</v>
      </c>
      <c r="D120" t="s">
        <v>1770</v>
      </c>
      <c r="E120" t="s">
        <v>1697</v>
      </c>
      <c r="F120">
        <v>3</v>
      </c>
      <c r="G120">
        <v>3</v>
      </c>
      <c r="H120" s="582">
        <v>0.2</v>
      </c>
      <c r="I120" s="582">
        <v>0.2</v>
      </c>
      <c r="J120" s="582">
        <v>0.2</v>
      </c>
      <c r="K120" s="582">
        <v>0.2</v>
      </c>
      <c r="L120" s="582">
        <v>0.2</v>
      </c>
      <c r="M120" s="582">
        <v>0.2</v>
      </c>
      <c r="N120" s="582">
        <v>0.2</v>
      </c>
      <c r="O120" s="582">
        <v>0.2</v>
      </c>
      <c r="P120" s="582">
        <v>0.2</v>
      </c>
      <c r="Q120">
        <v>4</v>
      </c>
      <c r="R120">
        <v>4</v>
      </c>
      <c r="S120">
        <v>4</v>
      </c>
      <c r="T120" t="s">
        <v>1826</v>
      </c>
      <c r="U120" t="s">
        <v>1422</v>
      </c>
      <c r="V120">
        <v>0</v>
      </c>
      <c r="W120">
        <v>0</v>
      </c>
      <c r="X120">
        <v>4</v>
      </c>
      <c r="Y120" t="s">
        <v>1842</v>
      </c>
      <c r="Z120" t="s">
        <v>1852</v>
      </c>
      <c r="AD120" t="s">
        <v>1833</v>
      </c>
      <c r="AE120">
        <v>400</v>
      </c>
      <c r="AF120" t="s">
        <v>299</v>
      </c>
      <c r="AG120" s="739" t="s">
        <v>8736</v>
      </c>
    </row>
    <row r="121" spans="1:33" ht="15.55" customHeight="1">
      <c r="A121" t="s">
        <v>1815</v>
      </c>
      <c r="B121" t="s">
        <v>1385</v>
      </c>
      <c r="C121" t="s">
        <v>1368</v>
      </c>
      <c r="D121" t="s">
        <v>1769</v>
      </c>
      <c r="E121" t="s">
        <v>1697</v>
      </c>
      <c r="F121">
        <v>5</v>
      </c>
      <c r="G121">
        <v>3</v>
      </c>
      <c r="H121" s="582">
        <v>0.5</v>
      </c>
      <c r="I121" s="582">
        <v>0.5</v>
      </c>
      <c r="J121" s="582">
        <v>0.5</v>
      </c>
      <c r="K121" s="582">
        <v>-0.5</v>
      </c>
      <c r="L121" s="582">
        <v>0.5</v>
      </c>
      <c r="M121" s="582">
        <v>0</v>
      </c>
      <c r="N121" s="582">
        <v>0.2</v>
      </c>
      <c r="O121" s="582">
        <v>0.2</v>
      </c>
      <c r="P121" s="582">
        <v>0</v>
      </c>
      <c r="Q121">
        <v>4</v>
      </c>
      <c r="R121">
        <v>4</v>
      </c>
      <c r="S121">
        <v>4</v>
      </c>
      <c r="T121" t="s">
        <v>1777</v>
      </c>
      <c r="U121" t="s">
        <v>1422</v>
      </c>
      <c r="V121">
        <v>0</v>
      </c>
      <c r="W121">
        <v>0</v>
      </c>
      <c r="X121">
        <v>4</v>
      </c>
      <c r="Z121" t="s">
        <v>1802</v>
      </c>
      <c r="AA121" t="s">
        <v>1857</v>
      </c>
      <c r="AD121" t="s">
        <v>1833</v>
      </c>
      <c r="AE121">
        <v>400</v>
      </c>
      <c r="AF121" t="s">
        <v>299</v>
      </c>
      <c r="AG121" s="739" t="s">
        <v>8737</v>
      </c>
    </row>
    <row r="122" spans="1:33" ht="15.55" customHeight="1">
      <c r="A122" t="s">
        <v>1860</v>
      </c>
      <c r="B122" s="703" t="s">
        <v>2465</v>
      </c>
      <c r="C122" t="s">
        <v>1373</v>
      </c>
      <c r="D122" t="s">
        <v>1769</v>
      </c>
      <c r="E122" t="s">
        <v>1697</v>
      </c>
      <c r="F122">
        <v>5</v>
      </c>
      <c r="G122">
        <v>5</v>
      </c>
      <c r="H122" s="582">
        <v>0.2</v>
      </c>
      <c r="I122" s="582">
        <v>0.2</v>
      </c>
      <c r="J122" s="582">
        <v>0.2</v>
      </c>
      <c r="K122" s="582">
        <v>0.2</v>
      </c>
      <c r="L122" s="582">
        <v>0.2</v>
      </c>
      <c r="M122" s="582">
        <v>0.2</v>
      </c>
      <c r="N122" s="582">
        <v>0.2</v>
      </c>
      <c r="O122" s="582">
        <v>0.2</v>
      </c>
      <c r="P122" s="582">
        <v>0.2</v>
      </c>
      <c r="Q122">
        <v>4</v>
      </c>
      <c r="R122">
        <v>4</v>
      </c>
      <c r="S122">
        <v>4</v>
      </c>
      <c r="T122" t="s">
        <v>1874</v>
      </c>
      <c r="U122" t="s">
        <v>1422</v>
      </c>
      <c r="V122">
        <v>0.2</v>
      </c>
      <c r="W122">
        <v>0</v>
      </c>
      <c r="X122">
        <v>4</v>
      </c>
      <c r="Z122" t="s">
        <v>1888</v>
      </c>
      <c r="AD122" t="s">
        <v>1879</v>
      </c>
      <c r="AE122">
        <v>400</v>
      </c>
      <c r="AF122" t="s">
        <v>299</v>
      </c>
      <c r="AG122" s="738" t="s">
        <v>8738</v>
      </c>
    </row>
    <row r="123" spans="1:33" ht="15.55" customHeight="1">
      <c r="A123" t="s">
        <v>1861</v>
      </c>
      <c r="B123" t="s">
        <v>1367</v>
      </c>
      <c r="C123" t="s">
        <v>1373</v>
      </c>
      <c r="D123" t="s">
        <v>1697</v>
      </c>
      <c r="E123" t="s">
        <v>2028</v>
      </c>
      <c r="F123">
        <v>5</v>
      </c>
      <c r="G123">
        <v>2</v>
      </c>
      <c r="H123" s="582">
        <v>0.1</v>
      </c>
      <c r="I123" s="582">
        <v>0.1</v>
      </c>
      <c r="J123" s="582">
        <v>-1</v>
      </c>
      <c r="K123" s="582">
        <v>0.4</v>
      </c>
      <c r="L123" s="582">
        <v>0.7</v>
      </c>
      <c r="M123" s="582">
        <v>-0.3</v>
      </c>
      <c r="N123" s="582">
        <v>-1</v>
      </c>
      <c r="O123" s="582">
        <v>1</v>
      </c>
      <c r="P123" s="582">
        <v>0.5</v>
      </c>
      <c r="Q123">
        <v>4</v>
      </c>
      <c r="R123">
        <v>4</v>
      </c>
      <c r="S123">
        <v>4</v>
      </c>
      <c r="T123" t="s">
        <v>1875</v>
      </c>
      <c r="U123" t="s">
        <v>1422</v>
      </c>
      <c r="V123">
        <v>0</v>
      </c>
      <c r="W123">
        <v>0</v>
      </c>
      <c r="X123">
        <v>4</v>
      </c>
      <c r="Y123" t="s">
        <v>1882</v>
      </c>
      <c r="AD123" t="s">
        <v>1880</v>
      </c>
      <c r="AE123">
        <v>400</v>
      </c>
      <c r="AF123" t="s">
        <v>299</v>
      </c>
      <c r="AG123" s="739" t="s">
        <v>8739</v>
      </c>
    </row>
    <row r="124" spans="1:33" ht="15.55" customHeight="1">
      <c r="A124" t="s">
        <v>1862</v>
      </c>
      <c r="B124" t="s">
        <v>1369</v>
      </c>
      <c r="C124" t="s">
        <v>1373</v>
      </c>
      <c r="D124" t="s">
        <v>1769</v>
      </c>
      <c r="E124" t="s">
        <v>1697</v>
      </c>
      <c r="F124">
        <v>6</v>
      </c>
      <c r="G124">
        <v>2</v>
      </c>
      <c r="H124" s="582">
        <v>0</v>
      </c>
      <c r="I124" s="582">
        <v>0</v>
      </c>
      <c r="J124" s="582">
        <v>0</v>
      </c>
      <c r="K124" s="582">
        <v>-1</v>
      </c>
      <c r="L124" s="582">
        <v>0.5</v>
      </c>
      <c r="M124" s="582">
        <v>0.5</v>
      </c>
      <c r="N124" s="582">
        <v>-0.8</v>
      </c>
      <c r="O124" s="582">
        <v>0</v>
      </c>
      <c r="P124" s="582">
        <v>0</v>
      </c>
      <c r="Q124">
        <v>4</v>
      </c>
      <c r="R124">
        <v>4</v>
      </c>
      <c r="S124">
        <v>4</v>
      </c>
      <c r="T124" t="s">
        <v>1821</v>
      </c>
      <c r="U124" t="s">
        <v>1422</v>
      </c>
      <c r="V124">
        <v>0</v>
      </c>
      <c r="W124">
        <v>0</v>
      </c>
      <c r="X124">
        <v>4</v>
      </c>
      <c r="Y124" t="s">
        <v>1883</v>
      </c>
      <c r="Z124" t="s">
        <v>1889</v>
      </c>
      <c r="AA124" t="s">
        <v>1895</v>
      </c>
      <c r="AD124" t="s">
        <v>1879</v>
      </c>
      <c r="AE124">
        <v>400</v>
      </c>
      <c r="AF124" t="s">
        <v>299</v>
      </c>
      <c r="AG124" s="739" t="s">
        <v>8740</v>
      </c>
    </row>
    <row r="125" spans="1:33" ht="15.55" customHeight="1">
      <c r="A125" t="s">
        <v>1863</v>
      </c>
      <c r="B125" t="s">
        <v>1371</v>
      </c>
      <c r="C125" t="s">
        <v>1373</v>
      </c>
      <c r="D125" t="s">
        <v>1769</v>
      </c>
      <c r="E125" t="s">
        <v>1697</v>
      </c>
      <c r="F125">
        <v>5</v>
      </c>
      <c r="G125">
        <v>4</v>
      </c>
      <c r="H125" s="582">
        <v>0.2</v>
      </c>
      <c r="I125" s="582">
        <v>0.2</v>
      </c>
      <c r="J125" s="582">
        <v>0.2</v>
      </c>
      <c r="K125" s="582">
        <v>0.2</v>
      </c>
      <c r="L125" s="582">
        <v>0.8</v>
      </c>
      <c r="M125" s="582">
        <v>-0.8</v>
      </c>
      <c r="N125" s="582">
        <v>0</v>
      </c>
      <c r="O125" s="582">
        <v>1</v>
      </c>
      <c r="P125" s="582">
        <v>1</v>
      </c>
      <c r="Q125">
        <v>4</v>
      </c>
      <c r="R125">
        <v>4</v>
      </c>
      <c r="S125">
        <v>4</v>
      </c>
      <c r="T125" t="s">
        <v>1821</v>
      </c>
      <c r="U125" t="s">
        <v>1422</v>
      </c>
      <c r="V125">
        <v>0.2</v>
      </c>
      <c r="W125">
        <v>0</v>
      </c>
      <c r="X125">
        <v>4</v>
      </c>
      <c r="Y125" t="s">
        <v>1884</v>
      </c>
      <c r="Z125" t="s">
        <v>1890</v>
      </c>
      <c r="AD125" t="s">
        <v>1879</v>
      </c>
      <c r="AE125">
        <v>400</v>
      </c>
      <c r="AF125" t="s">
        <v>299</v>
      </c>
      <c r="AG125" s="739" t="s">
        <v>8741</v>
      </c>
    </row>
    <row r="126" spans="1:33" ht="15.55" customHeight="1">
      <c r="A126" t="s">
        <v>1864</v>
      </c>
      <c r="B126" t="s">
        <v>1374</v>
      </c>
      <c r="C126" t="s">
        <v>1373</v>
      </c>
      <c r="D126" t="s">
        <v>1870</v>
      </c>
      <c r="E126" t="s">
        <v>1697</v>
      </c>
      <c r="F126">
        <v>6</v>
      </c>
      <c r="G126">
        <v>3</v>
      </c>
      <c r="H126" s="582">
        <v>0</v>
      </c>
      <c r="I126" s="582">
        <v>0</v>
      </c>
      <c r="J126" s="582">
        <v>0</v>
      </c>
      <c r="K126" s="582">
        <v>-1</v>
      </c>
      <c r="L126" s="582">
        <v>0.5</v>
      </c>
      <c r="M126" s="582">
        <v>0.5</v>
      </c>
      <c r="N126" s="582">
        <v>-0.8</v>
      </c>
      <c r="O126" s="582">
        <v>0</v>
      </c>
      <c r="P126" s="582">
        <v>0</v>
      </c>
      <c r="Q126">
        <v>4</v>
      </c>
      <c r="R126">
        <v>4</v>
      </c>
      <c r="S126">
        <v>4</v>
      </c>
      <c r="T126" t="s">
        <v>1821</v>
      </c>
      <c r="U126" t="s">
        <v>1423</v>
      </c>
      <c r="V126">
        <v>0</v>
      </c>
      <c r="W126">
        <v>0</v>
      </c>
      <c r="X126">
        <v>4</v>
      </c>
      <c r="Y126" t="s">
        <v>1883</v>
      </c>
      <c r="Z126" t="s">
        <v>1891</v>
      </c>
      <c r="AA126" t="s">
        <v>1896</v>
      </c>
      <c r="AD126" t="s">
        <v>1879</v>
      </c>
      <c r="AE126">
        <v>400</v>
      </c>
      <c r="AF126" t="s">
        <v>299</v>
      </c>
      <c r="AG126" s="739" t="s">
        <v>8742</v>
      </c>
    </row>
    <row r="127" spans="1:33" ht="15.55" customHeight="1">
      <c r="A127" t="s">
        <v>1865</v>
      </c>
      <c r="B127" t="s">
        <v>1377</v>
      </c>
      <c r="C127" t="s">
        <v>1373</v>
      </c>
      <c r="D127" t="s">
        <v>1769</v>
      </c>
      <c r="E127" t="s">
        <v>1697</v>
      </c>
      <c r="F127">
        <v>6</v>
      </c>
      <c r="G127">
        <v>3</v>
      </c>
      <c r="H127" s="582">
        <v>0</v>
      </c>
      <c r="I127" s="582">
        <v>0</v>
      </c>
      <c r="J127" s="582">
        <v>0</v>
      </c>
      <c r="K127" s="582">
        <v>-1</v>
      </c>
      <c r="L127" s="582">
        <v>0.5</v>
      </c>
      <c r="M127" s="582">
        <v>0.5</v>
      </c>
      <c r="N127" s="582">
        <v>-0.8</v>
      </c>
      <c r="O127" s="582">
        <v>0</v>
      </c>
      <c r="P127" s="582">
        <v>0</v>
      </c>
      <c r="Q127">
        <v>4</v>
      </c>
      <c r="R127">
        <v>4</v>
      </c>
      <c r="S127">
        <v>4</v>
      </c>
      <c r="T127" t="s">
        <v>1876</v>
      </c>
      <c r="U127" t="s">
        <v>1422</v>
      </c>
      <c r="V127">
        <v>0</v>
      </c>
      <c r="W127">
        <v>0</v>
      </c>
      <c r="X127">
        <v>4</v>
      </c>
      <c r="Y127" t="s">
        <v>1885</v>
      </c>
      <c r="AD127" t="s">
        <v>1880</v>
      </c>
      <c r="AE127">
        <v>400</v>
      </c>
      <c r="AF127" t="s">
        <v>299</v>
      </c>
      <c r="AG127" s="739" t="s">
        <v>8743</v>
      </c>
    </row>
    <row r="128" spans="1:33" ht="15.55" customHeight="1">
      <c r="A128" t="s">
        <v>1866</v>
      </c>
      <c r="B128" t="s">
        <v>1379</v>
      </c>
      <c r="C128" t="s">
        <v>1373</v>
      </c>
      <c r="D128" t="s">
        <v>1769</v>
      </c>
      <c r="E128" t="s">
        <v>1697</v>
      </c>
      <c r="F128">
        <v>6</v>
      </c>
      <c r="G128">
        <v>3</v>
      </c>
      <c r="H128" s="582">
        <v>0</v>
      </c>
      <c r="I128" s="582">
        <v>0</v>
      </c>
      <c r="J128" s="582">
        <v>0</v>
      </c>
      <c r="K128" s="582">
        <v>-1</v>
      </c>
      <c r="L128" s="582">
        <v>0.5</v>
      </c>
      <c r="M128" s="582">
        <v>0.5</v>
      </c>
      <c r="N128" s="582">
        <v>-0.8</v>
      </c>
      <c r="O128" s="582">
        <v>0</v>
      </c>
      <c r="P128" s="582">
        <v>0</v>
      </c>
      <c r="Q128">
        <v>4</v>
      </c>
      <c r="R128">
        <v>4</v>
      </c>
      <c r="S128">
        <v>4</v>
      </c>
      <c r="T128" t="s">
        <v>1821</v>
      </c>
      <c r="U128" t="s">
        <v>1422</v>
      </c>
      <c r="V128">
        <v>0</v>
      </c>
      <c r="W128">
        <v>0</v>
      </c>
      <c r="X128">
        <v>4</v>
      </c>
      <c r="Y128" t="s">
        <v>1883</v>
      </c>
      <c r="Z128" t="s">
        <v>1892</v>
      </c>
      <c r="AD128" t="s">
        <v>1879</v>
      </c>
      <c r="AE128">
        <v>400</v>
      </c>
      <c r="AF128" t="s">
        <v>299</v>
      </c>
      <c r="AG128" s="739" t="s">
        <v>8744</v>
      </c>
    </row>
    <row r="129" spans="1:33" ht="15.55" customHeight="1">
      <c r="A129" t="s">
        <v>1867</v>
      </c>
      <c r="B129" t="s">
        <v>1381</v>
      </c>
      <c r="C129" t="s">
        <v>1373</v>
      </c>
      <c r="D129" t="s">
        <v>1697</v>
      </c>
      <c r="E129" t="s">
        <v>1697</v>
      </c>
      <c r="F129">
        <v>3</v>
      </c>
      <c r="G129">
        <v>3</v>
      </c>
      <c r="H129" s="582">
        <v>-0.2</v>
      </c>
      <c r="I129" s="582">
        <v>0.2</v>
      </c>
      <c r="J129" s="582">
        <v>0</v>
      </c>
      <c r="K129" s="582">
        <v>0</v>
      </c>
      <c r="L129" s="582">
        <v>0.5</v>
      </c>
      <c r="M129" s="582">
        <v>-0.5</v>
      </c>
      <c r="N129" s="582">
        <v>-0.8</v>
      </c>
      <c r="O129" s="582">
        <v>1</v>
      </c>
      <c r="P129" s="582">
        <v>1</v>
      </c>
      <c r="Q129">
        <v>4</v>
      </c>
      <c r="R129">
        <v>4</v>
      </c>
      <c r="S129">
        <v>4</v>
      </c>
      <c r="T129" t="s">
        <v>1877</v>
      </c>
      <c r="U129" t="s">
        <v>1422</v>
      </c>
      <c r="V129">
        <v>0</v>
      </c>
      <c r="W129">
        <v>0</v>
      </c>
      <c r="X129">
        <v>4</v>
      </c>
      <c r="Y129" t="s">
        <v>1886</v>
      </c>
      <c r="Z129" t="s">
        <v>1893</v>
      </c>
      <c r="AD129" t="s">
        <v>1879</v>
      </c>
      <c r="AE129">
        <v>400</v>
      </c>
      <c r="AF129" t="s">
        <v>299</v>
      </c>
      <c r="AG129" s="739" t="s">
        <v>8745</v>
      </c>
    </row>
    <row r="130" spans="1:33" ht="15.55" customHeight="1">
      <c r="A130" t="s">
        <v>1868</v>
      </c>
      <c r="B130" t="s">
        <v>1383</v>
      </c>
      <c r="C130" t="s">
        <v>1373</v>
      </c>
      <c r="D130" t="s">
        <v>1871</v>
      </c>
      <c r="E130" t="s">
        <v>2028</v>
      </c>
      <c r="F130">
        <v>0</v>
      </c>
      <c r="G130">
        <v>0</v>
      </c>
      <c r="H130" s="582">
        <v>0</v>
      </c>
      <c r="I130" s="582">
        <v>0</v>
      </c>
      <c r="J130" s="582">
        <v>0</v>
      </c>
      <c r="K130" s="582">
        <v>0</v>
      </c>
      <c r="L130" s="582">
        <v>0</v>
      </c>
      <c r="M130" s="582">
        <v>0</v>
      </c>
      <c r="N130" s="582">
        <v>0</v>
      </c>
      <c r="O130" s="582">
        <v>0</v>
      </c>
      <c r="P130" s="582">
        <v>0</v>
      </c>
      <c r="Q130">
        <v>4</v>
      </c>
      <c r="R130">
        <v>4</v>
      </c>
      <c r="S130">
        <v>4</v>
      </c>
      <c r="T130" t="s">
        <v>1878</v>
      </c>
      <c r="U130" t="s">
        <v>1422</v>
      </c>
      <c r="V130">
        <v>0.5</v>
      </c>
      <c r="W130">
        <v>0</v>
      </c>
      <c r="X130">
        <v>4</v>
      </c>
      <c r="Y130" t="s">
        <v>1887</v>
      </c>
      <c r="AD130" t="s">
        <v>1879</v>
      </c>
      <c r="AE130">
        <v>400</v>
      </c>
      <c r="AF130" t="s">
        <v>299</v>
      </c>
      <c r="AG130" s="739" t="s">
        <v>8746</v>
      </c>
    </row>
    <row r="131" spans="1:33" ht="15.55" customHeight="1">
      <c r="A131" t="s">
        <v>1869</v>
      </c>
      <c r="B131" t="s">
        <v>1385</v>
      </c>
      <c r="C131" t="s">
        <v>1373</v>
      </c>
      <c r="D131" t="s">
        <v>1559</v>
      </c>
      <c r="E131" t="s">
        <v>2028</v>
      </c>
      <c r="F131">
        <v>5</v>
      </c>
      <c r="G131">
        <v>2</v>
      </c>
      <c r="H131" s="582">
        <v>0.5</v>
      </c>
      <c r="I131" s="582">
        <v>0</v>
      </c>
      <c r="J131" s="582">
        <v>0</v>
      </c>
      <c r="K131" s="582">
        <v>-1</v>
      </c>
      <c r="L131" s="582">
        <v>0.5</v>
      </c>
      <c r="M131" s="582">
        <v>0.5</v>
      </c>
      <c r="N131" s="582">
        <v>-0.8</v>
      </c>
      <c r="O131" s="582">
        <v>0</v>
      </c>
      <c r="P131" s="582">
        <v>0</v>
      </c>
      <c r="Q131">
        <v>4</v>
      </c>
      <c r="R131">
        <v>4</v>
      </c>
      <c r="S131">
        <v>4</v>
      </c>
      <c r="T131" t="s">
        <v>1821</v>
      </c>
      <c r="U131" t="s">
        <v>1422</v>
      </c>
      <c r="V131">
        <v>0</v>
      </c>
      <c r="W131">
        <v>0</v>
      </c>
      <c r="X131">
        <v>4</v>
      </c>
      <c r="Y131" t="s">
        <v>1569</v>
      </c>
      <c r="Z131" t="s">
        <v>1894</v>
      </c>
      <c r="AD131" t="s">
        <v>1879</v>
      </c>
      <c r="AE131">
        <v>400</v>
      </c>
      <c r="AF131" t="s">
        <v>299</v>
      </c>
      <c r="AG131" s="739" t="s">
        <v>8747</v>
      </c>
    </row>
    <row r="132" spans="1:33" ht="15.55" customHeight="1">
      <c r="A132" t="s">
        <v>1264</v>
      </c>
      <c r="B132" s="703" t="s">
        <v>2465</v>
      </c>
      <c r="C132" t="s">
        <v>1364</v>
      </c>
      <c r="D132" t="s">
        <v>1697</v>
      </c>
      <c r="E132" t="s">
        <v>1697</v>
      </c>
      <c r="F132">
        <v>4</v>
      </c>
      <c r="G132">
        <v>4</v>
      </c>
      <c r="H132" s="582">
        <v>-0.2</v>
      </c>
      <c r="I132" s="582">
        <v>0.2</v>
      </c>
      <c r="J132" s="582">
        <v>0.8</v>
      </c>
      <c r="K132" s="582">
        <v>0</v>
      </c>
      <c r="L132" s="582">
        <v>0</v>
      </c>
      <c r="M132" s="582">
        <v>0</v>
      </c>
      <c r="N132" s="582">
        <v>0</v>
      </c>
      <c r="O132" s="582">
        <v>0</v>
      </c>
      <c r="P132" s="582">
        <v>0</v>
      </c>
      <c r="Q132">
        <v>4</v>
      </c>
      <c r="R132">
        <v>4</v>
      </c>
      <c r="S132">
        <v>4</v>
      </c>
      <c r="T132" t="s">
        <v>1908</v>
      </c>
      <c r="U132" t="s">
        <v>1422</v>
      </c>
      <c r="V132">
        <v>0</v>
      </c>
      <c r="W132">
        <v>0</v>
      </c>
      <c r="X132">
        <v>4</v>
      </c>
      <c r="Z132" t="s">
        <v>1922</v>
      </c>
      <c r="AA132" t="s">
        <v>1931</v>
      </c>
      <c r="AD132" t="s">
        <v>1782</v>
      </c>
      <c r="AE132">
        <v>400</v>
      </c>
      <c r="AF132" t="s">
        <v>299</v>
      </c>
      <c r="AG132" s="738" t="s">
        <v>8748</v>
      </c>
    </row>
    <row r="133" spans="1:33" ht="15.55" customHeight="1">
      <c r="A133" t="s">
        <v>1897</v>
      </c>
      <c r="B133" t="s">
        <v>1367</v>
      </c>
      <c r="C133" t="s">
        <v>1364</v>
      </c>
      <c r="D133" t="s">
        <v>1697</v>
      </c>
      <c r="E133" t="s">
        <v>1697</v>
      </c>
      <c r="F133">
        <v>3</v>
      </c>
      <c r="G133">
        <v>3</v>
      </c>
      <c r="H133" s="582">
        <v>-0.2</v>
      </c>
      <c r="I133" s="582">
        <v>0.2</v>
      </c>
      <c r="J133" s="582">
        <v>-0.2</v>
      </c>
      <c r="K133" s="582">
        <v>0</v>
      </c>
      <c r="L133" s="582">
        <v>0.3</v>
      </c>
      <c r="M133" s="582">
        <v>0.2</v>
      </c>
      <c r="N133" s="582">
        <v>0</v>
      </c>
      <c r="O133" s="582">
        <v>0</v>
      </c>
      <c r="P133" s="582">
        <v>0.5</v>
      </c>
      <c r="Q133">
        <v>4</v>
      </c>
      <c r="R133">
        <v>4</v>
      </c>
      <c r="S133">
        <v>4</v>
      </c>
      <c r="T133" t="s">
        <v>1908</v>
      </c>
      <c r="U133" t="s">
        <v>1422</v>
      </c>
      <c r="V133">
        <v>0</v>
      </c>
      <c r="W133">
        <v>0</v>
      </c>
      <c r="X133">
        <v>4</v>
      </c>
      <c r="Y133" t="s">
        <v>5717</v>
      </c>
      <c r="Z133" t="s">
        <v>1923</v>
      </c>
      <c r="AD133" t="s">
        <v>1782</v>
      </c>
      <c r="AE133">
        <v>400</v>
      </c>
      <c r="AF133" t="s">
        <v>299</v>
      </c>
      <c r="AG133" s="739" t="s">
        <v>8749</v>
      </c>
    </row>
    <row r="134" spans="1:33" ht="15.55" customHeight="1">
      <c r="A134" t="s">
        <v>1898</v>
      </c>
      <c r="B134" t="s">
        <v>1369</v>
      </c>
      <c r="C134" t="s">
        <v>1364</v>
      </c>
      <c r="D134" t="s">
        <v>1907</v>
      </c>
      <c r="E134" t="s">
        <v>1697</v>
      </c>
      <c r="F134">
        <v>2</v>
      </c>
      <c r="G134">
        <v>5</v>
      </c>
      <c r="H134" s="582">
        <v>0</v>
      </c>
      <c r="I134" s="582">
        <v>0.5</v>
      </c>
      <c r="J134" s="582">
        <v>-0.5</v>
      </c>
      <c r="K134" s="582">
        <v>0.5</v>
      </c>
      <c r="L134" s="582">
        <v>0</v>
      </c>
      <c r="M134" s="582">
        <v>0</v>
      </c>
      <c r="N134" s="582">
        <v>0</v>
      </c>
      <c r="O134" s="582">
        <v>0.5</v>
      </c>
      <c r="P134" s="582">
        <v>0</v>
      </c>
      <c r="Q134">
        <v>4</v>
      </c>
      <c r="R134">
        <v>4</v>
      </c>
      <c r="S134">
        <v>4</v>
      </c>
      <c r="T134" t="s">
        <v>1909</v>
      </c>
      <c r="U134" t="s">
        <v>1422</v>
      </c>
      <c r="V134">
        <v>0</v>
      </c>
      <c r="W134">
        <v>0</v>
      </c>
      <c r="X134">
        <v>4</v>
      </c>
      <c r="Y134" t="s">
        <v>1916</v>
      </c>
      <c r="Z134" t="s">
        <v>1924</v>
      </c>
      <c r="AD134" t="s">
        <v>1782</v>
      </c>
      <c r="AE134">
        <v>400</v>
      </c>
      <c r="AF134" t="s">
        <v>299</v>
      </c>
      <c r="AG134" s="739" t="s">
        <v>8750</v>
      </c>
    </row>
    <row r="135" spans="1:33" ht="15.55" customHeight="1">
      <c r="A135" t="s">
        <v>1899</v>
      </c>
      <c r="B135" t="s">
        <v>1371</v>
      </c>
      <c r="C135" t="s">
        <v>1364</v>
      </c>
      <c r="D135" t="s">
        <v>1559</v>
      </c>
      <c r="E135" t="s">
        <v>2028</v>
      </c>
      <c r="F135">
        <v>4</v>
      </c>
      <c r="G135">
        <v>2</v>
      </c>
      <c r="H135" s="582">
        <v>0</v>
      </c>
      <c r="I135" s="582">
        <v>0.2</v>
      </c>
      <c r="J135" s="582">
        <v>0.1</v>
      </c>
      <c r="K135" s="582">
        <v>0.2</v>
      </c>
      <c r="L135" s="582">
        <v>0.1</v>
      </c>
      <c r="M135" s="582">
        <v>0.1</v>
      </c>
      <c r="N135" s="582">
        <v>0.4</v>
      </c>
      <c r="O135" s="582">
        <v>0.2</v>
      </c>
      <c r="P135" s="582">
        <v>-0.5</v>
      </c>
      <c r="Q135">
        <v>4</v>
      </c>
      <c r="R135">
        <v>4</v>
      </c>
      <c r="S135">
        <v>4</v>
      </c>
      <c r="T135" t="s">
        <v>1772</v>
      </c>
      <c r="U135" t="s">
        <v>1422</v>
      </c>
      <c r="V135">
        <v>0</v>
      </c>
      <c r="W135">
        <v>0</v>
      </c>
      <c r="X135">
        <v>4</v>
      </c>
      <c r="Y135" t="s">
        <v>1917</v>
      </c>
      <c r="Z135" t="s">
        <v>1925</v>
      </c>
      <c r="AD135" t="s">
        <v>1782</v>
      </c>
      <c r="AE135">
        <v>400</v>
      </c>
      <c r="AF135" t="s">
        <v>299</v>
      </c>
      <c r="AG135" s="739" t="s">
        <v>8751</v>
      </c>
    </row>
    <row r="136" spans="1:33" ht="15.55" customHeight="1">
      <c r="A136" t="s">
        <v>1900</v>
      </c>
      <c r="B136" t="s">
        <v>1374</v>
      </c>
      <c r="C136" t="s">
        <v>1364</v>
      </c>
      <c r="D136" t="s">
        <v>1769</v>
      </c>
      <c r="E136" t="s">
        <v>1697</v>
      </c>
      <c r="F136">
        <v>4</v>
      </c>
      <c r="G136">
        <v>4</v>
      </c>
      <c r="H136" s="582">
        <v>0.5</v>
      </c>
      <c r="I136" s="582">
        <v>0.5</v>
      </c>
      <c r="J136" s="582">
        <v>0.5</v>
      </c>
      <c r="K136" s="582">
        <v>0.5</v>
      </c>
      <c r="L136" s="582">
        <v>0.5</v>
      </c>
      <c r="M136" s="582">
        <v>0.5</v>
      </c>
      <c r="N136" s="582">
        <v>0.5</v>
      </c>
      <c r="O136" s="582">
        <v>0.5</v>
      </c>
      <c r="P136" s="582">
        <v>0.5</v>
      </c>
      <c r="Q136">
        <v>4</v>
      </c>
      <c r="R136">
        <v>4</v>
      </c>
      <c r="S136">
        <v>4</v>
      </c>
      <c r="T136" t="s">
        <v>1908</v>
      </c>
      <c r="U136" t="s">
        <v>1422</v>
      </c>
      <c r="V136">
        <v>0</v>
      </c>
      <c r="W136">
        <v>0</v>
      </c>
      <c r="X136">
        <v>4</v>
      </c>
      <c r="Y136" t="s">
        <v>1918</v>
      </c>
      <c r="Z136" t="s">
        <v>1926</v>
      </c>
      <c r="AD136" t="s">
        <v>1782</v>
      </c>
      <c r="AE136">
        <v>400</v>
      </c>
      <c r="AF136" t="s">
        <v>299</v>
      </c>
      <c r="AG136" s="739" t="s">
        <v>8752</v>
      </c>
    </row>
    <row r="137" spans="1:33" ht="15.55" customHeight="1">
      <c r="A137" t="s">
        <v>1901</v>
      </c>
      <c r="B137" t="s">
        <v>1377</v>
      </c>
      <c r="C137" t="s">
        <v>1364</v>
      </c>
      <c r="D137" t="s">
        <v>1559</v>
      </c>
      <c r="E137" t="s">
        <v>1697</v>
      </c>
      <c r="F137">
        <v>4</v>
      </c>
      <c r="G137">
        <v>4</v>
      </c>
      <c r="H137" s="582">
        <v>0</v>
      </c>
      <c r="I137" s="582">
        <v>0</v>
      </c>
      <c r="J137" s="582">
        <v>0.5</v>
      </c>
      <c r="K137" s="582">
        <v>-0.5</v>
      </c>
      <c r="L137" s="582">
        <v>0.5</v>
      </c>
      <c r="M137" s="582">
        <v>0</v>
      </c>
      <c r="N137" s="582">
        <v>0</v>
      </c>
      <c r="O137" s="582">
        <v>0</v>
      </c>
      <c r="P137" s="582">
        <v>0</v>
      </c>
      <c r="Q137">
        <v>4</v>
      </c>
      <c r="R137">
        <v>4</v>
      </c>
      <c r="S137">
        <v>4</v>
      </c>
      <c r="T137" t="s">
        <v>1910</v>
      </c>
      <c r="U137" t="s">
        <v>1422</v>
      </c>
      <c r="V137">
        <v>0</v>
      </c>
      <c r="W137">
        <v>0</v>
      </c>
      <c r="X137">
        <v>4</v>
      </c>
      <c r="Y137" t="s">
        <v>5718</v>
      </c>
      <c r="Z137" t="s">
        <v>1927</v>
      </c>
      <c r="AA137" t="s">
        <v>1932</v>
      </c>
      <c r="AD137" t="s">
        <v>1782</v>
      </c>
      <c r="AE137">
        <v>400</v>
      </c>
      <c r="AF137" t="s">
        <v>299</v>
      </c>
      <c r="AG137" s="739" t="s">
        <v>8753</v>
      </c>
    </row>
    <row r="138" spans="1:33" ht="15.55" customHeight="1">
      <c r="A138" t="s">
        <v>1902</v>
      </c>
      <c r="B138" t="s">
        <v>1379</v>
      </c>
      <c r="C138" t="s">
        <v>1364</v>
      </c>
      <c r="D138" t="s">
        <v>1769</v>
      </c>
      <c r="E138" t="s">
        <v>1697</v>
      </c>
      <c r="F138">
        <v>5</v>
      </c>
      <c r="G138">
        <v>3</v>
      </c>
      <c r="H138" s="582">
        <v>-0.5</v>
      </c>
      <c r="I138" s="582">
        <v>0.5</v>
      </c>
      <c r="J138" s="582">
        <v>0.5</v>
      </c>
      <c r="K138" s="582">
        <v>-0.5</v>
      </c>
      <c r="L138" s="582">
        <v>0.5</v>
      </c>
      <c r="M138" s="582">
        <v>0</v>
      </c>
      <c r="N138" s="582">
        <v>-0.2</v>
      </c>
      <c r="O138" s="582">
        <v>0</v>
      </c>
      <c r="P138" s="582">
        <v>0</v>
      </c>
      <c r="Q138">
        <v>4</v>
      </c>
      <c r="R138">
        <v>4</v>
      </c>
      <c r="S138">
        <v>4</v>
      </c>
      <c r="T138" t="s">
        <v>1777</v>
      </c>
      <c r="U138" t="s">
        <v>1422</v>
      </c>
      <c r="V138">
        <v>0</v>
      </c>
      <c r="W138">
        <v>0</v>
      </c>
      <c r="X138">
        <v>4</v>
      </c>
      <c r="Z138" t="s">
        <v>1802</v>
      </c>
      <c r="AA138" t="s">
        <v>1933</v>
      </c>
      <c r="AD138" t="s">
        <v>1782</v>
      </c>
      <c r="AE138">
        <v>400</v>
      </c>
      <c r="AF138" t="s">
        <v>299</v>
      </c>
      <c r="AG138" s="739" t="s">
        <v>8754</v>
      </c>
    </row>
    <row r="139" spans="1:33" ht="15.55" customHeight="1">
      <c r="A139" t="s">
        <v>1903</v>
      </c>
      <c r="B139" t="s">
        <v>1381</v>
      </c>
      <c r="C139" t="s">
        <v>1364</v>
      </c>
      <c r="D139" t="s">
        <v>1769</v>
      </c>
      <c r="E139" t="s">
        <v>1697</v>
      </c>
      <c r="F139">
        <v>5</v>
      </c>
      <c r="G139">
        <v>3</v>
      </c>
      <c r="H139" s="582">
        <v>-0.5</v>
      </c>
      <c r="I139" s="582">
        <v>0.5</v>
      </c>
      <c r="J139" s="582">
        <v>0.5</v>
      </c>
      <c r="K139" s="582">
        <v>-0.5</v>
      </c>
      <c r="L139" s="582">
        <v>0.5</v>
      </c>
      <c r="M139" s="582">
        <v>0</v>
      </c>
      <c r="N139" s="582">
        <v>-0.2</v>
      </c>
      <c r="O139" s="582">
        <v>0</v>
      </c>
      <c r="P139" s="582">
        <v>0</v>
      </c>
      <c r="Q139">
        <v>4</v>
      </c>
      <c r="R139">
        <v>4</v>
      </c>
      <c r="S139">
        <v>4</v>
      </c>
      <c r="T139" t="s">
        <v>1911</v>
      </c>
      <c r="U139" t="s">
        <v>1422</v>
      </c>
      <c r="V139">
        <v>0</v>
      </c>
      <c r="W139">
        <v>0</v>
      </c>
      <c r="X139">
        <v>4</v>
      </c>
      <c r="AA139" t="s">
        <v>1934</v>
      </c>
      <c r="AD139" t="s">
        <v>1782</v>
      </c>
      <c r="AE139">
        <v>400</v>
      </c>
      <c r="AF139" t="s">
        <v>299</v>
      </c>
      <c r="AG139" s="739" t="s">
        <v>8755</v>
      </c>
    </row>
    <row r="140" spans="1:33" ht="15.55" customHeight="1">
      <c r="A140" t="s">
        <v>1904</v>
      </c>
      <c r="B140" t="s">
        <v>1383</v>
      </c>
      <c r="C140" t="s">
        <v>1364</v>
      </c>
      <c r="D140" t="s">
        <v>1818</v>
      </c>
      <c r="E140" t="s">
        <v>2028</v>
      </c>
      <c r="F140">
        <v>-5</v>
      </c>
      <c r="G140">
        <v>-5</v>
      </c>
      <c r="H140" s="582">
        <v>-0.5</v>
      </c>
      <c r="I140" s="582">
        <v>-0.5</v>
      </c>
      <c r="J140" s="582">
        <v>-0.5</v>
      </c>
      <c r="K140" s="582">
        <v>-0.5</v>
      </c>
      <c r="L140" s="582">
        <v>-0.5</v>
      </c>
      <c r="M140" s="582">
        <v>-0.5</v>
      </c>
      <c r="N140" s="582">
        <v>-0.5</v>
      </c>
      <c r="O140" s="582">
        <v>-0.5</v>
      </c>
      <c r="P140" s="582">
        <v>-0.5</v>
      </c>
      <c r="Q140">
        <v>0</v>
      </c>
      <c r="R140">
        <v>0</v>
      </c>
      <c r="S140">
        <v>0</v>
      </c>
      <c r="U140" t="s">
        <v>1422</v>
      </c>
      <c r="V140">
        <v>0</v>
      </c>
      <c r="W140">
        <v>0</v>
      </c>
      <c r="X140">
        <v>4</v>
      </c>
      <c r="Y140" t="s">
        <v>1920</v>
      </c>
      <c r="Z140" t="s">
        <v>1928</v>
      </c>
      <c r="AA140" t="s">
        <v>1935</v>
      </c>
      <c r="AD140" t="s">
        <v>1782</v>
      </c>
      <c r="AE140">
        <v>400</v>
      </c>
      <c r="AF140" t="s">
        <v>299</v>
      </c>
      <c r="AG140" s="739" t="s">
        <v>8756</v>
      </c>
    </row>
    <row r="141" spans="1:33" ht="15.55" customHeight="1">
      <c r="A141" t="s">
        <v>1905</v>
      </c>
      <c r="B141" t="s">
        <v>1385</v>
      </c>
      <c r="C141" t="s">
        <v>1364</v>
      </c>
      <c r="D141" t="s">
        <v>1907</v>
      </c>
      <c r="E141" t="s">
        <v>1769</v>
      </c>
      <c r="F141">
        <v>2</v>
      </c>
      <c r="G141">
        <v>2</v>
      </c>
      <c r="H141" s="582">
        <v>1</v>
      </c>
      <c r="I141" s="582">
        <v>-0.5</v>
      </c>
      <c r="J141" s="582">
        <v>0</v>
      </c>
      <c r="K141" s="582">
        <v>0</v>
      </c>
      <c r="L141" s="582">
        <v>0</v>
      </c>
      <c r="M141" s="582">
        <v>0</v>
      </c>
      <c r="N141" s="582">
        <v>0.5</v>
      </c>
      <c r="O141" s="582">
        <v>0</v>
      </c>
      <c r="P141" s="582">
        <v>0</v>
      </c>
      <c r="Q141">
        <v>4</v>
      </c>
      <c r="R141">
        <v>4</v>
      </c>
      <c r="S141">
        <v>4</v>
      </c>
      <c r="T141" t="s">
        <v>1912</v>
      </c>
      <c r="U141" t="s">
        <v>1422</v>
      </c>
      <c r="V141">
        <v>0</v>
      </c>
      <c r="W141">
        <v>0</v>
      </c>
      <c r="X141">
        <v>4</v>
      </c>
      <c r="Y141" t="s">
        <v>1921</v>
      </c>
      <c r="Z141" t="s">
        <v>1929</v>
      </c>
      <c r="AA141" t="s">
        <v>1936</v>
      </c>
      <c r="AD141" t="s">
        <v>1782</v>
      </c>
      <c r="AE141">
        <v>400</v>
      </c>
      <c r="AF141" t="s">
        <v>299</v>
      </c>
      <c r="AG141" s="738" t="s">
        <v>1252</v>
      </c>
    </row>
    <row r="142" spans="1:33" ht="15.55" customHeight="1">
      <c r="A142" t="s">
        <v>1938</v>
      </c>
      <c r="B142" s="703" t="s">
        <v>2465</v>
      </c>
      <c r="C142" t="s">
        <v>1370</v>
      </c>
      <c r="D142" t="s">
        <v>1559</v>
      </c>
      <c r="E142" t="s">
        <v>1697</v>
      </c>
      <c r="F142">
        <v>-5</v>
      </c>
      <c r="G142">
        <v>5</v>
      </c>
      <c r="H142" s="582">
        <v>-0.2</v>
      </c>
      <c r="I142" s="582">
        <v>-0.2</v>
      </c>
      <c r="J142" s="582">
        <v>-0.2</v>
      </c>
      <c r="K142" s="582">
        <v>-0.2</v>
      </c>
      <c r="L142" s="582">
        <v>-0.2</v>
      </c>
      <c r="M142" s="582">
        <v>-0.2</v>
      </c>
      <c r="N142" s="582">
        <v>-0.2</v>
      </c>
      <c r="O142" s="582">
        <v>-0.2</v>
      </c>
      <c r="P142" s="582">
        <v>-0.2</v>
      </c>
      <c r="Q142">
        <v>4</v>
      </c>
      <c r="R142">
        <v>4</v>
      </c>
      <c r="S142">
        <v>4</v>
      </c>
      <c r="T142" t="s">
        <v>1949</v>
      </c>
      <c r="U142" t="s">
        <v>1422</v>
      </c>
      <c r="V142">
        <v>0</v>
      </c>
      <c r="W142">
        <v>0</v>
      </c>
      <c r="X142">
        <v>4</v>
      </c>
      <c r="Y142" t="s">
        <v>1569</v>
      </c>
      <c r="Z142" t="s">
        <v>1970</v>
      </c>
      <c r="AA142" t="s">
        <v>1981</v>
      </c>
      <c r="AD142" t="s">
        <v>1829</v>
      </c>
      <c r="AE142">
        <v>400</v>
      </c>
      <c r="AF142" t="s">
        <v>299</v>
      </c>
      <c r="AG142" s="738" t="s">
        <v>8757</v>
      </c>
    </row>
    <row r="143" spans="1:33" ht="15.55" customHeight="1">
      <c r="A143" t="s">
        <v>1939</v>
      </c>
      <c r="B143" t="s">
        <v>1367</v>
      </c>
      <c r="C143" t="s">
        <v>1370</v>
      </c>
      <c r="D143" t="s">
        <v>1559</v>
      </c>
      <c r="E143" t="s">
        <v>1697</v>
      </c>
      <c r="F143">
        <v>-5</v>
      </c>
      <c r="G143">
        <v>0</v>
      </c>
      <c r="H143" s="582">
        <v>-0.2</v>
      </c>
      <c r="I143" s="582">
        <v>-0.2</v>
      </c>
      <c r="J143" s="582">
        <v>-0.2</v>
      </c>
      <c r="K143" s="582">
        <v>-0.2</v>
      </c>
      <c r="L143" s="582">
        <v>-0.2</v>
      </c>
      <c r="M143" s="582">
        <v>-0.2</v>
      </c>
      <c r="N143" s="582">
        <v>-0.2</v>
      </c>
      <c r="O143" s="582">
        <v>-1</v>
      </c>
      <c r="P143" s="582">
        <v>1</v>
      </c>
      <c r="Q143">
        <v>4</v>
      </c>
      <c r="R143">
        <v>4</v>
      </c>
      <c r="S143">
        <v>4</v>
      </c>
      <c r="T143" t="s">
        <v>1950</v>
      </c>
      <c r="U143" t="s">
        <v>1422</v>
      </c>
      <c r="V143">
        <v>0</v>
      </c>
      <c r="W143">
        <v>0</v>
      </c>
      <c r="X143">
        <v>4</v>
      </c>
      <c r="Y143" t="s">
        <v>1569</v>
      </c>
      <c r="Z143" t="s">
        <v>1971</v>
      </c>
      <c r="AA143" t="s">
        <v>1982</v>
      </c>
      <c r="AD143" t="s">
        <v>1960</v>
      </c>
      <c r="AE143">
        <v>400</v>
      </c>
      <c r="AF143" t="s">
        <v>299</v>
      </c>
      <c r="AG143" s="739" t="s">
        <v>8758</v>
      </c>
    </row>
    <row r="144" spans="1:33" ht="15.55" customHeight="1">
      <c r="A144" t="s">
        <v>1940</v>
      </c>
      <c r="B144" t="s">
        <v>1369</v>
      </c>
      <c r="C144" t="s">
        <v>1370</v>
      </c>
      <c r="D144" t="s">
        <v>1559</v>
      </c>
      <c r="E144" t="s">
        <v>1697</v>
      </c>
      <c r="F144">
        <v>-5</v>
      </c>
      <c r="G144">
        <v>0</v>
      </c>
      <c r="H144" s="582">
        <v>-0.2</v>
      </c>
      <c r="I144" s="582">
        <v>-0.2</v>
      </c>
      <c r="J144" s="582">
        <v>-1</v>
      </c>
      <c r="K144" s="582">
        <v>1</v>
      </c>
      <c r="L144" s="582">
        <v>-0.2</v>
      </c>
      <c r="M144" s="582">
        <v>-0.2</v>
      </c>
      <c r="N144" s="582">
        <v>-0.2</v>
      </c>
      <c r="O144" s="582">
        <v>-0.2</v>
      </c>
      <c r="P144" s="582">
        <v>-0.2</v>
      </c>
      <c r="Q144">
        <v>4</v>
      </c>
      <c r="R144">
        <v>4</v>
      </c>
      <c r="S144">
        <v>4</v>
      </c>
      <c r="T144" t="s">
        <v>1951</v>
      </c>
      <c r="U144" t="s">
        <v>1422</v>
      </c>
      <c r="V144">
        <v>0</v>
      </c>
      <c r="W144">
        <v>0</v>
      </c>
      <c r="X144">
        <v>4</v>
      </c>
      <c r="Y144" t="s">
        <v>633</v>
      </c>
      <c r="Z144" t="s">
        <v>1972</v>
      </c>
      <c r="AA144" t="s">
        <v>1983</v>
      </c>
      <c r="AD144" t="s">
        <v>5719</v>
      </c>
      <c r="AE144">
        <v>400</v>
      </c>
      <c r="AF144" t="s">
        <v>299</v>
      </c>
      <c r="AG144" s="739" t="s">
        <v>8759</v>
      </c>
    </row>
    <row r="145" spans="1:33" ht="15.55" customHeight="1">
      <c r="A145" t="s">
        <v>1941</v>
      </c>
      <c r="B145" t="s">
        <v>1371</v>
      </c>
      <c r="C145" t="s">
        <v>1370</v>
      </c>
      <c r="D145" t="s">
        <v>1559</v>
      </c>
      <c r="E145" t="s">
        <v>1697</v>
      </c>
      <c r="F145">
        <v>-5</v>
      </c>
      <c r="G145">
        <v>0</v>
      </c>
      <c r="H145" s="582">
        <v>-0.2</v>
      </c>
      <c r="I145" s="582">
        <v>-0.2</v>
      </c>
      <c r="J145" s="582">
        <v>-0.2</v>
      </c>
      <c r="K145" s="582">
        <v>-0.2</v>
      </c>
      <c r="L145" s="582">
        <v>-0.2</v>
      </c>
      <c r="M145" s="582">
        <v>-1</v>
      </c>
      <c r="N145" s="582">
        <v>1</v>
      </c>
      <c r="O145" s="582">
        <v>-0.2</v>
      </c>
      <c r="P145" s="582">
        <v>-0.2</v>
      </c>
      <c r="Q145">
        <v>4</v>
      </c>
      <c r="R145">
        <v>4</v>
      </c>
      <c r="S145">
        <v>4</v>
      </c>
      <c r="T145" t="s">
        <v>1952</v>
      </c>
      <c r="U145" t="s">
        <v>1422</v>
      </c>
      <c r="V145">
        <v>0</v>
      </c>
      <c r="W145">
        <v>0</v>
      </c>
      <c r="X145">
        <v>4</v>
      </c>
      <c r="Y145" t="s">
        <v>633</v>
      </c>
      <c r="Z145" t="s">
        <v>1973</v>
      </c>
      <c r="AA145" t="s">
        <v>1984</v>
      </c>
      <c r="AD145" t="s">
        <v>5720</v>
      </c>
      <c r="AE145">
        <v>400</v>
      </c>
      <c r="AF145" t="s">
        <v>299</v>
      </c>
      <c r="AG145" s="739" t="s">
        <v>8760</v>
      </c>
    </row>
    <row r="146" spans="1:33" ht="15.55" customHeight="1">
      <c r="A146" t="s">
        <v>1942</v>
      </c>
      <c r="B146" t="s">
        <v>1374</v>
      </c>
      <c r="C146" t="s">
        <v>1370</v>
      </c>
      <c r="D146" t="s">
        <v>1559</v>
      </c>
      <c r="E146" t="s">
        <v>1697</v>
      </c>
      <c r="F146">
        <v>-5</v>
      </c>
      <c r="G146">
        <v>0</v>
      </c>
      <c r="H146" s="582">
        <v>-0.2</v>
      </c>
      <c r="I146" s="582">
        <v>-0.2</v>
      </c>
      <c r="J146" s="582">
        <v>-0.2</v>
      </c>
      <c r="K146" s="582">
        <v>-0.2</v>
      </c>
      <c r="L146" s="582">
        <v>1</v>
      </c>
      <c r="M146" s="582">
        <v>-0.2</v>
      </c>
      <c r="N146" s="582">
        <v>-1</v>
      </c>
      <c r="O146" s="582">
        <v>-0.2</v>
      </c>
      <c r="P146" s="582">
        <v>-0.2</v>
      </c>
      <c r="Q146">
        <v>4</v>
      </c>
      <c r="R146">
        <v>4</v>
      </c>
      <c r="S146">
        <v>4</v>
      </c>
      <c r="T146" t="s">
        <v>1953</v>
      </c>
      <c r="U146" t="s">
        <v>1422</v>
      </c>
      <c r="V146">
        <v>0</v>
      </c>
      <c r="W146">
        <v>0</v>
      </c>
      <c r="X146">
        <v>4</v>
      </c>
      <c r="Y146" t="s">
        <v>633</v>
      </c>
      <c r="Z146" t="s">
        <v>1974</v>
      </c>
      <c r="AA146" t="s">
        <v>1985</v>
      </c>
      <c r="AD146" t="s">
        <v>5721</v>
      </c>
      <c r="AE146">
        <v>400</v>
      </c>
      <c r="AF146" t="s">
        <v>299</v>
      </c>
      <c r="AG146" s="739" t="s">
        <v>8761</v>
      </c>
    </row>
    <row r="147" spans="1:33" ht="15.55" customHeight="1">
      <c r="A147" t="s">
        <v>1943</v>
      </c>
      <c r="B147" t="s">
        <v>1377</v>
      </c>
      <c r="C147" t="s">
        <v>1370</v>
      </c>
      <c r="D147" t="s">
        <v>1559</v>
      </c>
      <c r="E147" t="s">
        <v>1697</v>
      </c>
      <c r="F147">
        <v>-5</v>
      </c>
      <c r="G147">
        <v>0</v>
      </c>
      <c r="H147" s="582">
        <v>-0.2</v>
      </c>
      <c r="I147" s="582">
        <v>-0.2</v>
      </c>
      <c r="J147" s="582">
        <v>-0.2</v>
      </c>
      <c r="K147" s="582">
        <v>-0.2</v>
      </c>
      <c r="L147" s="582">
        <v>-0.2</v>
      </c>
      <c r="M147" s="582">
        <v>-0.2</v>
      </c>
      <c r="N147" s="582">
        <v>-0.2</v>
      </c>
      <c r="O147" s="582">
        <v>1</v>
      </c>
      <c r="P147" s="582">
        <v>-1</v>
      </c>
      <c r="Q147">
        <v>4</v>
      </c>
      <c r="R147">
        <v>4</v>
      </c>
      <c r="S147">
        <v>4</v>
      </c>
      <c r="T147" t="s">
        <v>1954</v>
      </c>
      <c r="U147" t="s">
        <v>1422</v>
      </c>
      <c r="V147">
        <v>0</v>
      </c>
      <c r="W147">
        <v>0</v>
      </c>
      <c r="X147">
        <v>4</v>
      </c>
      <c r="Y147" t="s">
        <v>633</v>
      </c>
      <c r="Z147" t="s">
        <v>1975</v>
      </c>
      <c r="AA147" t="s">
        <v>1986</v>
      </c>
      <c r="AD147" t="s">
        <v>1964</v>
      </c>
      <c r="AE147">
        <v>400</v>
      </c>
      <c r="AF147" t="s">
        <v>299</v>
      </c>
      <c r="AG147" s="739" t="s">
        <v>8762</v>
      </c>
    </row>
    <row r="148" spans="1:33" ht="15.55" customHeight="1">
      <c r="A148" t="s">
        <v>1944</v>
      </c>
      <c r="B148" t="s">
        <v>1379</v>
      </c>
      <c r="C148" t="s">
        <v>1370</v>
      </c>
      <c r="D148" t="s">
        <v>1559</v>
      </c>
      <c r="E148" t="s">
        <v>1697</v>
      </c>
      <c r="F148">
        <v>-5</v>
      </c>
      <c r="G148">
        <v>0</v>
      </c>
      <c r="H148" s="582">
        <v>-0.2</v>
      </c>
      <c r="I148" s="582">
        <v>-0.2</v>
      </c>
      <c r="J148" s="582">
        <v>1</v>
      </c>
      <c r="K148" s="582">
        <v>-1</v>
      </c>
      <c r="L148" s="582">
        <v>-0.2</v>
      </c>
      <c r="M148" s="582">
        <v>-0.2</v>
      </c>
      <c r="N148" s="582">
        <v>-0.2</v>
      </c>
      <c r="O148" s="582">
        <v>-0.2</v>
      </c>
      <c r="P148" s="582">
        <v>-0.2</v>
      </c>
      <c r="Q148">
        <v>4</v>
      </c>
      <c r="R148">
        <v>4</v>
      </c>
      <c r="S148">
        <v>4</v>
      </c>
      <c r="T148" t="s">
        <v>1955</v>
      </c>
      <c r="U148" t="s">
        <v>1422</v>
      </c>
      <c r="V148">
        <v>0</v>
      </c>
      <c r="W148">
        <v>0</v>
      </c>
      <c r="X148">
        <v>4</v>
      </c>
      <c r="Y148" t="s">
        <v>633</v>
      </c>
      <c r="Z148" t="s">
        <v>1976</v>
      </c>
      <c r="AA148" t="s">
        <v>1987</v>
      </c>
      <c r="AD148" t="s">
        <v>5722</v>
      </c>
      <c r="AE148">
        <v>400</v>
      </c>
      <c r="AF148" t="s">
        <v>299</v>
      </c>
      <c r="AG148" s="739" t="s">
        <v>8763</v>
      </c>
    </row>
    <row r="149" spans="1:33" ht="15.55" customHeight="1">
      <c r="A149" t="s">
        <v>1945</v>
      </c>
      <c r="B149" t="s">
        <v>1381</v>
      </c>
      <c r="C149" t="s">
        <v>1370</v>
      </c>
      <c r="D149" t="s">
        <v>1559</v>
      </c>
      <c r="E149" t="s">
        <v>1697</v>
      </c>
      <c r="F149">
        <v>-5</v>
      </c>
      <c r="G149">
        <v>0</v>
      </c>
      <c r="H149" s="582">
        <v>-0.2</v>
      </c>
      <c r="I149" s="582">
        <v>-0.2</v>
      </c>
      <c r="J149" s="582">
        <v>-0.2</v>
      </c>
      <c r="K149" s="582">
        <v>-0.2</v>
      </c>
      <c r="L149" s="582">
        <v>-1</v>
      </c>
      <c r="M149" s="582">
        <v>1</v>
      </c>
      <c r="N149" s="582">
        <v>-0.2</v>
      </c>
      <c r="O149" s="582">
        <v>-0.2</v>
      </c>
      <c r="P149" s="582">
        <v>-0.2</v>
      </c>
      <c r="Q149">
        <v>4</v>
      </c>
      <c r="R149">
        <v>4</v>
      </c>
      <c r="S149">
        <v>4</v>
      </c>
      <c r="T149" t="s">
        <v>1956</v>
      </c>
      <c r="U149" t="s">
        <v>1422</v>
      </c>
      <c r="V149">
        <v>0</v>
      </c>
      <c r="W149">
        <v>0</v>
      </c>
      <c r="X149">
        <v>4</v>
      </c>
      <c r="Y149" t="s">
        <v>633</v>
      </c>
      <c r="Z149" t="s">
        <v>1977</v>
      </c>
      <c r="AA149" t="s">
        <v>1988</v>
      </c>
      <c r="AD149" t="s">
        <v>5723</v>
      </c>
      <c r="AE149">
        <v>400</v>
      </c>
      <c r="AF149" t="s">
        <v>299</v>
      </c>
      <c r="AG149" s="739" t="s">
        <v>8764</v>
      </c>
    </row>
    <row r="150" spans="1:33" ht="15.55" customHeight="1">
      <c r="A150" t="s">
        <v>1946</v>
      </c>
      <c r="B150" t="s">
        <v>1383</v>
      </c>
      <c r="C150" t="s">
        <v>1370</v>
      </c>
      <c r="D150" t="s">
        <v>1559</v>
      </c>
      <c r="E150" t="s">
        <v>1697</v>
      </c>
      <c r="F150">
        <v>-5</v>
      </c>
      <c r="G150">
        <v>0</v>
      </c>
      <c r="H150" s="582">
        <v>-1</v>
      </c>
      <c r="I150" s="582">
        <v>1</v>
      </c>
      <c r="J150" s="582">
        <v>-0.2</v>
      </c>
      <c r="K150" s="582">
        <v>-0.2</v>
      </c>
      <c r="L150" s="582">
        <v>-0.2</v>
      </c>
      <c r="M150" s="582">
        <v>-0.2</v>
      </c>
      <c r="N150" s="582">
        <v>-0.2</v>
      </c>
      <c r="O150" s="582">
        <v>-0.2</v>
      </c>
      <c r="P150" s="582">
        <v>-0.2</v>
      </c>
      <c r="Q150">
        <v>4</v>
      </c>
      <c r="R150">
        <v>4</v>
      </c>
      <c r="S150">
        <v>4</v>
      </c>
      <c r="T150" t="s">
        <v>1957</v>
      </c>
      <c r="U150" t="s">
        <v>1422</v>
      </c>
      <c r="V150">
        <v>0</v>
      </c>
      <c r="W150">
        <v>0</v>
      </c>
      <c r="X150">
        <v>4</v>
      </c>
      <c r="Y150" t="s">
        <v>633</v>
      </c>
      <c r="Z150" t="s">
        <v>1978</v>
      </c>
      <c r="AA150" t="s">
        <v>1989</v>
      </c>
      <c r="AD150" t="s">
        <v>5724</v>
      </c>
      <c r="AE150">
        <v>400</v>
      </c>
      <c r="AF150" t="s">
        <v>299</v>
      </c>
      <c r="AG150" s="739" t="s">
        <v>8765</v>
      </c>
    </row>
    <row r="151" spans="1:33" ht="15.55" customHeight="1">
      <c r="A151" t="s">
        <v>1947</v>
      </c>
      <c r="B151" t="s">
        <v>1385</v>
      </c>
      <c r="C151" t="s">
        <v>1370</v>
      </c>
      <c r="D151" t="s">
        <v>1559</v>
      </c>
      <c r="E151" t="s">
        <v>1697</v>
      </c>
      <c r="F151">
        <v>-5</v>
      </c>
      <c r="G151">
        <v>0</v>
      </c>
      <c r="H151" s="582">
        <v>1</v>
      </c>
      <c r="I151" s="582">
        <v>-1</v>
      </c>
      <c r="J151" s="582">
        <v>-0.2</v>
      </c>
      <c r="K151" s="582">
        <v>-0.2</v>
      </c>
      <c r="L151" s="582">
        <v>-0.2</v>
      </c>
      <c r="M151" s="582">
        <v>-0.2</v>
      </c>
      <c r="N151" s="582">
        <v>-0.2</v>
      </c>
      <c r="O151" s="582">
        <v>-0.2</v>
      </c>
      <c r="P151" s="582">
        <v>-0.2</v>
      </c>
      <c r="Q151">
        <v>4</v>
      </c>
      <c r="R151">
        <v>4</v>
      </c>
      <c r="S151">
        <v>4</v>
      </c>
      <c r="T151" t="s">
        <v>1958</v>
      </c>
      <c r="U151" t="s">
        <v>1422</v>
      </c>
      <c r="V151">
        <v>0</v>
      </c>
      <c r="W151">
        <v>0</v>
      </c>
      <c r="X151">
        <v>4</v>
      </c>
      <c r="Y151" t="s">
        <v>633</v>
      </c>
      <c r="Z151" t="s">
        <v>1979</v>
      </c>
      <c r="AA151" t="s">
        <v>1990</v>
      </c>
      <c r="AD151" t="s">
        <v>5725</v>
      </c>
      <c r="AE151">
        <v>400</v>
      </c>
      <c r="AF151" t="s">
        <v>299</v>
      </c>
      <c r="AG151" s="739" t="s">
        <v>8766</v>
      </c>
    </row>
    <row r="152" spans="1:33" ht="15.55" customHeight="1">
      <c r="A152" t="s">
        <v>1992</v>
      </c>
      <c r="B152" s="703" t="s">
        <v>2465</v>
      </c>
      <c r="C152" t="s">
        <v>1376</v>
      </c>
      <c r="D152" t="s">
        <v>1697</v>
      </c>
      <c r="E152" t="s">
        <v>1697</v>
      </c>
      <c r="F152">
        <v>4</v>
      </c>
      <c r="G152">
        <v>4</v>
      </c>
      <c r="H152" s="582">
        <v>0</v>
      </c>
      <c r="I152" s="582">
        <v>0</v>
      </c>
      <c r="J152" s="582">
        <v>0</v>
      </c>
      <c r="K152" s="582">
        <v>0</v>
      </c>
      <c r="L152" s="582">
        <v>0</v>
      </c>
      <c r="M152" s="582">
        <v>0</v>
      </c>
      <c r="N152" s="582">
        <v>0</v>
      </c>
      <c r="O152" s="582">
        <v>0</v>
      </c>
      <c r="P152" s="582">
        <v>0</v>
      </c>
      <c r="Q152">
        <v>4</v>
      </c>
      <c r="R152">
        <v>4</v>
      </c>
      <c r="S152">
        <v>4</v>
      </c>
      <c r="T152" t="s">
        <v>2015</v>
      </c>
      <c r="U152" t="s">
        <v>1422</v>
      </c>
      <c r="V152">
        <v>0</v>
      </c>
      <c r="W152">
        <v>0</v>
      </c>
      <c r="X152">
        <v>5</v>
      </c>
      <c r="Y152" t="s">
        <v>2040</v>
      </c>
      <c r="Z152" t="s">
        <v>2056</v>
      </c>
      <c r="AA152" t="s">
        <v>2072</v>
      </c>
      <c r="AD152" t="s">
        <v>5726</v>
      </c>
      <c r="AE152">
        <v>600</v>
      </c>
      <c r="AF152" s="579" t="s">
        <v>5727</v>
      </c>
      <c r="AG152" s="738" t="s">
        <v>8767</v>
      </c>
    </row>
    <row r="153" spans="1:33" ht="15.55" customHeight="1">
      <c r="A153" t="s">
        <v>1993</v>
      </c>
      <c r="B153" t="s">
        <v>1367</v>
      </c>
      <c r="C153" t="s">
        <v>1366</v>
      </c>
      <c r="D153" t="s">
        <v>1769</v>
      </c>
      <c r="E153" t="s">
        <v>1697</v>
      </c>
      <c r="F153">
        <v>5</v>
      </c>
      <c r="G153">
        <v>5</v>
      </c>
      <c r="H153" s="582">
        <v>-0.5</v>
      </c>
      <c r="I153" s="582">
        <v>0.5</v>
      </c>
      <c r="J153" s="582">
        <v>0</v>
      </c>
      <c r="K153" s="582">
        <v>0</v>
      </c>
      <c r="L153" s="582">
        <v>0</v>
      </c>
      <c r="M153" s="582">
        <v>0.5</v>
      </c>
      <c r="N153" s="582">
        <v>0</v>
      </c>
      <c r="O153" s="582">
        <v>0</v>
      </c>
      <c r="P153" s="582">
        <v>0</v>
      </c>
      <c r="Q153">
        <v>4</v>
      </c>
      <c r="R153">
        <v>4</v>
      </c>
      <c r="S153">
        <v>4</v>
      </c>
      <c r="T153" t="s">
        <v>2016</v>
      </c>
      <c r="U153" t="s">
        <v>1422</v>
      </c>
      <c r="V153">
        <v>0</v>
      </c>
      <c r="W153">
        <v>0</v>
      </c>
      <c r="X153">
        <v>5</v>
      </c>
      <c r="Y153" t="s">
        <v>2041</v>
      </c>
      <c r="Z153" t="s">
        <v>2057</v>
      </c>
      <c r="AD153" t="s">
        <v>5728</v>
      </c>
      <c r="AE153">
        <v>600</v>
      </c>
      <c r="AF153" s="579" t="s">
        <v>5727</v>
      </c>
      <c r="AG153" s="738" t="s">
        <v>8768</v>
      </c>
    </row>
    <row r="154" spans="1:33" ht="15.55" customHeight="1">
      <c r="A154" t="s">
        <v>1994</v>
      </c>
      <c r="B154" t="s">
        <v>1369</v>
      </c>
      <c r="C154" t="s">
        <v>1376</v>
      </c>
      <c r="D154" t="s">
        <v>1769</v>
      </c>
      <c r="E154" t="s">
        <v>2028</v>
      </c>
      <c r="F154">
        <v>3</v>
      </c>
      <c r="G154">
        <v>3</v>
      </c>
      <c r="H154" s="582">
        <v>0</v>
      </c>
      <c r="I154" s="582">
        <v>0</v>
      </c>
      <c r="J154" s="582">
        <v>0</v>
      </c>
      <c r="K154" s="582">
        <v>0</v>
      </c>
      <c r="L154" s="582">
        <v>0</v>
      </c>
      <c r="M154" s="582">
        <v>0</v>
      </c>
      <c r="N154" s="582">
        <v>0</v>
      </c>
      <c r="O154" s="582">
        <v>0</v>
      </c>
      <c r="P154" s="582">
        <v>0</v>
      </c>
      <c r="Q154">
        <v>4</v>
      </c>
      <c r="R154">
        <v>4</v>
      </c>
      <c r="S154">
        <v>4</v>
      </c>
      <c r="T154" t="s">
        <v>2017</v>
      </c>
      <c r="U154" t="s">
        <v>1422</v>
      </c>
      <c r="V154">
        <v>0</v>
      </c>
      <c r="W154">
        <v>0</v>
      </c>
      <c r="X154">
        <v>5</v>
      </c>
      <c r="Z154" t="s">
        <v>2058</v>
      </c>
      <c r="AA154" t="s">
        <v>2073</v>
      </c>
      <c r="AD154" t="s">
        <v>5729</v>
      </c>
      <c r="AE154">
        <v>600</v>
      </c>
      <c r="AF154" s="579" t="s">
        <v>5727</v>
      </c>
      <c r="AG154" s="738" t="s">
        <v>8769</v>
      </c>
    </row>
    <row r="155" spans="1:33" ht="15.55" customHeight="1">
      <c r="A155" t="s">
        <v>1995</v>
      </c>
      <c r="B155" t="s">
        <v>1371</v>
      </c>
      <c r="C155" t="s">
        <v>1368</v>
      </c>
      <c r="D155" t="s">
        <v>2011</v>
      </c>
      <c r="E155" t="s">
        <v>1697</v>
      </c>
      <c r="F155">
        <v>3</v>
      </c>
      <c r="G155">
        <v>3</v>
      </c>
      <c r="H155" s="582">
        <v>-2</v>
      </c>
      <c r="I155" s="582">
        <v>0.5</v>
      </c>
      <c r="J155" s="582">
        <v>-0.1</v>
      </c>
      <c r="K155" s="582">
        <v>0.5</v>
      </c>
      <c r="L155" s="582">
        <v>0.5</v>
      </c>
      <c r="M155" s="582">
        <v>-0.1</v>
      </c>
      <c r="N155" s="582">
        <v>0.5</v>
      </c>
      <c r="O155" s="582">
        <v>0</v>
      </c>
      <c r="P155" s="582">
        <v>0</v>
      </c>
      <c r="Q155">
        <v>4</v>
      </c>
      <c r="R155">
        <v>4</v>
      </c>
      <c r="S155">
        <v>4</v>
      </c>
      <c r="U155" t="s">
        <v>1422</v>
      </c>
      <c r="V155">
        <v>0</v>
      </c>
      <c r="W155">
        <v>0</v>
      </c>
      <c r="X155">
        <v>5</v>
      </c>
      <c r="Y155" t="s">
        <v>2042</v>
      </c>
      <c r="Z155" t="s">
        <v>2059</v>
      </c>
      <c r="AD155" t="s">
        <v>5730</v>
      </c>
      <c r="AE155">
        <v>600</v>
      </c>
      <c r="AF155" s="579" t="s">
        <v>5727</v>
      </c>
      <c r="AG155" s="738" t="s">
        <v>8711</v>
      </c>
    </row>
    <row r="156" spans="1:33" ht="15.55" customHeight="1">
      <c r="A156" t="s">
        <v>1996</v>
      </c>
      <c r="B156" t="s">
        <v>1374</v>
      </c>
      <c r="C156" t="s">
        <v>1376</v>
      </c>
      <c r="D156" t="s">
        <v>2011</v>
      </c>
      <c r="E156" t="s">
        <v>2028</v>
      </c>
      <c r="F156">
        <v>3</v>
      </c>
      <c r="G156">
        <v>3</v>
      </c>
      <c r="H156" s="582">
        <v>0</v>
      </c>
      <c r="I156" s="582">
        <v>0</v>
      </c>
      <c r="J156" s="582">
        <v>0</v>
      </c>
      <c r="K156" s="582">
        <v>0</v>
      </c>
      <c r="L156" s="582">
        <v>0</v>
      </c>
      <c r="M156" s="582">
        <v>0</v>
      </c>
      <c r="N156" s="582">
        <v>0</v>
      </c>
      <c r="O156" s="582">
        <v>0</v>
      </c>
      <c r="P156" s="582">
        <v>0</v>
      </c>
      <c r="Q156">
        <v>4</v>
      </c>
      <c r="R156">
        <v>4</v>
      </c>
      <c r="S156">
        <v>4</v>
      </c>
      <c r="T156" t="s">
        <v>2018</v>
      </c>
      <c r="U156" t="s">
        <v>1422</v>
      </c>
      <c r="V156">
        <v>0</v>
      </c>
      <c r="W156">
        <v>0</v>
      </c>
      <c r="X156">
        <v>5</v>
      </c>
      <c r="Y156" t="s">
        <v>2043</v>
      </c>
      <c r="Z156" t="s">
        <v>2060</v>
      </c>
      <c r="AA156" t="s">
        <v>2074</v>
      </c>
      <c r="AD156" t="s">
        <v>5731</v>
      </c>
      <c r="AE156">
        <v>600</v>
      </c>
      <c r="AF156" s="579" t="s">
        <v>5727</v>
      </c>
      <c r="AG156" s="738" t="s">
        <v>8770</v>
      </c>
    </row>
    <row r="157" spans="1:33" ht="15.55" customHeight="1">
      <c r="A157" t="s">
        <v>1997</v>
      </c>
      <c r="B157" t="s">
        <v>1377</v>
      </c>
      <c r="C157" t="s">
        <v>1364</v>
      </c>
      <c r="D157" t="s">
        <v>2011</v>
      </c>
      <c r="E157" t="s">
        <v>1697</v>
      </c>
      <c r="F157">
        <v>3</v>
      </c>
      <c r="G157">
        <v>3</v>
      </c>
      <c r="H157" s="582">
        <v>0</v>
      </c>
      <c r="I157" s="582">
        <v>0</v>
      </c>
      <c r="J157" s="582">
        <v>0</v>
      </c>
      <c r="K157" s="582">
        <v>0</v>
      </c>
      <c r="L157" s="582">
        <v>0</v>
      </c>
      <c r="M157" s="582">
        <v>0</v>
      </c>
      <c r="N157" s="582">
        <v>0</v>
      </c>
      <c r="O157" s="582">
        <v>0</v>
      </c>
      <c r="P157" s="582">
        <v>0</v>
      </c>
      <c r="Q157">
        <v>4</v>
      </c>
      <c r="R157">
        <v>4</v>
      </c>
      <c r="S157">
        <v>4</v>
      </c>
      <c r="U157" t="s">
        <v>1422</v>
      </c>
      <c r="V157">
        <v>0</v>
      </c>
      <c r="W157">
        <v>0</v>
      </c>
      <c r="X157">
        <v>5</v>
      </c>
      <c r="Y157" t="s">
        <v>2044</v>
      </c>
      <c r="Z157" t="s">
        <v>2061</v>
      </c>
      <c r="AA157" t="s">
        <v>2075</v>
      </c>
      <c r="AD157" t="s">
        <v>5732</v>
      </c>
      <c r="AE157">
        <v>600</v>
      </c>
      <c r="AF157" s="579" t="s">
        <v>5727</v>
      </c>
      <c r="AG157" s="738" t="s">
        <v>8771</v>
      </c>
    </row>
    <row r="158" spans="1:33" ht="15.55" customHeight="1">
      <c r="A158" t="s">
        <v>1998</v>
      </c>
      <c r="B158" t="s">
        <v>1379</v>
      </c>
      <c r="C158" t="s">
        <v>1373</v>
      </c>
      <c r="D158" t="s">
        <v>1559</v>
      </c>
      <c r="E158" t="s">
        <v>1697</v>
      </c>
      <c r="F158">
        <v>4</v>
      </c>
      <c r="G158">
        <v>4</v>
      </c>
      <c r="H158" s="582">
        <v>0.5</v>
      </c>
      <c r="I158" s="582">
        <v>0.5</v>
      </c>
      <c r="J158" s="582">
        <v>1.5</v>
      </c>
      <c r="K158" s="582">
        <v>-1</v>
      </c>
      <c r="L158" s="582">
        <v>0</v>
      </c>
      <c r="M158" s="582">
        <v>0</v>
      </c>
      <c r="N158" s="582">
        <v>0</v>
      </c>
      <c r="O158" s="582">
        <v>0</v>
      </c>
      <c r="P158" s="582">
        <v>0</v>
      </c>
      <c r="Q158">
        <v>4</v>
      </c>
      <c r="R158">
        <v>4</v>
      </c>
      <c r="S158">
        <v>4</v>
      </c>
      <c r="T158" t="s">
        <v>2019</v>
      </c>
      <c r="U158" t="s">
        <v>1422</v>
      </c>
      <c r="V158">
        <v>0</v>
      </c>
      <c r="W158">
        <v>0</v>
      </c>
      <c r="X158">
        <v>5</v>
      </c>
      <c r="Y158" t="s">
        <v>2045</v>
      </c>
      <c r="Z158" t="s">
        <v>2062</v>
      </c>
      <c r="AA158" t="s">
        <v>2076</v>
      </c>
      <c r="AD158" t="s">
        <v>5733</v>
      </c>
      <c r="AE158">
        <v>600</v>
      </c>
      <c r="AF158" s="579" t="s">
        <v>5727</v>
      </c>
      <c r="AG158" s="738" t="s">
        <v>8772</v>
      </c>
    </row>
    <row r="159" spans="1:33" ht="15.55" customHeight="1">
      <c r="A159" t="s">
        <v>1999</v>
      </c>
      <c r="B159" t="s">
        <v>1381</v>
      </c>
      <c r="C159" t="s">
        <v>1376</v>
      </c>
      <c r="D159" t="s">
        <v>1697</v>
      </c>
      <c r="E159" t="s">
        <v>1697</v>
      </c>
      <c r="F159">
        <v>4</v>
      </c>
      <c r="G159">
        <v>4</v>
      </c>
      <c r="H159" s="582">
        <v>0.5</v>
      </c>
      <c r="I159" s="582">
        <v>0.5</v>
      </c>
      <c r="J159" s="582">
        <v>0</v>
      </c>
      <c r="K159" s="582">
        <v>0</v>
      </c>
      <c r="L159" s="582">
        <v>0</v>
      </c>
      <c r="M159" s="582">
        <v>0</v>
      </c>
      <c r="N159" s="582">
        <v>0</v>
      </c>
      <c r="O159" s="582">
        <v>0</v>
      </c>
      <c r="P159" s="582">
        <v>0</v>
      </c>
      <c r="Q159">
        <v>4</v>
      </c>
      <c r="R159">
        <v>4</v>
      </c>
      <c r="S159">
        <v>4</v>
      </c>
      <c r="T159" t="s">
        <v>2020</v>
      </c>
      <c r="U159" t="s">
        <v>1422</v>
      </c>
      <c r="V159">
        <v>0</v>
      </c>
      <c r="W159">
        <v>0</v>
      </c>
      <c r="X159">
        <v>5</v>
      </c>
      <c r="Y159" t="s">
        <v>2046</v>
      </c>
      <c r="Z159" t="s">
        <v>2063</v>
      </c>
      <c r="AA159" t="s">
        <v>2077</v>
      </c>
      <c r="AD159" t="s">
        <v>5734</v>
      </c>
      <c r="AE159">
        <v>600</v>
      </c>
      <c r="AF159" s="579" t="s">
        <v>5727</v>
      </c>
      <c r="AG159" s="738" t="s">
        <v>8773</v>
      </c>
    </row>
    <row r="160" spans="1:33" ht="15.55" customHeight="1">
      <c r="A160" t="s">
        <v>2000</v>
      </c>
      <c r="B160" t="s">
        <v>1383</v>
      </c>
      <c r="C160" t="s">
        <v>1373</v>
      </c>
      <c r="D160" t="s">
        <v>1697</v>
      </c>
      <c r="E160" t="s">
        <v>1697</v>
      </c>
      <c r="F160">
        <v>6</v>
      </c>
      <c r="G160">
        <v>6</v>
      </c>
      <c r="H160" s="582">
        <v>0</v>
      </c>
      <c r="I160" s="582">
        <v>0.8</v>
      </c>
      <c r="J160" s="582">
        <v>0</v>
      </c>
      <c r="K160" s="582">
        <v>0</v>
      </c>
      <c r="L160" s="582">
        <v>0</v>
      </c>
      <c r="M160" s="582">
        <v>0</v>
      </c>
      <c r="N160" s="582">
        <v>0</v>
      </c>
      <c r="O160" s="582">
        <v>0</v>
      </c>
      <c r="P160" s="582">
        <v>0</v>
      </c>
      <c r="Q160">
        <v>4</v>
      </c>
      <c r="R160">
        <v>4</v>
      </c>
      <c r="S160">
        <v>4</v>
      </c>
      <c r="T160" t="s">
        <v>5735</v>
      </c>
      <c r="U160" t="s">
        <v>2028</v>
      </c>
      <c r="V160">
        <v>0</v>
      </c>
      <c r="W160">
        <v>0</v>
      </c>
      <c r="X160">
        <v>5</v>
      </c>
      <c r="Y160" t="s">
        <v>1667</v>
      </c>
      <c r="Z160" t="s">
        <v>5736</v>
      </c>
      <c r="AD160" t="s">
        <v>5737</v>
      </c>
      <c r="AE160">
        <v>600</v>
      </c>
      <c r="AF160" s="579" t="s">
        <v>5727</v>
      </c>
      <c r="AG160" s="738" t="s">
        <v>8774</v>
      </c>
    </row>
    <row r="161" spans="1:34" ht="15.55" customHeight="1">
      <c r="A161" t="s">
        <v>2001</v>
      </c>
      <c r="B161" t="s">
        <v>1385</v>
      </c>
      <c r="C161" t="s">
        <v>1370</v>
      </c>
      <c r="D161" t="s">
        <v>1697</v>
      </c>
      <c r="E161" t="s">
        <v>2028</v>
      </c>
      <c r="F161">
        <v>4</v>
      </c>
      <c r="G161">
        <v>4</v>
      </c>
      <c r="H161" s="582">
        <v>0.5</v>
      </c>
      <c r="I161" s="582">
        <v>0.5</v>
      </c>
      <c r="J161" s="582">
        <v>0</v>
      </c>
      <c r="K161" s="582">
        <v>0</v>
      </c>
      <c r="L161" s="582">
        <v>0</v>
      </c>
      <c r="M161" s="582">
        <v>0</v>
      </c>
      <c r="N161" s="582">
        <v>0</v>
      </c>
      <c r="O161" s="582">
        <v>0</v>
      </c>
      <c r="P161" s="582">
        <v>0</v>
      </c>
      <c r="Q161">
        <v>4</v>
      </c>
      <c r="R161">
        <v>4</v>
      </c>
      <c r="S161">
        <v>4</v>
      </c>
      <c r="T161" t="s">
        <v>2022</v>
      </c>
      <c r="U161" t="s">
        <v>1422</v>
      </c>
      <c r="V161">
        <v>0</v>
      </c>
      <c r="W161">
        <v>0</v>
      </c>
      <c r="X161">
        <v>5</v>
      </c>
      <c r="Y161" t="s">
        <v>2047</v>
      </c>
      <c r="AD161" t="s">
        <v>5738</v>
      </c>
      <c r="AE161">
        <v>600</v>
      </c>
      <c r="AF161" s="579" t="s">
        <v>5727</v>
      </c>
      <c r="AG161" s="738" t="s">
        <v>8743</v>
      </c>
    </row>
    <row r="162" spans="1:34" ht="15.55" customHeight="1">
      <c r="A162" t="s">
        <v>2087</v>
      </c>
      <c r="B162" s="703" t="s">
        <v>2465</v>
      </c>
      <c r="C162" t="s">
        <v>1376</v>
      </c>
      <c r="D162" t="s">
        <v>2099</v>
      </c>
      <c r="E162" t="s">
        <v>1818</v>
      </c>
      <c r="F162">
        <v>5</v>
      </c>
      <c r="G162" s="746">
        <v>4</v>
      </c>
      <c r="H162" s="582">
        <v>0.2</v>
      </c>
      <c r="I162" s="582">
        <v>0</v>
      </c>
      <c r="J162" s="582">
        <v>0</v>
      </c>
      <c r="K162" s="582">
        <v>0</v>
      </c>
      <c r="L162" s="582">
        <v>0.7</v>
      </c>
      <c r="M162" s="582">
        <v>0</v>
      </c>
      <c r="N162" s="582">
        <v>-1</v>
      </c>
      <c r="O162" s="582">
        <v>-0.5</v>
      </c>
      <c r="P162" s="582">
        <v>0</v>
      </c>
      <c r="Q162">
        <v>6</v>
      </c>
      <c r="R162">
        <v>6</v>
      </c>
      <c r="S162">
        <v>0</v>
      </c>
      <c r="T162" t="s">
        <v>2107</v>
      </c>
      <c r="U162" s="746" t="s">
        <v>1422</v>
      </c>
      <c r="V162">
        <v>0</v>
      </c>
      <c r="W162">
        <v>0</v>
      </c>
      <c r="X162">
        <v>6</v>
      </c>
      <c r="Y162" t="s">
        <v>2116</v>
      </c>
      <c r="Z162" t="s">
        <v>2125</v>
      </c>
      <c r="AA162" t="s">
        <v>2136</v>
      </c>
      <c r="AB162" t="s">
        <v>2147</v>
      </c>
      <c r="AC162" t="s">
        <v>2158</v>
      </c>
      <c r="AD162" t="s">
        <v>5739</v>
      </c>
      <c r="AE162">
        <v>800</v>
      </c>
      <c r="AF162" t="s">
        <v>301</v>
      </c>
      <c r="AG162" s="738" t="s">
        <v>8844</v>
      </c>
    </row>
    <row r="163" spans="1:34" ht="15.55" customHeight="1">
      <c r="A163" t="s">
        <v>2088</v>
      </c>
      <c r="B163" t="s">
        <v>1367</v>
      </c>
      <c r="C163" t="s">
        <v>1376</v>
      </c>
      <c r="D163" t="s">
        <v>2100</v>
      </c>
      <c r="E163" t="s">
        <v>2102</v>
      </c>
      <c r="F163">
        <v>5</v>
      </c>
      <c r="G163" s="746">
        <v>4</v>
      </c>
      <c r="H163" s="582">
        <v>0</v>
      </c>
      <c r="I163" s="582">
        <v>-0.5</v>
      </c>
      <c r="J163" s="582">
        <v>0</v>
      </c>
      <c r="K163" s="582">
        <v>0</v>
      </c>
      <c r="L163" s="582">
        <v>0</v>
      </c>
      <c r="M163" s="582">
        <v>0</v>
      </c>
      <c r="N163" s="582">
        <v>-0.5</v>
      </c>
      <c r="O163" s="582">
        <v>-0.5</v>
      </c>
      <c r="P163" s="582">
        <v>0.5</v>
      </c>
      <c r="Q163">
        <v>10</v>
      </c>
      <c r="R163">
        <v>0</v>
      </c>
      <c r="S163">
        <v>0</v>
      </c>
      <c r="T163" t="s">
        <v>2108</v>
      </c>
      <c r="U163" s="746" t="s">
        <v>1422</v>
      </c>
      <c r="V163">
        <v>0</v>
      </c>
      <c r="W163">
        <v>0</v>
      </c>
      <c r="X163">
        <v>6</v>
      </c>
      <c r="Z163" t="s">
        <v>2126</v>
      </c>
      <c r="AA163" t="s">
        <v>5740</v>
      </c>
      <c r="AB163" t="s">
        <v>2148</v>
      </c>
      <c r="AC163" t="s">
        <v>5741</v>
      </c>
      <c r="AD163" t="s">
        <v>5742</v>
      </c>
      <c r="AE163">
        <v>800</v>
      </c>
      <c r="AF163" t="s">
        <v>301</v>
      </c>
      <c r="AG163" s="738" t="s">
        <v>8845</v>
      </c>
      <c r="AH163" s="746"/>
    </row>
    <row r="164" spans="1:34" ht="15.55" customHeight="1">
      <c r="A164" t="s">
        <v>2089</v>
      </c>
      <c r="B164" t="s">
        <v>1369</v>
      </c>
      <c r="C164" t="s">
        <v>1368</v>
      </c>
      <c r="D164" t="s">
        <v>2100</v>
      </c>
      <c r="E164" t="s">
        <v>1697</v>
      </c>
      <c r="F164">
        <v>4</v>
      </c>
      <c r="G164" s="746">
        <v>4</v>
      </c>
      <c r="H164" s="582">
        <v>0</v>
      </c>
      <c r="I164" s="582">
        <v>0</v>
      </c>
      <c r="J164" s="582">
        <v>-0.5</v>
      </c>
      <c r="K164" s="582">
        <v>2</v>
      </c>
      <c r="L164" s="582">
        <v>0</v>
      </c>
      <c r="M164" s="582">
        <v>0</v>
      </c>
      <c r="N164" s="582">
        <v>0</v>
      </c>
      <c r="O164" s="582">
        <v>0.5</v>
      </c>
      <c r="P164" s="582">
        <v>-0.5</v>
      </c>
      <c r="Q164">
        <v>2</v>
      </c>
      <c r="R164">
        <v>-2</v>
      </c>
      <c r="S164">
        <v>8</v>
      </c>
      <c r="T164" t="s">
        <v>5743</v>
      </c>
      <c r="U164" s="746" t="s">
        <v>1422</v>
      </c>
      <c r="V164">
        <v>0</v>
      </c>
      <c r="W164">
        <v>0</v>
      </c>
      <c r="X164">
        <v>6</v>
      </c>
      <c r="Y164" t="s">
        <v>2117</v>
      </c>
      <c r="Z164" t="s">
        <v>2127</v>
      </c>
      <c r="AA164" t="s">
        <v>5744</v>
      </c>
      <c r="AB164" t="s">
        <v>2149</v>
      </c>
      <c r="AC164" t="s">
        <v>5745</v>
      </c>
      <c r="AD164" t="s">
        <v>5746</v>
      </c>
      <c r="AE164">
        <v>800</v>
      </c>
      <c r="AF164" t="s">
        <v>301</v>
      </c>
      <c r="AG164" s="738" t="s">
        <v>8846</v>
      </c>
      <c r="AH164" s="746"/>
    </row>
    <row r="165" spans="1:34" ht="15.55" customHeight="1">
      <c r="A165" t="s">
        <v>2090</v>
      </c>
      <c r="B165" t="s">
        <v>1371</v>
      </c>
      <c r="C165" t="s">
        <v>1364</v>
      </c>
      <c r="D165" t="s">
        <v>2099</v>
      </c>
      <c r="E165" t="s">
        <v>2102</v>
      </c>
      <c r="F165">
        <v>3</v>
      </c>
      <c r="G165" s="746">
        <v>4</v>
      </c>
      <c r="H165" s="582">
        <v>0</v>
      </c>
      <c r="I165" s="582">
        <v>0.2</v>
      </c>
      <c r="J165" s="582">
        <v>0</v>
      </c>
      <c r="K165" s="582">
        <v>0</v>
      </c>
      <c r="L165" s="582">
        <v>0</v>
      </c>
      <c r="M165" s="582">
        <v>0</v>
      </c>
      <c r="N165" s="582">
        <v>0.2</v>
      </c>
      <c r="O165" s="582">
        <v>0</v>
      </c>
      <c r="P165" s="582">
        <v>0.2</v>
      </c>
      <c r="Q165">
        <v>3</v>
      </c>
      <c r="R165">
        <v>3</v>
      </c>
      <c r="S165">
        <v>3</v>
      </c>
      <c r="T165" t="s">
        <v>2110</v>
      </c>
      <c r="U165" s="665" t="s">
        <v>1422</v>
      </c>
      <c r="V165">
        <v>0</v>
      </c>
      <c r="W165">
        <v>0</v>
      </c>
      <c r="X165">
        <v>6</v>
      </c>
      <c r="Y165" t="s">
        <v>2118</v>
      </c>
      <c r="Z165" t="s">
        <v>2128</v>
      </c>
      <c r="AA165" t="s">
        <v>5747</v>
      </c>
      <c r="AB165" t="s">
        <v>2150</v>
      </c>
      <c r="AC165" t="s">
        <v>2161</v>
      </c>
      <c r="AD165" t="s">
        <v>5748</v>
      </c>
      <c r="AE165">
        <v>800</v>
      </c>
      <c r="AF165" t="s">
        <v>301</v>
      </c>
      <c r="AG165" s="738" t="s">
        <v>8847</v>
      </c>
      <c r="AH165" s="746"/>
    </row>
    <row r="166" spans="1:34" ht="15.55" customHeight="1">
      <c r="A166" t="s">
        <v>2091</v>
      </c>
      <c r="B166" t="s">
        <v>1374</v>
      </c>
      <c r="C166" t="s">
        <v>2098</v>
      </c>
      <c r="D166" t="s">
        <v>2100</v>
      </c>
      <c r="E166" t="s">
        <v>1818</v>
      </c>
      <c r="F166">
        <v>5</v>
      </c>
      <c r="G166" s="746">
        <v>4</v>
      </c>
      <c r="H166" s="582">
        <v>0</v>
      </c>
      <c r="I166" s="582">
        <v>0</v>
      </c>
      <c r="J166" s="582">
        <v>0.4</v>
      </c>
      <c r="K166" s="582">
        <v>-0.5</v>
      </c>
      <c r="L166" s="582">
        <v>0.2</v>
      </c>
      <c r="M166" s="582">
        <v>0.2</v>
      </c>
      <c r="N166" s="582">
        <v>-1</v>
      </c>
      <c r="O166" s="582">
        <v>1</v>
      </c>
      <c r="P166" s="582">
        <v>1</v>
      </c>
      <c r="Q166">
        <v>8</v>
      </c>
      <c r="R166">
        <v>0</v>
      </c>
      <c r="S166">
        <v>0</v>
      </c>
      <c r="T166" t="s">
        <v>2111</v>
      </c>
      <c r="U166" s="746" t="s">
        <v>1422</v>
      </c>
      <c r="V166">
        <v>0</v>
      </c>
      <c r="W166">
        <v>0</v>
      </c>
      <c r="X166">
        <v>6</v>
      </c>
      <c r="Y166" t="s">
        <v>2119</v>
      </c>
      <c r="Z166" t="s">
        <v>2129</v>
      </c>
      <c r="AA166" t="s">
        <v>2140</v>
      </c>
      <c r="AB166" t="s">
        <v>2151</v>
      </c>
      <c r="AC166" t="s">
        <v>2162</v>
      </c>
      <c r="AD166" t="s">
        <v>5749</v>
      </c>
      <c r="AE166">
        <v>800</v>
      </c>
      <c r="AF166" t="s">
        <v>301</v>
      </c>
      <c r="AG166" s="738" t="s">
        <v>8848</v>
      </c>
      <c r="AH166" s="746"/>
    </row>
    <row r="167" spans="1:34" ht="15.55" customHeight="1">
      <c r="A167" t="s">
        <v>2092</v>
      </c>
      <c r="B167" t="s">
        <v>1377</v>
      </c>
      <c r="C167" t="s">
        <v>1364</v>
      </c>
      <c r="D167" t="s">
        <v>2101</v>
      </c>
      <c r="E167" t="s">
        <v>2102</v>
      </c>
      <c r="F167">
        <v>5</v>
      </c>
      <c r="G167" s="746">
        <v>4</v>
      </c>
      <c r="H167" s="582">
        <v>-0.2</v>
      </c>
      <c r="I167" s="582">
        <v>0.2</v>
      </c>
      <c r="J167" s="582">
        <v>0.4</v>
      </c>
      <c r="K167" s="582">
        <v>-0.2</v>
      </c>
      <c r="L167" s="582">
        <v>0</v>
      </c>
      <c r="M167" s="582">
        <v>-0.3</v>
      </c>
      <c r="N167" s="582">
        <v>0</v>
      </c>
      <c r="O167" s="582">
        <v>0.5</v>
      </c>
      <c r="P167" s="582">
        <v>-0.5</v>
      </c>
      <c r="Q167">
        <v>8</v>
      </c>
      <c r="R167">
        <v>0</v>
      </c>
      <c r="S167">
        <v>0</v>
      </c>
      <c r="T167" t="s">
        <v>2107</v>
      </c>
      <c r="U167" s="746" t="s">
        <v>1422</v>
      </c>
      <c r="V167">
        <v>0</v>
      </c>
      <c r="W167">
        <v>0</v>
      </c>
      <c r="X167">
        <v>6</v>
      </c>
      <c r="Y167" t="s">
        <v>2120</v>
      </c>
      <c r="Z167" t="s">
        <v>2130</v>
      </c>
      <c r="AA167" t="s">
        <v>2141</v>
      </c>
      <c r="AB167" t="s">
        <v>2152</v>
      </c>
      <c r="AC167" t="s">
        <v>2163</v>
      </c>
      <c r="AD167" t="s">
        <v>5750</v>
      </c>
      <c r="AE167">
        <v>800</v>
      </c>
      <c r="AF167" t="s">
        <v>301</v>
      </c>
      <c r="AG167" s="738" t="s">
        <v>8849</v>
      </c>
      <c r="AH167" s="746"/>
    </row>
    <row r="168" spans="1:34" ht="15.55" customHeight="1">
      <c r="A168" t="s">
        <v>2093</v>
      </c>
      <c r="B168" t="s">
        <v>1379</v>
      </c>
      <c r="C168" t="s">
        <v>1373</v>
      </c>
      <c r="D168" t="s">
        <v>2099</v>
      </c>
      <c r="E168" t="s">
        <v>1818</v>
      </c>
      <c r="F168">
        <v>4</v>
      </c>
      <c r="G168" s="746">
        <v>4</v>
      </c>
      <c r="H168" s="582">
        <v>-0.2</v>
      </c>
      <c r="I168" s="582">
        <v>0.2</v>
      </c>
      <c r="J168" s="582">
        <v>1.5</v>
      </c>
      <c r="K168" s="582">
        <v>-1</v>
      </c>
      <c r="L168" s="582">
        <v>0.3</v>
      </c>
      <c r="M168" s="582">
        <v>-0.3</v>
      </c>
      <c r="N168" s="582">
        <v>0</v>
      </c>
      <c r="O168" s="582">
        <v>0</v>
      </c>
      <c r="P168" s="582">
        <v>-0.5</v>
      </c>
      <c r="Q168">
        <v>2</v>
      </c>
      <c r="R168">
        <v>5</v>
      </c>
      <c r="S168">
        <v>5</v>
      </c>
      <c r="T168" t="s">
        <v>2112</v>
      </c>
      <c r="U168" s="746" t="s">
        <v>1422</v>
      </c>
      <c r="V168">
        <v>0</v>
      </c>
      <c r="W168">
        <v>0</v>
      </c>
      <c r="X168">
        <v>6</v>
      </c>
      <c r="Y168" t="s">
        <v>2121</v>
      </c>
      <c r="Z168" t="s">
        <v>2131</v>
      </c>
      <c r="AA168" t="s">
        <v>2142</v>
      </c>
      <c r="AB168" t="s">
        <v>2153</v>
      </c>
      <c r="AC168" t="s">
        <v>2164</v>
      </c>
      <c r="AD168" t="s">
        <v>5751</v>
      </c>
      <c r="AE168">
        <v>800</v>
      </c>
      <c r="AF168" t="s">
        <v>301</v>
      </c>
      <c r="AG168" s="738" t="s">
        <v>8850</v>
      </c>
      <c r="AH168" s="746"/>
    </row>
    <row r="169" spans="1:34" ht="15.55" customHeight="1">
      <c r="A169" t="s">
        <v>2094</v>
      </c>
      <c r="B169" t="s">
        <v>1381</v>
      </c>
      <c r="C169" t="s">
        <v>1366</v>
      </c>
      <c r="D169" t="s">
        <v>2099</v>
      </c>
      <c r="E169" t="s">
        <v>2099</v>
      </c>
      <c r="F169">
        <v>6</v>
      </c>
      <c r="G169" s="746">
        <v>4</v>
      </c>
      <c r="H169" s="582">
        <v>-1</v>
      </c>
      <c r="I169" s="582">
        <v>0.5</v>
      </c>
      <c r="J169" s="582">
        <v>0</v>
      </c>
      <c r="K169" s="582">
        <v>0</v>
      </c>
      <c r="L169" s="582">
        <v>0</v>
      </c>
      <c r="M169" s="582">
        <v>0</v>
      </c>
      <c r="N169" s="582">
        <v>0</v>
      </c>
      <c r="O169" s="582">
        <v>1</v>
      </c>
      <c r="P169" s="582">
        <v>1</v>
      </c>
      <c r="Q169">
        <v>2</v>
      </c>
      <c r="R169">
        <v>5</v>
      </c>
      <c r="S169">
        <v>5</v>
      </c>
      <c r="T169" t="s">
        <v>2113</v>
      </c>
      <c r="U169" s="746" t="s">
        <v>1422</v>
      </c>
      <c r="V169">
        <v>0</v>
      </c>
      <c r="W169">
        <v>0</v>
      </c>
      <c r="X169">
        <v>6</v>
      </c>
      <c r="Y169" t="s">
        <v>2122</v>
      </c>
      <c r="Z169" t="s">
        <v>2132</v>
      </c>
      <c r="AA169" t="s">
        <v>2143</v>
      </c>
      <c r="AB169" t="s">
        <v>2154</v>
      </c>
      <c r="AC169" t="s">
        <v>2165</v>
      </c>
      <c r="AD169" t="s">
        <v>5752</v>
      </c>
      <c r="AE169">
        <v>800</v>
      </c>
      <c r="AF169" t="s">
        <v>301</v>
      </c>
      <c r="AG169" s="738" t="s">
        <v>8851</v>
      </c>
      <c r="AH169" s="746"/>
    </row>
    <row r="170" spans="1:34" ht="15.55" customHeight="1">
      <c r="A170" t="s">
        <v>2095</v>
      </c>
      <c r="B170" t="s">
        <v>1383</v>
      </c>
      <c r="C170" t="s">
        <v>1366</v>
      </c>
      <c r="D170" t="s">
        <v>2099</v>
      </c>
      <c r="E170" t="s">
        <v>1818</v>
      </c>
      <c r="F170" t="s">
        <v>2103</v>
      </c>
      <c r="G170" s="746">
        <v>4</v>
      </c>
      <c r="H170" s="582" t="s">
        <v>2106</v>
      </c>
      <c r="I170" s="582" t="s">
        <v>2106</v>
      </c>
      <c r="J170" s="582" t="s">
        <v>2106</v>
      </c>
      <c r="K170" s="582" t="s">
        <v>2106</v>
      </c>
      <c r="L170" s="582" t="s">
        <v>2106</v>
      </c>
      <c r="M170" s="582" t="s">
        <v>2106</v>
      </c>
      <c r="N170" s="582" t="s">
        <v>2106</v>
      </c>
      <c r="O170" s="582" t="s">
        <v>2106</v>
      </c>
      <c r="P170" s="582" t="s">
        <v>2106</v>
      </c>
      <c r="Q170">
        <v>5</v>
      </c>
      <c r="R170">
        <v>5</v>
      </c>
      <c r="S170">
        <v>5</v>
      </c>
      <c r="T170" t="s">
        <v>2114</v>
      </c>
      <c r="U170" s="746" t="s">
        <v>1422</v>
      </c>
      <c r="V170">
        <v>0</v>
      </c>
      <c r="W170">
        <v>0</v>
      </c>
      <c r="X170">
        <v>6</v>
      </c>
      <c r="Y170" t="s">
        <v>5753</v>
      </c>
      <c r="Z170" t="s">
        <v>2133</v>
      </c>
      <c r="AA170" t="s">
        <v>2144</v>
      </c>
      <c r="AB170" t="s">
        <v>2155</v>
      </c>
      <c r="AC170" t="s">
        <v>2166</v>
      </c>
      <c r="AD170" t="s">
        <v>5754</v>
      </c>
      <c r="AE170">
        <v>800</v>
      </c>
      <c r="AF170" t="s">
        <v>301</v>
      </c>
      <c r="AG170" s="738" t="s">
        <v>8852</v>
      </c>
      <c r="AH170" s="746"/>
    </row>
    <row r="171" spans="1:34" ht="15.55" customHeight="1">
      <c r="A171" t="s">
        <v>2096</v>
      </c>
      <c r="B171" t="s">
        <v>1385</v>
      </c>
      <c r="C171" t="s">
        <v>1368</v>
      </c>
      <c r="D171" t="s">
        <v>2099</v>
      </c>
      <c r="E171" t="s">
        <v>2099</v>
      </c>
      <c r="F171">
        <v>3</v>
      </c>
      <c r="G171" s="746">
        <v>4</v>
      </c>
      <c r="H171" s="582">
        <v>1</v>
      </c>
      <c r="I171" s="582">
        <v>0.2</v>
      </c>
      <c r="J171" s="582">
        <v>0</v>
      </c>
      <c r="K171" s="582">
        <v>0.2</v>
      </c>
      <c r="L171" s="582">
        <v>0.2</v>
      </c>
      <c r="M171" s="582">
        <v>0</v>
      </c>
      <c r="N171" s="582">
        <v>0</v>
      </c>
      <c r="O171" s="582">
        <v>-0.5</v>
      </c>
      <c r="P171" s="582">
        <v>-0.5</v>
      </c>
      <c r="Q171">
        <v>2</v>
      </c>
      <c r="R171">
        <v>5</v>
      </c>
      <c r="S171">
        <v>5</v>
      </c>
      <c r="T171" t="s">
        <v>2115</v>
      </c>
      <c r="U171" s="746" t="s">
        <v>1422</v>
      </c>
      <c r="V171">
        <v>0</v>
      </c>
      <c r="W171">
        <v>0</v>
      </c>
      <c r="X171">
        <v>6</v>
      </c>
      <c r="Y171" t="s">
        <v>2124</v>
      </c>
      <c r="Z171" t="s">
        <v>2134</v>
      </c>
      <c r="AA171" t="s">
        <v>2145</v>
      </c>
      <c r="AB171" t="s">
        <v>2156</v>
      </c>
      <c r="AC171" t="s">
        <v>2167</v>
      </c>
      <c r="AD171" t="s">
        <v>5755</v>
      </c>
      <c r="AE171">
        <v>800</v>
      </c>
      <c r="AF171" t="s">
        <v>301</v>
      </c>
      <c r="AG171" s="750" t="s">
        <v>8853</v>
      </c>
      <c r="AH171" s="746"/>
    </row>
    <row r="172" spans="1:34" ht="15.55" customHeight="1">
      <c r="A172" t="s">
        <v>2178</v>
      </c>
      <c r="B172" s="703" t="s">
        <v>2465</v>
      </c>
      <c r="C172" t="s">
        <v>1376</v>
      </c>
      <c r="D172" t="s">
        <v>1818</v>
      </c>
      <c r="E172" t="s">
        <v>1818</v>
      </c>
      <c r="F172">
        <v>5</v>
      </c>
      <c r="G172">
        <v>1</v>
      </c>
      <c r="H172" s="582">
        <v>0.1</v>
      </c>
      <c r="I172" s="582">
        <v>0.1</v>
      </c>
      <c r="J172" s="582">
        <v>0.1</v>
      </c>
      <c r="K172" s="582">
        <v>0.1</v>
      </c>
      <c r="L172" s="582">
        <v>0.1</v>
      </c>
      <c r="M172" s="582">
        <v>0.1</v>
      </c>
      <c r="N172" s="582">
        <v>0.1</v>
      </c>
      <c r="O172" s="582">
        <v>0.1</v>
      </c>
      <c r="P172" s="582">
        <v>0.1</v>
      </c>
      <c r="Q172">
        <v>10</v>
      </c>
      <c r="R172">
        <v>2</v>
      </c>
      <c r="S172">
        <v>2</v>
      </c>
      <c r="T172" t="s">
        <v>2191</v>
      </c>
      <c r="U172" s="746" t="s">
        <v>1422</v>
      </c>
      <c r="V172">
        <v>0</v>
      </c>
      <c r="W172">
        <v>0</v>
      </c>
      <c r="X172">
        <v>6</v>
      </c>
      <c r="Y172" t="s">
        <v>2202</v>
      </c>
      <c r="Z172" t="s">
        <v>2212</v>
      </c>
      <c r="AA172" t="s">
        <v>2222</v>
      </c>
      <c r="AB172" t="s">
        <v>2231</v>
      </c>
      <c r="AC172" t="s">
        <v>2241</v>
      </c>
      <c r="AD172" t="s">
        <v>5756</v>
      </c>
      <c r="AE172">
        <v>800</v>
      </c>
      <c r="AF172" t="s">
        <v>301</v>
      </c>
      <c r="AG172" s="738" t="s">
        <v>8854</v>
      </c>
      <c r="AH172" s="746"/>
    </row>
    <row r="173" spans="1:34" ht="15.55" customHeight="1">
      <c r="A173" t="s">
        <v>2179</v>
      </c>
      <c r="B173" t="s">
        <v>1367</v>
      </c>
      <c r="C173" t="s">
        <v>1376</v>
      </c>
      <c r="D173" t="s">
        <v>2188</v>
      </c>
      <c r="E173" t="s">
        <v>5757</v>
      </c>
      <c r="F173">
        <v>4</v>
      </c>
      <c r="G173">
        <v>4</v>
      </c>
      <c r="H173" s="582">
        <v>-0.2</v>
      </c>
      <c r="I173" s="582">
        <v>0</v>
      </c>
      <c r="J173" s="582">
        <v>0.1</v>
      </c>
      <c r="K173" s="582">
        <v>0.3</v>
      </c>
      <c r="L173" s="582">
        <v>0.5</v>
      </c>
      <c r="M173" s="582">
        <v>0.4</v>
      </c>
      <c r="N173" s="582">
        <v>-0.3</v>
      </c>
      <c r="O173" s="582">
        <v>-0.2</v>
      </c>
      <c r="P173" s="582">
        <v>0.5</v>
      </c>
      <c r="Q173">
        <v>2</v>
      </c>
      <c r="R173">
        <v>6</v>
      </c>
      <c r="S173">
        <v>4</v>
      </c>
      <c r="T173" t="s">
        <v>2192</v>
      </c>
      <c r="U173" s="746" t="s">
        <v>1422</v>
      </c>
      <c r="V173">
        <v>0</v>
      </c>
      <c r="W173">
        <v>0</v>
      </c>
      <c r="X173">
        <v>6</v>
      </c>
      <c r="Y173" t="s">
        <v>2203</v>
      </c>
      <c r="Z173" t="s">
        <v>2213</v>
      </c>
      <c r="AA173" t="s">
        <v>2223</v>
      </c>
      <c r="AB173" t="s">
        <v>2232</v>
      </c>
      <c r="AC173" t="s">
        <v>2242</v>
      </c>
      <c r="AD173" t="s">
        <v>5758</v>
      </c>
      <c r="AE173">
        <v>800</v>
      </c>
      <c r="AF173" t="s">
        <v>301</v>
      </c>
      <c r="AG173" s="738" t="s">
        <v>8855</v>
      </c>
      <c r="AH173" s="746"/>
    </row>
    <row r="174" spans="1:34" ht="15.55" customHeight="1">
      <c r="A174" t="s">
        <v>2180</v>
      </c>
      <c r="B174" t="s">
        <v>1369</v>
      </c>
      <c r="C174" t="s">
        <v>1370</v>
      </c>
      <c r="D174" s="579" t="s">
        <v>1411</v>
      </c>
      <c r="E174" s="579" t="s">
        <v>1411</v>
      </c>
      <c r="F174">
        <v>3</v>
      </c>
      <c r="G174">
        <v>3</v>
      </c>
      <c r="H174" s="582">
        <v>0.5</v>
      </c>
      <c r="I174" s="582">
        <v>0</v>
      </c>
      <c r="J174" s="582">
        <v>-0.5</v>
      </c>
      <c r="K174" s="582">
        <v>0.5</v>
      </c>
      <c r="L174" s="582">
        <v>-0.5</v>
      </c>
      <c r="M174" s="582">
        <v>-0.5</v>
      </c>
      <c r="N174" s="582">
        <v>-0.5</v>
      </c>
      <c r="O174" s="582">
        <v>0</v>
      </c>
      <c r="P174" s="582">
        <v>0</v>
      </c>
      <c r="Q174">
        <v>1</v>
      </c>
      <c r="R174">
        <v>1</v>
      </c>
      <c r="S174">
        <v>1</v>
      </c>
      <c r="T174" t="s">
        <v>5759</v>
      </c>
      <c r="U174" s="746" t="s">
        <v>1422</v>
      </c>
      <c r="V174" t="s">
        <v>2201</v>
      </c>
      <c r="W174">
        <v>0</v>
      </c>
      <c r="X174">
        <v>6</v>
      </c>
      <c r="Y174" s="579" t="s">
        <v>5760</v>
      </c>
      <c r="Z174" t="s">
        <v>2214</v>
      </c>
      <c r="AA174" t="s">
        <v>2224</v>
      </c>
      <c r="AB174" t="s">
        <v>2233</v>
      </c>
      <c r="AD174" t="s">
        <v>5761</v>
      </c>
      <c r="AE174">
        <v>800</v>
      </c>
      <c r="AF174" t="s">
        <v>301</v>
      </c>
      <c r="AG174" s="738" t="s">
        <v>8856</v>
      </c>
      <c r="AH174" s="746"/>
    </row>
    <row r="175" spans="1:34" ht="15.55" customHeight="1">
      <c r="A175" t="s">
        <v>2181</v>
      </c>
      <c r="B175" t="s">
        <v>1371</v>
      </c>
      <c r="C175" t="s">
        <v>1370</v>
      </c>
      <c r="D175" t="s">
        <v>2100</v>
      </c>
      <c r="E175" t="s">
        <v>2102</v>
      </c>
      <c r="F175">
        <v>4</v>
      </c>
      <c r="G175">
        <v>5</v>
      </c>
      <c r="H175" s="582">
        <v>1</v>
      </c>
      <c r="I175" s="582">
        <v>-0.5</v>
      </c>
      <c r="J175" s="582">
        <v>0</v>
      </c>
      <c r="K175" s="582">
        <v>0</v>
      </c>
      <c r="L175" s="582">
        <v>0</v>
      </c>
      <c r="M175" s="582">
        <v>0</v>
      </c>
      <c r="N175" s="582">
        <v>0</v>
      </c>
      <c r="O175" s="582">
        <v>0</v>
      </c>
      <c r="P175" s="582">
        <v>0</v>
      </c>
      <c r="Q175">
        <v>5</v>
      </c>
      <c r="R175">
        <v>5</v>
      </c>
      <c r="S175">
        <v>5</v>
      </c>
      <c r="T175" t="s">
        <v>2194</v>
      </c>
      <c r="U175" s="746" t="s">
        <v>1422</v>
      </c>
      <c r="V175">
        <v>0.2</v>
      </c>
      <c r="W175">
        <v>0</v>
      </c>
      <c r="X175">
        <v>6</v>
      </c>
      <c r="Y175" t="s">
        <v>2205</v>
      </c>
      <c r="Z175" t="s">
        <v>2215</v>
      </c>
      <c r="AA175" t="s">
        <v>2225</v>
      </c>
      <c r="AB175" t="s">
        <v>2234</v>
      </c>
      <c r="AC175" t="s">
        <v>2243</v>
      </c>
      <c r="AD175" t="s">
        <v>5762</v>
      </c>
      <c r="AE175">
        <v>800</v>
      </c>
      <c r="AF175" t="s">
        <v>301</v>
      </c>
      <c r="AG175" s="738" t="s">
        <v>8857</v>
      </c>
      <c r="AH175" s="746"/>
    </row>
    <row r="176" spans="1:34" ht="15.55" customHeight="1">
      <c r="A176" t="s">
        <v>2182</v>
      </c>
      <c r="B176" t="s">
        <v>1374</v>
      </c>
      <c r="C176" t="s">
        <v>1368</v>
      </c>
      <c r="D176" t="s">
        <v>2100</v>
      </c>
      <c r="E176" t="s">
        <v>2099</v>
      </c>
      <c r="F176">
        <v>5</v>
      </c>
      <c r="G176">
        <v>4</v>
      </c>
      <c r="H176" s="582">
        <v>0.5</v>
      </c>
      <c r="I176" s="582">
        <v>-0.5</v>
      </c>
      <c r="J176" s="582">
        <v>0.5</v>
      </c>
      <c r="K176" s="582">
        <v>-1</v>
      </c>
      <c r="L176" s="582">
        <v>0.5</v>
      </c>
      <c r="M176" s="582">
        <v>0.5</v>
      </c>
      <c r="N176" s="582">
        <v>-1</v>
      </c>
      <c r="O176" s="582">
        <v>-0.5</v>
      </c>
      <c r="P176" s="582">
        <v>-0.5</v>
      </c>
      <c r="Q176">
        <v>0</v>
      </c>
      <c r="R176">
        <v>0</v>
      </c>
      <c r="S176">
        <v>5</v>
      </c>
      <c r="T176" t="s">
        <v>2195</v>
      </c>
      <c r="U176" s="746" t="s">
        <v>1422</v>
      </c>
      <c r="V176">
        <v>0</v>
      </c>
      <c r="W176">
        <v>0</v>
      </c>
      <c r="X176">
        <v>6</v>
      </c>
      <c r="Y176" t="s">
        <v>2206</v>
      </c>
      <c r="Z176" t="s">
        <v>2216</v>
      </c>
      <c r="AA176" t="s">
        <v>2226</v>
      </c>
      <c r="AB176" t="s">
        <v>2235</v>
      </c>
      <c r="AC176" t="s">
        <v>2244</v>
      </c>
      <c r="AD176" t="s">
        <v>5763</v>
      </c>
      <c r="AE176">
        <v>800</v>
      </c>
      <c r="AF176" t="s">
        <v>301</v>
      </c>
      <c r="AG176" s="738" t="s">
        <v>8858</v>
      </c>
      <c r="AH176" s="746"/>
    </row>
    <row r="177" spans="1:34" ht="15.55" customHeight="1">
      <c r="A177" t="s">
        <v>2183</v>
      </c>
      <c r="B177" t="s">
        <v>1377</v>
      </c>
      <c r="C177" t="s">
        <v>1366</v>
      </c>
      <c r="D177" t="s">
        <v>2100</v>
      </c>
      <c r="E177" t="s">
        <v>2190</v>
      </c>
      <c r="F177">
        <v>5</v>
      </c>
      <c r="G177">
        <v>5</v>
      </c>
      <c r="H177" s="582">
        <v>-0.1</v>
      </c>
      <c r="I177" s="582">
        <v>0.3</v>
      </c>
      <c r="J177" s="582">
        <v>0.1</v>
      </c>
      <c r="K177" s="582">
        <v>0</v>
      </c>
      <c r="L177" s="582">
        <v>0</v>
      </c>
      <c r="M177" s="582">
        <v>-0.3</v>
      </c>
      <c r="N177" s="582">
        <v>-0.5</v>
      </c>
      <c r="O177" s="582">
        <v>0.7</v>
      </c>
      <c r="P177" s="582">
        <v>0.5</v>
      </c>
      <c r="Q177">
        <v>0</v>
      </c>
      <c r="R177">
        <v>0</v>
      </c>
      <c r="S177">
        <v>5</v>
      </c>
      <c r="T177" t="s">
        <v>2196</v>
      </c>
      <c r="U177" s="746" t="s">
        <v>1422</v>
      </c>
      <c r="V177">
        <v>0</v>
      </c>
      <c r="W177">
        <v>0</v>
      </c>
      <c r="X177">
        <v>6</v>
      </c>
      <c r="Y177" t="s">
        <v>2207</v>
      </c>
      <c r="Z177" t="s">
        <v>2217</v>
      </c>
      <c r="AA177" t="s">
        <v>2227</v>
      </c>
      <c r="AB177" t="s">
        <v>2236</v>
      </c>
      <c r="AC177" t="s">
        <v>2245</v>
      </c>
      <c r="AD177" t="s">
        <v>5764</v>
      </c>
      <c r="AE177">
        <v>800</v>
      </c>
      <c r="AF177" t="s">
        <v>301</v>
      </c>
      <c r="AG177" s="744" t="s">
        <v>8859</v>
      </c>
      <c r="AH177" s="746"/>
    </row>
    <row r="178" spans="1:34" ht="15.55" customHeight="1">
      <c r="A178" t="s">
        <v>2184</v>
      </c>
      <c r="B178" t="s">
        <v>1379</v>
      </c>
      <c r="C178" t="s">
        <v>1364</v>
      </c>
      <c r="D178" t="s">
        <v>2099</v>
      </c>
      <c r="E178" t="s">
        <v>1818</v>
      </c>
      <c r="F178">
        <v>4</v>
      </c>
      <c r="G178">
        <v>4</v>
      </c>
      <c r="H178" s="582">
        <v>0.3</v>
      </c>
      <c r="I178" s="582">
        <v>0</v>
      </c>
      <c r="J178" s="582">
        <v>0.7</v>
      </c>
      <c r="K178" s="582">
        <v>-0.5</v>
      </c>
      <c r="L178" s="582">
        <v>0</v>
      </c>
      <c r="M178" s="582">
        <v>0.1</v>
      </c>
      <c r="N178" s="582">
        <v>-0.2</v>
      </c>
      <c r="O178" s="582">
        <v>0.2</v>
      </c>
      <c r="P178" s="582">
        <v>0.1</v>
      </c>
      <c r="Q178">
        <v>2</v>
      </c>
      <c r="R178">
        <v>2</v>
      </c>
      <c r="S178">
        <v>5</v>
      </c>
      <c r="T178" t="s">
        <v>2197</v>
      </c>
      <c r="U178" s="746" t="s">
        <v>1422</v>
      </c>
      <c r="V178">
        <v>0</v>
      </c>
      <c r="W178">
        <v>0</v>
      </c>
      <c r="X178">
        <v>6</v>
      </c>
      <c r="Y178" t="s">
        <v>2208</v>
      </c>
      <c r="Z178" t="s">
        <v>2218</v>
      </c>
      <c r="AA178" t="s">
        <v>2228</v>
      </c>
      <c r="AB178" t="s">
        <v>5765</v>
      </c>
      <c r="AC178" t="s">
        <v>2246</v>
      </c>
      <c r="AD178" t="s">
        <v>5751</v>
      </c>
      <c r="AE178">
        <v>800</v>
      </c>
      <c r="AF178" t="s">
        <v>301</v>
      </c>
      <c r="AG178" s="744" t="s">
        <v>8788</v>
      </c>
      <c r="AH178" s="746"/>
    </row>
    <row r="179" spans="1:34" ht="15.55" customHeight="1">
      <c r="A179" t="s">
        <v>2185</v>
      </c>
      <c r="B179" t="s">
        <v>1381</v>
      </c>
      <c r="C179" t="s">
        <v>1373</v>
      </c>
      <c r="D179" t="s">
        <v>1818</v>
      </c>
      <c r="E179" t="s">
        <v>1697</v>
      </c>
      <c r="F179">
        <v>3</v>
      </c>
      <c r="G179">
        <v>3</v>
      </c>
      <c r="H179" s="582">
        <v>-1</v>
      </c>
      <c r="I179" s="582">
        <v>0.3</v>
      </c>
      <c r="J179" s="582">
        <v>0.2</v>
      </c>
      <c r="K179" s="582">
        <v>0.2</v>
      </c>
      <c r="L179" s="582">
        <v>0.2</v>
      </c>
      <c r="M179" s="582">
        <v>-0.8</v>
      </c>
      <c r="N179" s="582">
        <v>-0.4</v>
      </c>
      <c r="O179" s="582">
        <v>0.6</v>
      </c>
      <c r="P179" s="582">
        <v>1</v>
      </c>
      <c r="Q179">
        <v>5</v>
      </c>
      <c r="R179">
        <v>1</v>
      </c>
      <c r="S179">
        <v>4</v>
      </c>
      <c r="T179" t="s">
        <v>2107</v>
      </c>
      <c r="U179" s="746" t="s">
        <v>1422</v>
      </c>
      <c r="V179">
        <v>0</v>
      </c>
      <c r="W179">
        <v>0</v>
      </c>
      <c r="X179">
        <v>6</v>
      </c>
      <c r="Y179" t="s">
        <v>2209</v>
      </c>
      <c r="Z179" t="s">
        <v>2219</v>
      </c>
      <c r="AA179" t="s">
        <v>2229</v>
      </c>
      <c r="AB179" t="s">
        <v>2238</v>
      </c>
      <c r="AC179" t="s">
        <v>5766</v>
      </c>
      <c r="AD179" t="s">
        <v>5767</v>
      </c>
      <c r="AE179">
        <v>800</v>
      </c>
      <c r="AF179" t="s">
        <v>301</v>
      </c>
      <c r="AG179" s="744" t="s">
        <v>8860</v>
      </c>
      <c r="AH179" s="746"/>
    </row>
    <row r="180" spans="1:34" ht="15.55" customHeight="1">
      <c r="A180" t="s">
        <v>2186</v>
      </c>
      <c r="B180" t="s">
        <v>1383</v>
      </c>
      <c r="C180" t="s">
        <v>1376</v>
      </c>
      <c r="D180" t="s">
        <v>2099</v>
      </c>
      <c r="E180" t="s">
        <v>1818</v>
      </c>
      <c r="F180">
        <v>4</v>
      </c>
      <c r="G180">
        <v>4</v>
      </c>
      <c r="H180" s="582">
        <v>-0.5</v>
      </c>
      <c r="I180" s="582">
        <v>0.5</v>
      </c>
      <c r="J180" s="582">
        <v>-0.5</v>
      </c>
      <c r="K180" s="582">
        <v>0.5</v>
      </c>
      <c r="L180" s="582">
        <v>0</v>
      </c>
      <c r="M180" s="582">
        <v>0</v>
      </c>
      <c r="N180" s="582">
        <v>0</v>
      </c>
      <c r="O180" s="582">
        <v>0.5</v>
      </c>
      <c r="P180" s="582">
        <v>0.5</v>
      </c>
      <c r="Q180">
        <v>5</v>
      </c>
      <c r="R180">
        <v>1</v>
      </c>
      <c r="S180">
        <v>4</v>
      </c>
      <c r="T180" t="s">
        <v>2198</v>
      </c>
      <c r="U180" t="s">
        <v>1422</v>
      </c>
      <c r="V180">
        <v>0</v>
      </c>
      <c r="W180">
        <v>0</v>
      </c>
      <c r="X180">
        <v>6</v>
      </c>
      <c r="Y180" t="s">
        <v>2210</v>
      </c>
      <c r="Z180" t="s">
        <v>2220</v>
      </c>
      <c r="AA180" t="s">
        <v>2230</v>
      </c>
      <c r="AB180" t="s">
        <v>2239</v>
      </c>
      <c r="AC180" t="s">
        <v>2248</v>
      </c>
      <c r="AD180" t="s">
        <v>5768</v>
      </c>
      <c r="AE180">
        <v>800</v>
      </c>
      <c r="AF180" t="s">
        <v>301</v>
      </c>
      <c r="AG180" s="744" t="s">
        <v>8861</v>
      </c>
      <c r="AH180" s="746"/>
    </row>
    <row r="181" spans="1:34" ht="15.55" customHeight="1">
      <c r="A181" t="s">
        <v>2187</v>
      </c>
      <c r="B181" t="s">
        <v>1385</v>
      </c>
      <c r="C181" t="s">
        <v>1370</v>
      </c>
      <c r="D181" t="s">
        <v>2100</v>
      </c>
      <c r="E181" t="s">
        <v>2028</v>
      </c>
      <c r="F181">
        <v>0</v>
      </c>
      <c r="G181">
        <v>0</v>
      </c>
      <c r="H181" s="582">
        <v>0</v>
      </c>
      <c r="I181" s="582">
        <v>0</v>
      </c>
      <c r="J181" s="582">
        <v>0</v>
      </c>
      <c r="K181" s="582">
        <v>0</v>
      </c>
      <c r="L181" s="582">
        <v>0</v>
      </c>
      <c r="M181" s="582">
        <v>0</v>
      </c>
      <c r="N181" s="582">
        <v>0</v>
      </c>
      <c r="O181" s="582">
        <v>1</v>
      </c>
      <c r="P181" s="582">
        <v>1</v>
      </c>
      <c r="Q181">
        <v>5</v>
      </c>
      <c r="R181">
        <v>1</v>
      </c>
      <c r="S181">
        <v>4</v>
      </c>
      <c r="T181" t="s">
        <v>2199</v>
      </c>
      <c r="U181" t="s">
        <v>2200</v>
      </c>
      <c r="V181">
        <v>0</v>
      </c>
      <c r="W181">
        <v>0</v>
      </c>
      <c r="X181">
        <v>6</v>
      </c>
      <c r="Y181" t="s">
        <v>2211</v>
      </c>
      <c r="Z181" t="s">
        <v>2221</v>
      </c>
      <c r="AB181" t="s">
        <v>2240</v>
      </c>
      <c r="AC181" t="s">
        <v>2249</v>
      </c>
      <c r="AD181" t="s">
        <v>5769</v>
      </c>
      <c r="AE181">
        <v>800</v>
      </c>
      <c r="AF181" t="s">
        <v>301</v>
      </c>
      <c r="AG181" s="744" t="s">
        <v>8862</v>
      </c>
      <c r="AH181" s="746"/>
    </row>
    <row r="182" spans="1:34" ht="15.55" customHeight="1">
      <c r="A182" t="s">
        <v>2260</v>
      </c>
      <c r="B182" s="703" t="s">
        <v>2465</v>
      </c>
      <c r="C182" t="s">
        <v>1376</v>
      </c>
      <c r="D182" t="s">
        <v>2271</v>
      </c>
      <c r="E182" t="s">
        <v>1818</v>
      </c>
      <c r="F182">
        <v>6</v>
      </c>
      <c r="G182">
        <v>6</v>
      </c>
      <c r="H182" s="582">
        <v>0.1</v>
      </c>
      <c r="I182" s="582">
        <v>0.1</v>
      </c>
      <c r="J182" s="582">
        <v>0.3</v>
      </c>
      <c r="K182" s="582">
        <v>0.1</v>
      </c>
      <c r="L182" s="582">
        <v>0.1</v>
      </c>
      <c r="M182" s="582">
        <v>0.1</v>
      </c>
      <c r="N182" s="582">
        <v>0.1</v>
      </c>
      <c r="O182" s="582">
        <v>0.3</v>
      </c>
      <c r="P182" s="582">
        <v>0.3</v>
      </c>
      <c r="Q182">
        <v>10</v>
      </c>
      <c r="R182">
        <v>5</v>
      </c>
      <c r="S182">
        <v>5</v>
      </c>
      <c r="T182" t="s">
        <v>2274</v>
      </c>
      <c r="U182" s="668" t="s">
        <v>1422</v>
      </c>
      <c r="W182">
        <v>0</v>
      </c>
      <c r="X182">
        <v>8</v>
      </c>
      <c r="Y182" t="s">
        <v>2278</v>
      </c>
      <c r="Z182" t="s">
        <v>2286</v>
      </c>
      <c r="AA182" t="s">
        <v>2295</v>
      </c>
      <c r="AB182" t="s">
        <v>2305</v>
      </c>
      <c r="AC182" t="s">
        <v>2315</v>
      </c>
      <c r="AD182" t="s">
        <v>5770</v>
      </c>
      <c r="AE182">
        <v>1000</v>
      </c>
      <c r="AF182" s="579" t="s">
        <v>5771</v>
      </c>
      <c r="AG182" s="744" t="s">
        <v>8865</v>
      </c>
      <c r="AH182" s="746"/>
    </row>
    <row r="183" spans="1:34" ht="15.55" customHeight="1">
      <c r="A183" t="s">
        <v>2261</v>
      </c>
      <c r="B183" t="s">
        <v>1367</v>
      </c>
      <c r="C183" t="s">
        <v>1376</v>
      </c>
      <c r="D183" t="s">
        <v>2272</v>
      </c>
      <c r="E183" t="s">
        <v>1697</v>
      </c>
      <c r="F183">
        <v>3</v>
      </c>
      <c r="G183">
        <v>3</v>
      </c>
      <c r="H183" s="582">
        <v>0.1</v>
      </c>
      <c r="I183" s="582">
        <v>0.1</v>
      </c>
      <c r="J183" s="582">
        <v>0.1</v>
      </c>
      <c r="K183" s="582">
        <v>0.1</v>
      </c>
      <c r="L183" s="582">
        <v>0.1</v>
      </c>
      <c r="M183" s="582">
        <v>0.1</v>
      </c>
      <c r="N183" s="582">
        <v>0.1</v>
      </c>
      <c r="O183" s="582">
        <v>0.1</v>
      </c>
      <c r="P183" s="582">
        <v>0.7</v>
      </c>
      <c r="Q183">
        <v>5</v>
      </c>
      <c r="R183">
        <v>10</v>
      </c>
      <c r="S183">
        <v>5</v>
      </c>
      <c r="T183" t="s">
        <v>2274</v>
      </c>
      <c r="U183" s="668" t="s">
        <v>1422</v>
      </c>
      <c r="W183">
        <v>0</v>
      </c>
      <c r="X183">
        <v>8</v>
      </c>
      <c r="Y183" t="s">
        <v>2279</v>
      </c>
      <c r="Z183" t="s">
        <v>2287</v>
      </c>
      <c r="AA183" t="s">
        <v>2296</v>
      </c>
      <c r="AB183" t="s">
        <v>2306</v>
      </c>
      <c r="AC183" t="s">
        <v>2316</v>
      </c>
      <c r="AD183" t="s">
        <v>5772</v>
      </c>
      <c r="AE183">
        <v>1000</v>
      </c>
      <c r="AF183" s="579" t="s">
        <v>5771</v>
      </c>
      <c r="AG183" s="744" t="s">
        <v>8863</v>
      </c>
      <c r="AH183" s="746"/>
    </row>
    <row r="184" spans="1:34" ht="15.55" customHeight="1">
      <c r="A184" t="s">
        <v>5984</v>
      </c>
      <c r="B184" t="s">
        <v>1369</v>
      </c>
      <c r="C184" s="670" t="s">
        <v>1376</v>
      </c>
      <c r="D184" t="s">
        <v>2272</v>
      </c>
      <c r="E184" t="s">
        <v>1770</v>
      </c>
      <c r="F184">
        <v>8</v>
      </c>
      <c r="G184">
        <v>8</v>
      </c>
      <c r="H184" s="582">
        <v>0.2</v>
      </c>
      <c r="I184" s="582">
        <v>0.2</v>
      </c>
      <c r="J184" s="582">
        <v>0.2</v>
      </c>
      <c r="K184" s="582">
        <v>0.4</v>
      </c>
      <c r="L184" s="582">
        <v>0.2</v>
      </c>
      <c r="M184" s="582">
        <v>0.2</v>
      </c>
      <c r="N184" s="582">
        <v>0.2</v>
      </c>
      <c r="O184" s="582">
        <v>0.4</v>
      </c>
      <c r="P184" s="582">
        <v>0</v>
      </c>
      <c r="Q184">
        <v>7</v>
      </c>
      <c r="R184">
        <v>7</v>
      </c>
      <c r="S184">
        <v>7</v>
      </c>
      <c r="T184" t="s">
        <v>2274</v>
      </c>
      <c r="U184" s="668" t="s">
        <v>1422</v>
      </c>
      <c r="W184">
        <v>0</v>
      </c>
      <c r="X184">
        <v>8</v>
      </c>
      <c r="Y184" t="s">
        <v>2280</v>
      </c>
      <c r="Z184" t="s">
        <v>2288</v>
      </c>
      <c r="AA184" t="s">
        <v>2297</v>
      </c>
      <c r="AB184" t="s">
        <v>2307</v>
      </c>
      <c r="AC184" t="s">
        <v>2317</v>
      </c>
      <c r="AD184" t="s">
        <v>5773</v>
      </c>
      <c r="AE184">
        <v>1000</v>
      </c>
      <c r="AF184" s="579" t="s">
        <v>5771</v>
      </c>
      <c r="AG184" s="744" t="s">
        <v>8864</v>
      </c>
      <c r="AH184" s="746"/>
    </row>
    <row r="185" spans="1:34" ht="15.55" customHeight="1">
      <c r="A185" t="s">
        <v>2263</v>
      </c>
      <c r="B185" t="s">
        <v>1371</v>
      </c>
      <c r="C185" t="s">
        <v>1376</v>
      </c>
      <c r="D185" t="s">
        <v>2100</v>
      </c>
      <c r="E185" t="s">
        <v>2099</v>
      </c>
      <c r="F185">
        <v>0</v>
      </c>
      <c r="G185">
        <v>8</v>
      </c>
      <c r="H185" s="582">
        <v>0.1</v>
      </c>
      <c r="I185" s="582">
        <v>0.1</v>
      </c>
      <c r="J185" s="582">
        <v>0.1</v>
      </c>
      <c r="K185" s="582">
        <v>0.1</v>
      </c>
      <c r="L185" s="582">
        <v>0.1</v>
      </c>
      <c r="M185" s="582">
        <v>0.1</v>
      </c>
      <c r="N185" s="582">
        <v>0.7</v>
      </c>
      <c r="O185" s="582">
        <v>0.2</v>
      </c>
      <c r="P185" s="582">
        <v>0.2</v>
      </c>
      <c r="Q185">
        <v>5</v>
      </c>
      <c r="R185">
        <v>5</v>
      </c>
      <c r="S185">
        <v>10</v>
      </c>
      <c r="T185" t="s">
        <v>2275</v>
      </c>
      <c r="U185" s="668" t="s">
        <v>1422</v>
      </c>
      <c r="W185">
        <v>0</v>
      </c>
      <c r="X185">
        <v>8</v>
      </c>
      <c r="Y185" t="s">
        <v>2281</v>
      </c>
      <c r="Z185" t="s">
        <v>2289</v>
      </c>
      <c r="AA185" t="s">
        <v>2298</v>
      </c>
      <c r="AB185" t="s">
        <v>2308</v>
      </c>
      <c r="AC185" t="s">
        <v>2318</v>
      </c>
      <c r="AD185" t="s">
        <v>5774</v>
      </c>
      <c r="AE185">
        <v>1000</v>
      </c>
      <c r="AF185" s="579" t="s">
        <v>5771</v>
      </c>
      <c r="AG185" s="744" t="s">
        <v>8866</v>
      </c>
      <c r="AH185" s="746"/>
    </row>
    <row r="186" spans="1:34" ht="15.55" customHeight="1">
      <c r="A186" t="s">
        <v>2264</v>
      </c>
      <c r="B186" t="s">
        <v>1374</v>
      </c>
      <c r="C186" t="s">
        <v>1376</v>
      </c>
      <c r="D186" t="s">
        <v>2271</v>
      </c>
      <c r="E186" t="s">
        <v>1770</v>
      </c>
      <c r="F186">
        <v>6</v>
      </c>
      <c r="G186">
        <v>6</v>
      </c>
      <c r="H186" s="582">
        <v>0.3</v>
      </c>
      <c r="I186" s="582">
        <v>0.3</v>
      </c>
      <c r="J186" s="582">
        <v>0.3</v>
      </c>
      <c r="K186" s="582">
        <v>0.3</v>
      </c>
      <c r="L186" s="582">
        <v>0.3</v>
      </c>
      <c r="M186" s="582">
        <v>0.3</v>
      </c>
      <c r="N186" s="582">
        <v>0.3</v>
      </c>
      <c r="O186" s="582">
        <v>0.3</v>
      </c>
      <c r="P186" s="582">
        <v>0.3</v>
      </c>
      <c r="Q186">
        <v>10</v>
      </c>
      <c r="R186">
        <v>5</v>
      </c>
      <c r="S186">
        <v>5</v>
      </c>
      <c r="T186" t="s">
        <v>2274</v>
      </c>
      <c r="U186" s="668" t="s">
        <v>1422</v>
      </c>
      <c r="W186">
        <v>0</v>
      </c>
      <c r="X186">
        <v>8</v>
      </c>
      <c r="Y186" t="s">
        <v>2282</v>
      </c>
      <c r="Z186" t="s">
        <v>2290</v>
      </c>
      <c r="AA186" t="s">
        <v>2299</v>
      </c>
      <c r="AB186" t="s">
        <v>2309</v>
      </c>
      <c r="AC186" t="s">
        <v>2319</v>
      </c>
      <c r="AD186" t="s">
        <v>5775</v>
      </c>
      <c r="AE186">
        <v>1000</v>
      </c>
      <c r="AF186" s="579" t="s">
        <v>5771</v>
      </c>
      <c r="AG186" s="744" t="s">
        <v>8848</v>
      </c>
      <c r="AH186" s="746"/>
    </row>
    <row r="187" spans="1:34" ht="15.55" customHeight="1">
      <c r="A187" t="s">
        <v>2265</v>
      </c>
      <c r="B187" t="s">
        <v>1377</v>
      </c>
      <c r="C187" t="s">
        <v>1376</v>
      </c>
      <c r="D187" t="s">
        <v>2271</v>
      </c>
      <c r="E187" t="s">
        <v>1818</v>
      </c>
      <c r="F187">
        <v>6</v>
      </c>
      <c r="G187">
        <v>6</v>
      </c>
      <c r="H187" s="582">
        <v>0.1</v>
      </c>
      <c r="I187" s="582">
        <v>0.1</v>
      </c>
      <c r="J187" s="582">
        <v>0.1</v>
      </c>
      <c r="K187" s="582">
        <v>0.1</v>
      </c>
      <c r="L187" s="582">
        <v>0.1</v>
      </c>
      <c r="M187" s="582">
        <v>0.1</v>
      </c>
      <c r="N187" s="582">
        <v>0.1</v>
      </c>
      <c r="O187" s="582">
        <v>0.8</v>
      </c>
      <c r="P187" s="582">
        <v>0</v>
      </c>
      <c r="Q187">
        <v>5</v>
      </c>
      <c r="R187">
        <v>10</v>
      </c>
      <c r="S187">
        <v>5</v>
      </c>
      <c r="T187" t="s">
        <v>2274</v>
      </c>
      <c r="U187" s="668" t="s">
        <v>1422</v>
      </c>
      <c r="W187">
        <v>0</v>
      </c>
      <c r="X187">
        <v>8</v>
      </c>
      <c r="Y187" t="s">
        <v>2279</v>
      </c>
      <c r="Z187" t="s">
        <v>2291</v>
      </c>
      <c r="AA187" t="s">
        <v>2300</v>
      </c>
      <c r="AB187" t="s">
        <v>2310</v>
      </c>
      <c r="AC187" t="s">
        <v>2320</v>
      </c>
      <c r="AD187" t="s">
        <v>5776</v>
      </c>
      <c r="AE187">
        <v>1000</v>
      </c>
      <c r="AF187" s="579" t="s">
        <v>5771</v>
      </c>
      <c r="AG187" s="744" t="s">
        <v>8868</v>
      </c>
      <c r="AH187" s="746"/>
    </row>
    <row r="188" spans="1:34" ht="15.55" customHeight="1">
      <c r="A188" t="s">
        <v>2266</v>
      </c>
      <c r="B188" t="s">
        <v>1379</v>
      </c>
      <c r="C188" t="s">
        <v>1376</v>
      </c>
      <c r="D188" t="s">
        <v>2100</v>
      </c>
      <c r="E188" t="s">
        <v>2099</v>
      </c>
      <c r="F188">
        <v>6</v>
      </c>
      <c r="G188">
        <v>6</v>
      </c>
      <c r="H188" s="582">
        <v>0.1</v>
      </c>
      <c r="I188" s="582">
        <v>0.1</v>
      </c>
      <c r="J188" s="582">
        <v>0.8</v>
      </c>
      <c r="K188" s="582">
        <v>0.1</v>
      </c>
      <c r="L188" s="582">
        <v>0.1</v>
      </c>
      <c r="M188" s="582">
        <v>0.1</v>
      </c>
      <c r="N188" s="582">
        <v>0.1</v>
      </c>
      <c r="O188" s="582">
        <v>0.1</v>
      </c>
      <c r="P188" s="582">
        <v>0.1</v>
      </c>
      <c r="Q188">
        <v>8</v>
      </c>
      <c r="R188">
        <v>2</v>
      </c>
      <c r="S188">
        <v>8</v>
      </c>
      <c r="T188" t="s">
        <v>2274</v>
      </c>
      <c r="U188" s="668" t="s">
        <v>1422</v>
      </c>
      <c r="W188">
        <v>0</v>
      </c>
      <c r="X188">
        <v>8</v>
      </c>
      <c r="Y188" t="s">
        <v>2283</v>
      </c>
      <c r="Z188" t="s">
        <v>2292</v>
      </c>
      <c r="AA188" t="s">
        <v>2301</v>
      </c>
      <c r="AB188" t="s">
        <v>2311</v>
      </c>
      <c r="AC188" t="s">
        <v>2321</v>
      </c>
      <c r="AD188" t="s">
        <v>5777</v>
      </c>
      <c r="AE188">
        <v>1000</v>
      </c>
      <c r="AF188" s="579" t="s">
        <v>5771</v>
      </c>
      <c r="AG188" s="744" t="s">
        <v>8867</v>
      </c>
      <c r="AH188" s="746"/>
    </row>
    <row r="189" spans="1:34" ht="15.55" customHeight="1">
      <c r="A189" t="s">
        <v>2267</v>
      </c>
      <c r="B189" t="s">
        <v>1381</v>
      </c>
      <c r="C189" t="s">
        <v>1376</v>
      </c>
      <c r="D189" t="s">
        <v>2188</v>
      </c>
      <c r="E189" t="s">
        <v>1818</v>
      </c>
      <c r="F189">
        <v>4</v>
      </c>
      <c r="G189">
        <v>4</v>
      </c>
      <c r="H189" s="582">
        <v>0.1</v>
      </c>
      <c r="I189" s="582">
        <v>0.1</v>
      </c>
      <c r="J189" s="582">
        <v>0.1</v>
      </c>
      <c r="K189" s="582">
        <v>0.1</v>
      </c>
      <c r="L189" s="582">
        <v>0.1</v>
      </c>
      <c r="M189" s="582">
        <v>0.5</v>
      </c>
      <c r="N189" s="582">
        <v>0.1</v>
      </c>
      <c r="O189" s="582">
        <v>0.1</v>
      </c>
      <c r="P189" s="582">
        <v>0.1</v>
      </c>
      <c r="Q189">
        <v>10</v>
      </c>
      <c r="R189">
        <v>5</v>
      </c>
      <c r="S189">
        <v>5</v>
      </c>
      <c r="T189" t="s">
        <v>2276</v>
      </c>
      <c r="U189" s="668" t="s">
        <v>1422</v>
      </c>
      <c r="W189">
        <v>0</v>
      </c>
      <c r="X189">
        <v>8</v>
      </c>
      <c r="Y189" t="s">
        <v>2284</v>
      </c>
      <c r="Z189" t="s">
        <v>2293</v>
      </c>
      <c r="AA189" t="s">
        <v>2302</v>
      </c>
      <c r="AB189" t="s">
        <v>2312</v>
      </c>
      <c r="AC189" t="s">
        <v>2322</v>
      </c>
      <c r="AD189" t="s">
        <v>5778</v>
      </c>
      <c r="AE189">
        <v>1000</v>
      </c>
      <c r="AF189" s="579" t="s">
        <v>5771</v>
      </c>
      <c r="AG189" s="744" t="s">
        <v>8865</v>
      </c>
      <c r="AH189" s="746"/>
    </row>
    <row r="190" spans="1:34" ht="15.55" customHeight="1">
      <c r="A190" t="s">
        <v>2268</v>
      </c>
      <c r="B190" t="s">
        <v>1383</v>
      </c>
      <c r="C190" t="s">
        <v>1376</v>
      </c>
      <c r="D190" t="s">
        <v>2273</v>
      </c>
      <c r="E190" t="s">
        <v>1697</v>
      </c>
      <c r="F190">
        <v>8</v>
      </c>
      <c r="G190">
        <v>8</v>
      </c>
      <c r="H190" s="582">
        <v>0</v>
      </c>
      <c r="I190" s="582">
        <v>0.6</v>
      </c>
      <c r="J190" s="582">
        <v>0.3</v>
      </c>
      <c r="K190" s="582">
        <v>0.3</v>
      </c>
      <c r="L190" s="582">
        <v>0.3</v>
      </c>
      <c r="M190" s="582">
        <v>0.3</v>
      </c>
      <c r="N190" s="582">
        <v>0.3</v>
      </c>
      <c r="O190" s="582">
        <v>0.3</v>
      </c>
      <c r="P190" s="582">
        <v>0.3</v>
      </c>
      <c r="Q190">
        <v>10</v>
      </c>
      <c r="R190">
        <v>5</v>
      </c>
      <c r="S190">
        <v>5</v>
      </c>
      <c r="T190" t="s">
        <v>2274</v>
      </c>
      <c r="U190" s="668" t="s">
        <v>1422</v>
      </c>
      <c r="W190">
        <v>0</v>
      </c>
      <c r="X190">
        <v>8</v>
      </c>
      <c r="Y190" t="s">
        <v>2285</v>
      </c>
      <c r="Z190" t="s">
        <v>2294</v>
      </c>
      <c r="AA190" t="s">
        <v>2303</v>
      </c>
      <c r="AB190" t="s">
        <v>2313</v>
      </c>
      <c r="AC190" t="s">
        <v>2323</v>
      </c>
      <c r="AD190" t="s">
        <v>5779</v>
      </c>
      <c r="AE190">
        <v>1000</v>
      </c>
      <c r="AF190" s="579" t="s">
        <v>5771</v>
      </c>
      <c r="AG190" s="744" t="s">
        <v>8869</v>
      </c>
      <c r="AH190" s="746"/>
    </row>
    <row r="191" spans="1:34" ht="15.55" customHeight="1">
      <c r="A191" t="s">
        <v>2269</v>
      </c>
      <c r="B191" t="s">
        <v>1385</v>
      </c>
      <c r="C191" t="s">
        <v>1376</v>
      </c>
      <c r="D191" t="s">
        <v>2099</v>
      </c>
      <c r="E191" t="s">
        <v>1818</v>
      </c>
      <c r="F191">
        <v>6</v>
      </c>
      <c r="G191">
        <v>6</v>
      </c>
      <c r="H191" s="582">
        <v>0.5</v>
      </c>
      <c r="I191" s="582">
        <v>0.1</v>
      </c>
      <c r="J191" s="582">
        <v>0.1</v>
      </c>
      <c r="K191" s="582">
        <v>0.1</v>
      </c>
      <c r="L191" s="582">
        <v>0.1</v>
      </c>
      <c r="M191" s="582">
        <v>0.1</v>
      </c>
      <c r="N191" s="582">
        <v>0.1</v>
      </c>
      <c r="O191" s="582">
        <v>0.1</v>
      </c>
      <c r="P191" s="582">
        <v>0.1</v>
      </c>
      <c r="Q191">
        <v>5</v>
      </c>
      <c r="R191">
        <v>10</v>
      </c>
      <c r="S191">
        <v>5</v>
      </c>
      <c r="T191" t="s">
        <v>2277</v>
      </c>
      <c r="U191" s="668" t="s">
        <v>1422</v>
      </c>
      <c r="W191">
        <v>0</v>
      </c>
      <c r="X191">
        <v>8</v>
      </c>
      <c r="Y191" t="s">
        <v>2284</v>
      </c>
      <c r="Z191" t="s">
        <v>2293</v>
      </c>
      <c r="AA191" t="s">
        <v>2304</v>
      </c>
      <c r="AB191" t="s">
        <v>2314</v>
      </c>
      <c r="AC191" t="s">
        <v>2324</v>
      </c>
      <c r="AD191" t="s">
        <v>5780</v>
      </c>
      <c r="AE191">
        <v>1000</v>
      </c>
      <c r="AF191" s="579" t="s">
        <v>5771</v>
      </c>
      <c r="AG191" s="744" t="s">
        <v>8867</v>
      </c>
      <c r="AH191" s="746"/>
    </row>
    <row r="192" spans="1:34" ht="15.55" customHeight="1">
      <c r="A192" t="s">
        <v>2336</v>
      </c>
      <c r="B192" s="703" t="s">
        <v>2465</v>
      </c>
      <c r="C192" t="s">
        <v>1376</v>
      </c>
      <c r="D192" t="s">
        <v>2272</v>
      </c>
      <c r="E192" t="s">
        <v>2100</v>
      </c>
      <c r="F192">
        <v>10</v>
      </c>
      <c r="G192">
        <v>10</v>
      </c>
      <c r="H192" s="582">
        <v>0.4</v>
      </c>
      <c r="I192" s="582">
        <v>0.4</v>
      </c>
      <c r="J192" s="582">
        <v>0.7</v>
      </c>
      <c r="K192" s="582">
        <v>0.4</v>
      </c>
      <c r="L192" s="582">
        <v>0.4</v>
      </c>
      <c r="M192" s="582">
        <v>0.4</v>
      </c>
      <c r="N192" s="582">
        <v>0.4</v>
      </c>
      <c r="O192" s="582">
        <v>0.5</v>
      </c>
      <c r="P192" s="582">
        <v>0.5</v>
      </c>
      <c r="Q192">
        <v>20</v>
      </c>
      <c r="R192">
        <v>10</v>
      </c>
      <c r="S192">
        <v>20</v>
      </c>
      <c r="T192" t="s">
        <v>2348</v>
      </c>
      <c r="U192" t="s">
        <v>2357</v>
      </c>
      <c r="V192">
        <v>0.2</v>
      </c>
      <c r="W192">
        <v>0</v>
      </c>
      <c r="X192">
        <v>10</v>
      </c>
      <c r="Y192" t="s">
        <v>2359</v>
      </c>
      <c r="Z192" t="s">
        <v>2368</v>
      </c>
      <c r="AA192" t="s">
        <v>2377</v>
      </c>
      <c r="AB192" t="s">
        <v>2386</v>
      </c>
      <c r="AC192" t="s">
        <v>2395</v>
      </c>
      <c r="AD192" t="s">
        <v>2404</v>
      </c>
      <c r="AE192">
        <v>1400</v>
      </c>
      <c r="AF192" t="s">
        <v>302</v>
      </c>
      <c r="AG192" s="744" t="s">
        <v>8870</v>
      </c>
      <c r="AH192" s="746"/>
    </row>
    <row r="193" spans="1:34" ht="15.55" customHeight="1">
      <c r="A193" t="s">
        <v>2337</v>
      </c>
      <c r="B193" t="s">
        <v>1367</v>
      </c>
      <c r="C193" t="s">
        <v>1376</v>
      </c>
      <c r="D193" t="s">
        <v>2100</v>
      </c>
      <c r="E193" t="s">
        <v>2099</v>
      </c>
      <c r="F193">
        <v>8</v>
      </c>
      <c r="G193">
        <v>8</v>
      </c>
      <c r="H193" s="582">
        <v>0.3</v>
      </c>
      <c r="I193" s="582">
        <v>0.3</v>
      </c>
      <c r="J193" s="582">
        <v>0.3</v>
      </c>
      <c r="K193" s="582">
        <v>0.3</v>
      </c>
      <c r="L193" s="582">
        <v>0.3</v>
      </c>
      <c r="M193" s="582">
        <v>0.3</v>
      </c>
      <c r="N193" s="582">
        <v>0.3</v>
      </c>
      <c r="O193" s="582">
        <v>-0.5</v>
      </c>
      <c r="P193" s="582">
        <v>-0.5</v>
      </c>
      <c r="Q193">
        <v>5</v>
      </c>
      <c r="R193">
        <v>5</v>
      </c>
      <c r="S193">
        <v>5</v>
      </c>
      <c r="T193" t="s">
        <v>2349</v>
      </c>
      <c r="U193" t="s">
        <v>2358</v>
      </c>
      <c r="V193">
        <v>0</v>
      </c>
      <c r="W193">
        <v>2</v>
      </c>
      <c r="X193">
        <v>10</v>
      </c>
      <c r="Y193" t="s">
        <v>2360</v>
      </c>
      <c r="Z193" t="s">
        <v>2369</v>
      </c>
      <c r="AA193" t="s">
        <v>2378</v>
      </c>
      <c r="AB193" t="s">
        <v>2387</v>
      </c>
      <c r="AC193" t="s">
        <v>2396</v>
      </c>
      <c r="AD193" t="s">
        <v>2405</v>
      </c>
      <c r="AE193" s="737">
        <v>1400</v>
      </c>
      <c r="AF193" t="s">
        <v>302</v>
      </c>
      <c r="AG193" s="744" t="s">
        <v>8876</v>
      </c>
      <c r="AH193" s="746"/>
    </row>
    <row r="194" spans="1:34" ht="15.55" customHeight="1">
      <c r="A194" t="s">
        <v>2338</v>
      </c>
      <c r="B194" t="s">
        <v>1369</v>
      </c>
      <c r="C194" t="s">
        <v>1368</v>
      </c>
      <c r="D194" t="s">
        <v>2100</v>
      </c>
      <c r="E194" t="s">
        <v>2099</v>
      </c>
      <c r="F194">
        <v>8</v>
      </c>
      <c r="G194">
        <v>8</v>
      </c>
      <c r="H194" s="582">
        <v>0</v>
      </c>
      <c r="I194" s="582">
        <v>-0.5</v>
      </c>
      <c r="J194" s="582">
        <v>0</v>
      </c>
      <c r="K194" s="582">
        <v>1</v>
      </c>
      <c r="L194" s="582">
        <v>0.5</v>
      </c>
      <c r="M194" s="582">
        <v>-0.5</v>
      </c>
      <c r="N194" s="582">
        <v>0.5</v>
      </c>
      <c r="O194" s="582">
        <v>0</v>
      </c>
      <c r="P194" s="582">
        <v>0</v>
      </c>
      <c r="Q194">
        <v>5</v>
      </c>
      <c r="R194">
        <v>5</v>
      </c>
      <c r="S194">
        <v>10</v>
      </c>
      <c r="T194" t="s">
        <v>2350</v>
      </c>
      <c r="U194" s="746" t="s">
        <v>1422</v>
      </c>
      <c r="V194">
        <v>0</v>
      </c>
      <c r="W194">
        <v>0</v>
      </c>
      <c r="X194">
        <v>10</v>
      </c>
      <c r="Y194" t="s">
        <v>2361</v>
      </c>
      <c r="Z194" t="s">
        <v>2370</v>
      </c>
      <c r="AA194" t="s">
        <v>2379</v>
      </c>
      <c r="AB194" t="s">
        <v>2388</v>
      </c>
      <c r="AC194" t="s">
        <v>2397</v>
      </c>
      <c r="AD194" t="s">
        <v>2406</v>
      </c>
      <c r="AE194" s="737">
        <v>1400</v>
      </c>
      <c r="AF194" t="s">
        <v>302</v>
      </c>
      <c r="AG194" s="744" t="s">
        <v>8875</v>
      </c>
      <c r="AH194" s="746"/>
    </row>
    <row r="195" spans="1:34" ht="15.55" customHeight="1">
      <c r="A195" t="s">
        <v>2339</v>
      </c>
      <c r="B195" t="s">
        <v>1371</v>
      </c>
      <c r="C195" t="s">
        <v>1376</v>
      </c>
      <c r="D195" t="s">
        <v>2100</v>
      </c>
      <c r="E195" t="s">
        <v>2099</v>
      </c>
      <c r="F195">
        <v>0</v>
      </c>
      <c r="G195">
        <v>8</v>
      </c>
      <c r="H195" s="582">
        <v>0.1</v>
      </c>
      <c r="I195" s="582">
        <v>0.1</v>
      </c>
      <c r="J195" s="582">
        <v>0.1</v>
      </c>
      <c r="K195" s="582">
        <v>0.1</v>
      </c>
      <c r="L195" s="582">
        <v>0.1</v>
      </c>
      <c r="M195" s="582">
        <v>0.1</v>
      </c>
      <c r="N195" s="582">
        <v>0.7</v>
      </c>
      <c r="O195" s="582">
        <v>0.2</v>
      </c>
      <c r="P195" s="582">
        <v>0.2</v>
      </c>
      <c r="Q195">
        <v>5</v>
      </c>
      <c r="R195">
        <v>5</v>
      </c>
      <c r="S195">
        <v>10</v>
      </c>
      <c r="T195" t="s">
        <v>2275</v>
      </c>
      <c r="U195" s="746" t="s">
        <v>1422</v>
      </c>
      <c r="V195">
        <v>0.2</v>
      </c>
      <c r="W195">
        <v>1000</v>
      </c>
      <c r="X195">
        <v>10</v>
      </c>
      <c r="Y195" t="s">
        <v>2281</v>
      </c>
      <c r="Z195" t="s">
        <v>2289</v>
      </c>
      <c r="AA195" t="s">
        <v>2298</v>
      </c>
      <c r="AB195" t="s">
        <v>2308</v>
      </c>
      <c r="AC195" t="s">
        <v>2318</v>
      </c>
      <c r="AD195" t="s">
        <v>2407</v>
      </c>
      <c r="AE195" s="737">
        <v>1400</v>
      </c>
      <c r="AF195" t="s">
        <v>302</v>
      </c>
      <c r="AG195" s="744" t="s">
        <v>8877</v>
      </c>
      <c r="AH195" s="746"/>
    </row>
    <row r="196" spans="1:34" ht="15.55" customHeight="1">
      <c r="A196" t="s">
        <v>2340</v>
      </c>
      <c r="B196" t="s">
        <v>1374</v>
      </c>
      <c r="C196" t="s">
        <v>1373</v>
      </c>
      <c r="D196" t="s">
        <v>2271</v>
      </c>
      <c r="E196" t="s">
        <v>1697</v>
      </c>
      <c r="F196">
        <v>10</v>
      </c>
      <c r="G196">
        <v>10</v>
      </c>
      <c r="H196" s="582">
        <v>0.5</v>
      </c>
      <c r="I196" s="582">
        <v>-0.5</v>
      </c>
      <c r="J196" s="582">
        <v>0.5</v>
      </c>
      <c r="K196" s="582">
        <v>-0.5</v>
      </c>
      <c r="L196" s="582">
        <v>0.5</v>
      </c>
      <c r="M196" s="582">
        <v>0.5</v>
      </c>
      <c r="N196" s="582">
        <v>0</v>
      </c>
      <c r="O196" s="582">
        <v>1</v>
      </c>
      <c r="P196" s="582">
        <v>1</v>
      </c>
      <c r="Q196">
        <v>10</v>
      </c>
      <c r="R196">
        <v>5</v>
      </c>
      <c r="S196">
        <v>5</v>
      </c>
      <c r="T196" t="s">
        <v>2351</v>
      </c>
      <c r="U196" t="s">
        <v>1423</v>
      </c>
      <c r="V196">
        <v>0</v>
      </c>
      <c r="W196">
        <v>0</v>
      </c>
      <c r="X196">
        <v>10</v>
      </c>
      <c r="Y196" t="s">
        <v>2362</v>
      </c>
      <c r="Z196" t="s">
        <v>2371</v>
      </c>
      <c r="AA196" t="s">
        <v>2380</v>
      </c>
      <c r="AB196" t="s">
        <v>2389</v>
      </c>
      <c r="AC196" t="s">
        <v>2398</v>
      </c>
      <c r="AD196" t="s">
        <v>2408</v>
      </c>
      <c r="AE196" s="737">
        <v>1400</v>
      </c>
      <c r="AF196" t="s">
        <v>302</v>
      </c>
      <c r="AG196" t="s">
        <v>8871</v>
      </c>
      <c r="AH196" s="746"/>
    </row>
    <row r="197" spans="1:34" ht="15.55" customHeight="1">
      <c r="A197" t="s">
        <v>2341</v>
      </c>
      <c r="B197" t="s">
        <v>1377</v>
      </c>
      <c r="C197" t="s">
        <v>1376</v>
      </c>
      <c r="D197" t="s">
        <v>2271</v>
      </c>
      <c r="E197" t="s">
        <v>2028</v>
      </c>
      <c r="F197">
        <v>10</v>
      </c>
      <c r="G197">
        <v>10</v>
      </c>
      <c r="H197" s="582">
        <v>-0.5</v>
      </c>
      <c r="I197" s="582">
        <v>0.5</v>
      </c>
      <c r="J197" s="582">
        <v>0.1</v>
      </c>
      <c r="K197" s="582">
        <v>0.1</v>
      </c>
      <c r="L197" s="582">
        <v>0.1</v>
      </c>
      <c r="M197" s="582">
        <v>0.1</v>
      </c>
      <c r="N197" s="582">
        <v>0.1</v>
      </c>
      <c r="O197" s="582">
        <v>1</v>
      </c>
      <c r="P197" s="582">
        <v>0</v>
      </c>
      <c r="Q197">
        <v>5</v>
      </c>
      <c r="R197">
        <v>5</v>
      </c>
      <c r="S197">
        <v>5</v>
      </c>
      <c r="T197" t="s">
        <v>2352</v>
      </c>
      <c r="U197" s="746" t="s">
        <v>1422</v>
      </c>
      <c r="V197">
        <v>0</v>
      </c>
      <c r="W197">
        <v>0</v>
      </c>
      <c r="X197">
        <v>10</v>
      </c>
      <c r="Y197" t="s">
        <v>5781</v>
      </c>
      <c r="Z197" t="s">
        <v>5782</v>
      </c>
      <c r="AA197" t="s">
        <v>2381</v>
      </c>
      <c r="AB197" t="s">
        <v>5783</v>
      </c>
      <c r="AC197" t="s">
        <v>2399</v>
      </c>
      <c r="AD197" t="s">
        <v>2409</v>
      </c>
      <c r="AE197" s="737">
        <v>1400</v>
      </c>
      <c r="AF197" t="s">
        <v>302</v>
      </c>
      <c r="AG197" t="s">
        <v>8874</v>
      </c>
      <c r="AH197" s="746"/>
    </row>
    <row r="198" spans="1:34" ht="15.55" customHeight="1">
      <c r="A198" t="s">
        <v>2342</v>
      </c>
      <c r="B198" t="s">
        <v>1379</v>
      </c>
      <c r="C198" t="s">
        <v>1364</v>
      </c>
      <c r="D198" t="s">
        <v>2271</v>
      </c>
      <c r="E198" t="s">
        <v>2102</v>
      </c>
      <c r="F198">
        <v>10</v>
      </c>
      <c r="G198">
        <v>10</v>
      </c>
      <c r="H198" s="582">
        <v>-0.5</v>
      </c>
      <c r="I198" s="582">
        <v>0.5</v>
      </c>
      <c r="J198" s="582">
        <v>1</v>
      </c>
      <c r="K198" s="582">
        <v>0.5</v>
      </c>
      <c r="L198" s="582">
        <v>-0.5</v>
      </c>
      <c r="M198" s="582">
        <v>-0.5</v>
      </c>
      <c r="N198" s="582">
        <v>-0.5</v>
      </c>
      <c r="O198" s="582">
        <v>1</v>
      </c>
      <c r="P198" s="582">
        <v>1</v>
      </c>
      <c r="Q198">
        <v>20</v>
      </c>
      <c r="R198">
        <v>2</v>
      </c>
      <c r="S198">
        <v>2</v>
      </c>
      <c r="T198" t="s">
        <v>2353</v>
      </c>
      <c r="U198" s="665" t="s">
        <v>1422</v>
      </c>
      <c r="V198">
        <v>0</v>
      </c>
      <c r="W198">
        <v>0</v>
      </c>
      <c r="X198">
        <v>10</v>
      </c>
      <c r="Y198" t="s">
        <v>2364</v>
      </c>
      <c r="Z198" t="s">
        <v>2373</v>
      </c>
      <c r="AA198" t="s">
        <v>2382</v>
      </c>
      <c r="AB198" t="s">
        <v>2391</v>
      </c>
      <c r="AC198" t="s">
        <v>2400</v>
      </c>
      <c r="AD198" t="s">
        <v>2410</v>
      </c>
      <c r="AE198" s="737">
        <v>1400</v>
      </c>
      <c r="AF198" t="s">
        <v>302</v>
      </c>
      <c r="AG198" t="s">
        <v>8872</v>
      </c>
      <c r="AH198" s="746"/>
    </row>
    <row r="199" spans="1:34" ht="15.55" customHeight="1">
      <c r="A199" t="s">
        <v>2343</v>
      </c>
      <c r="B199" t="s">
        <v>1381</v>
      </c>
      <c r="C199" t="s">
        <v>1376</v>
      </c>
      <c r="D199" t="s">
        <v>2100</v>
      </c>
      <c r="E199" t="s">
        <v>2099</v>
      </c>
      <c r="F199">
        <v>12</v>
      </c>
      <c r="G199">
        <v>0</v>
      </c>
      <c r="H199" s="582">
        <v>0.1</v>
      </c>
      <c r="I199" s="582">
        <v>0.1</v>
      </c>
      <c r="J199" s="582">
        <v>0.1</v>
      </c>
      <c r="K199" s="582">
        <v>0.1</v>
      </c>
      <c r="L199" s="582">
        <v>0.1</v>
      </c>
      <c r="M199" s="582">
        <v>0.4</v>
      </c>
      <c r="N199" s="582">
        <v>0.2</v>
      </c>
      <c r="O199" s="582">
        <v>0.2</v>
      </c>
      <c r="P199" s="582">
        <v>0.2</v>
      </c>
      <c r="Q199">
        <v>5</v>
      </c>
      <c r="R199">
        <v>5</v>
      </c>
      <c r="S199">
        <v>10</v>
      </c>
      <c r="T199" t="s">
        <v>2354</v>
      </c>
      <c r="U199" s="746" t="s">
        <v>1422</v>
      </c>
      <c r="V199">
        <v>0</v>
      </c>
      <c r="W199">
        <v>1</v>
      </c>
      <c r="X199">
        <v>10</v>
      </c>
      <c r="Y199" t="s">
        <v>2365</v>
      </c>
      <c r="Z199" t="s">
        <v>2374</v>
      </c>
      <c r="AA199" t="s">
        <v>2383</v>
      </c>
      <c r="AB199" t="s">
        <v>2392</v>
      </c>
      <c r="AC199" t="s">
        <v>2401</v>
      </c>
      <c r="AD199" t="s">
        <v>2411</v>
      </c>
      <c r="AE199" s="737">
        <v>1400</v>
      </c>
      <c r="AF199" t="s">
        <v>302</v>
      </c>
      <c r="AG199" t="s">
        <v>8873</v>
      </c>
      <c r="AH199" s="746"/>
    </row>
    <row r="200" spans="1:34" ht="15.55" customHeight="1">
      <c r="A200" t="s">
        <v>2344</v>
      </c>
      <c r="B200" t="s">
        <v>1383</v>
      </c>
      <c r="C200" t="s">
        <v>1366</v>
      </c>
      <c r="D200" t="s">
        <v>2271</v>
      </c>
      <c r="E200" t="s">
        <v>2099</v>
      </c>
      <c r="F200">
        <v>5</v>
      </c>
      <c r="G200">
        <v>5</v>
      </c>
      <c r="H200" s="582">
        <v>0.5</v>
      </c>
      <c r="I200" s="582">
        <v>0.5</v>
      </c>
      <c r="J200" s="582">
        <v>0</v>
      </c>
      <c r="K200" s="582">
        <v>0</v>
      </c>
      <c r="L200" s="582">
        <v>0</v>
      </c>
      <c r="M200" s="582">
        <v>-0.5</v>
      </c>
      <c r="N200" s="582">
        <v>-0.5</v>
      </c>
      <c r="O200" s="582">
        <v>0</v>
      </c>
      <c r="P200" s="582">
        <v>0</v>
      </c>
      <c r="Q200">
        <v>2</v>
      </c>
      <c r="R200">
        <v>2</v>
      </c>
      <c r="S200">
        <v>10</v>
      </c>
      <c r="T200" t="s">
        <v>2355</v>
      </c>
      <c r="U200" s="746" t="s">
        <v>1422</v>
      </c>
      <c r="V200">
        <v>0.3</v>
      </c>
      <c r="W200">
        <v>0</v>
      </c>
      <c r="X200">
        <v>10</v>
      </c>
      <c r="Y200" t="s">
        <v>2366</v>
      </c>
      <c r="Z200" t="s">
        <v>2375</v>
      </c>
      <c r="AA200" t="s">
        <v>2384</v>
      </c>
      <c r="AB200" t="s">
        <v>2393</v>
      </c>
      <c r="AC200" t="s">
        <v>2402</v>
      </c>
      <c r="AD200" t="s">
        <v>2412</v>
      </c>
      <c r="AE200" s="737">
        <v>1400</v>
      </c>
      <c r="AF200" t="s">
        <v>302</v>
      </c>
      <c r="AG200" t="s">
        <v>8878</v>
      </c>
      <c r="AH200" s="746"/>
    </row>
    <row r="201" spans="1:34" ht="15.55" customHeight="1">
      <c r="A201" t="s">
        <v>2345</v>
      </c>
      <c r="B201" t="s">
        <v>1385</v>
      </c>
      <c r="C201" t="s">
        <v>1370</v>
      </c>
      <c r="D201" t="s">
        <v>2271</v>
      </c>
      <c r="E201" t="s">
        <v>2102</v>
      </c>
      <c r="F201">
        <v>10</v>
      </c>
      <c r="G201">
        <v>10</v>
      </c>
      <c r="H201" s="582">
        <v>0.5</v>
      </c>
      <c r="I201" s="582">
        <v>-0.5</v>
      </c>
      <c r="J201" s="582">
        <v>0</v>
      </c>
      <c r="K201" s="582">
        <v>0</v>
      </c>
      <c r="L201" s="582">
        <v>0</v>
      </c>
      <c r="M201" s="582">
        <v>0</v>
      </c>
      <c r="N201" s="582">
        <v>0</v>
      </c>
      <c r="O201" s="582">
        <v>0</v>
      </c>
      <c r="P201" s="582">
        <v>0</v>
      </c>
      <c r="Q201">
        <v>5</v>
      </c>
      <c r="R201">
        <v>5</v>
      </c>
      <c r="S201">
        <v>5</v>
      </c>
      <c r="T201" t="s">
        <v>2356</v>
      </c>
      <c r="U201" s="746" t="s">
        <v>1422</v>
      </c>
      <c r="V201">
        <v>0</v>
      </c>
      <c r="W201">
        <v>0</v>
      </c>
      <c r="X201">
        <v>10</v>
      </c>
      <c r="Y201" t="s">
        <v>2367</v>
      </c>
      <c r="Z201" t="s">
        <v>2376</v>
      </c>
      <c r="AA201" t="s">
        <v>2385</v>
      </c>
      <c r="AB201" t="s">
        <v>5784</v>
      </c>
      <c r="AC201" t="s">
        <v>2403</v>
      </c>
      <c r="AD201" t="s">
        <v>2413</v>
      </c>
      <c r="AE201" s="737">
        <v>1400</v>
      </c>
      <c r="AF201" t="s">
        <v>302</v>
      </c>
      <c r="AG201" t="s">
        <v>8879</v>
      </c>
      <c r="AH201" s="746"/>
    </row>
    <row r="202" spans="1:34" s="659" customFormat="1" ht="15.55" customHeight="1">
      <c r="A202" s="659" t="s">
        <v>5848</v>
      </c>
      <c r="B202" s="703" t="s">
        <v>2465</v>
      </c>
      <c r="C202" s="659" t="s">
        <v>5849</v>
      </c>
      <c r="D202" s="659" t="s">
        <v>5860</v>
      </c>
      <c r="E202" s="659" t="s">
        <v>2028</v>
      </c>
      <c r="F202" s="659">
        <v>20</v>
      </c>
      <c r="G202" s="659">
        <v>20</v>
      </c>
      <c r="H202" s="582">
        <v>0.6</v>
      </c>
      <c r="I202" s="582">
        <v>0.6</v>
      </c>
      <c r="J202" s="582">
        <v>0.6</v>
      </c>
      <c r="K202" s="582">
        <v>0.6</v>
      </c>
      <c r="L202" s="582">
        <v>0.6</v>
      </c>
      <c r="M202" s="582">
        <v>0.6</v>
      </c>
      <c r="N202" s="582">
        <v>0.6</v>
      </c>
      <c r="O202" s="582">
        <v>0.6</v>
      </c>
      <c r="P202" s="582">
        <v>0.6</v>
      </c>
      <c r="Q202" s="659">
        <v>30</v>
      </c>
      <c r="R202" s="659">
        <v>30</v>
      </c>
      <c r="S202" s="659">
        <v>0</v>
      </c>
      <c r="T202" s="659" t="s">
        <v>5850</v>
      </c>
      <c r="U202" s="659" t="s">
        <v>2358</v>
      </c>
      <c r="V202" s="659">
        <v>0</v>
      </c>
      <c r="W202" s="659">
        <v>3</v>
      </c>
      <c r="X202" s="659">
        <v>12</v>
      </c>
      <c r="Y202" s="659" t="s">
        <v>5851</v>
      </c>
      <c r="Z202" s="659" t="s">
        <v>4492</v>
      </c>
      <c r="AA202" s="659" t="s">
        <v>4495</v>
      </c>
      <c r="AB202" s="659" t="s">
        <v>4497</v>
      </c>
      <c r="AC202" s="659" t="s">
        <v>4501</v>
      </c>
      <c r="AE202" s="659">
        <v>1000</v>
      </c>
      <c r="AF202" s="659" t="s">
        <v>5852</v>
      </c>
      <c r="AH202" s="746"/>
    </row>
    <row r="203" spans="1:34" s="659" customFormat="1" ht="15.55" customHeight="1">
      <c r="A203" s="659" t="s">
        <v>5853</v>
      </c>
      <c r="B203" s="703" t="s">
        <v>2465</v>
      </c>
      <c r="C203" s="659" t="s">
        <v>1368</v>
      </c>
      <c r="D203" s="659" t="s">
        <v>5861</v>
      </c>
      <c r="E203" s="659" t="s">
        <v>5861</v>
      </c>
      <c r="F203" s="659">
        <v>10</v>
      </c>
      <c r="G203" s="659">
        <v>20</v>
      </c>
      <c r="H203" s="582">
        <v>0.8</v>
      </c>
      <c r="I203" s="582">
        <v>0.8</v>
      </c>
      <c r="J203" s="582">
        <v>0.8</v>
      </c>
      <c r="K203" s="582">
        <v>0.8</v>
      </c>
      <c r="L203" s="582">
        <v>0.8</v>
      </c>
      <c r="M203" s="582">
        <v>0.8</v>
      </c>
      <c r="N203" s="582">
        <v>0.8</v>
      </c>
      <c r="O203" s="582">
        <v>0.8</v>
      </c>
      <c r="P203" s="582">
        <v>0.8</v>
      </c>
      <c r="Q203" s="659">
        <v>10</v>
      </c>
      <c r="R203" s="659">
        <v>10</v>
      </c>
      <c r="S203" s="659">
        <v>40</v>
      </c>
      <c r="T203" s="659" t="s">
        <v>5854</v>
      </c>
      <c r="U203" s="659" t="s">
        <v>2358</v>
      </c>
      <c r="V203" s="659">
        <v>0</v>
      </c>
      <c r="W203" s="659">
        <v>0</v>
      </c>
      <c r="X203" s="659">
        <v>12</v>
      </c>
      <c r="Y203" s="659" t="s">
        <v>4489</v>
      </c>
      <c r="Z203" s="659" t="s">
        <v>4493</v>
      </c>
      <c r="AA203" s="659" t="s">
        <v>4496</v>
      </c>
      <c r="AB203" s="659" t="s">
        <v>4498</v>
      </c>
      <c r="AC203" s="659" t="s">
        <v>4502</v>
      </c>
      <c r="AE203" s="659">
        <v>1000</v>
      </c>
      <c r="AF203" s="659" t="s">
        <v>5855</v>
      </c>
      <c r="AH203" s="746"/>
    </row>
    <row r="204" spans="1:34" s="659" customFormat="1" ht="15.55" customHeight="1">
      <c r="A204" s="659" t="s">
        <v>5856</v>
      </c>
      <c r="B204" s="703" t="s">
        <v>2465</v>
      </c>
      <c r="C204" s="659" t="s">
        <v>5849</v>
      </c>
      <c r="D204" s="659" t="s">
        <v>5860</v>
      </c>
      <c r="E204" s="659" t="s">
        <v>2028</v>
      </c>
      <c r="F204" s="659">
        <v>15</v>
      </c>
      <c r="G204" s="659">
        <v>15</v>
      </c>
      <c r="H204" s="582">
        <v>0.2</v>
      </c>
      <c r="I204" s="582">
        <v>0.2</v>
      </c>
      <c r="J204" s="582">
        <v>0.2</v>
      </c>
      <c r="K204" s="582">
        <v>0.2</v>
      </c>
      <c r="L204" s="582">
        <v>0.2</v>
      </c>
      <c r="M204" s="582">
        <v>0.2</v>
      </c>
      <c r="N204" s="582">
        <v>0.2</v>
      </c>
      <c r="O204" s="582">
        <v>0.2</v>
      </c>
      <c r="P204" s="582">
        <v>0.2</v>
      </c>
      <c r="Q204" s="659">
        <v>10</v>
      </c>
      <c r="R204" s="659">
        <v>25</v>
      </c>
      <c r="S204" s="659">
        <v>25</v>
      </c>
      <c r="T204" s="659" t="s">
        <v>5857</v>
      </c>
      <c r="U204" s="659" t="s">
        <v>2358</v>
      </c>
      <c r="V204" s="659">
        <v>0</v>
      </c>
      <c r="W204" s="659">
        <v>2</v>
      </c>
      <c r="X204" s="659">
        <v>12</v>
      </c>
      <c r="Y204" s="659" t="s">
        <v>4490</v>
      </c>
      <c r="Z204" s="659" t="s">
        <v>5792</v>
      </c>
      <c r="AA204" s="659" t="s">
        <v>5791</v>
      </c>
      <c r="AB204" s="659" t="s">
        <v>4499</v>
      </c>
      <c r="AC204" s="659" t="s">
        <v>4503</v>
      </c>
      <c r="AE204" s="659">
        <v>1000</v>
      </c>
      <c r="AF204" s="659" t="s">
        <v>5852</v>
      </c>
      <c r="AH204" s="746"/>
    </row>
    <row r="205" spans="1:34" s="659" customFormat="1" ht="15.55" customHeight="1">
      <c r="A205" s="659" t="s">
        <v>5858</v>
      </c>
      <c r="B205" s="703" t="s">
        <v>2465</v>
      </c>
      <c r="C205" s="659" t="s">
        <v>1368</v>
      </c>
      <c r="D205" s="659" t="s">
        <v>5862</v>
      </c>
      <c r="E205" s="659" t="s">
        <v>5860</v>
      </c>
      <c r="F205" s="659">
        <v>20</v>
      </c>
      <c r="G205" s="659">
        <v>40</v>
      </c>
      <c r="H205" s="582">
        <v>0.9</v>
      </c>
      <c r="I205" s="582">
        <v>0.9</v>
      </c>
      <c r="J205" s="582">
        <v>0.9</v>
      </c>
      <c r="K205" s="582">
        <v>0.9</v>
      </c>
      <c r="L205" s="582">
        <v>0.9</v>
      </c>
      <c r="M205" s="582">
        <v>0.9</v>
      </c>
      <c r="N205" s="582">
        <v>0.9</v>
      </c>
      <c r="O205" s="582">
        <v>0.9</v>
      </c>
      <c r="P205" s="582">
        <v>0.9</v>
      </c>
      <c r="Q205" s="659">
        <v>20</v>
      </c>
      <c r="R205" s="659">
        <v>20</v>
      </c>
      <c r="S205" s="659">
        <v>80</v>
      </c>
      <c r="T205" s="659" t="s">
        <v>5859</v>
      </c>
      <c r="U205" s="659" t="s">
        <v>2357</v>
      </c>
      <c r="V205" s="659">
        <v>40</v>
      </c>
      <c r="W205" s="659">
        <v>0</v>
      </c>
      <c r="X205" s="659">
        <v>12</v>
      </c>
      <c r="Y205" s="659" t="s">
        <v>4491</v>
      </c>
      <c r="Z205" s="659" t="s">
        <v>4494</v>
      </c>
      <c r="AA205" s="659" t="s">
        <v>4496</v>
      </c>
      <c r="AB205" s="659" t="s">
        <v>4500</v>
      </c>
      <c r="AC205" s="659" t="s">
        <v>4504</v>
      </c>
      <c r="AE205" s="659">
        <v>1000</v>
      </c>
      <c r="AF205" s="659" t="s">
        <v>304</v>
      </c>
      <c r="AH205" s="746"/>
    </row>
    <row r="206" spans="1:34" s="659" customFormat="1" ht="15.55" customHeight="1">
      <c r="A206" s="659" t="s">
        <v>5905</v>
      </c>
      <c r="B206" s="703" t="s">
        <v>2465</v>
      </c>
      <c r="C206" s="659" t="s">
        <v>1376</v>
      </c>
      <c r="D206" s="659" t="s">
        <v>2099</v>
      </c>
      <c r="E206" s="659" t="s">
        <v>2099</v>
      </c>
      <c r="F206" s="659">
        <v>10</v>
      </c>
      <c r="G206" s="659">
        <v>10</v>
      </c>
      <c r="H206" s="582">
        <v>-0.5</v>
      </c>
      <c r="I206" s="582">
        <v>1</v>
      </c>
      <c r="J206" s="582">
        <v>0</v>
      </c>
      <c r="K206" s="582">
        <v>0</v>
      </c>
      <c r="L206" s="582">
        <v>0</v>
      </c>
      <c r="M206" s="582">
        <v>0</v>
      </c>
      <c r="N206" s="582">
        <v>0.3</v>
      </c>
      <c r="O206" s="582">
        <v>-0.1</v>
      </c>
      <c r="P206" s="582">
        <v>-0.1</v>
      </c>
      <c r="Q206" s="659">
        <v>0</v>
      </c>
      <c r="R206" s="659">
        <v>10</v>
      </c>
      <c r="S206" s="659">
        <v>20</v>
      </c>
      <c r="U206" s="659" t="s">
        <v>1422</v>
      </c>
      <c r="V206" s="659" t="s">
        <v>731</v>
      </c>
      <c r="W206" s="659">
        <v>0</v>
      </c>
      <c r="X206" s="659">
        <v>12</v>
      </c>
      <c r="Y206" s="659" t="s">
        <v>5904</v>
      </c>
      <c r="Z206" s="659" t="s">
        <v>5903</v>
      </c>
      <c r="AA206" s="659" t="s">
        <v>5902</v>
      </c>
      <c r="AB206" s="659" t="s">
        <v>5901</v>
      </c>
      <c r="AC206" s="659" t="s">
        <v>5900</v>
      </c>
      <c r="AD206" s="659" t="s">
        <v>5866</v>
      </c>
      <c r="AE206" s="659">
        <v>2400</v>
      </c>
      <c r="AF206" s="659" t="s">
        <v>5865</v>
      </c>
      <c r="AH206" s="746"/>
    </row>
    <row r="207" spans="1:34" s="659" customFormat="1" ht="15.55" customHeight="1">
      <c r="A207" s="659" t="s">
        <v>5899</v>
      </c>
      <c r="B207" s="703" t="s">
        <v>2465</v>
      </c>
      <c r="C207" s="659" t="s">
        <v>1366</v>
      </c>
      <c r="D207" s="659" t="s">
        <v>2271</v>
      </c>
      <c r="E207" s="659" t="s">
        <v>1818</v>
      </c>
      <c r="F207" s="659" t="s">
        <v>5898</v>
      </c>
      <c r="G207" s="659" t="s">
        <v>5898</v>
      </c>
      <c r="H207" s="582">
        <v>-1</v>
      </c>
      <c r="I207" s="582">
        <v>0.5</v>
      </c>
      <c r="J207" s="582">
        <v>-0.2</v>
      </c>
      <c r="K207" s="582">
        <v>0</v>
      </c>
      <c r="L207" s="582">
        <v>0</v>
      </c>
      <c r="M207" s="582">
        <v>0.3</v>
      </c>
      <c r="N207" s="582">
        <v>-0.5</v>
      </c>
      <c r="O207" s="582">
        <v>0.2</v>
      </c>
      <c r="P207" s="582">
        <v>0.2</v>
      </c>
      <c r="Q207" s="659" t="s">
        <v>5897</v>
      </c>
      <c r="R207" s="659" t="s">
        <v>5897</v>
      </c>
      <c r="S207" s="659" t="s">
        <v>5896</v>
      </c>
      <c r="T207" s="659" t="s">
        <v>5895</v>
      </c>
      <c r="U207" s="659" t="s">
        <v>2358</v>
      </c>
      <c r="V207" s="659" t="s">
        <v>736</v>
      </c>
      <c r="W207" s="659" t="s">
        <v>5894</v>
      </c>
      <c r="X207" s="659">
        <v>12</v>
      </c>
      <c r="Y207" s="659" t="s">
        <v>5893</v>
      </c>
      <c r="Z207" s="659" t="s">
        <v>5892</v>
      </c>
      <c r="AA207" s="659" t="s">
        <v>5891</v>
      </c>
      <c r="AB207" s="659" t="s">
        <v>5890</v>
      </c>
      <c r="AC207" s="659" t="s">
        <v>5889</v>
      </c>
      <c r="AD207" s="659" t="s">
        <v>5866</v>
      </c>
      <c r="AE207" s="659">
        <v>2400</v>
      </c>
      <c r="AF207" s="659" t="s">
        <v>5865</v>
      </c>
      <c r="AH207" s="746"/>
    </row>
    <row r="208" spans="1:34" s="659" customFormat="1" ht="15.55" customHeight="1">
      <c r="A208" s="659" t="s">
        <v>5888</v>
      </c>
      <c r="B208" s="703" t="s">
        <v>2465</v>
      </c>
      <c r="C208" s="659" t="s">
        <v>1376</v>
      </c>
      <c r="D208" s="659" t="s">
        <v>2100</v>
      </c>
      <c r="E208" s="659" t="s">
        <v>2099</v>
      </c>
      <c r="F208" s="659">
        <v>10</v>
      </c>
      <c r="G208" s="659">
        <v>10</v>
      </c>
      <c r="H208" s="582">
        <v>0</v>
      </c>
      <c r="I208" s="582">
        <v>0</v>
      </c>
      <c r="J208" s="582">
        <v>1</v>
      </c>
      <c r="K208" s="582">
        <v>-0.5</v>
      </c>
      <c r="L208" s="582">
        <v>0.5</v>
      </c>
      <c r="M208" s="582">
        <v>0</v>
      </c>
      <c r="N208" s="582">
        <v>0</v>
      </c>
      <c r="O208" s="582">
        <v>0</v>
      </c>
      <c r="P208" s="582">
        <v>0</v>
      </c>
      <c r="Q208" s="659">
        <v>5</v>
      </c>
      <c r="R208" s="659">
        <v>5</v>
      </c>
      <c r="S208" s="659">
        <v>10</v>
      </c>
      <c r="T208" s="659" t="s">
        <v>5887</v>
      </c>
      <c r="U208" s="659" t="s">
        <v>1422</v>
      </c>
      <c r="V208" s="659" t="s">
        <v>736</v>
      </c>
      <c r="W208" s="659">
        <v>0</v>
      </c>
      <c r="X208" s="659">
        <v>12</v>
      </c>
      <c r="Y208" s="659" t="s">
        <v>5886</v>
      </c>
      <c r="Z208" s="659" t="s">
        <v>5885</v>
      </c>
      <c r="AA208" s="659" t="s">
        <v>5884</v>
      </c>
      <c r="AB208" s="659" t="s">
        <v>5883</v>
      </c>
      <c r="AC208" s="659" t="s">
        <v>5882</v>
      </c>
      <c r="AD208" s="659" t="s">
        <v>5866</v>
      </c>
      <c r="AE208" s="659">
        <v>2400</v>
      </c>
      <c r="AF208" s="659" t="s">
        <v>5865</v>
      </c>
      <c r="AH208" s="746"/>
    </row>
    <row r="209" spans="1:34" s="659" customFormat="1" ht="15.55" customHeight="1">
      <c r="A209" s="659" t="s">
        <v>5881</v>
      </c>
      <c r="B209" s="703" t="s">
        <v>2465</v>
      </c>
      <c r="C209" s="659" t="s">
        <v>1366</v>
      </c>
      <c r="D209" s="659" t="s">
        <v>2102</v>
      </c>
      <c r="E209" s="659" t="s">
        <v>2272</v>
      </c>
      <c r="F209" s="659">
        <v>10</v>
      </c>
      <c r="G209" s="659" t="s">
        <v>5880</v>
      </c>
      <c r="H209" s="582">
        <v>0.5</v>
      </c>
      <c r="I209" s="582">
        <v>0.5</v>
      </c>
      <c r="J209" s="582">
        <v>0.5</v>
      </c>
      <c r="K209" s="582">
        <v>0.5</v>
      </c>
      <c r="L209" s="582">
        <v>0.5</v>
      </c>
      <c r="M209" s="582">
        <v>0.5</v>
      </c>
      <c r="N209" s="582">
        <v>0.5</v>
      </c>
      <c r="O209" s="582">
        <v>0.5</v>
      </c>
      <c r="P209" s="582">
        <v>0.5</v>
      </c>
      <c r="Q209" s="659">
        <v>0</v>
      </c>
      <c r="R209" s="659">
        <v>0</v>
      </c>
      <c r="S209" s="659">
        <v>30</v>
      </c>
      <c r="T209" s="659" t="s">
        <v>5879</v>
      </c>
      <c r="U209" s="659" t="s">
        <v>1422</v>
      </c>
      <c r="V209" s="659" t="s">
        <v>752</v>
      </c>
      <c r="W209" s="659">
        <v>0</v>
      </c>
      <c r="X209" s="659">
        <v>12</v>
      </c>
      <c r="Y209" s="659" t="s">
        <v>5878</v>
      </c>
      <c r="Z209" s="659" t="s">
        <v>5877</v>
      </c>
      <c r="AA209" s="659" t="s">
        <v>5876</v>
      </c>
      <c r="AB209" s="659" t="s">
        <v>5875</v>
      </c>
      <c r="AC209" s="659" t="s">
        <v>5874</v>
      </c>
      <c r="AD209" s="659" t="s">
        <v>5866</v>
      </c>
      <c r="AE209" s="659">
        <v>2400</v>
      </c>
      <c r="AF209" s="659" t="s">
        <v>5865</v>
      </c>
      <c r="AG209" s="738"/>
      <c r="AH209" s="746"/>
    </row>
    <row r="210" spans="1:34" s="659" customFormat="1" ht="15.55" customHeight="1">
      <c r="A210" s="659" t="s">
        <v>5873</v>
      </c>
      <c r="B210" s="703" t="s">
        <v>2465</v>
      </c>
      <c r="C210" s="659" t="s">
        <v>1376</v>
      </c>
      <c r="D210" s="659" t="s">
        <v>2099</v>
      </c>
      <c r="E210" s="659" t="s">
        <v>2271</v>
      </c>
      <c r="F210" s="659">
        <v>10</v>
      </c>
      <c r="G210" s="659">
        <v>10</v>
      </c>
      <c r="H210" s="582">
        <v>-0.5</v>
      </c>
      <c r="I210" s="582">
        <v>0.5</v>
      </c>
      <c r="J210" s="582">
        <v>0.2</v>
      </c>
      <c r="K210" s="582">
        <v>0.2</v>
      </c>
      <c r="L210" s="582">
        <v>0.2</v>
      </c>
      <c r="M210" s="582">
        <v>0</v>
      </c>
      <c r="N210" s="582">
        <v>-0.2</v>
      </c>
      <c r="O210" s="582">
        <v>0.3</v>
      </c>
      <c r="P210" s="582">
        <v>0.3</v>
      </c>
      <c r="Q210" s="659">
        <v>5</v>
      </c>
      <c r="R210" s="659">
        <v>20</v>
      </c>
      <c r="S210" s="659">
        <v>10</v>
      </c>
      <c r="T210" s="659" t="s">
        <v>5872</v>
      </c>
      <c r="U210" s="659" t="s">
        <v>1422</v>
      </c>
      <c r="V210" s="659" t="s">
        <v>736</v>
      </c>
      <c r="W210" s="659">
        <v>3</v>
      </c>
      <c r="X210" s="659">
        <v>12</v>
      </c>
      <c r="Y210" s="659" t="s">
        <v>5871</v>
      </c>
      <c r="Z210" s="659" t="s">
        <v>5870</v>
      </c>
      <c r="AA210" s="659" t="s">
        <v>5869</v>
      </c>
      <c r="AB210" s="659" t="s">
        <v>5868</v>
      </c>
      <c r="AC210" s="659" t="s">
        <v>5867</v>
      </c>
      <c r="AD210" s="659" t="s">
        <v>5866</v>
      </c>
      <c r="AE210" s="659">
        <v>2400</v>
      </c>
      <c r="AF210" s="659" t="s">
        <v>5865</v>
      </c>
      <c r="AG210" s="738"/>
      <c r="AH210" s="746"/>
    </row>
    <row r="211" spans="1:34" s="665" customFormat="1" ht="15.55" customHeight="1">
      <c r="A211" s="665" t="s">
        <v>5913</v>
      </c>
      <c r="B211" s="703" t="s">
        <v>2465</v>
      </c>
      <c r="C211" s="665" t="s">
        <v>5849</v>
      </c>
      <c r="D211" s="665" t="s">
        <v>1511</v>
      </c>
      <c r="E211" s="665" t="s">
        <v>1411</v>
      </c>
      <c r="F211" s="665">
        <v>1</v>
      </c>
      <c r="G211" s="665">
        <v>1</v>
      </c>
      <c r="H211" s="582">
        <v>0</v>
      </c>
      <c r="I211" s="582">
        <v>0</v>
      </c>
      <c r="J211" s="582">
        <v>0</v>
      </c>
      <c r="K211" s="582">
        <v>0</v>
      </c>
      <c r="L211" s="582">
        <v>0</v>
      </c>
      <c r="M211" s="582">
        <v>0</v>
      </c>
      <c r="N211" s="582">
        <v>0</v>
      </c>
      <c r="O211" s="582">
        <v>0</v>
      </c>
      <c r="P211" s="582">
        <v>0</v>
      </c>
      <c r="Q211" s="665">
        <v>1</v>
      </c>
      <c r="R211" s="665">
        <v>1</v>
      </c>
      <c r="S211" s="665">
        <v>1</v>
      </c>
      <c r="T211" s="665" t="s">
        <v>5914</v>
      </c>
      <c r="U211" s="665" t="s">
        <v>1422</v>
      </c>
      <c r="V211" s="670" t="s">
        <v>736</v>
      </c>
      <c r="W211" s="665">
        <v>0</v>
      </c>
      <c r="X211" s="665">
        <v>2</v>
      </c>
      <c r="Z211" s="665" t="s">
        <v>5915</v>
      </c>
      <c r="AD211" s="665" t="s">
        <v>1567</v>
      </c>
      <c r="AE211" s="665">
        <v>100</v>
      </c>
      <c r="AF211" s="665" t="s">
        <v>297</v>
      </c>
      <c r="AG211" s="745" t="s">
        <v>8775</v>
      </c>
      <c r="AH211" s="746"/>
    </row>
    <row r="212" spans="1:34" s="665" customFormat="1" ht="15.55" customHeight="1">
      <c r="A212" s="665" t="s">
        <v>5916</v>
      </c>
      <c r="B212" s="665" t="s">
        <v>1367</v>
      </c>
      <c r="C212" s="665" t="s">
        <v>5849</v>
      </c>
      <c r="D212" s="665" t="s">
        <v>5917</v>
      </c>
      <c r="E212" s="665" t="s">
        <v>2028</v>
      </c>
      <c r="F212" s="665">
        <v>3</v>
      </c>
      <c r="G212" s="665">
        <v>-3</v>
      </c>
      <c r="H212" s="582">
        <v>0</v>
      </c>
      <c r="I212" s="582">
        <v>0</v>
      </c>
      <c r="J212" s="582">
        <v>0</v>
      </c>
      <c r="K212" s="582">
        <v>0</v>
      </c>
      <c r="L212" s="582">
        <v>0</v>
      </c>
      <c r="M212" s="582">
        <v>0</v>
      </c>
      <c r="N212" s="582">
        <v>0</v>
      </c>
      <c r="O212" s="582">
        <v>0.2</v>
      </c>
      <c r="P212" s="582">
        <v>0.7</v>
      </c>
      <c r="Q212" s="665">
        <v>1</v>
      </c>
      <c r="R212" s="665">
        <v>1</v>
      </c>
      <c r="S212" s="665">
        <v>1</v>
      </c>
      <c r="T212" s="665" t="s">
        <v>5918</v>
      </c>
      <c r="U212" s="665" t="s">
        <v>1422</v>
      </c>
      <c r="V212" s="670" t="s">
        <v>736</v>
      </c>
      <c r="W212" s="665">
        <v>0</v>
      </c>
      <c r="X212" s="665">
        <v>2</v>
      </c>
      <c r="Y212" s="665" t="s">
        <v>5919</v>
      </c>
      <c r="AD212" s="665" t="s">
        <v>1567</v>
      </c>
      <c r="AE212" s="665">
        <v>100</v>
      </c>
      <c r="AF212" s="665" t="s">
        <v>297</v>
      </c>
      <c r="AG212" s="745" t="s">
        <v>8776</v>
      </c>
      <c r="AH212" s="746"/>
    </row>
    <row r="213" spans="1:34" s="665" customFormat="1" ht="15.55" customHeight="1">
      <c r="A213" s="665" t="s">
        <v>5920</v>
      </c>
      <c r="B213" s="665" t="s">
        <v>1369</v>
      </c>
      <c r="C213" s="665" t="s">
        <v>5849</v>
      </c>
      <c r="D213" s="665" t="s">
        <v>1409</v>
      </c>
      <c r="E213" s="665" t="s">
        <v>1409</v>
      </c>
      <c r="F213" s="665">
        <v>2</v>
      </c>
      <c r="G213" s="665">
        <v>2</v>
      </c>
      <c r="H213" s="582">
        <v>0</v>
      </c>
      <c r="I213" s="582">
        <v>0.2</v>
      </c>
      <c r="J213" s="582">
        <v>-0.4</v>
      </c>
      <c r="K213" s="582">
        <v>0.4</v>
      </c>
      <c r="L213" s="582">
        <v>0.2</v>
      </c>
      <c r="M213" s="582">
        <v>-1</v>
      </c>
      <c r="N213" s="582">
        <v>-0.2</v>
      </c>
      <c r="O213" s="582">
        <v>0.2</v>
      </c>
      <c r="P213" s="582">
        <v>0.2</v>
      </c>
      <c r="Q213" s="665">
        <v>2</v>
      </c>
      <c r="R213" s="665">
        <v>2</v>
      </c>
      <c r="S213" s="665">
        <v>2</v>
      </c>
      <c r="T213" s="665" t="s">
        <v>5923</v>
      </c>
      <c r="U213" s="665" t="s">
        <v>1422</v>
      </c>
      <c r="V213" s="670" t="s">
        <v>736</v>
      </c>
      <c r="W213" s="665">
        <v>0</v>
      </c>
      <c r="X213" s="665">
        <v>2</v>
      </c>
      <c r="Y213" s="665" t="s">
        <v>5921</v>
      </c>
      <c r="Z213" s="665" t="s">
        <v>5922</v>
      </c>
      <c r="AD213" s="665" t="s">
        <v>1567</v>
      </c>
      <c r="AE213" s="665">
        <v>100</v>
      </c>
      <c r="AF213" s="665" t="s">
        <v>297</v>
      </c>
      <c r="AG213" s="745" t="s">
        <v>8777</v>
      </c>
      <c r="AH213" s="746"/>
    </row>
    <row r="214" spans="1:34" s="665" customFormat="1" ht="15.55" customHeight="1">
      <c r="A214" s="665" t="s">
        <v>5924</v>
      </c>
      <c r="B214" s="665" t="s">
        <v>1371</v>
      </c>
      <c r="C214" s="665" t="s">
        <v>5849</v>
      </c>
      <c r="D214" s="669" t="s">
        <v>1423</v>
      </c>
      <c r="E214" s="665" t="s">
        <v>2028</v>
      </c>
      <c r="F214" s="665">
        <v>0</v>
      </c>
      <c r="G214" s="665">
        <v>0</v>
      </c>
      <c r="H214" s="582">
        <v>0</v>
      </c>
      <c r="I214" s="582">
        <v>0</v>
      </c>
      <c r="J214" s="582">
        <v>0</v>
      </c>
      <c r="K214" s="582">
        <v>0</v>
      </c>
      <c r="L214" s="582">
        <v>0</v>
      </c>
      <c r="M214" s="582">
        <v>0</v>
      </c>
      <c r="N214" s="582">
        <v>0</v>
      </c>
      <c r="O214" s="582">
        <v>0</v>
      </c>
      <c r="P214" s="582">
        <v>0</v>
      </c>
      <c r="Q214" s="665">
        <v>0</v>
      </c>
      <c r="R214" s="665">
        <v>0</v>
      </c>
      <c r="S214" s="665">
        <v>0</v>
      </c>
      <c r="T214" s="665" t="s">
        <v>5925</v>
      </c>
      <c r="U214" s="665" t="s">
        <v>1422</v>
      </c>
      <c r="V214" s="670" t="s">
        <v>736</v>
      </c>
      <c r="W214" s="665">
        <v>0</v>
      </c>
      <c r="X214" s="665">
        <v>2</v>
      </c>
      <c r="Y214" s="665" t="s">
        <v>8665</v>
      </c>
      <c r="AD214" s="665" t="s">
        <v>1567</v>
      </c>
      <c r="AE214" s="665">
        <v>100</v>
      </c>
      <c r="AF214" s="665" t="s">
        <v>297</v>
      </c>
      <c r="AG214" s="745" t="s">
        <v>8778</v>
      </c>
      <c r="AH214" s="746"/>
    </row>
    <row r="215" spans="1:34" s="665" customFormat="1" ht="15.55" customHeight="1">
      <c r="A215" s="665" t="s">
        <v>5933</v>
      </c>
      <c r="B215" s="665" t="s">
        <v>1374</v>
      </c>
      <c r="C215" s="665" t="s">
        <v>5849</v>
      </c>
      <c r="D215" s="665" t="s">
        <v>1560</v>
      </c>
      <c r="E215" s="665" t="s">
        <v>1409</v>
      </c>
      <c r="F215" s="665">
        <v>1</v>
      </c>
      <c r="G215" s="665">
        <v>1</v>
      </c>
      <c r="H215" s="582">
        <v>0</v>
      </c>
      <c r="I215" s="582">
        <v>0</v>
      </c>
      <c r="J215" s="582">
        <v>0</v>
      </c>
      <c r="K215" s="582">
        <v>0</v>
      </c>
      <c r="L215" s="582">
        <v>0.5</v>
      </c>
      <c r="M215" s="582">
        <v>0</v>
      </c>
      <c r="N215" s="582">
        <v>0</v>
      </c>
      <c r="O215" s="582">
        <v>0</v>
      </c>
      <c r="P215" s="582">
        <v>0</v>
      </c>
      <c r="Q215" s="665">
        <v>1</v>
      </c>
      <c r="R215" s="665">
        <v>1</v>
      </c>
      <c r="S215" s="665">
        <v>1</v>
      </c>
      <c r="T215" s="665" t="s">
        <v>1564</v>
      </c>
      <c r="U215" s="665" t="s">
        <v>1422</v>
      </c>
      <c r="V215" s="670" t="s">
        <v>736</v>
      </c>
      <c r="W215" s="665">
        <v>0</v>
      </c>
      <c r="X215" s="665">
        <v>2</v>
      </c>
      <c r="Z215" s="665" t="s">
        <v>5934</v>
      </c>
      <c r="AD215" s="665" t="s">
        <v>1567</v>
      </c>
      <c r="AE215" s="665">
        <v>100</v>
      </c>
      <c r="AF215" s="665" t="s">
        <v>297</v>
      </c>
      <c r="AG215" s="745" t="s">
        <v>8779</v>
      </c>
      <c r="AH215" s="746"/>
    </row>
    <row r="216" spans="1:34" s="665" customFormat="1" ht="15.55" customHeight="1">
      <c r="A216" s="665" t="s">
        <v>5935</v>
      </c>
      <c r="B216" s="665" t="s">
        <v>1377</v>
      </c>
      <c r="C216" s="665" t="s">
        <v>5849</v>
      </c>
      <c r="D216" s="665" t="s">
        <v>1559</v>
      </c>
      <c r="E216" s="665" t="s">
        <v>2028</v>
      </c>
      <c r="F216" s="665">
        <v>1</v>
      </c>
      <c r="G216" s="665">
        <v>2</v>
      </c>
      <c r="H216" s="582">
        <v>0</v>
      </c>
      <c r="I216" s="582">
        <v>0</v>
      </c>
      <c r="J216" s="582">
        <v>0</v>
      </c>
      <c r="K216" s="582">
        <v>0</v>
      </c>
      <c r="L216" s="582">
        <v>0</v>
      </c>
      <c r="M216" s="582">
        <v>0</v>
      </c>
      <c r="N216" s="582">
        <v>0</v>
      </c>
      <c r="O216" s="582">
        <v>0.5</v>
      </c>
      <c r="P216" s="582">
        <v>0</v>
      </c>
      <c r="Q216" s="665">
        <v>1</v>
      </c>
      <c r="R216" s="665">
        <v>1</v>
      </c>
      <c r="S216" s="665">
        <v>1</v>
      </c>
      <c r="U216" s="665" t="s">
        <v>1422</v>
      </c>
      <c r="V216" s="670" t="s">
        <v>736</v>
      </c>
      <c r="W216" s="665">
        <v>0</v>
      </c>
      <c r="X216" s="665">
        <v>2</v>
      </c>
      <c r="Y216" s="665" t="s">
        <v>5936</v>
      </c>
      <c r="AD216" s="665" t="s">
        <v>1567</v>
      </c>
      <c r="AE216" s="665">
        <v>100</v>
      </c>
      <c r="AF216" s="665" t="s">
        <v>297</v>
      </c>
      <c r="AG216" s="745" t="s">
        <v>8780</v>
      </c>
      <c r="AH216" s="746"/>
    </row>
    <row r="217" spans="1:34" s="665" customFormat="1" ht="15.55" customHeight="1">
      <c r="A217" s="665" t="s">
        <v>5937</v>
      </c>
      <c r="B217" s="665" t="s">
        <v>1379</v>
      </c>
      <c r="C217" s="665" t="s">
        <v>5849</v>
      </c>
      <c r="D217" s="665" t="s">
        <v>1557</v>
      </c>
      <c r="E217" s="665" t="s">
        <v>1411</v>
      </c>
      <c r="F217" s="665">
        <v>3</v>
      </c>
      <c r="G217" s="665">
        <v>0</v>
      </c>
      <c r="H217" s="582">
        <v>0</v>
      </c>
      <c r="I217" s="582">
        <v>0.2</v>
      </c>
      <c r="J217" s="582">
        <v>0.5</v>
      </c>
      <c r="K217" s="582">
        <v>-0.8</v>
      </c>
      <c r="L217" s="582">
        <v>0.2</v>
      </c>
      <c r="M217" s="582">
        <v>0.2</v>
      </c>
      <c r="N217" s="582">
        <v>0</v>
      </c>
      <c r="O217" s="582">
        <v>0.1</v>
      </c>
      <c r="P217" s="582">
        <v>0.2</v>
      </c>
      <c r="Q217" s="665">
        <v>1</v>
      </c>
      <c r="R217" s="665">
        <v>1</v>
      </c>
      <c r="S217" s="665">
        <v>1</v>
      </c>
      <c r="T217" s="665" t="s">
        <v>1561</v>
      </c>
      <c r="U217" s="665" t="s">
        <v>1422</v>
      </c>
      <c r="V217" s="670" t="s">
        <v>736</v>
      </c>
      <c r="W217" s="665">
        <v>0</v>
      </c>
      <c r="X217" s="665">
        <v>2</v>
      </c>
      <c r="Z217" s="665" t="s">
        <v>5938</v>
      </c>
      <c r="AD217" s="665" t="s">
        <v>1567</v>
      </c>
      <c r="AE217" s="665">
        <v>100</v>
      </c>
      <c r="AF217" s="665" t="s">
        <v>297</v>
      </c>
      <c r="AG217" s="745" t="s">
        <v>8781</v>
      </c>
      <c r="AH217" s="746"/>
    </row>
    <row r="218" spans="1:34" s="665" customFormat="1" ht="15.55" customHeight="1">
      <c r="A218" s="665" t="s">
        <v>5931</v>
      </c>
      <c r="B218" s="665" t="s">
        <v>1381</v>
      </c>
      <c r="C218" s="665" t="s">
        <v>5849</v>
      </c>
      <c r="D218" s="665" t="s">
        <v>1512</v>
      </c>
      <c r="E218" s="665" t="s">
        <v>1411</v>
      </c>
      <c r="F218" s="665">
        <v>2</v>
      </c>
      <c r="G218" s="665">
        <v>2</v>
      </c>
      <c r="H218" s="582">
        <v>0.1</v>
      </c>
      <c r="I218" s="582">
        <v>0.1</v>
      </c>
      <c r="J218" s="582">
        <v>0.1</v>
      </c>
      <c r="K218" s="582">
        <v>0.1</v>
      </c>
      <c r="L218" s="582">
        <v>0.1</v>
      </c>
      <c r="M218" s="582">
        <v>0.3</v>
      </c>
      <c r="N218" s="582">
        <v>0.1</v>
      </c>
      <c r="O218" s="582">
        <v>0.1</v>
      </c>
      <c r="P218" s="582">
        <v>0.1</v>
      </c>
      <c r="Q218" s="665">
        <v>1</v>
      </c>
      <c r="R218" s="665">
        <v>1</v>
      </c>
      <c r="S218" s="665">
        <v>1</v>
      </c>
      <c r="T218" s="665" t="s">
        <v>1564</v>
      </c>
      <c r="U218" s="665" t="s">
        <v>1422</v>
      </c>
      <c r="V218" s="670" t="s">
        <v>736</v>
      </c>
      <c r="W218" s="665">
        <v>0</v>
      </c>
      <c r="X218" s="665">
        <v>2</v>
      </c>
      <c r="Y218" s="665" t="s">
        <v>5932</v>
      </c>
      <c r="AD218" s="665" t="s">
        <v>1567</v>
      </c>
      <c r="AE218" s="665">
        <v>100</v>
      </c>
      <c r="AF218" s="665" t="s">
        <v>297</v>
      </c>
      <c r="AG218" s="745" t="s">
        <v>8782</v>
      </c>
      <c r="AH218" s="746"/>
    </row>
    <row r="219" spans="1:34" s="665" customFormat="1" ht="15.55" customHeight="1">
      <c r="A219" s="665" t="s">
        <v>5939</v>
      </c>
      <c r="B219" s="665" t="s">
        <v>1383</v>
      </c>
      <c r="C219" s="665" t="s">
        <v>5849</v>
      </c>
      <c r="D219" s="665" t="s">
        <v>1482</v>
      </c>
      <c r="E219" s="665" t="s">
        <v>1560</v>
      </c>
      <c r="F219" s="665">
        <v>2</v>
      </c>
      <c r="G219" s="665">
        <v>2</v>
      </c>
      <c r="H219" s="582">
        <v>0</v>
      </c>
      <c r="I219" s="582">
        <v>0.5</v>
      </c>
      <c r="J219" s="582">
        <v>0</v>
      </c>
      <c r="K219" s="582">
        <v>0</v>
      </c>
      <c r="L219" s="582">
        <v>0</v>
      </c>
      <c r="M219" s="582">
        <v>0</v>
      </c>
      <c r="N219" s="582">
        <v>0</v>
      </c>
      <c r="O219" s="582">
        <v>0</v>
      </c>
      <c r="P219" s="582">
        <v>0</v>
      </c>
      <c r="Q219" s="665">
        <v>1</v>
      </c>
      <c r="R219" s="665">
        <v>1</v>
      </c>
      <c r="S219" s="665">
        <v>1</v>
      </c>
      <c r="T219" s="665" t="s">
        <v>1565</v>
      </c>
      <c r="U219" s="665" t="s">
        <v>1422</v>
      </c>
      <c r="V219" s="670" t="s">
        <v>736</v>
      </c>
      <c r="W219" s="665">
        <v>0</v>
      </c>
      <c r="X219" s="665">
        <v>2</v>
      </c>
      <c r="Y219" s="665" t="s">
        <v>5940</v>
      </c>
      <c r="AD219" s="665" t="s">
        <v>1567</v>
      </c>
      <c r="AE219" s="665">
        <v>100</v>
      </c>
      <c r="AF219" s="665" t="s">
        <v>297</v>
      </c>
      <c r="AG219" s="745" t="s">
        <v>8783</v>
      </c>
      <c r="AH219" s="746"/>
    </row>
    <row r="220" spans="1:34" s="665" customFormat="1" ht="15.55" customHeight="1">
      <c r="A220" s="665" t="s">
        <v>5941</v>
      </c>
      <c r="B220" s="665" t="s">
        <v>1385</v>
      </c>
      <c r="C220" s="665" t="s">
        <v>5849</v>
      </c>
      <c r="D220" s="665" t="s">
        <v>1557</v>
      </c>
      <c r="E220" s="665" t="s">
        <v>2028</v>
      </c>
      <c r="F220" s="665">
        <v>2</v>
      </c>
      <c r="G220" s="665">
        <v>2</v>
      </c>
      <c r="H220" s="582">
        <v>0.2</v>
      </c>
      <c r="I220" s="582">
        <v>0.2</v>
      </c>
      <c r="J220" s="582">
        <v>0.2</v>
      </c>
      <c r="K220" s="582">
        <v>0.2</v>
      </c>
      <c r="L220" s="582">
        <v>0.2</v>
      </c>
      <c r="M220" s="582">
        <v>0.2</v>
      </c>
      <c r="N220" s="582">
        <v>0.2</v>
      </c>
      <c r="O220" s="582">
        <v>0.2</v>
      </c>
      <c r="P220" s="582">
        <v>0.2</v>
      </c>
      <c r="Q220" s="665">
        <v>1</v>
      </c>
      <c r="R220" s="665">
        <v>1</v>
      </c>
      <c r="S220" s="665">
        <v>1</v>
      </c>
      <c r="T220" s="665" t="s">
        <v>1564</v>
      </c>
      <c r="U220" s="665" t="s">
        <v>1422</v>
      </c>
      <c r="V220" s="670" t="s">
        <v>736</v>
      </c>
      <c r="W220" s="665">
        <v>0</v>
      </c>
      <c r="X220" s="665">
        <v>2</v>
      </c>
      <c r="Y220" s="665" t="s">
        <v>5942</v>
      </c>
      <c r="AD220" s="665" t="s">
        <v>1567</v>
      </c>
      <c r="AE220" s="665">
        <v>100</v>
      </c>
      <c r="AF220" s="665" t="s">
        <v>297</v>
      </c>
      <c r="AG220" s="745" t="s">
        <v>8784</v>
      </c>
      <c r="AH220" s="746"/>
    </row>
    <row r="221" spans="1:34" s="665" customFormat="1" ht="15.55" customHeight="1">
      <c r="A221" s="665" t="s">
        <v>5943</v>
      </c>
      <c r="B221" s="665" t="s">
        <v>1383</v>
      </c>
      <c r="C221" s="665" t="s">
        <v>5849</v>
      </c>
      <c r="D221" s="665" t="s">
        <v>1511</v>
      </c>
      <c r="E221" s="665" t="s">
        <v>2028</v>
      </c>
      <c r="F221" s="665">
        <v>3</v>
      </c>
      <c r="G221" s="665">
        <v>3</v>
      </c>
      <c r="H221" s="582">
        <v>0.2</v>
      </c>
      <c r="I221" s="582">
        <v>0.2</v>
      </c>
      <c r="J221" s="582">
        <v>0.2</v>
      </c>
      <c r="K221" s="582">
        <v>0.2</v>
      </c>
      <c r="L221" s="582">
        <v>0.2</v>
      </c>
      <c r="M221" s="582">
        <v>0.2</v>
      </c>
      <c r="N221" s="582">
        <v>0.2</v>
      </c>
      <c r="O221" s="582">
        <v>0.2</v>
      </c>
      <c r="P221" s="582">
        <v>0.2</v>
      </c>
      <c r="Q221" s="665">
        <v>1</v>
      </c>
      <c r="R221" s="665">
        <v>1</v>
      </c>
      <c r="S221" s="665">
        <v>1</v>
      </c>
      <c r="T221" s="665" t="s">
        <v>5945</v>
      </c>
      <c r="U221" s="665" t="s">
        <v>1422</v>
      </c>
      <c r="V221" s="670" t="s">
        <v>736</v>
      </c>
      <c r="W221" s="665">
        <v>0</v>
      </c>
      <c r="X221" s="665">
        <v>3</v>
      </c>
      <c r="Y221" s="665" t="s">
        <v>5944</v>
      </c>
      <c r="AD221" s="665" t="s">
        <v>5704</v>
      </c>
      <c r="AE221" s="665">
        <v>200</v>
      </c>
      <c r="AF221" s="665" t="s">
        <v>5697</v>
      </c>
      <c r="AG221" s="738" t="s">
        <v>8797</v>
      </c>
      <c r="AH221" s="746"/>
    </row>
    <row r="222" spans="1:34" s="665" customFormat="1" ht="15.55" customHeight="1">
      <c r="A222" s="665" t="s">
        <v>5958</v>
      </c>
      <c r="B222" s="703" t="s">
        <v>2465</v>
      </c>
      <c r="C222" s="665" t="s">
        <v>5849</v>
      </c>
      <c r="D222" s="665" t="s">
        <v>1697</v>
      </c>
      <c r="E222" s="665" t="s">
        <v>1697</v>
      </c>
      <c r="F222" s="665">
        <v>4</v>
      </c>
      <c r="G222" s="665">
        <v>4</v>
      </c>
      <c r="H222" s="582">
        <v>0.1</v>
      </c>
      <c r="I222" s="582">
        <v>0.1</v>
      </c>
      <c r="J222" s="582">
        <v>0.1</v>
      </c>
      <c r="K222" s="582">
        <v>0.1</v>
      </c>
      <c r="L222" s="582">
        <v>0.1</v>
      </c>
      <c r="M222" s="582">
        <v>0.1</v>
      </c>
      <c r="N222" s="582">
        <v>0.1</v>
      </c>
      <c r="O222" s="582">
        <v>0.1</v>
      </c>
      <c r="P222" s="582">
        <v>0.1</v>
      </c>
      <c r="Q222" s="665">
        <v>4</v>
      </c>
      <c r="R222" s="665">
        <v>4</v>
      </c>
      <c r="S222" s="665">
        <v>4</v>
      </c>
      <c r="T222" s="665" t="s">
        <v>1908</v>
      </c>
      <c r="U222" s="665" t="s">
        <v>1422</v>
      </c>
      <c r="V222" s="670" t="s">
        <v>736</v>
      </c>
      <c r="W222" s="665">
        <v>0</v>
      </c>
      <c r="X222" s="665">
        <v>4</v>
      </c>
      <c r="Y222" s="665" t="s">
        <v>5959</v>
      </c>
      <c r="Z222" s="665" t="s">
        <v>5960</v>
      </c>
      <c r="AA222" s="668" t="s">
        <v>5961</v>
      </c>
      <c r="AD222" s="665" t="s">
        <v>1782</v>
      </c>
      <c r="AE222" s="665">
        <v>400</v>
      </c>
      <c r="AF222" s="665" t="s">
        <v>299</v>
      </c>
      <c r="AG222" s="738" t="s">
        <v>8775</v>
      </c>
      <c r="AH222" s="746"/>
    </row>
    <row r="223" spans="1:34" s="665" customFormat="1" ht="15.55" customHeight="1">
      <c r="A223" s="665" t="s">
        <v>5992</v>
      </c>
      <c r="B223" s="665" t="s">
        <v>1367</v>
      </c>
      <c r="C223" s="665" t="s">
        <v>5849</v>
      </c>
      <c r="D223" s="665" t="s">
        <v>1769</v>
      </c>
      <c r="E223" s="665" t="s">
        <v>2028</v>
      </c>
      <c r="F223" s="665">
        <v>3</v>
      </c>
      <c r="G223" s="665">
        <v>3</v>
      </c>
      <c r="H223" s="582">
        <v>-0.2</v>
      </c>
      <c r="I223" s="582">
        <v>0.2</v>
      </c>
      <c r="J223" s="582">
        <v>-0.2</v>
      </c>
      <c r="K223" s="582">
        <v>0</v>
      </c>
      <c r="L223" s="582">
        <v>0.3</v>
      </c>
      <c r="M223" s="582">
        <v>0.2</v>
      </c>
      <c r="N223" s="582">
        <v>0</v>
      </c>
      <c r="O223" s="582">
        <v>0</v>
      </c>
      <c r="P223" s="582">
        <v>0.5</v>
      </c>
      <c r="Q223" s="665">
        <v>4</v>
      </c>
      <c r="R223" s="665">
        <v>4</v>
      </c>
      <c r="S223" s="665">
        <v>4</v>
      </c>
      <c r="T223" s="665" t="s">
        <v>5991</v>
      </c>
      <c r="U223" s="665" t="s">
        <v>1422</v>
      </c>
      <c r="V223" s="670" t="s">
        <v>736</v>
      </c>
      <c r="W223" s="665">
        <v>0</v>
      </c>
      <c r="X223" s="665">
        <v>4</v>
      </c>
      <c r="AD223" s="665" t="s">
        <v>1782</v>
      </c>
      <c r="AE223" s="665">
        <v>400</v>
      </c>
      <c r="AF223" s="665" t="s">
        <v>299</v>
      </c>
      <c r="AG223" s="738" t="s">
        <v>8776</v>
      </c>
      <c r="AH223" s="746"/>
    </row>
    <row r="224" spans="1:34" s="665" customFormat="1" ht="15.55" customHeight="1">
      <c r="A224" s="665" t="s">
        <v>5993</v>
      </c>
      <c r="B224" s="665" t="s">
        <v>1369</v>
      </c>
      <c r="C224" s="665" t="s">
        <v>5849</v>
      </c>
      <c r="D224" s="665" t="s">
        <v>1559</v>
      </c>
      <c r="E224" s="665" t="s">
        <v>1697</v>
      </c>
      <c r="F224" s="665">
        <v>2</v>
      </c>
      <c r="G224" s="665">
        <v>5</v>
      </c>
      <c r="H224" s="582">
        <v>0.2</v>
      </c>
      <c r="I224" s="582">
        <v>0</v>
      </c>
      <c r="J224" s="582">
        <v>0</v>
      </c>
      <c r="K224" s="582">
        <v>0.5</v>
      </c>
      <c r="L224" s="582">
        <v>0</v>
      </c>
      <c r="M224" s="582">
        <v>0</v>
      </c>
      <c r="N224" s="582">
        <v>0</v>
      </c>
      <c r="O224" s="582">
        <v>0</v>
      </c>
      <c r="P224" s="582">
        <v>0</v>
      </c>
      <c r="Q224" s="665">
        <v>4</v>
      </c>
      <c r="R224" s="665">
        <v>4</v>
      </c>
      <c r="S224" s="665">
        <v>4</v>
      </c>
      <c r="T224" s="670" t="s">
        <v>1908</v>
      </c>
      <c r="U224" s="665" t="s">
        <v>1422</v>
      </c>
      <c r="V224" s="670" t="s">
        <v>736</v>
      </c>
      <c r="W224" s="665">
        <v>0</v>
      </c>
      <c r="X224" s="665">
        <v>4</v>
      </c>
      <c r="Y224" s="665" t="s">
        <v>5994</v>
      </c>
      <c r="Z224" s="665" t="s">
        <v>5995</v>
      </c>
      <c r="AD224" s="665" t="s">
        <v>1782</v>
      </c>
      <c r="AE224" s="665">
        <v>400</v>
      </c>
      <c r="AF224" s="665" t="s">
        <v>299</v>
      </c>
      <c r="AG224" s="738" t="s">
        <v>8777</v>
      </c>
      <c r="AH224" s="746"/>
    </row>
    <row r="225" spans="1:34" s="665" customFormat="1" ht="15.55" customHeight="1">
      <c r="A225" s="665" t="s">
        <v>5927</v>
      </c>
      <c r="B225" s="665" t="s">
        <v>1371</v>
      </c>
      <c r="C225" s="665" t="s">
        <v>5849</v>
      </c>
      <c r="D225" s="669" t="s">
        <v>1423</v>
      </c>
      <c r="E225" s="665" t="s">
        <v>2028</v>
      </c>
      <c r="F225" s="665">
        <v>0</v>
      </c>
      <c r="G225" s="665">
        <v>0</v>
      </c>
      <c r="H225" s="582">
        <v>0</v>
      </c>
      <c r="I225" s="582">
        <v>0</v>
      </c>
      <c r="J225" s="582">
        <v>0</v>
      </c>
      <c r="K225" s="582">
        <v>0</v>
      </c>
      <c r="L225" s="582">
        <v>0</v>
      </c>
      <c r="M225" s="582">
        <v>0</v>
      </c>
      <c r="N225" s="582">
        <v>0</v>
      </c>
      <c r="O225" s="582">
        <v>0</v>
      </c>
      <c r="P225" s="582">
        <v>0</v>
      </c>
      <c r="Q225" s="665">
        <v>0</v>
      </c>
      <c r="R225" s="665">
        <v>0</v>
      </c>
      <c r="S225" s="665">
        <v>0</v>
      </c>
      <c r="T225" s="665" t="s">
        <v>5926</v>
      </c>
      <c r="U225" s="665" t="s">
        <v>1422</v>
      </c>
      <c r="V225" s="670" t="s">
        <v>736</v>
      </c>
      <c r="W225" s="665">
        <v>0</v>
      </c>
      <c r="X225" s="665">
        <v>4</v>
      </c>
      <c r="Y225" s="665" t="s">
        <v>8666</v>
      </c>
      <c r="AD225" s="671" t="s">
        <v>1782</v>
      </c>
      <c r="AE225" s="665">
        <v>400</v>
      </c>
      <c r="AF225" s="671" t="s">
        <v>299</v>
      </c>
      <c r="AG225" s="738" t="s">
        <v>8778</v>
      </c>
      <c r="AH225" s="746"/>
    </row>
    <row r="226" spans="1:34" s="665" customFormat="1" ht="15.55" customHeight="1">
      <c r="A226" s="665" t="s">
        <v>5928</v>
      </c>
      <c r="B226" s="665" t="s">
        <v>1374</v>
      </c>
      <c r="C226" s="665" t="s">
        <v>5849</v>
      </c>
      <c r="D226" s="665" t="s">
        <v>1769</v>
      </c>
      <c r="E226" s="665" t="s">
        <v>1697</v>
      </c>
      <c r="F226" s="665">
        <v>4</v>
      </c>
      <c r="G226" s="665">
        <v>4</v>
      </c>
      <c r="H226" s="582">
        <v>0</v>
      </c>
      <c r="I226" s="582">
        <v>0</v>
      </c>
      <c r="J226" s="582">
        <v>-1</v>
      </c>
      <c r="K226" s="582">
        <v>-0.5</v>
      </c>
      <c r="L226" s="582">
        <v>0.8</v>
      </c>
      <c r="M226" s="582">
        <v>0.8</v>
      </c>
      <c r="N226" s="582">
        <v>-0.1</v>
      </c>
      <c r="O226" s="582">
        <v>0.5</v>
      </c>
      <c r="P226" s="582">
        <v>0.8</v>
      </c>
      <c r="Q226" s="665">
        <v>4</v>
      </c>
      <c r="R226" s="665">
        <v>4</v>
      </c>
      <c r="S226" s="665">
        <v>4</v>
      </c>
      <c r="T226" s="665" t="s">
        <v>1908</v>
      </c>
      <c r="U226" s="665" t="s">
        <v>1422</v>
      </c>
      <c r="V226" s="670" t="s">
        <v>736</v>
      </c>
      <c r="W226" s="665">
        <v>0</v>
      </c>
      <c r="X226" s="665">
        <v>4</v>
      </c>
      <c r="Y226" s="665" t="s">
        <v>5929</v>
      </c>
      <c r="Z226" s="665" t="s">
        <v>5930</v>
      </c>
      <c r="AD226" s="665" t="s">
        <v>1782</v>
      </c>
      <c r="AE226" s="665">
        <v>400</v>
      </c>
      <c r="AF226" s="665" t="s">
        <v>299</v>
      </c>
      <c r="AG226" s="738" t="s">
        <v>8779</v>
      </c>
      <c r="AH226" s="746"/>
    </row>
    <row r="227" spans="1:34" s="665" customFormat="1" ht="15.55" customHeight="1">
      <c r="A227" s="665" t="s">
        <v>5954</v>
      </c>
      <c r="B227" s="665" t="s">
        <v>1377</v>
      </c>
      <c r="C227" s="665" t="s">
        <v>5849</v>
      </c>
      <c r="D227" s="665" t="s">
        <v>1559</v>
      </c>
      <c r="E227" s="665" t="s">
        <v>1697</v>
      </c>
      <c r="F227" s="665">
        <v>4</v>
      </c>
      <c r="G227" s="665">
        <v>6</v>
      </c>
      <c r="H227" s="582">
        <v>0</v>
      </c>
      <c r="I227" s="582">
        <v>0</v>
      </c>
      <c r="J227" s="582">
        <v>0</v>
      </c>
      <c r="K227" s="582">
        <v>0</v>
      </c>
      <c r="L227" s="582">
        <v>0</v>
      </c>
      <c r="M227" s="582">
        <v>0</v>
      </c>
      <c r="N227" s="582">
        <v>0</v>
      </c>
      <c r="O227" s="582">
        <v>0.5</v>
      </c>
      <c r="P227" s="582">
        <v>0.3</v>
      </c>
      <c r="Q227" s="665">
        <v>4</v>
      </c>
      <c r="R227" s="665">
        <v>4</v>
      </c>
      <c r="S227" s="665">
        <v>4</v>
      </c>
      <c r="T227" s="665" t="s">
        <v>5955</v>
      </c>
      <c r="U227" s="665" t="s">
        <v>1422</v>
      </c>
      <c r="V227" s="670" t="s">
        <v>736</v>
      </c>
      <c r="W227" s="665">
        <v>0</v>
      </c>
      <c r="X227" s="665">
        <v>4</v>
      </c>
      <c r="Y227" s="665" t="s">
        <v>5956</v>
      </c>
      <c r="Z227" s="665" t="s">
        <v>5957</v>
      </c>
      <c r="AD227" s="665" t="s">
        <v>1782</v>
      </c>
      <c r="AE227" s="665">
        <v>400</v>
      </c>
      <c r="AF227" s="665" t="s">
        <v>299</v>
      </c>
      <c r="AG227" s="738" t="s">
        <v>8780</v>
      </c>
      <c r="AH227" s="746"/>
    </row>
    <row r="228" spans="1:34" s="665" customFormat="1" ht="15.55" customHeight="1">
      <c r="A228" s="665" t="s">
        <v>5972</v>
      </c>
      <c r="B228" s="665" t="s">
        <v>1379</v>
      </c>
      <c r="C228" s="665" t="s">
        <v>5849</v>
      </c>
      <c r="D228" s="665" t="s">
        <v>1511</v>
      </c>
      <c r="E228" s="665" t="s">
        <v>1818</v>
      </c>
      <c r="F228" s="665">
        <v>3</v>
      </c>
      <c r="G228" s="665">
        <v>3</v>
      </c>
      <c r="H228" s="582">
        <v>-0.5</v>
      </c>
      <c r="I228" s="582">
        <v>0</v>
      </c>
      <c r="J228" s="582">
        <v>0.5</v>
      </c>
      <c r="K228" s="582">
        <v>-0.7</v>
      </c>
      <c r="L228" s="582">
        <v>0.5</v>
      </c>
      <c r="M228" s="582">
        <v>0.3</v>
      </c>
      <c r="N228" s="582">
        <v>0.3</v>
      </c>
      <c r="O228" s="582">
        <v>-0.2</v>
      </c>
      <c r="P228" s="582">
        <v>-0.2</v>
      </c>
      <c r="Q228" s="665">
        <v>4</v>
      </c>
      <c r="R228" s="665">
        <v>4</v>
      </c>
      <c r="S228" s="665">
        <v>4</v>
      </c>
      <c r="T228" s="665" t="s">
        <v>5973</v>
      </c>
      <c r="U228" s="665" t="s">
        <v>1422</v>
      </c>
      <c r="V228" s="670" t="s">
        <v>736</v>
      </c>
      <c r="W228" s="665">
        <v>0</v>
      </c>
      <c r="X228" s="665">
        <v>4</v>
      </c>
      <c r="Y228" s="665" t="s">
        <v>5974</v>
      </c>
      <c r="Z228" s="665" t="s">
        <v>5975</v>
      </c>
      <c r="AA228" s="665" t="s">
        <v>5976</v>
      </c>
      <c r="AB228" s="665" t="s">
        <v>5977</v>
      </c>
      <c r="AD228" s="665" t="s">
        <v>1782</v>
      </c>
      <c r="AE228" s="665">
        <v>400</v>
      </c>
      <c r="AF228" s="665" t="s">
        <v>299</v>
      </c>
      <c r="AG228" s="738" t="s">
        <v>8781</v>
      </c>
      <c r="AH228" s="746"/>
    </row>
    <row r="229" spans="1:34" s="665" customFormat="1" ht="15.55" customHeight="1">
      <c r="A229" s="665" t="s">
        <v>5952</v>
      </c>
      <c r="B229" s="665" t="s">
        <v>1381</v>
      </c>
      <c r="C229" s="665" t="s">
        <v>5849</v>
      </c>
      <c r="D229" s="668" t="s">
        <v>1818</v>
      </c>
      <c r="E229" s="665" t="s">
        <v>1697</v>
      </c>
      <c r="F229" s="665">
        <v>5</v>
      </c>
      <c r="G229" s="665">
        <v>0</v>
      </c>
      <c r="H229" s="582">
        <v>-0.5</v>
      </c>
      <c r="I229" s="582">
        <v>0.5</v>
      </c>
      <c r="J229" s="582">
        <v>0.5</v>
      </c>
      <c r="K229" s="582">
        <v>-0.5</v>
      </c>
      <c r="L229" s="582">
        <v>0.5</v>
      </c>
      <c r="M229" s="582">
        <v>0</v>
      </c>
      <c r="N229" s="582">
        <v>-0.2</v>
      </c>
      <c r="O229" s="582">
        <v>0</v>
      </c>
      <c r="P229" s="582">
        <v>0</v>
      </c>
      <c r="Q229" s="665">
        <v>4</v>
      </c>
      <c r="R229" s="665">
        <v>4</v>
      </c>
      <c r="S229" s="665">
        <v>4</v>
      </c>
      <c r="T229" s="665" t="s">
        <v>1911</v>
      </c>
      <c r="U229" s="665" t="s">
        <v>1422</v>
      </c>
      <c r="V229" s="670" t="s">
        <v>736</v>
      </c>
      <c r="W229" s="665">
        <v>0</v>
      </c>
      <c r="X229" s="665">
        <v>4</v>
      </c>
      <c r="Y229" s="665" t="s">
        <v>5929</v>
      </c>
      <c r="Z229" s="665" t="s">
        <v>5953</v>
      </c>
      <c r="AD229" s="665" t="s">
        <v>1782</v>
      </c>
      <c r="AE229" s="665">
        <v>400</v>
      </c>
      <c r="AF229" s="665" t="s">
        <v>299</v>
      </c>
      <c r="AG229" s="738" t="s">
        <v>8746</v>
      </c>
      <c r="AH229" s="746"/>
    </row>
    <row r="230" spans="1:34" s="665" customFormat="1" ht="15.55" customHeight="1">
      <c r="A230" s="665" t="s">
        <v>5962</v>
      </c>
      <c r="B230" s="665" t="s">
        <v>1383</v>
      </c>
      <c r="C230" s="665" t="s">
        <v>5849</v>
      </c>
      <c r="D230" s="665" t="s">
        <v>1818</v>
      </c>
      <c r="E230" s="665" t="s">
        <v>1411</v>
      </c>
      <c r="F230" s="665">
        <v>2</v>
      </c>
      <c r="G230" s="665">
        <v>-10</v>
      </c>
      <c r="H230" s="582">
        <v>-0.2</v>
      </c>
      <c r="I230" s="582">
        <v>0.5</v>
      </c>
      <c r="J230" s="582">
        <v>-0.2</v>
      </c>
      <c r="K230" s="582">
        <v>-0.2</v>
      </c>
      <c r="L230" s="582">
        <v>-0.2</v>
      </c>
      <c r="M230" s="582">
        <v>-0.2</v>
      </c>
      <c r="N230" s="582">
        <v>-0.2</v>
      </c>
      <c r="O230" s="582">
        <v>-0.2</v>
      </c>
      <c r="P230" s="582">
        <v>-0.2</v>
      </c>
      <c r="Q230" s="665">
        <v>8</v>
      </c>
      <c r="R230" s="665">
        <v>6</v>
      </c>
      <c r="S230" s="665">
        <v>2</v>
      </c>
      <c r="T230" s="665" t="s">
        <v>5966</v>
      </c>
      <c r="U230" s="665" t="s">
        <v>1422</v>
      </c>
      <c r="V230" s="670" t="s">
        <v>736</v>
      </c>
      <c r="W230" s="665">
        <v>2</v>
      </c>
      <c r="X230" s="665">
        <v>4</v>
      </c>
      <c r="Y230" s="665" t="s">
        <v>5963</v>
      </c>
      <c r="Z230" s="665" t="s">
        <v>5964</v>
      </c>
      <c r="AA230" s="665" t="s">
        <v>5965</v>
      </c>
      <c r="AD230" s="665" t="s">
        <v>1782</v>
      </c>
      <c r="AE230" s="665">
        <v>400</v>
      </c>
      <c r="AF230" s="665" t="s">
        <v>299</v>
      </c>
      <c r="AG230" s="738" t="s">
        <v>8783</v>
      </c>
      <c r="AH230" s="746"/>
    </row>
    <row r="231" spans="1:34" s="665" customFormat="1" ht="15.55" customHeight="1">
      <c r="A231" s="665" t="s">
        <v>5946</v>
      </c>
      <c r="B231" s="665" t="s">
        <v>1385</v>
      </c>
      <c r="C231" s="665" t="s">
        <v>5849</v>
      </c>
      <c r="D231" s="669" t="s">
        <v>5947</v>
      </c>
      <c r="E231" s="665" t="s">
        <v>2028</v>
      </c>
      <c r="F231" s="665">
        <v>0</v>
      </c>
      <c r="G231" s="665">
        <v>0</v>
      </c>
      <c r="H231" s="582">
        <v>0</v>
      </c>
      <c r="I231" s="582">
        <v>0</v>
      </c>
      <c r="J231" s="582">
        <v>0</v>
      </c>
      <c r="K231" s="582">
        <v>0</v>
      </c>
      <c r="L231" s="582">
        <v>0</v>
      </c>
      <c r="M231" s="582">
        <v>0</v>
      </c>
      <c r="N231" s="582">
        <v>0</v>
      </c>
      <c r="O231" s="582">
        <v>0</v>
      </c>
      <c r="P231" s="582">
        <v>0</v>
      </c>
      <c r="Q231" s="665">
        <v>0</v>
      </c>
      <c r="R231" s="665">
        <v>0</v>
      </c>
      <c r="S231" s="665">
        <v>0</v>
      </c>
      <c r="U231" s="665" t="s">
        <v>1422</v>
      </c>
      <c r="V231" s="670" t="s">
        <v>736</v>
      </c>
      <c r="W231" s="665">
        <v>0</v>
      </c>
      <c r="X231" s="665">
        <v>4</v>
      </c>
      <c r="Y231" s="665" t="s">
        <v>5949</v>
      </c>
      <c r="Z231" s="665" t="s">
        <v>5948</v>
      </c>
      <c r="AA231" s="665" t="s">
        <v>5950</v>
      </c>
      <c r="AB231" s="665" t="s">
        <v>5951</v>
      </c>
      <c r="AD231" s="665" t="s">
        <v>1782</v>
      </c>
      <c r="AE231" s="665">
        <v>400</v>
      </c>
      <c r="AF231" s="665" t="s">
        <v>299</v>
      </c>
      <c r="AG231" s="738" t="s">
        <v>8784</v>
      </c>
      <c r="AH231" s="746"/>
    </row>
    <row r="232" spans="1:34" s="665" customFormat="1" ht="15.55" customHeight="1">
      <c r="A232" s="665" t="s">
        <v>5967</v>
      </c>
      <c r="B232" s="668" t="s">
        <v>1383</v>
      </c>
      <c r="C232" s="665" t="s">
        <v>5849</v>
      </c>
      <c r="D232" s="665" t="s">
        <v>5970</v>
      </c>
      <c r="E232" s="665" t="s">
        <v>1697</v>
      </c>
      <c r="F232" s="665">
        <v>3</v>
      </c>
      <c r="G232" s="665">
        <v>3</v>
      </c>
      <c r="H232" s="582">
        <v>0</v>
      </c>
      <c r="I232" s="582">
        <v>0</v>
      </c>
      <c r="J232" s="582">
        <v>0</v>
      </c>
      <c r="K232" s="582">
        <v>0</v>
      </c>
      <c r="L232" s="582">
        <v>0</v>
      </c>
      <c r="M232" s="582">
        <v>0</v>
      </c>
      <c r="N232" s="582">
        <v>0</v>
      </c>
      <c r="O232" s="582">
        <v>0</v>
      </c>
      <c r="P232" s="582">
        <v>0</v>
      </c>
      <c r="Q232" s="665">
        <v>4</v>
      </c>
      <c r="R232" s="665">
        <v>4</v>
      </c>
      <c r="S232" s="665">
        <v>4</v>
      </c>
      <c r="T232" s="665" t="s">
        <v>5968</v>
      </c>
      <c r="U232" s="665" t="s">
        <v>1422</v>
      </c>
      <c r="V232" s="670" t="s">
        <v>736</v>
      </c>
      <c r="W232" s="665">
        <v>0</v>
      </c>
      <c r="X232" s="665">
        <v>5</v>
      </c>
      <c r="Y232" s="665" t="s">
        <v>5971</v>
      </c>
      <c r="Z232" s="665" t="s">
        <v>5969</v>
      </c>
      <c r="AD232" s="665" t="s">
        <v>5732</v>
      </c>
      <c r="AE232" s="665">
        <v>600</v>
      </c>
      <c r="AF232" s="579" t="s">
        <v>5727</v>
      </c>
      <c r="AG232" s="744" t="s">
        <v>8798</v>
      </c>
      <c r="AH232" s="746"/>
    </row>
    <row r="233" spans="1:34" s="665" customFormat="1" ht="15.55" customHeight="1">
      <c r="A233" s="665" t="s">
        <v>5983</v>
      </c>
      <c r="B233" s="665" t="s">
        <v>1379</v>
      </c>
      <c r="C233" s="665" t="s">
        <v>5849</v>
      </c>
      <c r="D233" s="665" t="s">
        <v>2100</v>
      </c>
      <c r="E233" s="665" t="s">
        <v>2099</v>
      </c>
      <c r="F233" s="665">
        <v>5</v>
      </c>
      <c r="G233" s="665">
        <v>5</v>
      </c>
      <c r="H233" s="582">
        <v>0</v>
      </c>
      <c r="I233" s="582">
        <v>0.1</v>
      </c>
      <c r="J233" s="582">
        <v>0.9</v>
      </c>
      <c r="K233" s="582">
        <v>-0.8</v>
      </c>
      <c r="L233" s="582">
        <v>0.3</v>
      </c>
      <c r="M233" s="582">
        <v>0.2</v>
      </c>
      <c r="N233" s="582">
        <v>0.2</v>
      </c>
      <c r="O233" s="582">
        <v>0.9</v>
      </c>
      <c r="P233" s="582">
        <v>0</v>
      </c>
      <c r="Q233" s="665">
        <v>7</v>
      </c>
      <c r="R233" s="665">
        <v>7</v>
      </c>
      <c r="S233" s="665">
        <v>7</v>
      </c>
      <c r="T233" s="665" t="s">
        <v>5985</v>
      </c>
      <c r="U233" s="665" t="s">
        <v>1422</v>
      </c>
      <c r="V233" s="670" t="s">
        <v>736</v>
      </c>
      <c r="W233" s="665">
        <v>0</v>
      </c>
      <c r="X233" s="665">
        <v>6</v>
      </c>
      <c r="Y233" s="665" t="s">
        <v>5978</v>
      </c>
      <c r="Z233" s="665" t="s">
        <v>5979</v>
      </c>
      <c r="AA233" s="665" t="s">
        <v>5980</v>
      </c>
      <c r="AB233" s="665" t="s">
        <v>5981</v>
      </c>
      <c r="AC233" s="665" t="s">
        <v>5982</v>
      </c>
      <c r="AD233" s="665" t="s">
        <v>5748</v>
      </c>
      <c r="AE233" s="665">
        <v>800</v>
      </c>
      <c r="AF233" s="665" t="s">
        <v>301</v>
      </c>
      <c r="AG233" s="744" t="s">
        <v>8788</v>
      </c>
      <c r="AH233" s="746"/>
    </row>
    <row r="234" spans="1:34" s="665" customFormat="1" ht="15.55" customHeight="1">
      <c r="A234" s="665" t="s">
        <v>5996</v>
      </c>
      <c r="B234" s="665" t="s">
        <v>1381</v>
      </c>
      <c r="C234" s="665" t="s">
        <v>5849</v>
      </c>
      <c r="D234" s="665" t="s">
        <v>5997</v>
      </c>
      <c r="E234" s="665" t="s">
        <v>2100</v>
      </c>
      <c r="F234" s="665">
        <v>-5</v>
      </c>
      <c r="G234" s="665">
        <v>7</v>
      </c>
      <c r="H234" s="582">
        <v>0.5</v>
      </c>
      <c r="I234" s="582">
        <v>0.7</v>
      </c>
      <c r="J234" s="582">
        <v>0</v>
      </c>
      <c r="K234" s="582">
        <v>0</v>
      </c>
      <c r="L234" s="582">
        <v>0.2</v>
      </c>
      <c r="M234" s="582">
        <v>0.5</v>
      </c>
      <c r="N234" s="582">
        <v>0.6</v>
      </c>
      <c r="O234" s="582">
        <v>0</v>
      </c>
      <c r="P234" s="582">
        <v>0.2</v>
      </c>
      <c r="Q234" s="665">
        <v>8</v>
      </c>
      <c r="R234" s="665">
        <v>2</v>
      </c>
      <c r="S234" s="665">
        <v>8</v>
      </c>
      <c r="T234" s="665" t="s">
        <v>5998</v>
      </c>
      <c r="U234" s="665" t="s">
        <v>1422</v>
      </c>
      <c r="V234" s="582">
        <v>0.1</v>
      </c>
      <c r="W234" s="665">
        <v>0</v>
      </c>
      <c r="X234" s="665">
        <v>6</v>
      </c>
      <c r="Y234" s="665" t="s">
        <v>5999</v>
      </c>
      <c r="Z234" s="665" t="s">
        <v>6000</v>
      </c>
      <c r="AA234" s="665" t="s">
        <v>6001</v>
      </c>
      <c r="AB234" s="665" t="s">
        <v>6003</v>
      </c>
      <c r="AC234" s="665" t="s">
        <v>6002</v>
      </c>
      <c r="AD234" s="665" t="s">
        <v>5750</v>
      </c>
      <c r="AE234" s="665">
        <v>800</v>
      </c>
      <c r="AF234" s="665" t="s">
        <v>301</v>
      </c>
      <c r="AG234" s="744" t="s">
        <v>8865</v>
      </c>
      <c r="AH234" s="746"/>
    </row>
    <row r="235" spans="1:34" s="665" customFormat="1" ht="15.55" customHeight="1">
      <c r="A235" s="665" t="s">
        <v>2262</v>
      </c>
      <c r="B235" s="665" t="s">
        <v>1383</v>
      </c>
      <c r="C235" s="665" t="s">
        <v>5849</v>
      </c>
      <c r="D235" s="665" t="s">
        <v>2273</v>
      </c>
      <c r="E235" s="665" t="s">
        <v>2100</v>
      </c>
      <c r="F235" s="665">
        <v>10</v>
      </c>
      <c r="G235" s="665">
        <v>10</v>
      </c>
      <c r="H235" s="582">
        <v>-0.5</v>
      </c>
      <c r="I235" s="582">
        <v>0.7</v>
      </c>
      <c r="J235" s="582">
        <v>0</v>
      </c>
      <c r="K235" s="582">
        <v>0.7</v>
      </c>
      <c r="L235" s="582">
        <v>0.3</v>
      </c>
      <c r="M235" s="582">
        <v>0</v>
      </c>
      <c r="N235" s="582">
        <v>-0.5</v>
      </c>
      <c r="O235" s="582">
        <v>0.3</v>
      </c>
      <c r="P235" s="582">
        <v>0.3</v>
      </c>
      <c r="Q235" s="665">
        <v>20</v>
      </c>
      <c r="R235" s="665">
        <v>2</v>
      </c>
      <c r="S235" s="665">
        <v>2</v>
      </c>
      <c r="T235" s="665" t="s">
        <v>1824</v>
      </c>
      <c r="U235" s="753" t="s">
        <v>1422</v>
      </c>
      <c r="V235" s="582">
        <v>0.2</v>
      </c>
      <c r="W235" s="665">
        <v>0</v>
      </c>
      <c r="X235" s="665">
        <v>10</v>
      </c>
      <c r="Y235" s="665" t="s">
        <v>5986</v>
      </c>
      <c r="Z235" s="665" t="s">
        <v>5989</v>
      </c>
      <c r="AA235" s="665" t="s">
        <v>5987</v>
      </c>
      <c r="AB235" s="665" t="s">
        <v>5988</v>
      </c>
      <c r="AC235" s="665" t="s">
        <v>5990</v>
      </c>
      <c r="AD235" s="665" t="s">
        <v>2410</v>
      </c>
      <c r="AE235" s="737">
        <v>1400</v>
      </c>
      <c r="AF235" s="665" t="s">
        <v>302</v>
      </c>
      <c r="AG235" s="744" t="s">
        <v>8880</v>
      </c>
      <c r="AH235" s="746"/>
    </row>
    <row r="236" spans="1:34" ht="15.55" customHeight="1">
      <c r="A236" t="s">
        <v>8829</v>
      </c>
      <c r="B236" t="s">
        <v>2465</v>
      </c>
      <c r="C236" t="s">
        <v>8830</v>
      </c>
      <c r="D236" s="746" t="s">
        <v>8831</v>
      </c>
      <c r="E236" s="746" t="s">
        <v>8832</v>
      </c>
      <c r="F236" s="746" t="s">
        <v>8833</v>
      </c>
      <c r="G236" s="746" t="s">
        <v>8833</v>
      </c>
      <c r="H236" s="582" t="s">
        <v>8834</v>
      </c>
      <c r="I236" s="582" t="s">
        <v>8834</v>
      </c>
      <c r="J236" s="582" t="s">
        <v>8834</v>
      </c>
      <c r="K236" s="582" t="s">
        <v>8834</v>
      </c>
      <c r="L236" s="582" t="s">
        <v>8834</v>
      </c>
      <c r="M236" s="582" t="s">
        <v>8834</v>
      </c>
      <c r="N236" s="582" t="s">
        <v>8834</v>
      </c>
      <c r="O236" s="582" t="s">
        <v>8834</v>
      </c>
      <c r="P236" s="582" t="s">
        <v>8834</v>
      </c>
      <c r="Q236" s="746" t="s">
        <v>8835</v>
      </c>
      <c r="R236" s="746" t="s">
        <v>8835</v>
      </c>
      <c r="S236" s="746" t="s">
        <v>8835</v>
      </c>
      <c r="T236" s="752" t="s">
        <v>8843</v>
      </c>
      <c r="U236" s="753" t="s">
        <v>2358</v>
      </c>
      <c r="V236" s="516" t="s">
        <v>8838</v>
      </c>
      <c r="W236" s="746" t="s">
        <v>8836</v>
      </c>
      <c r="X236">
        <v>12</v>
      </c>
      <c r="Y236" s="746" t="s">
        <v>8883</v>
      </c>
      <c r="Z236" s="746" t="s">
        <v>8839</v>
      </c>
      <c r="AA236" s="746" t="s">
        <v>8840</v>
      </c>
      <c r="AB236" s="746" t="s">
        <v>8841</v>
      </c>
      <c r="AC236" s="746" t="s">
        <v>8842</v>
      </c>
      <c r="AE236" s="746">
        <v>1000</v>
      </c>
      <c r="AF236" s="580" t="s">
        <v>302</v>
      </c>
      <c r="AG236" s="746" t="s">
        <v>8837</v>
      </c>
      <c r="AH236" s="746"/>
    </row>
    <row r="237" spans="1:34" ht="15.55" customHeight="1">
      <c r="A237" t="s">
        <v>8881</v>
      </c>
      <c r="B237" t="s">
        <v>2465</v>
      </c>
      <c r="C237" t="s">
        <v>5849</v>
      </c>
      <c r="D237" s="746" t="s">
        <v>8882</v>
      </c>
      <c r="E237" s="746" t="s">
        <v>8882</v>
      </c>
      <c r="F237" s="746" t="s">
        <v>2010</v>
      </c>
      <c r="G237" s="751" t="s">
        <v>2010</v>
      </c>
      <c r="H237" s="751" t="s">
        <v>2010</v>
      </c>
      <c r="I237" s="751" t="s">
        <v>2010</v>
      </c>
      <c r="J237" s="751" t="s">
        <v>2010</v>
      </c>
      <c r="K237" s="751" t="s">
        <v>2010</v>
      </c>
      <c r="L237" s="751" t="s">
        <v>2010</v>
      </c>
      <c r="M237" s="751" t="s">
        <v>2010</v>
      </c>
      <c r="N237" s="751" t="s">
        <v>2010</v>
      </c>
      <c r="O237" s="751" t="s">
        <v>2010</v>
      </c>
      <c r="P237" s="751" t="s">
        <v>2010</v>
      </c>
      <c r="Q237" s="751" t="s">
        <v>2010</v>
      </c>
      <c r="R237" s="751" t="s">
        <v>2010</v>
      </c>
      <c r="S237" s="751" t="s">
        <v>2010</v>
      </c>
      <c r="T237" s="751" t="s">
        <v>2010</v>
      </c>
      <c r="U237" s="751" t="s">
        <v>1422</v>
      </c>
      <c r="V237" s="582">
        <v>0</v>
      </c>
      <c r="W237" s="746">
        <v>0</v>
      </c>
      <c r="X237" s="746" t="s">
        <v>2010</v>
      </c>
      <c r="Y237" s="746" t="s">
        <v>8884</v>
      </c>
      <c r="Z237" s="746"/>
      <c r="AA237" s="746"/>
      <c r="AB237" s="746"/>
      <c r="AC237" s="746"/>
      <c r="AD237" s="746" t="s">
        <v>8885</v>
      </c>
      <c r="AE237">
        <v>1000</v>
      </c>
      <c r="AF237" s="746" t="s">
        <v>302</v>
      </c>
      <c r="AG237" s="746"/>
    </row>
    <row r="238" spans="1:34" ht="15.55" customHeight="1">
      <c r="D238" s="746"/>
      <c r="E238" s="746"/>
      <c r="F238" s="746"/>
      <c r="G238" s="746"/>
      <c r="Q238" s="746"/>
      <c r="R238" s="746"/>
      <c r="S238" s="746"/>
      <c r="T238" s="746"/>
      <c r="U238" s="746"/>
      <c r="V238" s="746"/>
      <c r="W238" s="746"/>
      <c r="X238" s="746"/>
      <c r="Y238" s="746"/>
      <c r="Z238" s="746"/>
      <c r="AA238" s="746"/>
      <c r="AB238" s="746"/>
      <c r="AC238" s="746"/>
      <c r="AD238" s="746"/>
      <c r="AE238" s="746"/>
      <c r="AF238" s="746"/>
      <c r="AG238" s="746"/>
    </row>
  </sheetData>
  <autoFilter ref="A1:AF235"/>
  <pageMargins left="0.7" right="0.7" top="0.75" bottom="0.75" header="0.3" footer="0.3"/>
  <pageSetup paperSize="9" orientation="portrai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3"/>
  <sheetViews>
    <sheetView topLeftCell="A4" workbookViewId="0">
      <selection sqref="A1:C43"/>
    </sheetView>
  </sheetViews>
  <sheetFormatPr defaultRowHeight="14.15"/>
  <cols>
    <col min="1" max="1" width="182.140625" style="693" customWidth="1"/>
    <col min="2" max="2" width="106" style="693" customWidth="1"/>
    <col min="3" max="3" width="57.7109375" style="693" customWidth="1"/>
    <col min="4" max="16384" width="9.140625" style="693"/>
  </cols>
  <sheetData>
    <row r="1" spans="1:3">
      <c r="A1" s="839" t="s">
        <v>4823</v>
      </c>
      <c r="B1" s="839"/>
      <c r="C1" s="840"/>
    </row>
    <row r="2" spans="1:3">
      <c r="A2" s="839" t="s">
        <v>948</v>
      </c>
      <c r="B2" s="839"/>
      <c r="C2" s="840"/>
    </row>
    <row r="3" spans="1:3">
      <c r="A3" s="841" t="s">
        <v>4828</v>
      </c>
      <c r="B3" s="841"/>
      <c r="C3" s="841"/>
    </row>
    <row r="4" spans="1:3">
      <c r="A4" s="775" t="s">
        <v>4830</v>
      </c>
      <c r="B4" s="775" t="s">
        <v>4831</v>
      </c>
      <c r="C4" s="775" t="s">
        <v>4832</v>
      </c>
    </row>
    <row r="5" spans="1:3" ht="14.6">
      <c r="A5" s="772" t="s">
        <v>4840</v>
      </c>
      <c r="B5" s="764"/>
      <c r="C5" s="764"/>
    </row>
    <row r="6" spans="1:3" ht="14.6">
      <c r="A6" s="773" t="s">
        <v>4870</v>
      </c>
      <c r="B6" s="764"/>
      <c r="C6" s="764"/>
    </row>
    <row r="7" spans="1:3" ht="14.6">
      <c r="A7" s="772" t="s">
        <v>4849</v>
      </c>
      <c r="B7" s="764"/>
      <c r="C7" s="764"/>
    </row>
    <row r="8" spans="1:3" ht="14.6">
      <c r="A8" s="773" t="s">
        <v>8946</v>
      </c>
      <c r="B8" s="764"/>
      <c r="C8" s="764"/>
    </row>
    <row r="9" spans="1:3" ht="14.6">
      <c r="A9" s="772" t="s">
        <v>8947</v>
      </c>
      <c r="B9" s="764"/>
      <c r="C9" s="764"/>
    </row>
    <row r="10" spans="1:3" ht="14.6">
      <c r="A10" s="772" t="s">
        <v>4894</v>
      </c>
      <c r="B10" s="764"/>
      <c r="C10" s="764"/>
    </row>
    <row r="11" spans="1:3" ht="14.6">
      <c r="A11" s="772" t="s">
        <v>4846</v>
      </c>
      <c r="B11" s="764"/>
      <c r="C11" s="764"/>
    </row>
    <row r="12" spans="1:3" ht="28.3">
      <c r="A12" s="774" t="s">
        <v>4910</v>
      </c>
      <c r="B12" s="765" t="s">
        <v>4911</v>
      </c>
      <c r="C12" s="765" t="s">
        <v>4912</v>
      </c>
    </row>
    <row r="13" spans="1:3" ht="28.3">
      <c r="A13" s="774" t="s">
        <v>4922</v>
      </c>
      <c r="B13" s="765" t="s">
        <v>4923</v>
      </c>
      <c r="C13" s="765" t="s">
        <v>4924</v>
      </c>
    </row>
    <row r="14" spans="1:3">
      <c r="A14" s="774" t="s">
        <v>4938</v>
      </c>
      <c r="B14" s="765" t="s">
        <v>4939</v>
      </c>
      <c r="C14" s="765" t="s">
        <v>4940</v>
      </c>
    </row>
    <row r="15" spans="1:3" ht="28.3">
      <c r="A15" s="774" t="s">
        <v>4947</v>
      </c>
      <c r="B15" s="765" t="s">
        <v>4948</v>
      </c>
      <c r="C15" s="765" t="s">
        <v>4949</v>
      </c>
    </row>
    <row r="16" spans="1:3" ht="28.3">
      <c r="A16" s="774" t="s">
        <v>4956</v>
      </c>
      <c r="B16" s="765" t="s">
        <v>4957</v>
      </c>
      <c r="C16" s="765" t="s">
        <v>4958</v>
      </c>
    </row>
    <row r="17" spans="1:3" ht="28.3">
      <c r="A17" s="774" t="s">
        <v>4962</v>
      </c>
      <c r="B17" s="765" t="s">
        <v>4963</v>
      </c>
      <c r="C17" s="765" t="s">
        <v>4964</v>
      </c>
    </row>
    <row r="18" spans="1:3" ht="28.3">
      <c r="A18" s="774" t="s">
        <v>4965</v>
      </c>
      <c r="B18" s="765" t="s">
        <v>4966</v>
      </c>
      <c r="C18" s="765" t="s">
        <v>4967</v>
      </c>
    </row>
    <row r="19" spans="1:3" ht="42.45">
      <c r="A19" s="774" t="s">
        <v>4968</v>
      </c>
      <c r="B19" s="765" t="s">
        <v>4969</v>
      </c>
      <c r="C19" s="765" t="s">
        <v>4970</v>
      </c>
    </row>
    <row r="20" spans="1:3" ht="28.3">
      <c r="A20" s="767" t="s">
        <v>5008</v>
      </c>
      <c r="B20" s="766" t="s">
        <v>5009</v>
      </c>
      <c r="C20" s="766" t="s">
        <v>5010</v>
      </c>
    </row>
    <row r="21" spans="1:3" ht="28.3">
      <c r="A21" s="767" t="s">
        <v>5035</v>
      </c>
      <c r="B21" s="766" t="s">
        <v>5036</v>
      </c>
      <c r="C21" s="766" t="s">
        <v>5037</v>
      </c>
    </row>
    <row r="22" spans="1:3">
      <c r="A22" s="767" t="s">
        <v>6700</v>
      </c>
      <c r="B22" s="766" t="s">
        <v>6701</v>
      </c>
      <c r="C22" s="766" t="s">
        <v>6702</v>
      </c>
    </row>
    <row r="23" spans="1:3" ht="28.3">
      <c r="A23" s="767" t="s">
        <v>6703</v>
      </c>
      <c r="B23" s="766" t="s">
        <v>6704</v>
      </c>
      <c r="C23" s="766" t="s">
        <v>6705</v>
      </c>
    </row>
    <row r="24" spans="1:3" ht="28.3">
      <c r="A24" s="767" t="s">
        <v>6706</v>
      </c>
      <c r="B24" s="766" t="s">
        <v>6707</v>
      </c>
      <c r="C24" s="766" t="s">
        <v>6708</v>
      </c>
    </row>
    <row r="25" spans="1:3" ht="28.3">
      <c r="A25" s="767" t="s">
        <v>6709</v>
      </c>
      <c r="B25" s="766" t="s">
        <v>6710</v>
      </c>
      <c r="C25" s="766" t="s">
        <v>6711</v>
      </c>
    </row>
    <row r="26" spans="1:3" ht="28.3">
      <c r="A26" s="767" t="s">
        <v>6712</v>
      </c>
      <c r="B26" s="766" t="s">
        <v>6713</v>
      </c>
      <c r="C26" s="766" t="s">
        <v>6714</v>
      </c>
    </row>
    <row r="27" spans="1:3">
      <c r="A27" s="767" t="s">
        <v>6715</v>
      </c>
      <c r="B27" s="766" t="s">
        <v>6716</v>
      </c>
      <c r="C27" s="766" t="s">
        <v>6717</v>
      </c>
    </row>
    <row r="28" spans="1:3">
      <c r="A28" s="769" t="s">
        <v>5078</v>
      </c>
      <c r="B28" s="768" t="s">
        <v>5079</v>
      </c>
      <c r="C28" s="768" t="s">
        <v>5080</v>
      </c>
    </row>
    <row r="29" spans="1:3" ht="28.3">
      <c r="A29" s="769" t="s">
        <v>5093</v>
      </c>
      <c r="B29" s="768" t="s">
        <v>5094</v>
      </c>
      <c r="C29" s="768" t="s">
        <v>5095</v>
      </c>
    </row>
    <row r="30" spans="1:3">
      <c r="A30" s="769" t="s">
        <v>6718</v>
      </c>
      <c r="B30" s="768" t="s">
        <v>6719</v>
      </c>
      <c r="C30" s="768" t="s">
        <v>6720</v>
      </c>
    </row>
    <row r="31" spans="1:3">
      <c r="A31" s="769" t="s">
        <v>6721</v>
      </c>
      <c r="B31" s="768" t="s">
        <v>6722</v>
      </c>
      <c r="C31" s="768" t="s">
        <v>6723</v>
      </c>
    </row>
    <row r="32" spans="1:3" ht="28.3">
      <c r="A32" s="769" t="s">
        <v>8948</v>
      </c>
      <c r="B32" s="768" t="s">
        <v>8949</v>
      </c>
      <c r="C32" s="768" t="s">
        <v>8950</v>
      </c>
    </row>
    <row r="33" spans="1:3" ht="42.45">
      <c r="A33" s="769" t="s">
        <v>6724</v>
      </c>
      <c r="B33" s="768" t="s">
        <v>6725</v>
      </c>
      <c r="C33" s="768" t="s">
        <v>6726</v>
      </c>
    </row>
    <row r="34" spans="1:3" ht="28.3">
      <c r="A34" s="769" t="s">
        <v>8951</v>
      </c>
      <c r="B34" s="768" t="s">
        <v>8952</v>
      </c>
      <c r="C34" s="768" t="s">
        <v>8953</v>
      </c>
    </row>
    <row r="35" spans="1:3" ht="28.3">
      <c r="A35" s="769" t="s">
        <v>6727</v>
      </c>
      <c r="B35" s="768" t="s">
        <v>6728</v>
      </c>
      <c r="C35" s="768" t="s">
        <v>6729</v>
      </c>
    </row>
    <row r="36" spans="1:3">
      <c r="A36" s="770" t="s">
        <v>5136</v>
      </c>
      <c r="B36" s="771" t="s">
        <v>5137</v>
      </c>
      <c r="C36" s="771" t="s">
        <v>5138</v>
      </c>
    </row>
    <row r="37" spans="1:3" ht="28.3">
      <c r="A37" s="770" t="s">
        <v>5148</v>
      </c>
      <c r="B37" s="771" t="s">
        <v>5149</v>
      </c>
      <c r="C37" s="771" t="s">
        <v>5150</v>
      </c>
    </row>
    <row r="38" spans="1:3" ht="28.3">
      <c r="A38" s="770" t="s">
        <v>5157</v>
      </c>
      <c r="B38" s="771" t="s">
        <v>5158</v>
      </c>
      <c r="C38" s="771" t="s">
        <v>5159</v>
      </c>
    </row>
    <row r="39" spans="1:3" ht="28.3">
      <c r="A39" s="770" t="s">
        <v>5166</v>
      </c>
      <c r="B39" s="771" t="s">
        <v>5167</v>
      </c>
      <c r="C39" s="771" t="s">
        <v>5168</v>
      </c>
    </row>
    <row r="40" spans="1:3">
      <c r="A40" s="770" t="s">
        <v>6730</v>
      </c>
      <c r="B40" s="770" t="s">
        <v>6731</v>
      </c>
      <c r="C40" s="770" t="s">
        <v>6732</v>
      </c>
    </row>
    <row r="41" spans="1:3">
      <c r="A41" s="770" t="s">
        <v>6733</v>
      </c>
      <c r="B41" s="770" t="s">
        <v>6734</v>
      </c>
      <c r="C41" s="770" t="s">
        <v>6735</v>
      </c>
    </row>
    <row r="42" spans="1:3">
      <c r="A42" s="770" t="s">
        <v>6736</v>
      </c>
      <c r="B42" s="770" t="s">
        <v>6737</v>
      </c>
      <c r="C42" s="770" t="s">
        <v>6738</v>
      </c>
    </row>
    <row r="43" spans="1:3">
      <c r="A43" s="770" t="s">
        <v>6739</v>
      </c>
      <c r="B43" s="770" t="s">
        <v>6740</v>
      </c>
      <c r="C43" s="770" t="s">
        <v>6741</v>
      </c>
    </row>
  </sheetData>
  <mergeCells count="3">
    <mergeCell ref="A1:C1"/>
    <mergeCell ref="A2:C2"/>
    <mergeCell ref="A3:C3"/>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3"/>
  <sheetViews>
    <sheetView topLeftCell="A25" workbookViewId="0">
      <selection activeCell="A25" sqref="A1:C43"/>
    </sheetView>
  </sheetViews>
  <sheetFormatPr defaultRowHeight="15.55" customHeight="1"/>
  <cols>
    <col min="1" max="1" width="157.7109375" style="693" bestFit="1" customWidth="1"/>
    <col min="2" max="2" width="159.0703125" style="693" bestFit="1" customWidth="1"/>
    <col min="3" max="3" width="159.5703125" style="693" bestFit="1" customWidth="1"/>
    <col min="4" max="16384" width="9.140625" style="693"/>
  </cols>
  <sheetData>
    <row r="1" spans="1:3" ht="15.55" customHeight="1">
      <c r="A1" s="842" t="s">
        <v>4824</v>
      </c>
      <c r="B1" s="843"/>
      <c r="C1" s="844"/>
    </row>
    <row r="2" spans="1:3" ht="15.55" customHeight="1">
      <c r="A2" s="842" t="s">
        <v>947</v>
      </c>
      <c r="B2" s="843"/>
      <c r="C2" s="844"/>
    </row>
    <row r="3" spans="1:3" ht="15.55" customHeight="1">
      <c r="A3" s="841" t="s">
        <v>4828</v>
      </c>
      <c r="B3" s="841"/>
      <c r="C3" s="845"/>
    </row>
    <row r="4" spans="1:3" ht="15.55" customHeight="1">
      <c r="A4" s="785" t="s">
        <v>4830</v>
      </c>
      <c r="B4" s="785" t="s">
        <v>4831</v>
      </c>
      <c r="C4" s="785" t="s">
        <v>4832</v>
      </c>
    </row>
    <row r="5" spans="1:3" ht="15.55" customHeight="1">
      <c r="A5" s="777" t="s">
        <v>8954</v>
      </c>
      <c r="B5" s="776"/>
      <c r="C5" s="776"/>
    </row>
    <row r="6" spans="1:3" ht="15.55" customHeight="1">
      <c r="A6" s="777" t="s">
        <v>4847</v>
      </c>
      <c r="B6" s="776"/>
      <c r="C6" s="776"/>
    </row>
    <row r="7" spans="1:3" ht="15.55" customHeight="1">
      <c r="A7" s="777" t="s">
        <v>8955</v>
      </c>
      <c r="B7" s="776"/>
      <c r="C7" s="776"/>
    </row>
    <row r="8" spans="1:3" ht="15.55" customHeight="1">
      <c r="A8" s="777" t="s">
        <v>8956</v>
      </c>
      <c r="B8" s="776"/>
      <c r="C8" s="776"/>
    </row>
    <row r="9" spans="1:3" ht="15.55" customHeight="1">
      <c r="A9" s="777" t="s">
        <v>4865</v>
      </c>
      <c r="B9" s="776"/>
      <c r="C9" s="776"/>
    </row>
    <row r="10" spans="1:3" ht="15.55" customHeight="1">
      <c r="A10" s="777" t="s">
        <v>4907</v>
      </c>
      <c r="B10" s="776"/>
      <c r="C10" s="776"/>
    </row>
    <row r="11" spans="1:3" ht="15.55" customHeight="1">
      <c r="A11" s="777" t="s">
        <v>4856</v>
      </c>
      <c r="B11" s="776"/>
      <c r="C11" s="776"/>
    </row>
    <row r="12" spans="1:3" ht="15.55" customHeight="1">
      <c r="A12" s="778" t="s">
        <v>4913</v>
      </c>
      <c r="B12" s="779" t="s">
        <v>4914</v>
      </c>
      <c r="C12" s="779" t="s">
        <v>4915</v>
      </c>
    </row>
    <row r="13" spans="1:3" ht="15.55" customHeight="1">
      <c r="A13" s="778" t="s">
        <v>4919</v>
      </c>
      <c r="B13" s="779" t="s">
        <v>4920</v>
      </c>
      <c r="C13" s="779" t="s">
        <v>4921</v>
      </c>
    </row>
    <row r="14" spans="1:3" ht="15.55" customHeight="1">
      <c r="A14" s="778" t="s">
        <v>4950</v>
      </c>
      <c r="B14" s="779" t="s">
        <v>4951</v>
      </c>
      <c r="C14" s="779" t="s">
        <v>4952</v>
      </c>
    </row>
    <row r="15" spans="1:3" ht="15.55" customHeight="1">
      <c r="A15" s="778" t="s">
        <v>4959</v>
      </c>
      <c r="B15" s="779" t="s">
        <v>4960</v>
      </c>
      <c r="C15" s="779" t="s">
        <v>4961</v>
      </c>
    </row>
    <row r="16" spans="1:3" ht="15.55" customHeight="1">
      <c r="A16" s="779" t="s">
        <v>6742</v>
      </c>
      <c r="B16" s="779" t="s">
        <v>6743</v>
      </c>
      <c r="C16" s="779" t="s">
        <v>6744</v>
      </c>
    </row>
    <row r="17" spans="1:3" ht="15.55" customHeight="1">
      <c r="A17" s="779" t="s">
        <v>4944</v>
      </c>
      <c r="B17" s="779" t="s">
        <v>6745</v>
      </c>
      <c r="C17" s="779" t="s">
        <v>6746</v>
      </c>
    </row>
    <row r="18" spans="1:3" ht="15.55" customHeight="1">
      <c r="A18" s="779" t="s">
        <v>6747</v>
      </c>
      <c r="B18" s="779" t="s">
        <v>8957</v>
      </c>
      <c r="C18" s="779" t="s">
        <v>8958</v>
      </c>
    </row>
    <row r="19" spans="1:3" ht="15.55" customHeight="1">
      <c r="A19" s="779" t="s">
        <v>6748</v>
      </c>
      <c r="B19" s="779" t="s">
        <v>6749</v>
      </c>
      <c r="C19" s="779" t="s">
        <v>6750</v>
      </c>
    </row>
    <row r="20" spans="1:3" ht="15.55" customHeight="1">
      <c r="A20" s="780" t="s">
        <v>5017</v>
      </c>
      <c r="B20" s="781" t="s">
        <v>5018</v>
      </c>
      <c r="C20" s="781" t="s">
        <v>5019</v>
      </c>
    </row>
    <row r="21" spans="1:3" ht="15.55" customHeight="1">
      <c r="A21" s="781" t="s">
        <v>6751</v>
      </c>
      <c r="B21" s="781" t="s">
        <v>6752</v>
      </c>
      <c r="C21" s="781" t="s">
        <v>6753</v>
      </c>
    </row>
    <row r="22" spans="1:3" ht="15.55" customHeight="1">
      <c r="A22" s="781" t="s">
        <v>8959</v>
      </c>
      <c r="B22" s="781" t="s">
        <v>8960</v>
      </c>
      <c r="C22" s="781" t="s">
        <v>8961</v>
      </c>
    </row>
    <row r="23" spans="1:3" ht="15.55" customHeight="1">
      <c r="A23" s="781" t="s">
        <v>8962</v>
      </c>
      <c r="B23" s="781" t="s">
        <v>8963</v>
      </c>
      <c r="C23" s="781" t="s">
        <v>8964</v>
      </c>
    </row>
    <row r="24" spans="1:3" ht="15.55" customHeight="1">
      <c r="A24" s="781" t="s">
        <v>6754</v>
      </c>
      <c r="B24" s="781" t="s">
        <v>6755</v>
      </c>
      <c r="C24" s="781" t="s">
        <v>6756</v>
      </c>
    </row>
    <row r="25" spans="1:3" ht="15.55" customHeight="1">
      <c r="A25" s="781" t="s">
        <v>6757</v>
      </c>
      <c r="B25" s="781" t="s">
        <v>6758</v>
      </c>
      <c r="C25" s="781" t="s">
        <v>6759</v>
      </c>
    </row>
    <row r="26" spans="1:3" ht="15.55" customHeight="1">
      <c r="A26" s="781" t="s">
        <v>6760</v>
      </c>
      <c r="B26" s="781" t="s">
        <v>6761</v>
      </c>
      <c r="C26" s="781" t="s">
        <v>6762</v>
      </c>
    </row>
    <row r="27" spans="1:3" ht="15.55" customHeight="1">
      <c r="A27" s="781" t="s">
        <v>6763</v>
      </c>
      <c r="B27" s="781" t="s">
        <v>6764</v>
      </c>
      <c r="C27" s="781" t="s">
        <v>6765</v>
      </c>
    </row>
    <row r="28" spans="1:3" ht="15.55" customHeight="1">
      <c r="A28" s="782" t="s">
        <v>6766</v>
      </c>
      <c r="B28" s="782" t="s">
        <v>6767</v>
      </c>
      <c r="C28" s="782" t="s">
        <v>6768</v>
      </c>
    </row>
    <row r="29" spans="1:3" ht="15.55" customHeight="1">
      <c r="A29" s="782" t="s">
        <v>8965</v>
      </c>
      <c r="B29" s="782" t="s">
        <v>8966</v>
      </c>
      <c r="C29" s="782" t="s">
        <v>8967</v>
      </c>
    </row>
    <row r="30" spans="1:3" ht="15.55" customHeight="1">
      <c r="A30" s="782" t="s">
        <v>6769</v>
      </c>
      <c r="B30" s="782" t="s">
        <v>6770</v>
      </c>
      <c r="C30" s="782" t="s">
        <v>6771</v>
      </c>
    </row>
    <row r="31" spans="1:3" ht="15.55" customHeight="1">
      <c r="A31" s="782" t="s">
        <v>6772</v>
      </c>
      <c r="B31" s="782" t="s">
        <v>6773</v>
      </c>
      <c r="C31" s="782" t="s">
        <v>6774</v>
      </c>
    </row>
    <row r="32" spans="1:3" ht="15.55" customHeight="1">
      <c r="A32" s="782" t="s">
        <v>8968</v>
      </c>
      <c r="B32" s="782" t="s">
        <v>8969</v>
      </c>
      <c r="C32" s="782" t="s">
        <v>8970</v>
      </c>
    </row>
    <row r="33" spans="1:3" ht="15.55" customHeight="1">
      <c r="A33" s="782" t="s">
        <v>6775</v>
      </c>
      <c r="B33" s="782" t="s">
        <v>6776</v>
      </c>
      <c r="C33" s="782" t="s">
        <v>6777</v>
      </c>
    </row>
    <row r="34" spans="1:3" ht="15.55" customHeight="1">
      <c r="A34" s="782" t="s">
        <v>6778</v>
      </c>
      <c r="B34" s="782" t="s">
        <v>6779</v>
      </c>
      <c r="C34" s="782" t="s">
        <v>6780</v>
      </c>
    </row>
    <row r="35" spans="1:3" ht="15.55" customHeight="1">
      <c r="A35" s="782" t="s">
        <v>6781</v>
      </c>
      <c r="B35" s="782" t="s">
        <v>6782</v>
      </c>
      <c r="C35" s="782" t="s">
        <v>6783</v>
      </c>
    </row>
    <row r="36" spans="1:3" ht="15.55" customHeight="1">
      <c r="A36" s="783" t="s">
        <v>8971</v>
      </c>
      <c r="B36" s="783" t="s">
        <v>8972</v>
      </c>
      <c r="C36" s="783" t="s">
        <v>6784</v>
      </c>
    </row>
    <row r="37" spans="1:3" ht="15.55" customHeight="1">
      <c r="A37" s="784" t="s">
        <v>5130</v>
      </c>
      <c r="B37" s="784" t="s">
        <v>5131</v>
      </c>
      <c r="C37" s="784" t="s">
        <v>5132</v>
      </c>
    </row>
    <row r="38" spans="1:3" ht="15.55" customHeight="1">
      <c r="A38" s="784" t="s">
        <v>6785</v>
      </c>
      <c r="B38" s="784" t="s">
        <v>6786</v>
      </c>
      <c r="C38" s="784" t="s">
        <v>6787</v>
      </c>
    </row>
    <row r="39" spans="1:3" ht="15.55" customHeight="1">
      <c r="A39" s="784" t="s">
        <v>6788</v>
      </c>
      <c r="B39" s="784" t="s">
        <v>6789</v>
      </c>
      <c r="C39" s="784" t="s">
        <v>6790</v>
      </c>
    </row>
    <row r="40" spans="1:3" ht="15.55" customHeight="1">
      <c r="A40" s="784" t="s">
        <v>6791</v>
      </c>
      <c r="B40" s="784" t="s">
        <v>6792</v>
      </c>
      <c r="C40" s="784" t="s">
        <v>6793</v>
      </c>
    </row>
    <row r="41" spans="1:3" ht="15.55" customHeight="1">
      <c r="A41" s="784" t="s">
        <v>6794</v>
      </c>
      <c r="B41" s="784" t="s">
        <v>6795</v>
      </c>
      <c r="C41" s="784" t="s">
        <v>6796</v>
      </c>
    </row>
    <row r="42" spans="1:3" ht="15.55" customHeight="1">
      <c r="A42" s="783" t="s">
        <v>6797</v>
      </c>
      <c r="B42" s="783" t="s">
        <v>6798</v>
      </c>
      <c r="C42" s="783" t="s">
        <v>6799</v>
      </c>
    </row>
    <row r="43" spans="1:3" ht="15.55" customHeight="1">
      <c r="A43" s="783" t="s">
        <v>6800</v>
      </c>
      <c r="B43" s="783" t="s">
        <v>6801</v>
      </c>
      <c r="C43" s="783" t="s">
        <v>6802</v>
      </c>
    </row>
  </sheetData>
  <mergeCells count="3">
    <mergeCell ref="A1:C1"/>
    <mergeCell ref="A2:C2"/>
    <mergeCell ref="A3:C3"/>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3"/>
  <sheetViews>
    <sheetView workbookViewId="0">
      <selection activeCell="A37" sqref="A37"/>
    </sheetView>
  </sheetViews>
  <sheetFormatPr defaultRowHeight="14.15"/>
  <cols>
    <col min="1" max="1" width="151.28515625" style="693" customWidth="1"/>
    <col min="2" max="2" width="137.5703125" style="693" customWidth="1"/>
    <col min="3" max="3" width="95" style="693" customWidth="1"/>
    <col min="4" max="16384" width="9.140625" style="693"/>
  </cols>
  <sheetData>
    <row r="1" spans="1:3">
      <c r="A1" s="795" t="s">
        <v>4825</v>
      </c>
      <c r="B1" s="796" t="s">
        <v>4825</v>
      </c>
      <c r="C1" s="796" t="s">
        <v>4825</v>
      </c>
    </row>
    <row r="2" spans="1:3">
      <c r="A2" s="795" t="s">
        <v>949</v>
      </c>
      <c r="B2" s="796" t="s">
        <v>949</v>
      </c>
      <c r="C2" s="796" t="s">
        <v>949</v>
      </c>
    </row>
    <row r="3" spans="1:3">
      <c r="A3" s="797"/>
      <c r="B3" s="798"/>
      <c r="C3" s="798"/>
    </row>
    <row r="4" spans="1:3">
      <c r="A4" s="797"/>
      <c r="B4" s="798"/>
      <c r="C4" s="798"/>
    </row>
    <row r="5" spans="1:3" ht="14.6">
      <c r="A5" s="787" t="s">
        <v>4842</v>
      </c>
      <c r="B5" s="786"/>
      <c r="C5" s="786"/>
    </row>
    <row r="6" spans="1:3" ht="14.6">
      <c r="A6" s="787" t="s">
        <v>4848</v>
      </c>
      <c r="B6" s="786"/>
      <c r="C6" s="786"/>
    </row>
    <row r="7" spans="1:3" ht="14.6">
      <c r="A7" s="787" t="s">
        <v>4857</v>
      </c>
      <c r="B7" s="786"/>
      <c r="C7" s="786"/>
    </row>
    <row r="8" spans="1:3" ht="28.75">
      <c r="A8" s="787" t="s">
        <v>4887</v>
      </c>
      <c r="B8" s="786"/>
      <c r="C8" s="786"/>
    </row>
    <row r="9" spans="1:3" ht="14.6">
      <c r="A9" s="787" t="s">
        <v>4872</v>
      </c>
      <c r="B9" s="786"/>
      <c r="C9" s="786"/>
    </row>
    <row r="10" spans="1:3" ht="14.6">
      <c r="A10" s="787" t="s">
        <v>4908</v>
      </c>
      <c r="B10" s="786"/>
      <c r="C10" s="786"/>
    </row>
    <row r="11" spans="1:3" ht="14.6">
      <c r="A11" s="787" t="s">
        <v>8973</v>
      </c>
      <c r="B11" s="786"/>
      <c r="C11" s="786"/>
    </row>
    <row r="12" spans="1:3">
      <c r="A12" s="789" t="s">
        <v>4941</v>
      </c>
      <c r="B12" s="789" t="s">
        <v>4942</v>
      </c>
      <c r="C12" s="789" t="s">
        <v>4943</v>
      </c>
    </row>
    <row r="13" spans="1:3" ht="28.3">
      <c r="A13" s="789" t="s">
        <v>5004</v>
      </c>
      <c r="B13" s="789" t="s">
        <v>5005</v>
      </c>
      <c r="C13" s="789" t="s">
        <v>5006</v>
      </c>
    </row>
    <row r="14" spans="1:3">
      <c r="A14" s="788" t="s">
        <v>6803</v>
      </c>
      <c r="B14" s="788" t="s">
        <v>6804</v>
      </c>
      <c r="C14" s="788" t="s">
        <v>6805</v>
      </c>
    </row>
    <row r="15" spans="1:3">
      <c r="A15" s="788" t="s">
        <v>4916</v>
      </c>
      <c r="B15" s="789" t="s">
        <v>4917</v>
      </c>
      <c r="C15" s="789" t="s">
        <v>4918</v>
      </c>
    </row>
    <row r="16" spans="1:3">
      <c r="A16" s="788" t="s">
        <v>4953</v>
      </c>
      <c r="B16" s="789" t="s">
        <v>4954</v>
      </c>
      <c r="C16" s="789" t="s">
        <v>4955</v>
      </c>
    </row>
    <row r="17" spans="1:3">
      <c r="A17" s="789" t="s">
        <v>4983</v>
      </c>
      <c r="B17" s="789" t="s">
        <v>4984</v>
      </c>
      <c r="C17" s="789" t="s">
        <v>4985</v>
      </c>
    </row>
    <row r="18" spans="1:3">
      <c r="A18" s="789" t="s">
        <v>4992</v>
      </c>
      <c r="B18" s="789" t="s">
        <v>4993</v>
      </c>
      <c r="C18" s="789" t="s">
        <v>4994</v>
      </c>
    </row>
    <row r="19" spans="1:3">
      <c r="A19" s="789" t="s">
        <v>5001</v>
      </c>
      <c r="B19" s="789" t="s">
        <v>5002</v>
      </c>
      <c r="C19" s="789" t="s">
        <v>5003</v>
      </c>
    </row>
    <row r="20" spans="1:3">
      <c r="A20" s="791" t="s">
        <v>4869</v>
      </c>
      <c r="B20" s="791" t="s">
        <v>6806</v>
      </c>
      <c r="C20" s="791" t="s">
        <v>6807</v>
      </c>
    </row>
    <row r="21" spans="1:3">
      <c r="A21" s="790" t="s">
        <v>5011</v>
      </c>
      <c r="B21" s="790" t="s">
        <v>5012</v>
      </c>
      <c r="C21" s="790" t="s">
        <v>5013</v>
      </c>
    </row>
    <row r="22" spans="1:3">
      <c r="A22" s="791" t="s">
        <v>6808</v>
      </c>
      <c r="B22" s="791" t="s">
        <v>6809</v>
      </c>
      <c r="C22" s="791" t="s">
        <v>6810</v>
      </c>
    </row>
    <row r="23" spans="1:3">
      <c r="A23" s="791" t="s">
        <v>8974</v>
      </c>
      <c r="B23" s="791" t="s">
        <v>8975</v>
      </c>
      <c r="C23" s="791" t="s">
        <v>8976</v>
      </c>
    </row>
    <row r="24" spans="1:3">
      <c r="A24" s="791" t="s">
        <v>8977</v>
      </c>
      <c r="B24" s="791" t="s">
        <v>8978</v>
      </c>
      <c r="C24" s="791" t="s">
        <v>6811</v>
      </c>
    </row>
    <row r="25" spans="1:3">
      <c r="A25" s="791" t="s">
        <v>6812</v>
      </c>
      <c r="B25" s="791" t="s">
        <v>6813</v>
      </c>
      <c r="C25" s="791" t="s">
        <v>6814</v>
      </c>
    </row>
    <row r="26" spans="1:3">
      <c r="A26" s="791" t="s">
        <v>6815</v>
      </c>
      <c r="B26" s="791" t="s">
        <v>6816</v>
      </c>
      <c r="C26" s="791" t="s">
        <v>6817</v>
      </c>
    </row>
    <row r="27" spans="1:3">
      <c r="A27" s="791" t="s">
        <v>6818</v>
      </c>
      <c r="B27" s="791" t="s">
        <v>6819</v>
      </c>
      <c r="C27" s="791" t="s">
        <v>6820</v>
      </c>
    </row>
    <row r="28" spans="1:3">
      <c r="A28" s="792" t="s">
        <v>6821</v>
      </c>
      <c r="B28" s="792" t="s">
        <v>6822</v>
      </c>
      <c r="C28" s="792" t="s">
        <v>6823</v>
      </c>
    </row>
    <row r="29" spans="1:3">
      <c r="A29" s="799" t="s">
        <v>5096</v>
      </c>
      <c r="B29" s="792" t="s">
        <v>5097</v>
      </c>
      <c r="C29" s="792" t="s">
        <v>5098</v>
      </c>
    </row>
    <row r="30" spans="1:3">
      <c r="A30" s="792" t="s">
        <v>6824</v>
      </c>
      <c r="B30" s="792" t="s">
        <v>6825</v>
      </c>
      <c r="C30" s="792" t="s">
        <v>6826</v>
      </c>
    </row>
    <row r="31" spans="1:3">
      <c r="A31" s="792" t="s">
        <v>8979</v>
      </c>
      <c r="B31" s="792" t="s">
        <v>8980</v>
      </c>
      <c r="C31" s="792" t="s">
        <v>8981</v>
      </c>
    </row>
    <row r="32" spans="1:3">
      <c r="A32" s="799" t="s">
        <v>6827</v>
      </c>
      <c r="B32" s="792" t="s">
        <v>6828</v>
      </c>
      <c r="C32" s="792" t="s">
        <v>6829</v>
      </c>
    </row>
    <row r="33" spans="1:3">
      <c r="A33" s="799" t="s">
        <v>6830</v>
      </c>
      <c r="B33" s="792" t="s">
        <v>6831</v>
      </c>
      <c r="C33" s="792" t="s">
        <v>6832</v>
      </c>
    </row>
    <row r="34" spans="1:3">
      <c r="A34" s="799" t="s">
        <v>6833</v>
      </c>
      <c r="B34" s="792" t="s">
        <v>6834</v>
      </c>
      <c r="C34" s="792" t="s">
        <v>6835</v>
      </c>
    </row>
    <row r="35" spans="1:3">
      <c r="A35" s="792" t="s">
        <v>6836</v>
      </c>
      <c r="B35" s="792" t="s">
        <v>6837</v>
      </c>
      <c r="C35" s="792" t="s">
        <v>6838</v>
      </c>
    </row>
    <row r="36" spans="1:3">
      <c r="A36" s="794" t="s">
        <v>5133</v>
      </c>
      <c r="B36" s="794" t="s">
        <v>5134</v>
      </c>
      <c r="C36" s="794" t="s">
        <v>5135</v>
      </c>
    </row>
    <row r="37" spans="1:3">
      <c r="A37" s="794" t="s">
        <v>6839</v>
      </c>
      <c r="B37" s="794" t="s">
        <v>6840</v>
      </c>
      <c r="C37" s="794" t="s">
        <v>6841</v>
      </c>
    </row>
    <row r="38" spans="1:3">
      <c r="A38" s="794" t="s">
        <v>6842</v>
      </c>
      <c r="B38" s="794" t="s">
        <v>6843</v>
      </c>
      <c r="C38" s="794" t="s">
        <v>6844</v>
      </c>
    </row>
    <row r="39" spans="1:3">
      <c r="A39" s="794" t="s">
        <v>6845</v>
      </c>
      <c r="B39" s="794" t="s">
        <v>6846</v>
      </c>
      <c r="C39" s="794" t="s">
        <v>6847</v>
      </c>
    </row>
    <row r="40" spans="1:3">
      <c r="A40" s="794" t="s">
        <v>5133</v>
      </c>
      <c r="B40" s="794" t="s">
        <v>5134</v>
      </c>
      <c r="C40" s="794" t="s">
        <v>5135</v>
      </c>
    </row>
    <row r="41" spans="1:3">
      <c r="A41" s="794" t="s">
        <v>5154</v>
      </c>
      <c r="B41" s="793" t="s">
        <v>5155</v>
      </c>
      <c r="C41" s="793" t="s">
        <v>5156</v>
      </c>
    </row>
    <row r="42" spans="1:3">
      <c r="A42" s="794" t="s">
        <v>5163</v>
      </c>
      <c r="B42" s="793" t="s">
        <v>5164</v>
      </c>
      <c r="C42" s="793" t="s">
        <v>5165</v>
      </c>
    </row>
    <row r="43" spans="1:3">
      <c r="A43" s="794" t="s">
        <v>5172</v>
      </c>
      <c r="B43" s="793" t="s">
        <v>5173</v>
      </c>
      <c r="C43" s="793" t="s">
        <v>5174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25</vt:i4>
      </vt:variant>
    </vt:vector>
  </HeadingPairs>
  <TitlesOfParts>
    <vt:vector size="25" baseType="lpstr">
      <vt:lpstr>Factions</vt:lpstr>
      <vt:lpstr>The Informatorium</vt:lpstr>
      <vt:lpstr>Scaling and Dual Wield</vt:lpstr>
      <vt:lpstr>Roll Information</vt:lpstr>
      <vt:lpstr>Races</vt:lpstr>
      <vt:lpstr>Enemies 6.0 Creatures </vt:lpstr>
      <vt:lpstr>Skills</vt:lpstr>
      <vt:lpstr>Gear</vt:lpstr>
      <vt:lpstr>Items</vt:lpstr>
      <vt:lpstr>Gear+Items</vt:lpstr>
      <vt:lpstr>Zones</vt:lpstr>
      <vt:lpstr>Gear Set</vt:lpstr>
      <vt:lpstr>Crafting</vt:lpstr>
      <vt:lpstr>RESONANCE</vt:lpstr>
      <vt:lpstr>MASTERY</vt:lpstr>
      <vt:lpstr>LEGACY</vt:lpstr>
      <vt:lpstr>Legends</vt:lpstr>
      <vt:lpstr>Clarifications &amp; Mechanics</vt:lpstr>
      <vt:lpstr>Quests</vt:lpstr>
      <vt:lpstr>NEW SENTIENTS FRAMEWORK</vt:lpstr>
      <vt:lpstr>events</vt:lpstr>
      <vt:lpstr>Bestiary</vt:lpstr>
      <vt:lpstr>Bandits</vt:lpstr>
      <vt:lpstr>Legion</vt:lpstr>
      <vt:lpstr>Conclave</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Gabor Daniel</dc:creator>
  <cp:lastModifiedBy>Yak</cp:lastModifiedBy>
  <cp:revision>6</cp:revision>
  <dcterms:created xsi:type="dcterms:W3CDTF">2021-02-27T21:12:09Z</dcterms:created>
  <dcterms:modified xsi:type="dcterms:W3CDTF">2026-05-12T18:13:15Z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fWorkbookId">
    <vt:lpwstr>c45ef799-4598-4935-84de-9bce228437f1</vt:lpwstr>
  </property>
</Properties>
</file>